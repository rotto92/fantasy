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worksheets/sheet9.xml" ContentType="application/vnd.openxmlformats-officedocument.spreadsheetml.worksheet+xml"/>
  <Override PartName="/xl/tables/table11.xml" ContentType="application/vnd.openxmlformats-officedocument.spreadsheetml.table+xml"/>
  <Override PartName="/xl/worksheets/sheet10.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48dda12e894c20" /></Relationships>
</file>

<file path=xl/workbook.xml><?xml version="1.0" encoding="utf-8"?>
<x:workbook xmlns:x="http://schemas.openxmlformats.org/spreadsheetml/2006/main">
  <x:sheets>
    <x:sheet xmlns:r="http://schemas.openxmlformats.org/officeDocument/2006/relationships" name="Start Here" sheetId="1" r:id="R675ee691eced4977"/>
    <x:sheet xmlns:r="http://schemas.openxmlformats.org/officeDocument/2006/relationships" name="Master Taxonomy" sheetId="2" r:id="Rd8d7b0c0dc9a46f4"/>
    <x:sheet xmlns:r="http://schemas.openxmlformats.org/officeDocument/2006/relationships" name="Source Corpus" sheetId="3" r:id="R1d250fb583ff4868"/>
    <x:sheet xmlns:r="http://schemas.openxmlformats.org/officeDocument/2006/relationships" name="Seed Catalogue" sheetId="4" r:id="R659c540c65bd422a"/>
    <x:sheet xmlns:r="http://schemas.openxmlformats.org/officeDocument/2006/relationships" name="Controlled Vocab" sheetId="5" r:id="R82c3e1309ce04ef0"/>
    <x:sheet xmlns:r="http://schemas.openxmlformats.org/officeDocument/2006/relationships" name="Relationship Rules" sheetId="6" r:id="Rb918094ccf1840da"/>
    <x:sheet xmlns:r="http://schemas.openxmlformats.org/officeDocument/2006/relationships" name="Coverage" sheetId="7" r:id="Re32b830cbbdf4847"/>
    <x:sheet xmlns:r="http://schemas.openxmlformats.org/officeDocument/2006/relationships" name="Data Dictionary" sheetId="8" r:id="R50d2b40708284230"/>
    <x:sheet xmlns:r="http://schemas.openxmlformats.org/officeDocument/2006/relationships" name="Research Queue" sheetId="9" r:id="Raa2f497d4d484d08"/>
    <x:sheet xmlns:r="http://schemas.openxmlformats.org/officeDocument/2006/relationships" name="Source Priority" sheetId="10" r:id="R1a93e8c0c1c5410b"/>
    <x:sheet xmlns:r="http://schemas.openxmlformats.org/officeDocument/2006/relationships" name="Term Metadata" sheetId="11" r:id="R345cf70d89724c42"/>
    <x:sheet xmlns:r="http://schemas.openxmlformats.org/officeDocument/2006/relationships" name="Adaptation Crosswalk" sheetId="12" r:id="Rff255f55036d450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19">
    <x:font>
      <x:sz val="11"/>
      <x:name val="Carlito"/>
    </x:font>
    <x:font>
      <x:b/>
      <x:sz val="24"/>
      <x:color rgb="FFFFFFFF"/>
      <x:name val="Carlito"/>
    </x:font>
    <x:font>
      <x:i/>
      <x:sz val="12"/>
      <x:color rgb="FFFFFFFF"/>
      <x:name val="Carlito"/>
    </x:font>
    <x:font>
      <x:b/>
      <x:sz val="11"/>
      <x:color rgb="FF17324D"/>
      <x:name val="Carlito"/>
    </x:font>
    <x:font>
      <x:sz val="10"/>
      <x:color rgb="FF1F2937"/>
      <x:name val="Carlito"/>
    </x:font>
    <x:font>
      <x:b/>
      <x:sz val="10"/>
      <x:color rgb="FFFFFFFF"/>
      <x:name val="Carlito"/>
    </x:font>
    <x:font>
      <x:b/>
      <x:sz val="14"/>
      <x:color rgb="FF2A6F97"/>
      <x:name val="Carlito"/>
    </x:font>
    <x:font>
      <x:b/>
      <x:sz val="11"/>
      <x:color rgb="FFFFFFFF"/>
      <x:name val="Carlito"/>
    </x:font>
    <x:font>
      <x:sz val="11"/>
      <x:color rgb="FF1F2937"/>
      <x:name val="Carlito"/>
    </x:font>
    <x:font>
      <x:b/>
      <x:sz val="13"/>
      <x:color rgb="FFFFFFFF"/>
      <x:name val="Carlito"/>
    </x:font>
    <x:font>
      <x:sz val="9"/>
      <x:color rgb="FF2A6F97"/>
      <x:name val="Carlito"/>
    </x:font>
    <x:font>
      <x:b/>
      <x:sz val="18"/>
      <x:color rgb="FFFFFFFF"/>
      <x:name val="Carlito"/>
    </x:font>
    <x:font>
      <x:b/>
      <x:sz val="11"/>
      <x:color rgb="FF1F1F1F"/>
      <x:name val="Carlito"/>
    </x:font>
    <x:font>
      <x:sz val="11"/>
      <x:color rgb="FF1F1F1F"/>
      <x:name val="Carlito"/>
    </x:font>
    <x:font>
      <x:b/>
      <x:i/>
      <x:sz val="12"/>
      <x:color rgb="FF1F1F1F"/>
      <x:name val="Carlito"/>
    </x:font>
    <x:font>
      <x:sz val="10"/>
      <x:color rgb="FF1F1F1F"/>
      <x:name val="Carlito"/>
    </x:font>
    <x:font>
      <x:b/>
      <x:sz val="14"/>
      <x:color rgb="FF1F1F1F"/>
      <x:name val="Carlito"/>
    </x:font>
    <x:font>
      <x:b/>
      <x:sz val="12"/>
      <x:color rgb="FF0070C0"/>
      <x:name val="Carlito"/>
    </x:font>
    <x:font>
      <x:b/>
      <x:sz val="13"/>
      <x:color rgb="FF1F1F1F"/>
      <x:name val="Carlito"/>
    </x:font>
  </x:fonts>
  <x:fills count="19">
    <x:fill>
      <x:patternFill patternType="none"/>
    </x:fill>
    <x:fill>
      <x:patternFill patternType="gray125"/>
    </x:fill>
    <x:fill>
      <x:patternFill patternType="solid">
        <x:fgColor rgb="FF17324D"/>
      </x:patternFill>
    </x:fill>
    <x:fill>
      <x:patternFill patternType="solid">
        <x:fgColor rgb="FF1F6F78"/>
      </x:patternFill>
    </x:fill>
    <x:fill>
      <x:patternFill patternType="solid">
        <x:fgColor rgb="FFE8F1F5"/>
      </x:patternFill>
    </x:fill>
    <x:fill>
      <x:patternFill patternType="solid">
        <x:fgColor rgb="FFE6F2F2"/>
      </x:patternFill>
    </x:fill>
    <x:fill>
      <x:patternFill patternType="solid">
        <x:fgColor rgb="FFF5F7FA"/>
      </x:patternFill>
    </x:fill>
    <x:fill>
      <x:patternFill patternType="solid">
        <x:fgColor rgb="FFC99A3D"/>
      </x:patternFill>
    </x:fill>
    <x:fill>
      <x:patternFill patternType="solid">
        <x:fgColor rgb="FFF8F1DF"/>
      </x:patternFill>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F7FBFE"/>
      </x:patternFill>
    </x:fill>
    <x:fill>
      <x:patternFill patternType="solid">
        <x:fgColor rgb="FF0F6B73"/>
      </x:patternFill>
    </x:fill>
    <x:fill>
      <x:patternFill patternType="solid">
        <x:fgColor rgb="FFFFF8E7"/>
      </x:patternFill>
    </x:fill>
    <x:fill>
      <x:patternFill patternType="solid">
        <x:fgColor rgb="FFDDEBF7"/>
      </x:patternFill>
    </x:fill>
    <x:fill>
      <x:patternFill patternType="solid">
        <x:fgColor rgb="FFF8FBFD"/>
      </x:patternFill>
    </x:fill>
    <x:fill>
      <x:patternFill patternType="solid">
        <x:fgColor rgb="FFF7F9FC"/>
      </x:patternFill>
    </x:fill>
    <x:fill>
      <x:patternFill patternType="solid">
        <x:fgColor rgb="FFFFFFFF"/>
      </x:patternFill>
    </x:fill>
  </x:fills>
  <x:borders count="2">
    <x:border/>
    <x:border/>
  </x:borders>
  <x:cellStyleXfs count="1">
    <x:xf numFmtId="0" fontId="0" fillId="0" borderId="0"/>
  </x:cellStyleXfs>
  <x:cellXfs count="1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top"/>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top"/>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horizontal="center"/>
    </x:xf>
    <x:xf numFmtId="0" fontId="6" fillId="6" borderId="1" xfId="0" applyNumberFormat="1" applyFont="1" applyFill="1" applyBorder="1" applyAlignment="1">
      <x:alignment horizontal="center" vertical="center"/>
    </x:xf>
    <x:xf numFmtId="0" fontId="7" fillId="3" borderId="0" xfId="0" applyNumberFormat="1" applyFont="1" applyFill="1" applyBorder="1"/>
    <x:xf numFmtId="0" fontId="7" fillId="3" borderId="0" xfId="0" applyNumberFormat="1" applyFont="1" applyFill="1" applyBorder="1" applyAlignment="1">
      <x:alignment vertical="center"/>
    </x:xf>
    <x:xf numFmtId="0" fontId="7" fillId="3" borderId="1" xfId="0" applyNumberFormat="1" applyFont="1" applyFill="1" applyBorder="1"/>
    <x:xf numFmtId="0" fontId="7" fillId="3" borderId="1" xfId="0" applyNumberFormat="1" applyFont="1" applyFill="1" applyBorder="1" applyAlignment="1">
      <x:alignment vertical="center"/>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center"/>
    </x:xf>
    <x:xf numFmtId="0" fontId="7" fillId="7" borderId="0" xfId="0" applyNumberFormat="1" applyFont="1" applyFill="1" applyBorder="1" applyAlignment="1">
      <x:alignment horizontal="center" vertical="center"/>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horizontal="center"/>
    </x:xf>
    <x:xf numFmtId="0" fontId="7" fillId="7" borderId="1" xfId="0" applyNumberFormat="1" applyFont="1" applyFill="1" applyBorder="1" applyAlignment="1">
      <x:alignment horizontal="center" vertical="center"/>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center" wrapText="1"/>
    </x:xf>
    <x:xf numFmtId="0" fontId="0" fillId="8" borderId="1"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wrapText="1"/>
    </x:xf>
    <x:xf numFmtId="0" fontId="8" fillId="8" borderId="1" xfId="0" applyNumberFormat="1" applyFont="1" applyFill="1" applyBorder="1" applyAlignment="1">
      <x:alignment vertical="center" wrapText="1"/>
    </x:xf>
    <x:xf numFmtId="0" fontId="9" fillId="2" borderId="0" xfId="0" applyNumberFormat="1" applyFont="1" applyFill="1" applyBorder="1"/>
    <x:xf numFmtId="0" fontId="9" fillId="2" borderId="0" xfId="0" applyNumberFormat="1" applyFont="1" applyFill="1" applyBorder="1" applyAlignment="1">
      <x:alignment vertical="center"/>
    </x:xf>
    <x:xf numFmtId="0" fontId="9" fillId="2" borderId="1" xfId="0" applyNumberFormat="1" applyFont="1" applyFill="1" applyBorder="1"/>
    <x:xf numFmtId="0" fontId="9" fillId="2" borderId="1" xfId="0" applyNumberFormat="1" applyFont="1" applyFill="1" applyBorder="1" applyAlignment="1">
      <x:alignment vertical="center"/>
    </x:xf>
    <x:xf numFmtId="0" fontId="3" fillId="8" borderId="0" xfId="0" applyNumberFormat="1" applyFont="1" applyFill="1" applyBorder="1"/>
    <x:xf numFmtId="0" fontId="3" fillId="8" borderId="0" xfId="0" applyNumberFormat="1" applyFont="1" applyFill="1" applyBorder="1" applyAlignment="1">
      <x:alignment vertical="top"/>
    </x:xf>
    <x:xf numFmtId="0" fontId="3" fillId="8" borderId="1" xfId="0" applyNumberFormat="1" applyFont="1" applyFill="1" applyBorder="1"/>
    <x:xf numFmtId="0" fontId="3" fillId="8" borderId="1" xfId="0" applyNumberFormat="1" applyFont="1" applyFill="1" applyBorder="1" applyAlignment="1">
      <x:alignment vertical="top"/>
    </x:xf>
    <x:xf numFmtId="0" fontId="8" fillId="6" borderId="0" xfId="0" applyNumberFormat="1" applyFont="1" applyFill="1" applyBorder="1"/>
    <x:xf numFmtId="0" fontId="8" fillId="6" borderId="0" xfId="0" applyNumberFormat="1" applyFont="1" applyFill="1" applyBorder="1" applyAlignment="1">
      <x:alignment wrapText="1"/>
    </x:xf>
    <x:xf numFmtId="0" fontId="8" fillId="6" borderId="0" xfId="0" applyNumberFormat="1" applyFont="1" applyFill="1" applyBorder="1" applyAlignment="1">
      <x:alignment vertical="top" wrapText="1"/>
    </x:xf>
    <x:xf numFmtId="0" fontId="8" fillId="6" borderId="1" xfId="0" applyNumberFormat="1" applyFont="1" applyFill="1" applyBorder="1"/>
    <x:xf numFmtId="0" fontId="8" fillId="6" borderId="1" xfId="0" applyNumberFormat="1" applyFont="1" applyFill="1" applyBorder="1" applyAlignment="1">
      <x:alignment wrapText="1"/>
    </x:xf>
    <x:xf numFmtId="0" fontId="8" fillId="6" borderId="1" xfId="0" applyNumberFormat="1" applyFont="1" applyFill="1" applyBorder="1" applyAlignment="1">
      <x:alignment vertical="top" wrapText="1"/>
    </x:xf>
    <x:xf numFmtId="0" fontId="3" fillId="5" borderId="0" xfId="0" applyNumberFormat="1" applyFont="1" applyFill="1" applyBorder="1" applyAlignment="1">
      <x:alignment vertical="top"/>
    </x:xf>
    <x:xf numFmtId="0" fontId="3" fillId="5" borderId="1" xfId="0" applyNumberFormat="1" applyFont="1" applyFill="1" applyBorder="1" applyAlignment="1">
      <x:alignment vertical="top"/>
    </x:xf>
    <x:xf numFmtId="0" fontId="10" fillId="0" borderId="0"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4"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3" fillId="5" borderId="0" xfId="0" applyNumberFormat="1" applyFont="1" applyFill="1" applyBorder="1" applyAlignment="1">
      <x:alignment wrapText="1"/>
    </x:xf>
    <x:xf numFmtId="0" fontId="0" fillId="0" borderId="0" xfId="0" applyNumberFormat="1" applyFont="1" applyFill="1" applyBorder="1"/>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wrapText="1"/>
    </x:xf>
    <x:xf numFmtId="0" fontId="11" fillId="9" borderId="0" xfId="0" applyNumberFormat="1" applyFont="1" applyFill="1" applyBorder="1" applyAlignment="1">
      <x:alignment horizontal="left" wrapText="1"/>
    </x:xf>
    <x:xf numFmtId="0" fontId="11" fillId="9" borderId="0" xfId="0" applyNumberFormat="1" applyFont="1" applyFill="1" applyBorder="1" applyAlignment="1">
      <x:alignment horizontal="left" vertical="center" wrapText="1"/>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12" fillId="10" borderId="0" xfId="0" applyNumberFormat="1" applyFont="1" applyFill="1" applyBorder="1" applyAlignment="1">
      <x:alignment horizontal="left" wrapText="1"/>
    </x:xf>
    <x:xf numFmtId="0" fontId="12" fillId="10" borderId="0" xfId="0" applyNumberFormat="1" applyFont="1" applyFill="1" applyBorder="1" applyAlignment="1">
      <x:alignment horizontal="left" vertical="center" wrapText="1"/>
    </x:xf>
    <x:xf numFmtId="0" fontId="0" fillId="11"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wrapText="1"/>
    </x:xf>
    <x:xf numFmtId="0" fontId="13" fillId="11" borderId="0" xfId="0" applyNumberFormat="1" applyFont="1" applyFill="1" applyBorder="1" applyAlignment="1">
      <x:alignment horizontal="left" wrapText="1"/>
    </x:xf>
    <x:xf numFmtId="0" fontId="13" fillId="11" borderId="0" xfId="0" applyNumberFormat="1" applyFont="1" applyFill="1" applyBorder="1" applyAlignment="1">
      <x:alignment horizontal="left" vertical="center" wrapText="1"/>
    </x:xf>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horizontal="center" wrapText="1"/>
    </x:xf>
    <x:xf numFmtId="0" fontId="7" fillId="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9" fillId="9" borderId="0" xfId="0" applyNumberFormat="1" applyFont="1" applyFill="1" applyBorder="1"/>
    <x:xf numFmtId="0" fontId="9" fillId="9" borderId="0" xfId="0" applyNumberFormat="1" applyFont="1" applyFill="1" applyBorder="1" applyAlignment="1">
      <x:alignment wrapText="1"/>
    </x:xf>
    <x:xf numFmtId="0" fontId="9" fillId="9" borderId="0" xfId="0" applyNumberFormat="1" applyFont="1" applyFill="1" applyBorder="1" applyAlignment="1">
      <x:alignment vertical="center" wrapText="1"/>
    </x:xf>
    <x:xf numFmtId="0" fontId="12" fillId="10" borderId="0" xfId="0" applyNumberFormat="1" applyFont="1" applyFill="1" applyBorder="1" applyAlignment="1">
      <x:alignment vertical="top" wrapText="1"/>
    </x:xf>
    <x:xf numFmtId="0" fontId="0"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wrapText="1"/>
    </x:xf>
    <x:xf numFmtId="0" fontId="13" fillId="12" borderId="0" xfId="0" applyNumberFormat="1" applyFont="1" applyFill="1" applyBorder="1" applyAlignment="1">
      <x:alignment vertical="top" wrapText="1"/>
    </x:xf>
    <x:xf numFmtId="0" fontId="5" fillId="9" borderId="0" xfId="0" applyNumberFormat="1" applyFont="1" applyFill="1" applyBorder="1" applyAlignment="1">
      <x:alignment horizontal="center" vertical="center" wrapText="1"/>
    </x:xf>
    <x:xf numFmtId="0" fontId="9" fillId="2" borderId="0" xfId="0" applyNumberFormat="1" applyFont="1" applyFill="1" applyBorder="1" applyAlignment="1">
      <x:alignment vertical="top"/>
    </x:xf>
    <x:xf numFmtId="0" fontId="9" fillId="2" borderId="0" xfId="0" applyNumberFormat="1" applyFont="1" applyFill="1" applyBorder="1" applyAlignment="1">
      <x:alignment vertical="top" wrapText="1"/>
    </x:xf>
    <x:xf numFmtId="0" fontId="9" fillId="9" borderId="0" xfId="0" applyNumberFormat="1" applyFont="1" applyFill="1" applyBorder="1" applyAlignment="1">
      <x:alignment vertical="center"/>
    </x:xf>
    <x:xf numFmtId="0" fontId="1" fillId="9" borderId="0" xfId="0" applyNumberFormat="1" applyFont="1" applyFill="1" applyBorder="1" applyAlignment="1">
      <x:alignment horizontal="left" vertical="center"/>
    </x:xf>
    <x:xf numFmtId="0" fontId="11" fillId="9" borderId="0" xfId="0" applyNumberFormat="1" applyFont="1" applyFill="1" applyBorder="1" applyAlignment="1">
      <x:alignment horizontal="left" vertical="center"/>
    </x:xf>
    <x:xf numFmtId="0" fontId="2" fillId="10" borderId="0" xfId="0" applyNumberFormat="1" applyFont="1" applyFill="1" applyBorder="1" applyAlignment="1">
      <x:alignment vertical="center"/>
    </x:xf>
    <x:xf numFmtId="0" fontId="14" fillId="10" borderId="0" xfId="0" applyNumberFormat="1" applyFont="1" applyFill="1" applyBorder="1" applyAlignment="1">
      <x:alignment vertical="center"/>
    </x:xf>
    <x:xf numFmtId="0" fontId="14" fillId="10" borderId="0" xfId="0" applyNumberFormat="1" applyFont="1" applyFill="1" applyBorder="1" applyAlignment="1">
      <x:alignment vertical="center" wrapText="1"/>
    </x:xf>
    <x:xf numFmtId="0" fontId="14" fillId="10" borderId="0" xfId="0" applyNumberFormat="1" applyFont="1" applyFill="1" applyBorder="1" applyAlignment="1">
      <x:alignment horizontal="left" vertical="center" wrapText="1"/>
    </x:xf>
    <x:xf numFmtId="0" fontId="3" fillId="13"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7" fillId="13"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7" fillId="13" borderId="0" xfId="0" applyNumberFormat="1" applyFont="1" applyFill="1" applyBorder="1" applyAlignment="1">
      <x:alignment horizontal="center" vertical="top" wrapText="1"/>
    </x:xf>
    <x:xf numFmtId="0" fontId="5" fillId="13" borderId="0" xfId="0" applyNumberFormat="1" applyFont="1" applyFill="1" applyBorder="1" applyAlignment="1">
      <x:alignment horizontal="center" vertical="top" wrapText="1"/>
    </x:xf>
    <x:xf numFmtId="0" fontId="7" fillId="13" borderId="0"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7" fillId="13" borderId="0" xfId="0" applyNumberFormat="1" applyFont="1" applyFill="1" applyBorder="1" applyAlignment="1">
      <x:alignment vertical="center"/>
    </x:xf>
    <x:xf numFmtId="0" fontId="7" fillId="13" borderId="0" xfId="0" applyNumberFormat="1" applyFont="1" applyFill="1" applyBorder="1" applyAlignment="1">
      <x:alignment vertical="center" wrapText="1"/>
    </x:xf>
    <x:xf numFmtId="0" fontId="3" fillId="14"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12" fillId="14" borderId="0" xfId="0" applyNumberFormat="1" applyFont="1" applyFill="1" applyBorder="1" applyAlignment="1">
      <x:alignment vertical="top" wrapText="1"/>
    </x:xf>
    <x:xf numFmtId="0" fontId="15" fillId="14" borderId="0" xfId="0" applyNumberFormat="1" applyFont="1" applyFill="1" applyBorder="1" applyAlignment="1">
      <x:alignment vertical="top" wrapText="1"/>
    </x:xf>
    <x:xf numFmtId="0" fontId="3" fillId="14" borderId="0" xfId="0" applyNumberFormat="1" applyFont="1" applyFill="1" applyBorder="1" applyAlignment="1">
      <x:alignment wrapText="1"/>
    </x:xf>
    <x:xf numFmtId="0" fontId="6" fillId="14" borderId="0" xfId="0" applyNumberFormat="1" applyFont="1" applyFill="1" applyBorder="1" applyAlignment="1">
      <x:alignment horizontal="center" vertical="center"/>
    </x:xf>
    <x:xf numFmtId="0" fontId="12" fillId="14" borderId="0" xfId="0" applyNumberFormat="1" applyFont="1" applyFill="1" applyBorder="1" applyAlignment="1">
      <x:alignment wrapText="1"/>
    </x:xf>
    <x:xf numFmtId="0" fontId="16" fillId="14" borderId="0" xfId="0" applyNumberFormat="1" applyFont="1" applyFill="1" applyBorder="1" applyAlignment="1">
      <x:alignment horizontal="center" vertical="center"/>
    </x:xf>
    <x:xf numFmtId="0" fontId="16" fillId="14" borderId="0" xfId="0" applyNumberFormat="1" applyFont="1" applyFill="1" applyBorder="1" applyAlignment="1">
      <x:alignment horizontal="center" vertical="center" wrapText="1"/>
    </x:xf>
    <x:xf numFmtId="0" fontId="16" fillId="14" borderId="0" xfId="0" applyNumberFormat="1" applyFont="1" applyFill="1" applyBorder="1" applyAlignment="1">
      <x:alignment horizontal="center" vertical="top" wrapText="1"/>
    </x:xf>
    <x:xf numFmtId="0" fontId="7" fillId="14" borderId="0" xfId="0" applyNumberFormat="1" applyFont="1" applyFill="1" applyBorder="1" applyAlignment="1">
      <x:alignment horizontal="center" vertical="center"/>
    </x:xf>
    <x:xf numFmtId="0" fontId="8" fillId="14" borderId="0" xfId="0" applyNumberFormat="1" applyFont="1" applyFill="1" applyBorder="1" applyAlignment="1">
      <x:alignment vertical="center" wrapText="1"/>
    </x:xf>
    <x:xf numFmtId="0" fontId="0" fillId="14" borderId="0" xfId="0" applyNumberFormat="1" applyFont="1" applyFill="1" applyBorder="1"/>
    <x:xf numFmtId="0" fontId="0" fillId="14" borderId="0" xfId="0" applyNumberFormat="1" applyFont="1" applyFill="1" applyBorder="1" applyAlignment="1">
      <x:alignment wrapText="1"/>
    </x:xf>
    <x:xf numFmtId="0" fontId="12" fillId="14" borderId="0" xfId="0" applyNumberFormat="1" applyFont="1" applyFill="1" applyBorder="1" applyAlignment="1">
      <x:alignment horizontal="center" vertical="center"/>
    </x:xf>
    <x:xf numFmtId="0" fontId="13" fillId="14" borderId="0" xfId="0" applyNumberFormat="1" applyFont="1" applyFill="1" applyBorder="1" applyAlignment="1">
      <x:alignment vertical="center" wrapText="1"/>
    </x:xf>
    <x:xf numFmtId="0" fontId="13" fillId="14" borderId="0" xfId="0" applyNumberFormat="1" applyFont="1" applyFill="1" applyBorder="1"/>
    <x:xf numFmtId="0" fontId="13" fillId="14" borderId="0" xfId="0" applyNumberFormat="1" applyFont="1" applyFill="1" applyBorder="1" applyAlignment="1">
      <x:alignment wrapText="1"/>
    </x:xf>
    <x:xf numFmtId="0" fontId="12" fillId="14" borderId="0" xfId="0" applyNumberFormat="1" applyFont="1" applyFill="1" applyBorder="1" applyAlignment="1">
      <x:alignment horizontal="center" vertical="center" wrapText="1"/>
    </x:xf>
    <x:xf numFmtId="0" fontId="12" fillId="14" borderId="0" xfId="0" applyNumberFormat="1" applyFont="1" applyFill="1" applyBorder="1" applyAlignment="1">
      <x:alignment horizontal="center" vertical="top" wrapText="1"/>
    </x:xf>
    <x:xf numFmtId="0" fontId="13" fillId="14" borderId="0" xfId="0" applyNumberFormat="1" applyFont="1" applyFill="1" applyBorder="1" applyAlignment="1">
      <x:alignment vertical="top" wrapText="1"/>
    </x:xf>
    <x:xf numFmtId="0" fontId="17" fillId="14" borderId="0" xfId="0" applyNumberFormat="1" applyFont="1" applyFill="1" applyBorder="1" applyAlignment="1">
      <x:alignment horizontal="center" vertical="top" wrapText="1"/>
    </x:xf>
    <x:xf numFmtId="0" fontId="3" fillId="10" borderId="0"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3" fillId="15" borderId="0" xfId="0" applyNumberFormat="1" applyFont="1" applyFill="1" applyBorder="1" applyAlignment="1">
      <x:alignment vertical="top" wrapText="1"/>
    </x:xf>
    <x:xf numFmtId="0" fontId="12" fillId="15" borderId="0" xfId="0" applyNumberFormat="1" applyFont="1" applyFill="1" applyBorder="1" applyAlignment="1">
      <x:alignment vertical="top" wrapText="1"/>
    </x:xf>
    <x:xf numFmtId="0" fontId="4" fillId="16" borderId="0" xfId="0" applyNumberFormat="1" applyFont="1" applyFill="1" applyBorder="1" applyAlignment="1">
      <x:alignment vertical="top" wrapText="1"/>
    </x:xf>
    <x:xf numFmtId="0" fontId="15" fillId="16" borderId="0"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13" fillId="17" borderId="0" xfId="0" applyNumberFormat="1" applyFont="1" applyFill="1" applyBorder="1" applyAlignment="1">
      <x:alignment vertical="top" wrapText="1"/>
    </x:xf>
    <x:xf numFmtId="0" fontId="9" fillId="18" borderId="0" xfId="0" applyNumberFormat="1" applyFont="1" applyFill="1" applyBorder="1" applyAlignment="1">
      <x:alignment vertical="top"/>
    </x:xf>
    <x:xf numFmtId="0" fontId="9" fillId="18" borderId="0" xfId="0" applyNumberFormat="1" applyFont="1" applyFill="1" applyBorder="1" applyAlignment="1">
      <x:alignment vertical="top" wrapText="1"/>
    </x:xf>
    <x:xf numFmtId="0" fontId="18" fillId="18" borderId="0" xfId="0" applyNumberFormat="1" applyFont="1" applyFill="1" applyBorder="1" applyAlignment="1">
      <x:alignment vertical="top"/>
    </x:xf>
    <x:xf numFmtId="0" fontId="18" fillId="18" borderId="0" xfId="0" applyNumberFormat="1" applyFont="1" applyFill="1" applyBorder="1" applyAlignment="1">
      <x:alignment vertical="top" wrapText="1"/>
    </x:xf>
    <x:xf numFmtId="0" fontId="18" fillId="10" borderId="0" xfId="0" applyNumberFormat="1" applyFont="1" applyFill="1" applyBorder="1" applyAlignment="1">
      <x:alignment vertical="top" wrapText="1"/>
    </x:xf>
    <x:xf numFmtId="201" fontId="17" fillId="14" borderId="0" xfId="0" applyNumberFormat="1" applyFont="1" applyFill="1" applyBorder="1" applyAlignment="1">
      <x:alignment horizontal="center" vertical="top" wrapText="1"/>
    </x:xf>
  </x:cellXfs>
  <x:cellStyles count="1">
    <x:cellStyle name="Normal" xfId="0"/>
  </x:cellStyles>
  <x:dxfs count="21">
    <x:dxf>
      <x:font>
        <x:b/>
        <x:color rgb="FF17324D"/>
      </x:font>
      <x:fill>
        <x:patternFill>
          <x:bgColor rgb="FFE6F2F2"/>
        </x:patternFill>
      </x:fill>
    </x:dxf>
    <x:dxf>
      <x:font>
        <x:b/>
        <x:color rgb="FF17324D"/>
      </x:font>
      <x:fill>
        <x:patternFill>
          <x:bgColor rgb="FFE8F1F5"/>
        </x:patternFill>
      </x:fill>
    </x:dxf>
    <x:dxf>
      <x:font>
        <x:b/>
        <x:color rgb="FF17324D"/>
      </x:font>
      <x:fill>
        <x:patternFill>
          <x:bgColor rgb="FFEEE5F6"/>
        </x:patternFill>
      </x:fill>
    </x:dxf>
    <x:dxf>
      <x:font>
        <x:b/>
        <x:color rgb="FF17324D"/>
      </x:font>
      <x:fill>
        <x:patternFill>
          <x:bgColor rgb="FFFCE8D5"/>
        </x:patternFill>
      </x:fill>
    </x:dxf>
    <x:dxf>
      <x:font>
        <x:b/>
        <x:color rgb="FF17324D"/>
      </x:font>
      <x:fill>
        <x:patternFill>
          <x:bgColor rgb="FFDDF3E4"/>
        </x:patternFill>
      </x:fill>
    </x:dxf>
    <x:dxf>
      <x:font>
        <x:b/>
        <x:color rgb="FF17324D"/>
      </x:font>
      <x:fill>
        <x:patternFill>
          <x:bgColor rgb="FFF6E6EC"/>
        </x:patternFill>
      </x:fill>
    </x:dxf>
    <x:dxf>
      <x:font>
        <x:b/>
        <x:color rgb="FF17324D"/>
      </x:font>
      <x:fill>
        <x:patternFill>
          <x:bgColor rgb="FFF8F1DF"/>
        </x:patternFill>
      </x:fill>
    </x:dxf>
    <x:dxf>
      <x:font>
        <x:b/>
        <x:color rgb="FF17324D"/>
      </x:font>
      <x:fill>
        <x:patternFill>
          <x:bgColor rgb="FFE7EBEF"/>
        </x:patternFill>
      </x:fill>
    </x:dxf>
    <x:dxf>
      <x:font>
        <x:b/>
        <x:color rgb="FF166534"/>
      </x:font>
      <x:fill>
        <x:patternFill>
          <x:bgColor rgb="FFDDF3E4"/>
        </x:patternFill>
      </x:fill>
    </x:dxf>
    <x:dxf>
      <x:font>
        <x:color rgb="FF17324D"/>
      </x:font>
      <x:fill>
        <x:patternFill>
          <x:bgColor rgb="FFE8F1F5"/>
        </x:patternFill>
      </x:fill>
    </x:dxf>
    <x:dxf>
      <x:font>
        <x:color rgb="FF5B6773"/>
      </x:font>
      <x:fill>
        <x:patternFill>
          <x:bgColor rgb="FFE7EBEF"/>
        </x:patternFill>
      </x:fill>
    </x:dxf>
    <x:dxf>
      <x:font>
        <x:b/>
        <x:color rgb="FF166534"/>
      </x:font>
      <x:fill>
        <x:patternFill>
          <x:bgColor rgb="FFDDF3E4"/>
        </x:patternFill>
      </x:fill>
    </x:dxf>
    <x:dxf>
      <x:font>
        <x:b/>
        <x:color rgb="FF115E59"/>
      </x:font>
      <x:fill>
        <x:patternFill>
          <x:bgColor rgb="FFE6F2F2"/>
        </x:patternFill>
      </x:fill>
    </x:dxf>
    <x:dxf>
      <x:font>
        <x:b/>
        <x:color rgb="FF854D0E"/>
      </x:font>
      <x:fill>
        <x:patternFill>
          <x:bgColor rgb="FFFFF4CC"/>
        </x:patternFill>
      </x:fill>
    </x:dxf>
    <x:dxf>
      <x:font>
        <x:b/>
        <x:color rgb="FF9A3412"/>
      </x:font>
      <x:fill>
        <x:patternFill>
          <x:bgColor rgb="FFFCE8D5"/>
        </x:patternFill>
      </x:fill>
    </x:dxf>
    <x:dxf>
      <x:font>
        <x:b/>
        <x:color rgb="FF991B1B"/>
      </x:font>
      <x:fill>
        <x:patternFill>
          <x:bgColor rgb="FFF9D6D5"/>
        </x:patternFill>
      </x:fill>
    </x:dxf>
    <x:dxf>
      <x:font>
        <x:color rgb="FF17324D"/>
      </x:font>
      <x:fill>
        <x:patternFill>
          <x:bgColor rgb="FFE8F1F5"/>
        </x:patternFill>
      </x:fill>
    </x:dxf>
    <x:dxf>
      <x:font>
        <x:b/>
        <x:color rgb="FF166534"/>
      </x:font>
      <x:fill>
        <x:patternFill>
          <x:bgColor rgb="FFDDF3E4"/>
        </x:patternFill>
      </x:fill>
    </x:dxf>
    <x:dxf>
      <x:font>
        <x:b/>
        <x:color rgb="FF991B1B"/>
      </x:font>
      <x:fill>
        <x:patternFill>
          <x:bgColor rgb="FFF9D6D5"/>
        </x:patternFill>
      </x:fill>
    </x:dxf>
    <x:dxf>
      <x:font>
        <x:b/>
        <x:color rgb="FF854D0E"/>
      </x:font>
      <x:fill>
        <x:patternFill>
          <x:bgColor rgb="FFFFF4CC"/>
        </x:patternFill>
      </x:fill>
    </x:dxf>
    <x:dxf>
      <x:font>
        <x:color rgb="FF17324D"/>
      </x:font>
      <x:fill>
        <x:patternFill>
          <x:bgColor rgb="FFE8F1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2e9f2505014a99" /><Relationship Type="http://schemas.openxmlformats.org/officeDocument/2006/relationships/theme" Target="/xl/theme/theme1.xml" Id="R6bb06a6f80844bdf" /><Relationship Type="http://schemas.openxmlformats.org/officeDocument/2006/relationships/sharedStrings" Target="/xl/sharedStrings.xml" Id="R440a46e7492a4ceb" /><Relationship Type="http://schemas.openxmlformats.org/officeDocument/2006/relationships/worksheet" Target="/xl/worksheets/sheet1.xml" Id="R675ee691eced4977" /><Relationship Type="http://schemas.openxmlformats.org/officeDocument/2006/relationships/worksheet" Target="/xl/worksheets/sheet2.xml" Id="Rd8d7b0c0dc9a46f4" /><Relationship Type="http://schemas.openxmlformats.org/officeDocument/2006/relationships/worksheet" Target="/xl/worksheets/sheet3.xml" Id="R1d250fb583ff4868" /><Relationship Type="http://schemas.openxmlformats.org/officeDocument/2006/relationships/worksheet" Target="/xl/worksheets/sheet4.xml" Id="R659c540c65bd422a" /><Relationship Type="http://schemas.openxmlformats.org/officeDocument/2006/relationships/worksheet" Target="/xl/worksheets/sheet5.xml" Id="R82c3e1309ce04ef0" /><Relationship Type="http://schemas.openxmlformats.org/officeDocument/2006/relationships/worksheet" Target="/xl/worksheets/sheet6.xml" Id="Rb918094ccf1840da" /><Relationship Type="http://schemas.openxmlformats.org/officeDocument/2006/relationships/worksheet" Target="/xl/worksheets/sheet7.xml" Id="Re32b830cbbdf4847" /><Relationship Type="http://schemas.openxmlformats.org/officeDocument/2006/relationships/worksheet" Target="/xl/worksheets/sheet8.xml" Id="R50d2b40708284230" /><Relationship Type="http://schemas.openxmlformats.org/officeDocument/2006/relationships/worksheet" Target="/xl/worksheets/sheet9.xml" Id="Raa2f497d4d484d08" /><Relationship Type="http://schemas.openxmlformats.org/officeDocument/2006/relationships/worksheet" Target="/xl/worksheets/sheet10.xml" Id="R1a93e8c0c1c5410b" /><Relationship Type="http://schemas.openxmlformats.org/officeDocument/2006/relationships/worksheet" Target="/xl/worksheets/sheet11.xml" Id="R345cf70d89724c42" /><Relationship Type="http://schemas.openxmlformats.org/officeDocument/2006/relationships/worksheet" Target="/xl/worksheets/sheet12.xml" Id="Rff255f55036d4508"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d211a8484e411f" /><Relationship Type="http://schemas.openxmlformats.org/officeDocument/2006/relationships/chart" Target="/xl/drawings/charts/chart2.xml" Id="Rf40a65afd4c94c9e" /></Relationships>
</file>

<file path=xl/drawings/_rels/drawing2.xml.rels>&#65279;<?xml version="1.0" encoding="utf-8"?><Relationships xmlns="http://schemas.openxmlformats.org/package/2006/relationships"><Relationship Type="http://schemas.openxmlformats.org/officeDocument/2006/relationships/chart" Target="/xl/drawings/charts/chart3.xml" Id="Rb4f04d93fd7a4ecd"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Archetypes</c:v>
          </c:tx>
          <c:cat>
            <c:strRef>
              <c:f>'Coverage'!$A$2:$A$12</c:f>
              <c:strCache>
                <c:ptCount val="0"/>
              </c:strCache>
            </c:strRef>
          </c:cat>
          <c:val>
            <c:numRef>
              <c:f>'Coverage'!$B$2:$B$12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bar"/>
        <c:grouping val="clustered"/>
        <c:varyColors val="0"/>
        <c:ser>
          <c:idx val="0"/>
          <c:order val="0"/>
          <c:tx>
            <c:v>Entries</c:v>
          </c:tx>
          <c:cat>
            <c:strRef>
              <c:f>'Coverage'!$J$2:$J$14</c:f>
              <c:strCache>
                <c:ptCount val="0"/>
              </c:strCache>
            </c:strRef>
          </c:cat>
          <c:val>
            <c:numRef>
              <c:f>'Coverage'!$K$2:$K$14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barChart>
        <c:barDir val="bar"/>
        <c:grouping val="clustered"/>
        <c:varyColors val="0"/>
        <c:ser>
          <c:idx val="0"/>
          <c:order val="0"/>
          <c:tx>
            <c:v>Marginal Archetype Value</c:v>
          </c:tx>
          <c:cat>
            <c:strRef>
              <c:f>'Source Priority'!$C$7:$C$21</c:f>
              <c:strCache>
                <c:ptCount val="0"/>
              </c:strCache>
            </c:strRef>
          </c:cat>
          <c:val>
            <c:numRef>
              <c:f>'Source Priority'!$O$7:$O$21</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16</xdr:row>
      <xdr:rowOff>0</xdr:rowOff>
    </xdr:from>
    <xdr:to>
      <xdr:col>6</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d211a8484e411f"/>
        </a:graphicData>
      </a:graphic>
    </xdr:graphicFrame>
    <xdr:clientData/>
  </xdr:twoCellAnchor>
  <xdr:twoCellAnchor>
    <xdr:from>
      <xdr:col>6</xdr:col>
      <xdr:colOff>0</xdr:colOff>
      <xdr:row>16</xdr:row>
      <xdr:rowOff>0</xdr:rowOff>
    </xdr:from>
    <xdr:to>
      <xdr:col>11</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0a65afd4c94c9e"/>
        </a:graphicData>
      </a:graphic>
    </xdr:graphicFrame>
    <xdr:clientData/>
  </xdr:twoCellAnchor>
</xdr:wsDr>
</file>

<file path=xl/drawings/drawing2.xml><?xml version="1.0" encoding="utf-8"?>
<xdr:wsDr xmlns:xdr="http://schemas.openxmlformats.org/drawingml/2006/spreadsheetDrawing">
  <xdr:twoCellAnchor>
    <xdr:from>
      <xdr:col>22</xdr:col>
      <xdr:colOff>0</xdr:colOff>
      <xdr:row>17</xdr:row>
      <xdr:rowOff>0</xdr:rowOff>
    </xdr:from>
    <xdr:to>
      <xdr:col>30</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f04d93fd7a4ecd"/>
        </a:graphicData>
      </a:graphic>
    </xdr:graphicFrame>
    <xdr:clientData/>
  </xdr:twoCellAnchor>
</xdr:wsDr>
</file>

<file path=xl/tables/table1.xml><?xml version="1.0" encoding="utf-8"?>
<x:table xmlns:x="http://schemas.openxmlformats.org/spreadsheetml/2006/main" id="1" name="MasterTaxonomyTable" displayName="MasterTaxonomyTable" ref="A1:M1656" headerRowCount="1">
  <x:tableColumns count="13">
    <x:tableColumn id="1" name="Archetype_ID"/>
    <x:tableColumn id="2" name="Preferred_Name"/>
    <x:tableColumn id="3" name="Domain"/>
    <x:tableColumn id="4" name="Parent_ID"/>
    <x:tableColumn id="5" name="Parent_Name"/>
    <x:tableColumn id="6" name="Tier"/>
    <x:tableColumn id="7" name="Core_Definition"/>
    <x:tableColumn id="8" name="Key_Distinctions"/>
    <x:tableColumn id="9" name="Common_Variants"/>
    <x:tableColumn id="10" name="Typical_Functions"/>
    <x:tableColumn id="11" name="Representative_Terms"/>
    <x:tableColumn id="12" name="Cross_Cultural_Caution"/>
    <x:tableColumn id="13" name="Framework_Status"/>
  </x:tableColumns>
  <x:tableStyleInfo name="TableStyleMedium2" showRowStripes="1"/>
</x:table>
</file>

<file path=xl/tables/table2.xml><?xml version="1.0" encoding="utf-8"?>
<x:table xmlns:x="http://schemas.openxmlformats.org/spreadsheetml/2006/main" id="2" name="SourceCorpusTable" displayName="SourceCorpusTable" ref="A1:L282" headerRowCount="1">
  <x:tableColumns count="12">
    <x:tableColumn id="1" name="Source_ID"/>
    <x:tableColumn id="2" name="Title_or_Franchise"/>
    <x:tableColumn id="3" name="Creator_Studio"/>
    <x:tableColumn id="4" name="Medium"/>
    <x:tableColumn id="5" name="Region_Tradition"/>
    <x:tableColumn id="6" name="First_Appearance"/>
    <x:tableColumn id="7" name="Continuity_Unit"/>
    <x:tableColumn id="8" name="Priority_Tier"/>
    <x:tableColumn id="9" name="Distinctive_Contribution"/>
    <x:tableColumn id="10" name="Scope_Note"/>
    <x:tableColumn id="11" name="Reference_URL"/>
    <x:tableColumn id="12" name="Status"/>
  </x:tableColumns>
  <x:tableStyleInfo name="TableStyleMedium2" showRowStripes="1"/>
</x:table>
</file>

<file path=xl/tables/table3.xml><?xml version="1.0" encoding="utf-8"?>
<x:table xmlns:x="http://schemas.openxmlformats.org/spreadsheetml/2006/main" id="3" name="SeedCatalogueTable" displayName="SeedCatalogueTable" ref="A1:S452" headerRowCount="1">
  <x:tableColumns count="19">
    <x:tableColumn id="1" name="Entry_ID"/>
    <x:tableColumn id="2" name="Canonical_Name"/>
    <x:tableColumn id="3" name="Source_ID"/>
    <x:tableColumn id="4" name="Source_Title"/>
    <x:tableColumn id="5" name="Continuity"/>
    <x:tableColumn id="6" name="Native_Record_Type"/>
    <x:tableColumn id="7" name="Primary_Archetype_ID"/>
    <x:tableColumn id="8" name="Primary_Archetype_Name"/>
    <x:tableColumn id="9" name="Additional_Archetype_IDs"/>
    <x:tableColumn id="10" name="Additional_Archetype_Names"/>
    <x:tableColumn id="11" name="Ontology_or_Role_Summary"/>
    <x:tableColumn id="12" name="Power_Basis"/>
    <x:tableColumn id="13" name="Key_Distinction"/>
    <x:tableColumn id="14" name="Comparative_Notes"/>
    <x:tableColumn id="15" name="Canon_Status"/>
    <x:tableColumn id="16" name="Evidence_Level"/>
    <x:tableColumn id="17" name="Source_Reference"/>
    <x:tableColumn id="18" name="Reference_URL"/>
    <x:tableColumn id="19" name="Review_Status"/>
  </x:tableColumns>
  <x:tableStyleInfo name="TableStyleMedium2" showRowStripes="1"/>
</x:table>
</file>

<file path=xl/tables/table4.xml><?xml version="1.0" encoding="utf-8"?>
<x:table xmlns:x="http://schemas.openxmlformats.org/spreadsheetml/2006/main" id="4" name="ControlledVocabTable" displayName="ControlledVocabTable" ref="A1:D163" headerRowCount="1">
  <x:tableColumns count="4">
    <x:tableColumn id="1" name="Axis"/>
    <x:tableColumn id="2" name="Value"/>
    <x:tableColumn id="3" name="Definition"/>
    <x:tableColumn id="4" name="Use"/>
  </x:tableColumns>
  <x:tableStyleInfo name="TableStyleMedium2" showRowStripes="1"/>
</x:table>
</file>

<file path=xl/tables/table5.xml><?xml version="1.0" encoding="utf-8"?>
<x:table xmlns:x="http://schemas.openxmlformats.org/spreadsheetml/2006/main" id="5" name="RelationshipRulesTable" displayName="RelationshipRulesTable" ref="A1:F23" headerRowCount="1">
  <x:tableColumns count="6">
    <x:tableColumn id="1" name="Relation"/>
    <x:tableColumn id="2" name="Directionality"/>
    <x:tableColumn id="3" name="Scope"/>
    <x:tableColumn id="4" name="Use_When"/>
    <x:tableColumn id="5" name="Do_Not_Use_When"/>
    <x:tableColumn id="6" name="Example"/>
  </x:tableColumns>
  <x:tableStyleInfo name="TableStyleMedium2" showRowStripes="1"/>
</x:table>
</file>

<file path=xl/tables/table6.xml><?xml version="1.0" encoding="utf-8"?>
<x:table xmlns:x="http://schemas.openxmlformats.org/spreadsheetml/2006/main" id="15" name="DomainCoverageTableV2" displayName="DomainCoverageTableV2" ref="A1:B12" headerRowCount="1">
  <x:tableColumns count="2">
    <x:tableColumn id="1" name="Taxonomy Domain"/>
    <x:tableColumn id="2" name="Count"/>
  </x:tableColumns>
  <x:tableStyleInfo name="TableStyleMedium2" showRowStripes="1"/>
</x:table>
</file>

<file path=xl/tables/table7.xml><?xml version="1.0" encoding="utf-8"?>
<x:table xmlns:x="http://schemas.openxmlformats.org/spreadsheetml/2006/main" id="16" name="MediumCoverageTableV2" displayName="MediumCoverageTableV2" ref="D1:E14" headerRowCount="1">
  <x:tableColumns count="2">
    <x:tableColumn id="1" name="Source Medium"/>
    <x:tableColumn id="2" name="Count"/>
  </x:tableColumns>
  <x:tableStyleInfo name="TableStyleMedium2" showRowStripes="1"/>
</x:table>
</file>

<file path=xl/tables/table8.xml><?xml version="1.0" encoding="utf-8"?>
<x:table xmlns:x="http://schemas.openxmlformats.org/spreadsheetml/2006/main" id="17" name="EvidenceCoverageTableV2" displayName="EvidenceCoverageTableV2" ref="G1:H6" headerRowCount="1">
  <x:tableColumns count="2">
    <x:tableColumn id="1" name="Evidence Level"/>
    <x:tableColumn id="2" name="Count"/>
  </x:tableColumns>
  <x:tableStyleInfo name="TableStyleMedium2" showRowStripes="1"/>
</x:table>
</file>

<file path=xl/tables/table9.xml><?xml version="1.0" encoding="utf-8"?>
<x:table xmlns:x="http://schemas.openxmlformats.org/spreadsheetml/2006/main" id="18" name="SeedSourceCoverageTableV2" displayName="SeedSourceCoverageTableV2" ref="J1:K14" headerRowCount="1">
  <x:tableColumns count="2">
    <x:tableColumn id="1" name="Seed Source"/>
    <x:tableColumn id="2" name="Entries"/>
  </x:tableColumns>
  <x:tableStyleInfo name="TableStyleMedium2" showRowStripes="1"/>
</x:table>
</file>

<file path=xl/tables/table10.xml><?xml version="1.0" encoding="utf-8"?>
<x:table xmlns:x="http://schemas.openxmlformats.org/spreadsheetml/2006/main" id="6" name="DataDictionaryTable" displayName="DataDictionaryTable" ref="A1:F111" headerRowCount="1">
  <x:tableColumns count="6">
    <x:tableColumn id="1" name="Sheet"/>
    <x:tableColumn id="2" name="Field"/>
    <x:tableColumn id="3" name="Data_Type"/>
    <x:tableColumn id="4" name="Required"/>
    <x:tableColumn id="5" name="Definition"/>
    <x:tableColumn id="6" name="Guidance"/>
  </x:tableColumns>
  <x:tableStyleInfo name="TableStyleMedium2" showRowStripes="1"/>
</x:table>
</file>

<file path=xl/tables/table11.xml><?xml version="1.0" encoding="utf-8"?>
<x:table xmlns:x="http://schemas.openxmlformats.org/spreadsheetml/2006/main" id="7" name="ResearchQueueTable" displayName="ResearchQueueTable" ref="A1:F27" headerRowCount="1">
  <x:tableColumns count="6">
    <x:tableColumn id="1" name="Queue_ID"/>
    <x:tableColumn id="2" name="Workstream"/>
    <x:tableColumn id="3" name="Scope"/>
    <x:tableColumn id="4" name="Goal"/>
    <x:tableColumn id="5" name="Priority"/>
    <x:tableColumn id="6" name="Status"/>
  </x:tableColumns>
  <x:tableStyleInfo name="TableStyleMedium2" showRowStripes="1"/>
</x:table>
</file>

<file path=xl/tables/table12.xml><?xml version="1.0" encoding="utf-8"?>
<x:table xmlns:x="http://schemas.openxmlformats.org/spreadsheetml/2006/main" id="12" name="SourcePriorityTable" displayName="SourcePriorityTable" ref="A6:U287" headerRowCount="1">
  <x:tableColumns count="21">
    <x:tableColumn id="1" name="Baseline_Rank"/>
    <x:tableColumn id="2" name="Source_ID"/>
    <x:tableColumn id="3" name="Title_or_Franchise"/>
    <x:tableColumn id="4" name="Medium"/>
    <x:tableColumn id="5" name="Region_Tradition"/>
    <x:tableColumn id="6" name="Existing_Seed_Entries"/>
    <x:tableColumn id="7" name="Archetype_Novelty"/>
    <x:tableColumn id="8" name="Domain_Breadth"/>
    <x:tableColumn id="9" name="Coverage_Gap_Value"/>
    <x:tableColumn id="10" name="Historical_Influence"/>
    <x:tableColumn id="11" name="Conceptual_Depth"/>
    <x:tableColumn id="12" name="Adaptation_Value"/>
    <x:tableColumn id="13" name="Source_Quality"/>
    <x:tableColumn id="14" name="Redundancy_Penalty"/>
    <x:tableColumn id="15" name="Marginal_Value_Score"/>
    <x:tableColumn id="16" name="Recommended_Treatment"/>
    <x:tableColumn id="17" name="Editorial_Basis"/>
    <x:tableColumn id="18" name="Priority_Rationale"/>
    <x:tableColumn id="19" name="Review_Status"/>
    <x:tableColumn id="20" name="Reference_URL"/>
    <x:tableColumn id="21" name="Last_Reviewed"/>
  </x:tableColumns>
  <x:tableStyleInfo name="TableStyleMedium2" showRowStripes="1"/>
</x:table>
</file>

<file path=xl/tables/table13.xml><?xml version="1.0" encoding="utf-8"?>
<x:table xmlns:x="http://schemas.openxmlformats.org/spreadsheetml/2006/main" id="13" name="TermMetadataTable" displayName="TermMetadataTable" ref="A4:R64" headerRowCount="1">
  <x:tableColumns count="18">
    <x:tableColumn id="1" name="Term_ID"/>
    <x:tableColumn id="2" name="Source_Entry_ID"/>
    <x:tableColumn id="3" name="Source_ID"/>
    <x:tableColumn id="4" name="Canonical_Term"/>
    <x:tableColumn id="5" name="Original_Language"/>
    <x:tableColumn id="6" name="Original_Script"/>
    <x:tableColumn id="7" name="Transliteration"/>
    <x:tableColumn id="8" name="Literal_Gloss"/>
    <x:tableColumn id="9" name="Period_or_Layer"/>
    <x:tableColumn id="10" name="Region_or_Tradition"/>
    <x:tableColumn id="11" name="Textual_Witness"/>
    <x:tableColumn id="12" name="Tradition_Status"/>
    <x:tableColumn id="13" name="Translation_Variants"/>
    <x:tableColumn id="14" name="Sacred_Context_Caution"/>
    <x:tableColumn id="15" name="Novelty_Classification"/>
    <x:tableColumn id="16" name="Citation_Granularity"/>
    <x:tableColumn id="17" name="Reference_URL"/>
    <x:tableColumn id="18" name="Review_Status"/>
  </x:tableColumns>
  <x:tableStyleInfo name="TableStyleMedium2" showRowStripes="1"/>
</x:table>
</file>

<file path=xl/tables/table14.xml><?xml version="1.0" encoding="utf-8"?>
<x:table xmlns:x="http://schemas.openxmlformats.org/spreadsheetml/2006/main" id="14" name="AdaptationCrosswalkTable" displayName="AdaptationCrosswalkTable" ref="A4:Q34" headerRowCount="1">
  <x:tableColumns count="17">
    <x:tableColumn id="1" name="Crosswalk_ID"/>
    <x:tableColumn id="2" name="Traditional_Source_ID"/>
    <x:tableColumn id="3" name="Traditional_Concept"/>
    <x:tableColumn id="4" name="Traditional_Record_Type"/>
    <x:tableColumn id="5" name="Adaptation_Source_ID"/>
    <x:tableColumn id="6" name="Adaptation_Title"/>
    <x:tableColumn id="7" name="Adapted_Concept"/>
    <x:tableColumn id="8" name="Game_Form"/>
    <x:tableColumn id="9" name="Adaptation_Operation"/>
    <x:tableColumn id="10" name="Preserved_Dimension"/>
    <x:tableColumn id="11" name="Changed_or_Lost"/>
    <x:tableColumn id="12" name="Mechanical_Function"/>
    <x:tableColumn id="13" name="Equivalence_Level"/>
    <x:tableColumn id="14" name="Evidence_Level"/>
    <x:tableColumn id="15" name="Source_Reference"/>
    <x:tableColumn id="16" name="Reference_URL"/>
    <x:tableColumn id="17" name="Review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44cfbb95b8f432b" /></Relationships>
</file>

<file path=xl/worksheets/_rels/sheet3.xml.rels>&#65279;<?xml version="1.0" encoding="utf-8"?><Relationships xmlns="http://schemas.openxmlformats.org/package/2006/relationships"><Relationship Type="http://schemas.openxmlformats.org/officeDocument/2006/relationships/table" Target="/xl/tables/table2.xml" Id="R6383c34e9a344e1d" /></Relationships>
</file>

<file path=xl/worksheets/_rels/sheet4.xml.rels>&#65279;<?xml version="1.0" encoding="utf-8"?><Relationships xmlns="http://schemas.openxmlformats.org/package/2006/relationships"><Relationship Type="http://schemas.openxmlformats.org/officeDocument/2006/relationships/table" Target="/xl/tables/table3.xml" Id="R2bf37b15f83d458b" /></Relationships>
</file>

<file path=xl/worksheets/_rels/sheet5.xml.rels>&#65279;<?xml version="1.0" encoding="utf-8"?><Relationships xmlns="http://schemas.openxmlformats.org/package/2006/relationships"><Relationship Type="http://schemas.openxmlformats.org/officeDocument/2006/relationships/table" Target="/xl/tables/table4.xml" Id="R950af87058864c38" /></Relationships>
</file>

<file path=xl/worksheets/_rels/sheet6.xml.rels>&#65279;<?xml version="1.0" encoding="utf-8"?><Relationships xmlns="http://schemas.openxmlformats.org/package/2006/relationships"><Relationship Type="http://schemas.openxmlformats.org/officeDocument/2006/relationships/table" Target="/xl/tables/table5.xml" Id="R86ff99f9e916404c" /></Relationships>
</file>

<file path=xl/worksheets/_rels/sheet7.xml.rels>&#65279;<?xml version="1.0" encoding="utf-8"?><Relationships xmlns="http://schemas.openxmlformats.org/package/2006/relationships"><Relationship Type="http://schemas.openxmlformats.org/officeDocument/2006/relationships/drawing" Target="/xl/drawings/drawing1.xml" Id="R7e7d6043b3434fa9" /><Relationship Type="http://schemas.openxmlformats.org/officeDocument/2006/relationships/table" Target="/xl/tables/table6.xml" Id="R54a5ccc5cdb14e81" /><Relationship Type="http://schemas.openxmlformats.org/officeDocument/2006/relationships/table" Target="/xl/tables/table7.xml" Id="R787d7d59db3d4adc" /><Relationship Type="http://schemas.openxmlformats.org/officeDocument/2006/relationships/table" Target="/xl/tables/table8.xml" Id="Ra336d6cfdd5a40f4" /><Relationship Type="http://schemas.openxmlformats.org/officeDocument/2006/relationships/table" Target="/xl/tables/table9.xml" Id="R03ed3de96d65400d" /></Relationships>
</file>

<file path=xl/worksheets/_rels/sheet8.xml.rels>&#65279;<?xml version="1.0" encoding="utf-8"?><Relationships xmlns="http://schemas.openxmlformats.org/package/2006/relationships"><Relationship Type="http://schemas.openxmlformats.org/officeDocument/2006/relationships/table" Target="/xl/tables/table10.xml" Id="R117a10ccc4564914" /></Relationships>
</file>

<file path=xl/worksheets/_rels/sheet9.xml.rels>&#65279;<?xml version="1.0" encoding="utf-8"?><Relationships xmlns="http://schemas.openxmlformats.org/package/2006/relationships"><Relationship Type="http://schemas.openxmlformats.org/officeDocument/2006/relationships/table" Target="/xl/tables/table11.xml" Id="Rbb698b49c389460e" /></Relationships>
</file>

<file path=xl/worksheets/_rels/sheet10.xml.rels>&#65279;<?xml version="1.0" encoding="utf-8"?><Relationships xmlns="http://schemas.openxmlformats.org/package/2006/relationships"><Relationship Type="http://schemas.openxmlformats.org/officeDocument/2006/relationships/drawing" Target="/xl/drawings/drawing2.xml" Id="R7dc65eaa084a4c5c" /><Relationship Type="http://schemas.openxmlformats.org/officeDocument/2006/relationships/table" Target="/xl/tables/table12.xml" Id="R40464b3c0dcb46a6" /></Relationships>
</file>

<file path=xl/worksheets/_rels/sheet11.xml.rels>&#65279;<?xml version="1.0" encoding="utf-8"?><Relationships xmlns="http://schemas.openxmlformats.org/package/2006/relationships"><Relationship Type="http://schemas.openxmlformats.org/officeDocument/2006/relationships/table" Target="/xl/tables/table13.xml" Id="R47e677d364044469" /></Relationships>
</file>

<file path=xl/worksheets/_rels/sheet12.xml.rels>&#65279;<?xml version="1.0" encoding="utf-8"?><Relationships xmlns="http://schemas.openxmlformats.org/package/2006/relationships"><Relationship Type="http://schemas.openxmlformats.org/officeDocument/2006/relationships/table" Target="/xl/tables/table14.xml" Id="R5c0dd434d56c4938" /></Relationships>
</file>

<file path=xl/worksheets/sheet1.xml><?xml version="1.0" encoding="utf-8"?>
<x:worksheet xmlns:x="http://schemas.openxmlformats.org/spreadsheetml/2006/main">
  <x:sheetFormatPr defaultRowHeight="15"/>
  <x:cols>
    <x:col min="1" max="1" width="24" hidden="0" customWidth="1"/>
    <x:col min="2" max="2" width="22" hidden="0" customWidth="1"/>
    <x:col min="3" max="3" width="3" hidden="0" customWidth="1"/>
    <x:col min="4" max="4" width="24" hidden="0" customWidth="1"/>
    <x:col min="5" max="5" width="22" hidden="0" customWidth="1"/>
    <x:col min="6" max="6" width="3" hidden="0" customWidth="1"/>
    <x:col min="7" max="7" width="24" hidden="0" customWidth="1"/>
    <x:col min="8" max="8" width="22" hidden="0" customWidth="1"/>
    <x:col min="9" max="9" width="3" hidden="0" customWidth="1"/>
    <x:col min="10" max="10" width="24" hidden="0" customWidth="1"/>
    <x:col min="11" max="11" width="22" hidden="0" customWidth="1"/>
    <x:col min="12" max="12" width="12" hidden="0" customWidth="1"/>
  </x:cols>
  <x:sheetData>
    <x:row r="1" ht="32" customHeight="1">
      <x:c r="A1" s="104" t="str">
        <x:v>Fantasy &amp; High-Fantasy Comparative Archetype Atlas</x:v>
      </x:c>
      <x:c r="B1" s="104"/>
      <x:c r="C1" s="104"/>
      <x:c r="D1" s="104"/>
      <x:c r="E1" s="104"/>
      <x:c r="F1" s="104"/>
      <x:c r="G1" s="104"/>
      <x:c r="H1" s="104"/>
      <x:c r="I1" s="104"/>
      <x:c r="J1" s="104"/>
      <x:c r="K1" s="104"/>
      <x:c r="L1" s="5"/>
    </x:row>
    <x:row r="2" ht="30" customHeight="1">
      <x:c r="A2" s="5"/>
      <x:c r="B2" s="5"/>
      <x:c r="C2" s="5"/>
      <x:c r="D2" s="5"/>
      <x:c r="E2" s="5"/>
      <x:c r="F2" s="5"/>
      <x:c r="G2" s="5"/>
      <x:c r="H2" s="5"/>
      <x:c r="I2" s="5"/>
      <x:c r="J2" s="5"/>
      <x:c r="K2" s="5"/>
      <x:c r="L2" s="5"/>
    </x:row>
    <x:row r="3" ht="28" customHeight="1">
      <x:c r="A3" s="142" t="str">
        <x:v>A source-faithful encyclopedia, normalized comparative ontology, and reusable archetype framework</x:v>
      </x:c>
      <x:c r="B3" s="142"/>
      <x:c r="C3" s="142"/>
      <x:c r="D3" s="142"/>
      <x:c r="E3" s="142"/>
      <x:c r="F3" s="142"/>
      <x:c r="G3" s="142"/>
      <x:c r="H3" s="142"/>
      <x:c r="I3" s="142"/>
      <x:c r="J3" s="142"/>
      <x:c r="K3" s="142"/>
      <x:c r="L3" s="12"/>
    </x:row>
    <x:row r="5" ht="26" customHeight="1">
      <x:c r="A5" s="149" t="str">
        <x:v>Edition</x:v>
      </x:c>
      <x:c r="B5" s="150" t="str">
        <x:v>2.0</x:v>
      </x:c>
      <x:c r="D5" s="150" t="str">
        <x:v>Key Metric</x:v>
      </x:c>
      <x:c r="E5" s="150" t="str">
        <x:v>Value</x:v>
      </x:c>
      <x:c r="G5" s="149" t="str">
        <x:v>How to read the atlas</x:v>
      </x:c>
      <x:c r="H5" s="149"/>
      <x:c r="I5" s="149"/>
      <x:c r="J5" s="149"/>
      <x:c r="K5" s="149"/>
      <x:c r="L5" s="49"/>
    </x:row>
    <x:row r="6" ht="34" customHeight="1">
      <x:c r="A6" s="155" t="str">
        <x:v>Prepared</x:v>
      </x:c>
      <x:c r="B6" s="156" t="str">
        <x:v>2026-08-02</x:v>
      </x:c>
      <x:c r="D6" s="155" t="str">
        <x:v>Normalized archetypes</x:v>
      </x:c>
      <x:c r="E6" s="188" t="n">
        <x:f>COUNTA('Master Taxonomy'!$A$2:$A$1656)</x:f>
        <x:v>1655</x:v>
      </x:c>
      <x:c r="G6" s="172" t="str">
        <x:v>1</x:v>
      </x:c>
      <x:c r="H6" s="173" t="str">
        <x:v>Find a source-specific term in Seed Catalogue.</x:v>
      </x:c>
      <x:c r="I6" s="173"/>
      <x:c r="J6" s="173"/>
      <x:c r="K6" s="173"/>
      <x:c r="L6" s="63"/>
    </x:row>
    <x:row r="7" ht="44" customHeight="1">
      <x:c r="A7" s="155" t="str">
        <x:v>Framework model</x:v>
      </x:c>
      <x:c r="B7" s="156" t="str">
        <x:v>Source records + normalized crosswalks</x:v>
      </x:c>
      <x:c r="D7" s="155" t="str">
        <x:v>Source corpus records</x:v>
      </x:c>
      <x:c r="E7" s="188" t="n">
        <x:f>COUNTA('Source Corpus'!$A$2:$A$282)</x:f>
        <x:v>281</x:v>
      </x:c>
      <x:c r="G7" s="172" t="str">
        <x:v>2</x:v>
      </x:c>
      <x:c r="H7" s="173" t="str">
        <x:v>Follow its Primary and Additional Archetype IDs into Master Taxonomy.</x:v>
      </x:c>
      <x:c r="I7" s="173"/>
      <x:c r="J7" s="173"/>
      <x:c r="K7" s="173"/>
      <x:c r="L7" s="63"/>
    </x:row>
    <x:row r="8" ht="44" customHeight="1">
      <x:c r="A8" s="155" t="str">
        <x:v>Primary use</x:v>
      </x:c>
      <x:c r="B8" s="156" t="str">
        <x:v>Comparative literary/media analysis</x:v>
      </x:c>
      <x:c r="D8" s="155" t="str">
        <x:v>Source-specific seed entries</x:v>
      </x:c>
      <x:c r="E8" s="188" t="n">
        <x:f>COUNTA('Seed Catalogue'!$A$2:$A$452)</x:f>
        <x:v>451</x:v>
      </x:c>
      <x:c r="G8" s="172" t="str">
        <x:v>3</x:v>
      </x:c>
      <x:c r="H8" s="173" t="str">
        <x:v>Compare only along named axes: ontology, role, power, institution, mechanics, or narrative function.</x:v>
      </x:c>
      <x:c r="I8" s="173"/>
      <x:c r="J8" s="173"/>
      <x:c r="K8" s="173"/>
      <x:c r="L8" s="63"/>
    </x:row>
    <x:row r="9" ht="44" customHeight="1">
      <x:c r="A9" s="155" t="str">
        <x:v>Secondary use</x:v>
      </x:c>
      <x:c r="B9" s="156" t="str">
        <x:v>Encyclopedia/database and reusable archetype discovery</x:v>
      </x:c>
      <x:c r="D9" s="155" t="str">
        <x:v>Top-level domains</x:v>
      </x:c>
      <x:c r="E9" s="188" t="n">
        <x:f>COUNTIF('Master Taxonomy'!$M$2:$M$1656,"Domain Root")</x:f>
        <x:v>11</x:v>
      </x:c>
      <x:c r="G9" s="172" t="str">
        <x:v>4</x:v>
      </x:c>
      <x:c r="H9" s="173" t="str">
        <x:v>Use Relationship Rules instead of assuming that identical labels are equivalent.</x:v>
      </x:c>
      <x:c r="I9" s="173"/>
      <x:c r="J9" s="173"/>
      <x:c r="K9" s="173"/>
      <x:c r="L9" s="63"/>
    </x:row>
    <x:row r="10" ht="44" customHeight="1">
      <x:c r="A10" s="155" t="str">
        <x:v>Version policy</x:v>
      </x:c>
      <x:c r="B10" s="156" t="str">
        <x:v>Continuity- and edition-specific where material differences exist</x:v>
      </x:c>
      <x:c r="G10" s="172" t="str">
        <x:v>5</x:v>
      </x:c>
      <x:c r="H10" s="173" t="str">
        <x:v>Check Evidence Level, Canon Status, continuity, and Reference URL before making source claims.</x:v>
      </x:c>
      <x:c r="I10" s="173"/>
      <x:c r="J10" s="173"/>
      <x:c r="K10" s="173"/>
      <x:c r="L10" s="63"/>
    </x:row>
    <x:row r="11" ht="34" customHeight="1">
      <x:c r="G11" s="172" t="str">
        <x:v>6</x:v>
      </x:c>
      <x:c r="H11" s="173" t="str">
        <x:v>Use Source Priority and Research Queue to extend the corpus without changing the core schema.</x:v>
      </x:c>
      <x:c r="I11" s="173"/>
      <x:c r="J11" s="173"/>
      <x:c r="K11" s="173"/>
      <x:c r="L11" s="63"/>
    </x:row>
    <x:row r="12" ht="44" customHeight="1">
      <x:c r="G12" s="172" t="str">
        <x:v>7</x:v>
      </x:c>
      <x:c r="H12" s="173" t="str">
        <x:v>Use Term Metadata for language/witness controls and Adaptation Crosswalk to study how concepts change across media.</x:v>
      </x:c>
      <x:c r="I12" s="173"/>
      <x:c r="J12" s="173"/>
      <x:c r="K12" s="173"/>
    </x:row>
    <x:row r="13" ht="24" customHeight="1">
      <x:c r="A13" s="136" t="str">
        <x:v>Completeness contract</x:v>
      </x:c>
      <x:c r="B13" s="136"/>
      <x:c r="C13" s="136"/>
      <x:c r="D13" s="136"/>
      <x:c r="E13" s="136"/>
      <x:c r="F13" s="136"/>
      <x:c r="G13" s="136"/>
      <x:c r="H13" s="136"/>
      <x:c r="I13" s="136"/>
      <x:c r="J13" s="136"/>
      <x:c r="K13" s="136"/>
      <x:c r="L13" s="69"/>
    </x:row>
    <x:row r="14" ht="42" customHeight="1">
      <x:c r="A14" s="128" t="str">
        <x:v>Structural completeness</x:v>
      </x:c>
      <x:c r="B14" s="132" t="str">
        <x:v>The schema can represent peoples, beings, roles, powers, institutions, transformations, civilizations, narrative patterns, game mechanics, artifacts, cosmologies, sacred geography, metaphysical laws, rituals, and exchanges without forcing them into race/class bins.</x:v>
      </x:c>
      <x:c r="C14" s="132"/>
      <x:c r="D14" s="132"/>
      <x:c r="E14" s="132"/>
      <x:c r="F14" s="132"/>
      <x:c r="G14" s="132"/>
      <x:c r="H14" s="132"/>
      <x:c r="I14" s="132"/>
      <x:c r="J14" s="132"/>
      <x:c r="K14" s="132"/>
      <x:c r="L14" s="78"/>
    </x:row>
    <x:row r="15" ht="42" customHeight="1">
      <x:c r="A15" s="128" t="str">
        <x:v>Taxonomic completeness</x:v>
      </x:c>
      <x:c r="B15" s="132" t="str">
        <x:v>The normalized hierarchy covers the major reusable archetype families encountered across fantasy traditions and media, with explicit room for culture-specific subfamilies.</x:v>
      </x:c>
      <x:c r="C15" s="132"/>
      <x:c r="D15" s="132"/>
      <x:c r="E15" s="132"/>
      <x:c r="F15" s="132"/>
      <x:c r="G15" s="132"/>
      <x:c r="H15" s="132"/>
      <x:c r="I15" s="132"/>
      <x:c r="J15" s="132"/>
      <x:c r="K15" s="132"/>
      <x:c r="L15" s="78"/>
    </x:row>
    <x:row r="16" ht="42" customHeight="1">
      <x:c r="A16" s="128" t="str">
        <x:v>Corpus completeness</x:v>
      </x:c>
      <x:c r="B16" s="132" t="str">
        <x:v>The source list is intentionally expandable. No finite edition can literally include every fantasy work, edition, adaptation, folk tradition, or live-service update.</x:v>
      </x:c>
      <x:c r="C16" s="132"/>
      <x:c r="D16" s="132"/>
      <x:c r="E16" s="132"/>
      <x:c r="F16" s="132"/>
      <x:c r="G16" s="132"/>
      <x:c r="H16" s="132"/>
      <x:c r="I16" s="132"/>
      <x:c r="J16" s="132"/>
      <x:c r="K16" s="132"/>
      <x:c r="L16" s="78"/>
    </x:row>
    <x:row r="17" ht="42" customHeight="1">
      <x:c r="A17" s="128" t="str">
        <x:v>Claim discipline</x:v>
      </x:c>
      <x:c r="B17" s="132" t="str">
        <x:v>A catalogue entry is not considered fully source-verified until its Evidence Level and Source Reference support the specific continuity claim.</x:v>
      </x:c>
      <x:c r="C17" s="132"/>
      <x:c r="D17" s="132"/>
      <x:c r="E17" s="132"/>
      <x:c r="F17" s="132"/>
      <x:c r="G17" s="132"/>
      <x:c r="H17" s="132"/>
      <x:c r="I17" s="132"/>
      <x:c r="J17" s="132"/>
      <x:c r="K17" s="132"/>
      <x:c r="L17" s="78"/>
    </x:row>
    <x:row r="18" ht="42" customHeight="1">
      <x:c r="A18" s="128" t="str">
        <x:v>Non-equivalence rule</x:v>
      </x:c>
      <x:c r="B18" s="132" t="str">
        <x:v>A normalized family provides a comparison coordinate; it never erases the source concept's distinct metaphysics, history, or cultural meaning.</x:v>
      </x:c>
      <x:c r="C18" s="132"/>
      <x:c r="D18" s="132"/>
      <x:c r="E18" s="132"/>
      <x:c r="F18" s="132"/>
      <x:c r="G18" s="132"/>
      <x:c r="H18" s="132"/>
      <x:c r="I18" s="132"/>
      <x:c r="J18" s="132"/>
      <x:c r="K18" s="132"/>
      <x:c r="L18" s="78"/>
    </x:row>
    <x:row r="20" ht="24" customHeight="1">
      <x:c r="A20" s="136" t="str">
        <x:v>Eleven analytical domains</x:v>
      </x:c>
      <x:c r="B20" s="136"/>
      <x:c r="C20" s="136"/>
      <x:c r="D20" s="136"/>
      <x:c r="E20" s="136"/>
      <x:c r="F20" s="136"/>
      <x:c r="G20" s="136"/>
      <x:c r="H20" s="136"/>
      <x:c r="I20" s="136"/>
      <x:c r="J20" s="136"/>
      <x:c r="K20" s="136"/>
      <x:c r="L20" s="69"/>
    </x:row>
    <x:row r="21" ht="48" customHeight="1">
      <x:c r="A21" s="178" t="str">
        <x:v>People &amp; Beings</x:v>
      </x:c>
      <x:c r="B21" s="180" t="str">
        <x:v>Species, peoples, spirits, gods, undead, constructs, monsters, hybrids, and mutable beings.</x:v>
      </x:c>
      <x:c r="C21" s="180"/>
      <x:c r="D21" s="180"/>
      <x:c r="E21" s="180"/>
      <x:c r="F21" s="180"/>
      <x:c r="G21" s="178" t="str">
        <x:v>Roles &amp; Vocations</x:v>
      </x:c>
      <x:c r="H21" s="180" t="str">
        <x:v>Martial, rogue, magical, sacred, social, technical, hybrid, and progression roles.</x:v>
      </x:c>
      <x:c r="I21" s="180"/>
      <x:c r="J21" s="180"/>
      <x:c r="K21" s="180"/>
      <x:c r="L21" s="24"/>
    </x:row>
    <x:row r="22" ht="48" customHeight="1">
      <x:c r="A22" s="178" t="str">
        <x:v>Power Traditions</x:v>
      </x:c>
      <x:c r="B22" s="180" t="str">
        <x:v>Sources, domains, methods, costs, techniques, and theories of supernatural power.</x:v>
      </x:c>
      <x:c r="C22" s="180"/>
      <x:c r="D22" s="180"/>
      <x:c r="E22" s="180"/>
      <x:c r="F22" s="180"/>
      <x:c r="G22" s="178" t="str">
        <x:v>States &amp; Transformations</x:v>
      </x:c>
      <x:c r="H22" s="180" t="str">
        <x:v>Undeath, curse, possession, mutation, ascension, bond, displacement, and other acquired states.</x:v>
      </x:c>
      <x:c r="I22" s="180"/>
      <x:c r="J22" s="180"/>
      <x:c r="K22" s="180"/>
      <x:c r="L22" s="24"/>
    </x:row>
    <x:row r="23" ht="48" customHeight="1">
      <x:c r="A23" s="178" t="str">
        <x:v>Institutions &amp; Affiliations</x:v>
      </x:c>
      <x:c r="B23" s="180" t="str">
        <x:v>Guilds, orders, schools, sects, parties, factions, castes, states, and social structures.</x:v>
      </x:c>
      <x:c r="C23" s="180"/>
      <x:c r="D23" s="180"/>
      <x:c r="E23" s="180"/>
      <x:c r="F23" s="180"/>
      <x:c r="G23" s="178" t="str">
        <x:v>Narrative Archetypes</x:v>
      </x:c>
      <x:c r="H23" s="180" t="str">
        <x:v>Character, antagonist, party, quest, plot, and thematic story functions.</x:v>
      </x:c>
      <x:c r="I23" s="180"/>
      <x:c r="J23" s="180"/>
      <x:c r="K23" s="180"/>
      <x:c r="L23" s="24"/>
    </x:row>
    <x:row r="24" ht="48" customHeight="1">
      <x:c r="A24" s="178" t="str">
        <x:v>Civilization &amp; Culture Archetypes</x:v>
      </x:c>
      <x:c r="B24" s="180" t="str">
        <x:v>States, settlements, ecologies, economies, social organizations, and historical patterns.</x:v>
      </x:c>
      <x:c r="C24" s="180"/>
      <x:c r="D24" s="180"/>
      <x:c r="E24" s="180"/>
      <x:c r="F24" s="180"/>
      <x:c r="G24" s="178" t="str">
        <x:v>Game-Mechanical Archetypes</x:v>
      </x:c>
      <x:c r="H24" s="180" t="str">
        <x:v>Combat roles, resources, class structures, progression systems, and unit functions.</x:v>
      </x:c>
      <x:c r="I24" s="180"/>
      <x:c r="J24" s="180"/>
      <x:c r="K24" s="180"/>
      <x:c r="L24" s="24"/>
    </x:row>
    <x:row r="25" ht="48" customHeight="1">
      <x:c r="A25" s="178" t="str">
        <x:v>Cross-axis rule</x:v>
      </x:c>
      <x:c r="B25" s="180" t="str">
        <x:v>One source concept may occupy several domains simultaneously. A witcher, for example, is a transformed human, professional monster hunter, order member, alchemical user, and game build.</x:v>
      </x:c>
      <x:c r="C25" s="180"/>
      <x:c r="D25" s="180"/>
      <x:c r="E25" s="180"/>
      <x:c r="F25" s="180"/>
      <x:c r="G25" s="178" t="str">
        <x:v>Hierarchy rule</x:v>
      </x:c>
      <x:c r="H25" s="180" t="str">
        <x:v>Broad families support retrieval; lower tiers preserve distinctions. Parent-child placement is analytical, not a claim of fictional genealogy.</x:v>
      </x:c>
      <x:c r="I25" s="180"/>
      <x:c r="J25" s="180"/>
      <x:c r="K25" s="180"/>
      <x:c r="L25" s="24"/>
    </x:row>
    <x:row r="26" ht="48" customHeight="1">
      <x:c r="A26" s="178" t="str">
        <x:v>Terminology rule</x:v>
      </x:c>
      <x:c r="B26" s="180" t="str">
        <x:v>Preserve source-native terms, translations, and edition labels. Use 'people/being type' as the umbrella rather than treating every distinction as race.</x:v>
      </x:c>
      <x:c r="C26" s="180"/>
      <x:c r="D26" s="180"/>
      <x:c r="E26" s="180"/>
      <x:c r="F26" s="180"/>
      <x:c r="G26" s="178" t="str">
        <x:v>Adaptation rule</x:v>
      </x:c>
      <x:c r="H26" s="180" t="str">
        <x:v>Separate adaptations when ontology, powers, institutions, available classes, or world history materially diverge.</x:v>
      </x:c>
      <x:c r="I26" s="180"/>
      <x:c r="J26" s="180"/>
      <x:c r="K26" s="180"/>
      <x:c r="L26" s="24"/>
    </x:row>
    <x:row r="27" ht="48" customHeight="1">
      <x:c r="A27" s="178" t="str">
        <x:v>Cultural caution</x:v>
      </x:c>
      <x:c r="B27" s="180" t="str">
        <x:v>Religious, folkloric, and living traditions require culture-specific scholarship. Similarity is not proof of direct influence or equivalence.</x:v>
      </x:c>
      <x:c r="C27" s="180"/>
      <x:c r="D27" s="180"/>
      <x:c r="E27" s="180"/>
      <x:c r="F27" s="180"/>
      <x:c r="G27" s="178" t="str">
        <x:v>Moral caution</x:v>
      </x:c>
      <x:c r="H27" s="180" t="str">
        <x:v>Record source-stated alignments and stereotypes without naturalizing morality as biological fact.</x:v>
      </x:c>
      <x:c r="I27" s="180"/>
      <x:c r="J27" s="180"/>
      <x:c r="K27" s="180"/>
      <x:c r="L27" s="24"/>
    </x:row>
    <x:row r="28" ht="48" customHeight="1">
      <x:c r="A28" s="178" t="str">
        <x:v>Database rule</x:v>
      </x:c>
      <x:c r="B28" s="180" t="str">
        <x:v>Stable IDs remain fixed; deprecated concepts are merged by status rather than deleted or silently reused.</x:v>
      </x:c>
      <x:c r="C28" s="180"/>
      <x:c r="D28" s="180"/>
      <x:c r="E28" s="180"/>
      <x:c r="F28" s="180"/>
      <x:c r="G28" s="178" t="str">
        <x:v>Citation rule</x:v>
      </x:c>
      <x:c r="H28" s="180" t="str">
        <x:v>URLs are stored for orientation; deep passes should add edition, chapter, page, episode, codex, or rules-section references.</x:v>
      </x:c>
      <x:c r="I28" s="180"/>
      <x:c r="J28" s="180"/>
      <x:c r="K28" s="180"/>
      <x:c r="L28" s="24"/>
    </x:row>
    <x:row r="30" ht="24" customHeight="1">
      <x:c r="A30" s="136" t="str">
        <x:v>Relationship ladder: strongest claim to weakest claim</x:v>
      </x:c>
      <x:c r="B30" s="136"/>
      <x:c r="C30" s="136"/>
      <x:c r="D30" s="136"/>
      <x:c r="E30" s="136"/>
      <x:c r="F30" s="136"/>
      <x:c r="G30" s="136"/>
      <x:c r="H30" s="136"/>
      <x:c r="I30" s="136"/>
      <x:c r="J30" s="136"/>
      <x:c r="K30" s="136"/>
      <x:c r="L30" s="69"/>
    </x:row>
    <x:row r="31" ht="44" customHeight="1">
      <x:c r="A31" s="178" t="str">
        <x:v>Canonical alias</x:v>
      </x:c>
      <x:c r="B31" s="182" t="str">
        <x:v>Same concept in the same continuity.</x:v>
      </x:c>
      <x:c r="C31" s="182" t="str"/>
      <x:c r="D31" s="178" t="str">
        <x:v>Exact equivalent</x:v>
      </x:c>
      <x:c r="E31" s="182" t="str">
        <x:v>Same across all material dimensions; exceptionally rare.</x:v>
      </x:c>
      <x:c r="F31" s="182" t="str"/>
      <x:c r="G31" s="178" t="str">
        <x:v>Close analogue</x:v>
      </x:c>
      <x:c r="H31" s="182" t="str">
        <x:v>Strong similarity with source-specific differences.</x:v>
      </x:c>
      <x:c r="I31" s="182" t="str"/>
      <x:c r="J31" s="178" t="str">
        <x:v>Partial analogue</x:v>
      </x:c>
      <x:c r="K31" s="182" t="str">
        <x:v>Similarity on selected axes only.</x:v>
      </x:c>
      <x:c r="L31" s="78" t="str"/>
    </x:row>
    <x:row r="32" ht="44" customHeight="1">
      <x:c r="A32" s="178" t="str">
        <x:v>Functional analogue</x:v>
      </x:c>
      <x:c r="B32" s="182" t="str">
        <x:v>Same social or narrative job.</x:v>
      </x:c>
      <x:c r="C32" s="182" t="str"/>
      <x:c r="D32" s="178" t="str">
        <x:v>Mechanical analogue</x:v>
      </x:c>
      <x:c r="E32" s="182" t="str">
        <x:v>Same game role or progression function.</x:v>
      </x:c>
      <x:c r="F32" s="182" t="str"/>
      <x:c r="G32" s="178" t="str">
        <x:v>Visual analogue</x:v>
      </x:c>
      <x:c r="H32" s="182" t="str">
        <x:v>Similar appearance only.</x:v>
      </x:c>
      <x:c r="I32" s="182" t="str"/>
      <x:c r="J32" s="178" t="str">
        <x:v>Inspired-by</x:v>
      </x:c>
      <x:c r="K32" s="182" t="str">
        <x:v>Requires influence evidence.</x:v>
      </x:c>
      <x:c r="L32" s="78" t="str"/>
    </x:row>
    <x:row r="33" ht="44" customHeight="1">
      <x:c r="A33" s="178" t="str">
        <x:v>Subtype-of</x:v>
      </x:c>
      <x:c r="B33" s="182" t="str">
        <x:v>Narrower taxonomic category.</x:v>
      </x:c>
      <x:c r="C33" s="182" t="str"/>
      <x:c r="D33" s="178" t="str">
        <x:v>Member-of</x:v>
      </x:c>
      <x:c r="E33" s="182" t="str">
        <x:v>Institutional or social membership.</x:v>
      </x:c>
      <x:c r="F33" s="182" t="str"/>
      <x:c r="G33" s="178" t="str">
        <x:v>Hybrid-of</x:v>
      </x:c>
      <x:c r="H33" s="182" t="str">
        <x:v>Combines multiple normalized families.</x:v>
      </x:c>
      <x:c r="I33" s="182" t="str"/>
      <x:c r="J33" s="178" t="str">
        <x:v>Transformed-into</x:v>
      </x:c>
      <x:c r="K33" s="182" t="str">
        <x:v>Temporal ontological change.</x:v>
      </x:c>
      <x:c r="L33" s="78" t="str"/>
    </x:row>
    <x:row r="34" ht="44" customHeight="1">
      <x:c r="A34" s="178" t="str">
        <x:v>Adaptation-of</x:v>
      </x:c>
      <x:c r="B34" s="182" t="str">
        <x:v>Cross-media or continuity transformation.</x:v>
      </x:c>
      <x:c r="C34" s="182" t="str"/>
      <x:c r="D34" s="178" t="str">
        <x:v>Version-of</x:v>
      </x:c>
      <x:c r="E34" s="182" t="str">
        <x:v>Edition or incarnation relationship.</x:v>
      </x:c>
      <x:c r="F34" s="182" t="str"/>
      <x:c r="G34" s="178" t="str">
        <x:v>Inversion</x:v>
      </x:c>
      <x:c r="H34" s="182" t="str">
        <x:v>Deliberate reversal or critique.</x:v>
      </x:c>
      <x:c r="I34" s="182" t="str"/>
      <x:c r="J34" s="178" t="str">
        <x:v>Frequently confused-with</x:v>
      </x:c>
      <x:c r="K34" s="182" t="str">
        <x:v>Quality-control warning.</x:v>
      </x:c>
      <x:c r="L34" s="78" t="str"/>
    </x:row>
    <x:row r="35" ht="44" customHeight="1">
      <x:c r="A35" s="178" t="str">
        <x:v>Uncertain / disputed</x:v>
      </x:c>
      <x:c r="B35" s="182" t="str">
        <x:v>Use when canon, scholarship, translation, or influence remains unresolved.</x:v>
      </x:c>
      <x:c r="C35" s="182" t="str"/>
      <x:c r="D35" s="94" t="str"/>
      <x:c r="E35" s="78" t="str"/>
      <x:c r="F35" s="78" t="str"/>
      <x:c r="G35" s="94" t="str"/>
      <x:c r="H35" s="78" t="str"/>
      <x:c r="I35" s="78" t="str"/>
      <x:c r="J35" s="94" t="str"/>
      <x:c r="K35" s="78" t="str"/>
      <x:c r="L35" s="78" t="str"/>
    </x:row>
    <x:row r="37" ht="24" customHeight="1">
      <x:c r="A37" s="136" t="str">
        <x:v>Recommended research workflow</x:v>
      </x:c>
      <x:c r="B37" s="136"/>
      <x:c r="C37" s="136"/>
      <x:c r="D37" s="136"/>
      <x:c r="E37" s="136"/>
      <x:c r="F37" s="136"/>
      <x:c r="G37" s="136"/>
      <x:c r="H37" s="136"/>
      <x:c r="I37" s="136"/>
      <x:c r="J37" s="136"/>
      <x:c r="K37" s="136"/>
      <x:c r="L37" s="69"/>
    </x:row>
    <x:row r="38" ht="40" customHeight="1">
      <x:c r="A38" s="178" t="str">
        <x:v>1. Define continuity</x:v>
      </x:c>
      <x:c r="B38" s="132" t="str">
        <x:v>Choose the exact book corpus, edition, game build, adaptation, or mythic source layer.</x:v>
      </x:c>
      <x:c r="C38" s="132"/>
      <x:c r="D38" s="132"/>
      <x:c r="E38" s="132"/>
      <x:c r="F38" s="132"/>
      <x:c r="G38" s="132"/>
      <x:c r="H38" s="132"/>
      <x:c r="I38" s="132"/>
      <x:c r="J38" s="132"/>
      <x:c r="K38" s="132"/>
      <x:c r="L38" s="78"/>
    </x:row>
    <x:row r="39" ht="40" customHeight="1">
      <x:c r="A39" s="178" t="str">
        <x:v>2. Record native type</x:v>
      </x:c>
      <x:c r="B39" s="132" t="str">
        <x:v>Ask what the source says the concept is: people, spirit, office, order, profession, class, condition, or mechanic.</x:v>
      </x:c>
      <x:c r="C39" s="132"/>
      <x:c r="D39" s="132"/>
      <x:c r="E39" s="132"/>
      <x:c r="F39" s="132"/>
      <x:c r="G39" s="132"/>
      <x:c r="H39" s="132"/>
      <x:c r="I39" s="132"/>
      <x:c r="J39" s="132"/>
      <x:c r="K39" s="132"/>
      <x:c r="L39" s="78"/>
    </x:row>
    <x:row r="40" ht="40" customHeight="1">
      <x:c r="A40" s="178" t="str">
        <x:v>3. Decompose axes</x:v>
      </x:c>
      <x:c r="B40" s="132" t="str">
        <x:v>Separate ontology, culture, role, power source, institution, mechanics, and narrative function.</x:v>
      </x:c>
      <x:c r="C40" s="132"/>
      <x:c r="D40" s="132"/>
      <x:c r="E40" s="132"/>
      <x:c r="F40" s="132"/>
      <x:c r="G40" s="132"/>
      <x:c r="H40" s="132"/>
      <x:c r="I40" s="132"/>
      <x:c r="J40" s="132"/>
      <x:c r="K40" s="132"/>
      <x:c r="L40" s="78"/>
    </x:row>
    <x:row r="41" ht="40" customHeight="1">
      <x:c r="A41" s="178" t="str">
        <x:v>4. Crosswalk conservatively</x:v>
      </x:c>
      <x:c r="B41" s="132" t="str">
        <x:v>Assign a primary archetype and additional axes; document the key distinction.</x:v>
      </x:c>
      <x:c r="C41" s="132"/>
      <x:c r="D41" s="132"/>
      <x:c r="E41" s="132"/>
      <x:c r="F41" s="132"/>
      <x:c r="G41" s="132"/>
      <x:c r="H41" s="132"/>
      <x:c r="I41" s="132"/>
      <x:c r="J41" s="132"/>
      <x:c r="K41" s="132"/>
      <x:c r="L41" s="78"/>
    </x:row>
    <x:row r="42" ht="40" customHeight="1">
      <x:c r="A42" s="178" t="str">
        <x:v>5. Cite and version</x:v>
      </x:c>
      <x:c r="B42" s="132" t="str">
        <x:v>Add the most precise available source reference and date/version for changing material.</x:v>
      </x:c>
      <x:c r="C42" s="132"/>
      <x:c r="D42" s="132"/>
      <x:c r="E42" s="132"/>
      <x:c r="F42" s="132"/>
      <x:c r="G42" s="132"/>
      <x:c r="H42" s="132"/>
      <x:c r="I42" s="132"/>
      <x:c r="J42" s="132"/>
      <x:c r="K42" s="132"/>
      <x:c r="L42" s="78"/>
    </x:row>
    <x:row r="43" ht="40" customHeight="1">
      <x:c r="A43" s="178" t="str">
        <x:v>6. Compare with typed links</x:v>
      </x:c>
      <x:c r="B43" s="132" t="str">
        <x:v>State why two entries are analogous rather than merely placing them under one vague label.</x:v>
      </x:c>
      <x:c r="C43" s="132"/>
      <x:c r="D43" s="132"/>
      <x:c r="E43" s="132"/>
      <x:c r="F43" s="132"/>
      <x:c r="G43" s="132"/>
      <x:c r="H43" s="132"/>
      <x:c r="I43" s="132"/>
      <x:c r="J43" s="132"/>
      <x:c r="K43" s="132"/>
      <x:c r="L43" s="78"/>
    </x:row>
    <x:row r="45" ht="24" customHeight="1">
      <x:c r="A45" s="127" t="str">
        <x:v>Version 2.0 domain expansion</x:v>
      </x:c>
      <x:c r="B45" s="127"/>
      <x:c r="C45" s="127"/>
      <x:c r="D45" s="127"/>
      <x:c r="E45" s="127"/>
      <x:c r="F45" s="127"/>
      <x:c r="G45" s="127"/>
      <x:c r="H45" s="127"/>
      <x:c r="I45" s="127"/>
      <x:c r="J45" s="127"/>
      <x:c r="K45" s="127"/>
    </x:row>
    <x:row r="46" ht="44" customHeight="1">
      <x:c r="A46" s="128" t="str">
        <x:v>Artifacts, Relics, Weapons &amp; Vehicles</x:v>
      </x:c>
      <x:c r="B46" s="132" t="str">
        <x:v>Objects and conveyances whose provenance, agency, ritual status, cosmological position, or mechanical function warrants a source-faithful record.</x:v>
      </x:c>
      <x:c r="C46" s="132"/>
      <x:c r="D46" s="132"/>
      <x:c r="E46" s="132"/>
      <x:c r="F46" s="132"/>
      <x:c r="G46" s="132"/>
      <x:c r="H46" s="132"/>
      <x:c r="I46" s="132"/>
      <x:c r="J46" s="132"/>
      <x:c r="K46" s="132"/>
    </x:row>
    <x:row r="47" ht="44" customHeight="1">
      <x:c r="A47" s="128" t="str">
        <x:v>Cosmologies, Realms &amp; Sacred Geography</x:v>
      </x:c>
      <x:c r="B47" s="132" t="str">
        <x:v>Heavens, underworlds, spirit worlds, cosmic structures, thresholds, sacred landscapes, afterlives, cycles, and models of reality.</x:v>
      </x:c>
      <x:c r="C47" s="132"/>
      <x:c r="D47" s="132"/>
      <x:c r="E47" s="132"/>
      <x:c r="F47" s="132"/>
      <x:c r="G47" s="132"/>
      <x:c r="H47" s="132"/>
      <x:c r="I47" s="132"/>
      <x:c r="J47" s="132"/>
      <x:c r="K47" s="132"/>
    </x:row>
    <x:row r="48" ht="44" customHeight="1">
      <x:c r="A48" s="128" t="str">
        <x:v>Metaphysical Laws, Rituals &amp; Exchanges</x:v>
      </x:c>
      <x:c r="B48" s="132" t="str">
        <x:v>Vows, boons, curses, sacrifice, hospitality, fate, moral causation, purity, initiation, true names, reciprocity, and other binding structures.</x:v>
      </x:c>
      <x:c r="C48" s="132"/>
      <x:c r="D48" s="132"/>
      <x:c r="E48" s="132"/>
      <x:c r="F48" s="132"/>
      <x:c r="G48" s="132"/>
      <x:c r="H48" s="132"/>
      <x:c r="I48" s="132"/>
      <x:c r="J48" s="132"/>
      <x:c r="K48" s="132"/>
    </x:row>
    <x:row r="50" ht="24" customHeight="1">
      <x:c r="A50" s="127" t="str">
        <x:v>New research and comparison controls</x:v>
      </x:c>
      <x:c r="B50" s="127"/>
      <x:c r="C50" s="127"/>
      <x:c r="D50" s="127"/>
      <x:c r="E50" s="127"/>
      <x:c r="F50" s="127"/>
      <x:c r="G50" s="127"/>
      <x:c r="H50" s="127"/>
      <x:c r="I50" s="127"/>
      <x:c r="J50" s="127"/>
      <x:c r="K50" s="127"/>
    </x:row>
    <x:row r="51" ht="44" customHeight="1">
      <x:c r="A51" s="128" t="str">
        <x:v>Source Priority</x:v>
      </x:c>
      <x:c r="B51" s="132" t="str">
        <x:v>Weighted marginal-archetype-value model with editable criteria, redundancy penalty, treatment thresholds, editorial rationale, and a top-source chart.</x:v>
      </x:c>
      <x:c r="C51" s="132"/>
      <x:c r="D51" s="132"/>
      <x:c r="E51" s="132"/>
      <x:c r="F51" s="132"/>
      <x:c r="G51" s="132"/>
      <x:c r="H51" s="132"/>
      <x:c r="I51" s="132"/>
      <x:c r="J51" s="132"/>
      <x:c r="K51" s="132"/>
    </x:row>
    <x:row r="52" ht="44" customHeight="1">
      <x:c r="A52" s="128" t="str">
        <x:v>Term Metadata</x:v>
      </x:c>
      <x:c r="B52" s="132" t="str">
        <x:v>Original language, script, transliteration, textual witness, period/layer, translation variants, sacred-context caution, and novelty classification.</x:v>
      </x:c>
      <x:c r="C52" s="132"/>
      <x:c r="D52" s="132"/>
      <x:c r="E52" s="132"/>
      <x:c r="F52" s="132"/>
      <x:c r="G52" s="132"/>
      <x:c r="H52" s="132"/>
      <x:c r="I52" s="132"/>
      <x:c r="J52" s="132"/>
      <x:c r="K52" s="132"/>
    </x:row>
    <x:row r="53" ht="44" customHeight="1">
      <x:c r="A53" s="128" t="str">
        <x:v>Adaptation Crosswalk</x:v>
      </x:c>
      <x:c r="B53" s="132" t="str">
        <x:v>Typed records for factionalization, unitization, mechanization, resource abstraction, itemization, bossification, decontextualization, and related operations.</x:v>
      </x:c>
      <x:c r="C53" s="132"/>
      <x:c r="D53" s="132"/>
      <x:c r="E53" s="132"/>
      <x:c r="F53" s="132"/>
      <x:c r="G53" s="132"/>
      <x:c r="H53" s="132"/>
      <x:c r="I53" s="132"/>
      <x:c r="J53" s="132"/>
      <x:c r="K53" s="132"/>
    </x:row>
    <x:row r="55" ht="24" customHeight="1">
      <x:c r="A55" s="127" t="str">
        <x:v>Current source-complex and adaptation passes</x:v>
      </x:c>
      <x:c r="B55" s="127"/>
      <x:c r="C55" s="127"/>
      <x:c r="D55" s="127"/>
      <x:c r="E55" s="127"/>
      <x:c r="F55" s="127"/>
      <x:c r="G55" s="127"/>
      <x:c r="H55" s="127"/>
      <x:c r="I55" s="127"/>
      <x:c r="J55" s="127"/>
      <x:c r="K55" s="127"/>
    </x:row>
    <x:row r="56" ht="52" customHeight="1">
      <x:c r="A56" s="128" t="str">
        <x:v>Mahābhārata</x:v>
      </x:c>
      <x:c r="B56" s="132" t="str">
        <x:v>Foundational source-complex pass covering beings, roles, divine weapons, vows, boons, curses, ritual, cosmology, institutions, and narrative structures, with witness and sacred-context controls.</x:v>
      </x:c>
      <x:c r="C56" s="132"/>
      <x:c r="D56" s="132"/>
      <x:c r="E56" s="132"/>
      <x:c r="F56" s="132"/>
      <x:c r="G56" s="132"/>
      <x:c r="H56" s="132"/>
      <x:c r="I56" s="132"/>
      <x:c r="J56" s="132"/>
      <x:c r="K56" s="132"/>
    </x:row>
    <x:row r="57" ht="52" customHeight="1">
      <x:c r="A57" s="128" t="str">
        <x:v>Age of Mythology: Retold</x:v>
      </x:c>
      <x:c r="B57" s="132" t="str">
        <x:v>Adaptation pass focused on how pantheons and traditional concepts become factions, units, heroes, god powers, resources, ages, relics, and strategic counters.</x:v>
      </x:c>
      <x:c r="C57" s="132"/>
      <x:c r="D57" s="132"/>
      <x:c r="E57" s="132"/>
      <x:c r="F57" s="132"/>
      <x:c r="G57" s="132"/>
      <x:c r="H57" s="132"/>
      <x:c r="I57" s="132"/>
      <x:c r="J57" s="132"/>
      <x:c r="K57" s="132"/>
    </x:row>
    <x:row r="58" ht="52" customHeight="1">
      <x:c r="A58" s="128" t="str">
        <x:v>Darkest Dungeon</x:v>
      </x:c>
      <x:c r="B58" s="132" t="str">
        <x:v>Selective innovation pass centered on stress, affliction/virtue crises, quirks, expedition attrition, position systems, recovery institutions, roster mortality, and inherited ruin.</x:v>
      </x:c>
      <x:c r="C58" s="132"/>
      <x:c r="D58" s="132"/>
      <x:c r="E58" s="132"/>
      <x:c r="F58" s="132"/>
      <x:c r="G58" s="132"/>
      <x:c r="H58" s="132"/>
      <x:c r="I58" s="132"/>
      <x:c r="J58" s="132"/>
      <x:c r="K58" s="132"/>
    </x:row>
  </x:sheetData>
  <x:mergeCells>
    <x:mergeCell ref="K31:L31"/>
    <x:mergeCell ref="K32:L32"/>
    <x:mergeCell ref="K33:L33"/>
    <x:mergeCell ref="K34:L34"/>
    <x:mergeCell ref="E35:F35"/>
    <x:mergeCell ref="H35:I35"/>
    <x:mergeCell ref="K35:L35"/>
    <x:mergeCell ref="A45:K45"/>
    <x:mergeCell ref="A50:K50"/>
    <x:mergeCell ref="A55:K55"/>
    <x:mergeCell ref="B46:K46"/>
    <x:mergeCell ref="B47:K47"/>
    <x:mergeCell ref="B48:K48"/>
    <x:mergeCell ref="B51:K51"/>
    <x:mergeCell ref="B52:K52"/>
    <x:mergeCell ref="B53:K53"/>
    <x:mergeCell ref="B56:K56"/>
    <x:mergeCell ref="B57:K57"/>
    <x:mergeCell ref="B58:K58"/>
    <x:mergeCell ref="A1:K1"/>
    <x:mergeCell ref="A3:K3"/>
    <x:mergeCell ref="G5:K5"/>
    <x:mergeCell ref="H6:K6"/>
    <x:mergeCell ref="H7:K7"/>
    <x:mergeCell ref="H8:K8"/>
    <x:mergeCell ref="H9:K9"/>
    <x:mergeCell ref="H10:K10"/>
    <x:mergeCell ref="H11:K11"/>
    <x:mergeCell ref="H12:K12"/>
    <x:mergeCell ref="A13:K13"/>
    <x:mergeCell ref="B14:K14"/>
    <x:mergeCell ref="B15:K15"/>
    <x:mergeCell ref="B16:K16"/>
    <x:mergeCell ref="B17:K17"/>
    <x:mergeCell ref="B18:K18"/>
    <x:mergeCell ref="A20:K20"/>
    <x:mergeCell ref="B21:F21"/>
    <x:mergeCell ref="B22:F22"/>
    <x:mergeCell ref="B23:F23"/>
    <x:mergeCell ref="B24:F24"/>
    <x:mergeCell ref="B25:F25"/>
    <x:mergeCell ref="B26:F26"/>
    <x:mergeCell ref="B27:F27"/>
    <x:mergeCell ref="B28:F28"/>
    <x:mergeCell ref="H21:K21"/>
    <x:mergeCell ref="H22:K22"/>
    <x:mergeCell ref="H23:K23"/>
    <x:mergeCell ref="H24:K24"/>
    <x:mergeCell ref="H25:K25"/>
    <x:mergeCell ref="H26:K26"/>
    <x:mergeCell ref="H27:K27"/>
    <x:mergeCell ref="H28:K28"/>
    <x:mergeCell ref="A30:K30"/>
    <x:mergeCell ref="B31:C31"/>
    <x:mergeCell ref="B32:C32"/>
    <x:mergeCell ref="B33:C33"/>
    <x:mergeCell ref="B34:C34"/>
    <x:mergeCell ref="B35:C35"/>
    <x:mergeCell ref="E31:F31"/>
    <x:mergeCell ref="E32:F32"/>
    <x:mergeCell ref="E33:F33"/>
    <x:mergeCell ref="E34:F34"/>
    <x:mergeCell ref="H31:I31"/>
    <x:mergeCell ref="H32:I32"/>
    <x:mergeCell ref="H33:I33"/>
    <x:mergeCell ref="H34:I34"/>
    <x:mergeCell ref="A37:K37"/>
    <x:mergeCell ref="B38:K38"/>
    <x:mergeCell ref="B39:K39"/>
    <x:mergeCell ref="B40:K40"/>
    <x:mergeCell ref="B41:K41"/>
    <x:mergeCell ref="B42:K42"/>
    <x:mergeCell ref="B43:K43"/>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0" hidden="0" customWidth="1"/>
    <x:col min="3" max="3" width="28" hidden="0" customWidth="1"/>
    <x:col min="4" max="4" width="16" hidden="0" customWidth="1"/>
    <x:col min="5" max="5" width="16" hidden="0" customWidth="1"/>
    <x:col min="6" max="6" width="8" hidden="0" customWidth="1"/>
    <x:col min="7" max="7" width="46" hidden="0" customWidth="1"/>
    <x:col min="8" max="8" width="46" hidden="0" customWidth="1"/>
    <x:col min="9" max="9" width="34" hidden="0" customWidth="1"/>
    <x:col min="10" max="10" width="38" hidden="0" customWidth="1"/>
    <x:col min="11" max="11" width="32" hidden="0" customWidth="1"/>
    <x:col min="12" max="12" width="44" hidden="0" customWidth="1"/>
    <x:col min="13" max="13" width="18" hidden="0" customWidth="1"/>
  </x:cols>
  <x:sheetData>
    <x:row r="1" ht="34" customHeight="1">
      <x:c r="A1" s="31" t="str">
        <x:v>Archetype_ID</x:v>
      </x:c>
      <x:c r="B1" s="31" t="str">
        <x:v>Preferred_Name</x:v>
      </x:c>
      <x:c r="C1" s="31" t="str">
        <x:v>Domain</x:v>
      </x:c>
      <x:c r="D1" s="31" t="str">
        <x:v>Parent_ID</x:v>
      </x:c>
      <x:c r="E1" s="31" t="str">
        <x:v>Parent_Name</x:v>
      </x:c>
      <x:c r="F1" s="31" t="str">
        <x:v>Tier</x:v>
      </x:c>
      <x:c r="G1" s="31" t="str">
        <x:v>Core_Definition</x:v>
      </x:c>
      <x:c r="H1" s="31" t="str">
        <x:v>Key_Distinctions</x:v>
      </x:c>
      <x:c r="I1" s="31" t="str">
        <x:v>Common_Variants</x:v>
      </x:c>
      <x:c r="J1" s="31" t="str">
        <x:v>Typical_Functions</x:v>
      </x:c>
      <x:c r="K1" s="31" t="str">
        <x:v>Representative_Terms</x:v>
      </x:c>
      <x:c r="L1" s="31" t="str">
        <x:v>Cross_Cultural_Caution</x:v>
      </x:c>
      <x:c r="M1" s="31" t="str">
        <x:v>Framework_Status</x:v>
      </x:c>
    </x:row>
    <x:row r="2" ht="44" customHeight="1">
      <x:c r="A2" s="24" t="str">
        <x:v>PPL-000</x:v>
      </x:c>
      <x:c r="B2" s="24" t="str">
        <x:v>People &amp; Beings</x:v>
      </x:c>
      <x:c r="C2" s="24" t="str">
        <x:v>People &amp; Beings</x:v>
      </x:c>
      <x:c r="D2" s="24" t="str"/>
      <x:c r="E2" s="24" t="str">
        <x:f>IF(D2="","",IFERROR(VLOOKUP(D2,$A$2:$B$1656,2,FALSE),""))</x:f>
      </x:c>
      <x:c r="F2" s="24" t="n">
        <x:v>1</x:v>
      </x:c>
      <x:c r="G2" s="24" t="str">
        <x:v>Biological peoples, metaphysical kinds, monsters, spirits, constructs, and other sentient or narratively significant beings.</x:v>
      </x:c>
      <x:c r="H2" s="24" t="str">
        <x:v>A top-level analytical domain. Entries may link across domains but should not be collapsed into one another.</x:v>
      </x:c>
      <x:c r="I2" s="24" t="str"/>
      <x:c r="J2" s="24" t="str">
        <x:v>Provides the first classification axis for the database.</x:v>
      </x:c>
      <x:c r="K2" s="24" t="str">
        <x:v>People &amp; Beings</x:v>
      </x:c>
      <x:c r="L2" s="24" t="str">
        <x:v>Preserve each source's ontology, culture, history, and terminology when making comparisons.</x:v>
      </x:c>
      <x:c r="M2" s="24" t="str">
        <x:v>Domain Root</x:v>
      </x:c>
    </x:row>
    <x:row r="3" ht="44" customHeight="1">
      <x:c r="A3" s="24" t="str">
        <x:v>ROL-000</x:v>
      </x:c>
      <x:c r="B3" s="24" t="str">
        <x:v>Roles &amp; Vocations</x:v>
      </x:c>
      <x:c r="C3" s="24" t="str">
        <x:v>Roles &amp; Vocations</x:v>
      </x:c>
      <x:c r="D3" s="24" t="str"/>
      <x:c r="E3" s="24" t="str">
        <x:f>IF(D3="","",IFERROR(VLOOKUP(D3,$A$2:$B$1656,2,FALSE),""))</x:f>
      </x:c>
      <x:c r="F3" s="24" t="n">
        <x:v>1</x:v>
      </x:c>
      <x:c r="G3" s="24" t="str">
        <x:v>Professions, combat roles, social offices, religious vocations, magical callings, and formal game classes.</x:v>
      </x:c>
      <x:c r="H3" s="24" t="str">
        <x:v>A top-level analytical domain. Entries may link across domains but should not be collapsed into one another.</x:v>
      </x:c>
      <x:c r="I3" s="24" t="str"/>
      <x:c r="J3" s="24" t="str">
        <x:v>Provides the first classification axis for the database.</x:v>
      </x:c>
      <x:c r="K3" s="24" t="str">
        <x:v>Roles &amp; Vocations</x:v>
      </x:c>
      <x:c r="L3" s="24" t="str">
        <x:v>Preserve each source's ontology, culture, history, and terminology when making comparisons.</x:v>
      </x:c>
      <x:c r="M3" s="24" t="str">
        <x:v>Domain Root</x:v>
      </x:c>
    </x:row>
    <x:row r="4" ht="44" customHeight="1">
      <x:c r="A4" s="24" t="str">
        <x:v>PWR-000</x:v>
      </x:c>
      <x:c r="B4" s="24" t="str">
        <x:v>Power Traditions</x:v>
      </x:c>
      <x:c r="C4" s="24" t="str">
        <x:v>Power Traditions</x:v>
      </x:c>
      <x:c r="D4" s="24" t="str"/>
      <x:c r="E4" s="24" t="str">
        <x:f>IF(D4="","",IFERROR(VLOOKUP(D4,$A$2:$B$1656,2,FALSE),""))</x:f>
      </x:c>
      <x:c r="F4" s="24" t="n">
        <x:v>1</x:v>
      </x:c>
      <x:c r="G4" s="24" t="str">
        <x:v>Repeatable sources, methods, and logics through which extraordinary power is acquired or exercised.</x:v>
      </x:c>
      <x:c r="H4" s="24" t="str">
        <x:v>A top-level analytical domain. Entries may link across domains but should not be collapsed into one another.</x:v>
      </x:c>
      <x:c r="I4" s="24" t="str"/>
      <x:c r="J4" s="24" t="str">
        <x:v>Provides the first classification axis for the database.</x:v>
      </x:c>
      <x:c r="K4" s="24" t="str">
        <x:v>Power Traditions</x:v>
      </x:c>
      <x:c r="L4" s="24" t="str">
        <x:v>Preserve each source's ontology, culture, history, and terminology when making comparisons.</x:v>
      </x:c>
      <x:c r="M4" s="24" t="str">
        <x:v>Domain Root</x:v>
      </x:c>
    </x:row>
    <x:row r="5" ht="44" customHeight="1">
      <x:c r="A5" s="24" t="str">
        <x:v>STA-000</x:v>
      </x:c>
      <x:c r="B5" s="24" t="str">
        <x:v>States &amp; Transformations</x:v>
      </x:c>
      <x:c r="C5" s="24" t="str">
        <x:v>States &amp; Transformations</x:v>
      </x:c>
      <x:c r="D5" s="24" t="str"/>
      <x:c r="E5" s="24" t="str">
        <x:f>IF(D5="","",IFERROR(VLOOKUP(D5,$A$2:$B$1656,2,FALSE),""))</x:f>
      </x:c>
      <x:c r="F5" s="24" t="n">
        <x:v>1</x:v>
      </x:c>
      <x:c r="G5" s="24" t="str">
        <x:v>Acquired conditions, templates, curses, awakenings, and changes of body, soul, identity, or status.</x:v>
      </x:c>
      <x:c r="H5" s="24" t="str">
        <x:v>A top-level analytical domain. Entries may link across domains but should not be collapsed into one another.</x:v>
      </x:c>
      <x:c r="I5" s="24" t="str"/>
      <x:c r="J5" s="24" t="str">
        <x:v>Provides the first classification axis for the database.</x:v>
      </x:c>
      <x:c r="K5" s="24" t="str">
        <x:v>States &amp; Transformations</x:v>
      </x:c>
      <x:c r="L5" s="24" t="str">
        <x:v>Preserve each source's ontology, culture, history, and terminology when making comparisons.</x:v>
      </x:c>
      <x:c r="M5" s="24" t="str">
        <x:v>Domain Root</x:v>
      </x:c>
    </x:row>
    <x:row r="6" ht="44" customHeight="1">
      <x:c r="A6" s="24" t="str">
        <x:v>INS-000</x:v>
      </x:c>
      <x:c r="B6" s="24" t="str">
        <x:v>Institutions &amp; Affiliations</x:v>
      </x:c>
      <x:c r="C6" s="24" t="str">
        <x:v>Institutions &amp; Affiliations</x:v>
      </x:c>
      <x:c r="D6" s="24" t="str"/>
      <x:c r="E6" s="24" t="str">
        <x:f>IF(D6="","",IFERROR(VLOOKUP(D6,$A$2:$B$1656,2,FALSE),""))</x:f>
      </x:c>
      <x:c r="F6" s="24" t="n">
        <x:v>1</x:v>
      </x:c>
      <x:c r="G6" s="24" t="str">
        <x:v>Orders, schools, guilds, sects, castes, houses, armies, and other organized identities.</x:v>
      </x:c>
      <x:c r="H6" s="24" t="str">
        <x:v>A top-level analytical domain. Entries may link across domains but should not be collapsed into one another.</x:v>
      </x:c>
      <x:c r="I6" s="24" t="str"/>
      <x:c r="J6" s="24" t="str">
        <x:v>Provides the first classification axis for the database.</x:v>
      </x:c>
      <x:c r="K6" s="24" t="str">
        <x:v>Institutions &amp; Affiliations</x:v>
      </x:c>
      <x:c r="L6" s="24" t="str">
        <x:v>Preserve each source's ontology, culture, history, and terminology when making comparisons.</x:v>
      </x:c>
      <x:c r="M6" s="24" t="str">
        <x:v>Domain Root</x:v>
      </x:c>
    </x:row>
    <x:row r="7" ht="44" customHeight="1">
      <x:c r="A7" s="24" t="str">
        <x:v>NAR-000</x:v>
      </x:c>
      <x:c r="B7" s="24" t="str">
        <x:v>Narrative Archetypes</x:v>
      </x:c>
      <x:c r="C7" s="24" t="str">
        <x:v>Narrative Archetypes</x:v>
      </x:c>
      <x:c r="D7" s="24" t="str"/>
      <x:c r="E7" s="24" t="str">
        <x:f>IF(D7="","",IFERROR(VLOOKUP(D7,$A$2:$B$1656,2,FALSE),""))</x:f>
      </x:c>
      <x:c r="F7" s="24" t="n">
        <x:v>1</x:v>
      </x:c>
      <x:c r="G7" s="24" t="str">
        <x:v>Recurring character, party, antagonist, and plot functions used across fantasy media.</x:v>
      </x:c>
      <x:c r="H7" s="24" t="str">
        <x:v>A top-level analytical domain. Entries may link across domains but should not be collapsed into one another.</x:v>
      </x:c>
      <x:c r="I7" s="24" t="str"/>
      <x:c r="J7" s="24" t="str">
        <x:v>Provides the first classification axis for the database.</x:v>
      </x:c>
      <x:c r="K7" s="24" t="str">
        <x:v>Narrative Archetypes</x:v>
      </x:c>
      <x:c r="L7" s="24" t="str">
        <x:v>Preserve each source's ontology, culture, history, and terminology when making comparisons.</x:v>
      </x:c>
      <x:c r="M7" s="24" t="str">
        <x:v>Domain Root</x:v>
      </x:c>
    </x:row>
    <x:row r="8" ht="44" customHeight="1">
      <x:c r="A8" s="24" t="str">
        <x:v>CIV-000</x:v>
      </x:c>
      <x:c r="B8" s="24" t="str">
        <x:v>Civilization &amp; Culture Archetypes</x:v>
      </x:c>
      <x:c r="C8" s="24" t="str">
        <x:v>Civilization &amp; Culture Archetypes</x:v>
      </x:c>
      <x:c r="D8" s="24" t="str"/>
      <x:c r="E8" s="24" t="str">
        <x:f>IF(D8="","",IFERROR(VLOOKUP(D8,$A$2:$B$1656,2,FALSE),""))</x:f>
      </x:c>
      <x:c r="F8" s="24" t="n">
        <x:v>1</x:v>
      </x:c>
      <x:c r="G8" s="24" t="str">
        <x:v>Reusable patterns for societies, polities, economies, and cultural organization.</x:v>
      </x:c>
      <x:c r="H8" s="24" t="str">
        <x:v>A top-level analytical domain. Entries may link across domains but should not be collapsed into one another.</x:v>
      </x:c>
      <x:c r="I8" s="24" t="str"/>
      <x:c r="J8" s="24" t="str">
        <x:v>Provides the first classification axis for the database.</x:v>
      </x:c>
      <x:c r="K8" s="24" t="str">
        <x:v>Civilization &amp; Culture Archetypes</x:v>
      </x:c>
      <x:c r="L8" s="24" t="str">
        <x:v>Preserve each source's ontology, culture, history, and terminology when making comparisons.</x:v>
      </x:c>
      <x:c r="M8" s="24" t="str">
        <x:v>Domain Root</x:v>
      </x:c>
    </x:row>
    <x:row r="9" ht="44" customHeight="1">
      <x:c r="A9" s="24" t="str">
        <x:v>MEC-000</x:v>
      </x:c>
      <x:c r="B9" s="24" t="str">
        <x:v>Game-Mechanical Archetypes</x:v>
      </x:c>
      <x:c r="C9" s="24" t="str">
        <x:v>Game-Mechanical Archetypes</x:v>
      </x:c>
      <x:c r="D9" s="24" t="str"/>
      <x:c r="E9" s="24" t="str">
        <x:f>IF(D9="","",IFERROR(VLOOKUP(D9,$A$2:$B$1656,2,FALSE),""))</x:f>
      </x:c>
      <x:c r="F9" s="24" t="n">
        <x:v>1</x:v>
      </x:c>
      <x:c r="G9" s="24" t="str">
        <x:v>Roles and resource patterns defined primarily by rules, encounter design, or player progression.</x:v>
      </x:c>
      <x:c r="H9" s="24" t="str">
        <x:v>A top-level analytical domain. Entries may link across domains but should not be collapsed into one another.</x:v>
      </x:c>
      <x:c r="I9" s="24" t="str"/>
      <x:c r="J9" s="24" t="str">
        <x:v>Provides the first classification axis for the database.</x:v>
      </x:c>
      <x:c r="K9" s="24" t="str">
        <x:v>Game-Mechanical Archetypes</x:v>
      </x:c>
      <x:c r="L9" s="24" t="str">
        <x:v>Preserve each source's ontology, culture, history, and terminology when making comparisons.</x:v>
      </x:c>
      <x:c r="M9" s="24" t="str">
        <x:v>Domain Root</x:v>
      </x:c>
    </x:row>
    <x:row r="10" ht="44" customHeight="1">
      <x:c r="A10" s="24" t="str">
        <x:v>PPL-100</x:v>
      </x:c>
      <x:c r="B10" s="24" t="str">
        <x:v>Mortal and Natural Peoples</x:v>
      </x:c>
      <x:c r="C10" s="24" t="str">
        <x:v>People &amp; Beings</x:v>
      </x:c>
      <x:c r="D10" s="24" t="str">
        <x:v>PPL-000</x:v>
      </x:c>
      <x:c r="E10" s="24" t="str">
        <x:f>IF(D10="","",IFERROR(VLOOKUP(D10,$A$2:$B$1656,2,FALSE),""))</x:f>
        <x:v>People &amp; Beings</x:v>
      </x:c>
      <x:c r="F10" s="24" t="n">
        <x:v>2</x:v>
      </x:c>
      <x:c r="G10" s="24" t="str">
        <x:v>Peoples presented as ordinary inhabitants of the setting's natural world, even when their biology differs from humans.</x:v>
      </x:c>
      <x:c r="H10" s="24" t="str">
        <x:v>Classify by ontology first; morphology, culture, and game creature type are separate axes.</x:v>
      </x:c>
      <x:c r="I10" s="24" t="str"/>
      <x:c r="J10" s="24" t="str">
        <x:v>Organizes source-specific peoples and creatures by the kind of being they are.</x:v>
      </x:c>
      <x:c r="K10" s="24" t="str">
        <x:v>Player ancestries; nations; ethnicized fantasy peoples</x:v>
      </x:c>
      <x:c r="L10" s="24" t="str">
        <x:v>Preserve each source's ontology, culture, history, and terminology when making comparisons.</x:v>
      </x:c>
      <x:c r="M10" s="24" t="str">
        <x:v>Category</x:v>
      </x:c>
    </x:row>
    <x:row r="11" ht="44" customHeight="1">
      <x:c r="A11" s="24" t="str">
        <x:v>PPL-200</x:v>
      </x:c>
      <x:c r="B11" s="24" t="str">
        <x:v>Fae, Nature, and Liminal Beings</x:v>
      </x:c>
      <x:c r="C11" s="24" t="str">
        <x:v>People &amp; Beings</x:v>
      </x:c>
      <x:c r="D11" s="24" t="str">
        <x:v>PPL-000</x:v>
      </x:c>
      <x:c r="E11" s="24" t="str">
        <x:f>IF(D11="","",IFERROR(VLOOKUP(D11,$A$2:$B$1656,2,FALSE),""))</x:f>
        <x:v>People &amp; Beings</x:v>
      </x:c>
      <x:c r="F11" s="24" t="n">
        <x:v>2</x:v>
      </x:c>
      <x:c r="G11" s="24" t="str">
        <x:v>Beings tied to wilderness, place, season, threshold, enchantment, or an otherworld adjacent to mortal reality.</x:v>
      </x:c>
      <x:c r="H11" s="24" t="str">
        <x:v>Classify by ontology first; morphology, culture, and game creature type are separate axes.</x:v>
      </x:c>
      <x:c r="I11" s="24" t="str"/>
      <x:c r="J11" s="24" t="str">
        <x:v>Organizes source-specific peoples and creatures by the kind of being they are.</x:v>
      </x:c>
      <x:c r="K11" s="24" t="str">
        <x:v>Fae courts; land spirits; trickster beings</x:v>
      </x:c>
      <x:c r="L11" s="24" t="str">
        <x:v>Preserve each source's ontology, culture, history, and terminology when making comparisons.</x:v>
      </x:c>
      <x:c r="M11" s="24" t="str">
        <x:v>Category</x:v>
      </x:c>
    </x:row>
    <x:row r="12" ht="44" customHeight="1">
      <x:c r="A12" s="24" t="str">
        <x:v>PPL-300</x:v>
      </x:c>
      <x:c r="B12" s="24" t="str">
        <x:v>Spirits and Elementals</x:v>
      </x:c>
      <x:c r="C12" s="24" t="str">
        <x:v>People &amp; Beings</x:v>
      </x:c>
      <x:c r="D12" s="24" t="str">
        <x:v>PPL-000</x:v>
      </x:c>
      <x:c r="E12" s="24" t="str">
        <x:f>IF(D12="","",IFERROR(VLOOKUP(D12,$A$2:$B$1656,2,FALSE),""))</x:f>
        <x:v>People &amp; Beings</x:v>
      </x:c>
      <x:c r="F12" s="24" t="n">
        <x:v>2</x:v>
      </x:c>
      <x:c r="G12" s="24" t="str">
        <x:v>Incorporeal or semi-corporeal beings constituted by soul, element, concept, memory, dream, or place.</x:v>
      </x:c>
      <x:c r="H12" s="24" t="str">
        <x:v>Classify by ontology first; morphology, culture, and game creature type are separate axes.</x:v>
      </x:c>
      <x:c r="I12" s="24" t="str"/>
      <x:c r="J12" s="24" t="str">
        <x:v>Organizes source-specific peoples and creatures by the kind of being they are.</x:v>
      </x:c>
      <x:c r="K12" s="24" t="str">
        <x:v>Elementals; ancestors; guardian spirits</x:v>
      </x:c>
      <x:c r="L12" s="24" t="str">
        <x:v>Preserve each source's ontology, culture, history, and terminology when making comparisons.</x:v>
      </x:c>
      <x:c r="M12" s="24" t="str">
        <x:v>Category</x:v>
      </x:c>
    </x:row>
    <x:row r="13" ht="44" customHeight="1">
      <x:c r="A13" s="24" t="str">
        <x:v>PPL-400</x:v>
      </x:c>
      <x:c r="B13" s="24" t="str">
        <x:v>Divine and Celestial Beings</x:v>
      </x:c>
      <x:c r="C13" s="24" t="str">
        <x:v>People &amp; Beings</x:v>
      </x:c>
      <x:c r="D13" s="24" t="str">
        <x:v>PPL-000</x:v>
      </x:c>
      <x:c r="E13" s="24" t="str">
        <x:f>IF(D13="","",IFERROR(VLOOKUP(D13,$A$2:$B$1656,2,FALSE),""))</x:f>
        <x:v>People &amp; Beings</x:v>
      </x:c>
      <x:c r="F13" s="24" t="n">
        <x:v>2</x:v>
      </x:c>
      <x:c r="G13" s="24" t="str">
        <x:v>Gods, divine emanations, celestial servants, ascended mortals, and beings aligned with sacred cosmic order.</x:v>
      </x:c>
      <x:c r="H13" s="24" t="str">
        <x:v>Classify by ontology first; morphology, culture, and game creature type are separate axes.</x:v>
      </x:c>
      <x:c r="I13" s="24" t="str"/>
      <x:c r="J13" s="24" t="str">
        <x:v>Organizes source-specific peoples and creatures by the kind of being they are.</x:v>
      </x:c>
      <x:c r="K13" s="24" t="str">
        <x:v>Gods; angels; saints; avatars</x:v>
      </x:c>
      <x:c r="L13" s="24" t="str">
        <x:v>Preserve each source's ontology, culture, history, and terminology when making comparisons.</x:v>
      </x:c>
      <x:c r="M13" s="24" t="str">
        <x:v>Category</x:v>
      </x:c>
    </x:row>
    <x:row r="14" ht="44" customHeight="1">
      <x:c r="A14" s="24" t="str">
        <x:v>PPL-500</x:v>
      </x:c>
      <x:c r="B14" s="24" t="str">
        <x:v>Infernal and Corruptive Beings</x:v>
      </x:c>
      <x:c r="C14" s="24" t="str">
        <x:v>People &amp; Beings</x:v>
      </x:c>
      <x:c r="D14" s="24" t="str">
        <x:v>PPL-000</x:v>
      </x:c>
      <x:c r="E14" s="24" t="str">
        <x:f>IF(D14="","",IFERROR(VLOOKUP(D14,$A$2:$B$1656,2,FALSE),""))</x:f>
        <x:v>People &amp; Beings</x:v>
      </x:c>
      <x:c r="F14" s="24" t="n">
        <x:v>2</x:v>
      </x:c>
      <x:c r="G14" s="24" t="str">
        <x:v>Demons, devils, fallen celestials, chaos-spawn, and entities whose existence centers on corruption, domination, temptation, or metaphysical disorder.</x:v>
      </x:c>
      <x:c r="H14" s="24" t="str">
        <x:v>Classify by ontology first; morphology, culture, and game creature type are separate axes.</x:v>
      </x:c>
      <x:c r="I14" s="24" t="str"/>
      <x:c r="J14" s="24" t="str">
        <x:v>Organizes source-specific peoples and creatures by the kind of being they are.</x:v>
      </x:c>
      <x:c r="K14" s="24" t="str">
        <x:v>Fiends; demon lords; possessors</x:v>
      </x:c>
      <x:c r="L14" s="24" t="str">
        <x:v>Preserve each source's ontology, culture, history, and terminology when making comparisons.</x:v>
      </x:c>
      <x:c r="M14" s="24" t="str">
        <x:v>Category</x:v>
      </x:c>
    </x:row>
    <x:row r="15" ht="44" customHeight="1">
      <x:c r="A15" s="24" t="str">
        <x:v>PPL-600</x:v>
      </x:c>
      <x:c r="B15" s="24" t="str">
        <x:v>Undead Beings</x:v>
      </x:c>
      <x:c r="C15" s="24" t="str">
        <x:v>People &amp; Beings</x:v>
      </x:c>
      <x:c r="D15" s="24" t="str">
        <x:v>PPL-000</x:v>
      </x:c>
      <x:c r="E15" s="24" t="str">
        <x:f>IF(D15="","",IFERROR(VLOOKUP(D15,$A$2:$B$1656,2,FALSE),""))</x:f>
        <x:v>People &amp; Beings</x:v>
      </x:c>
      <x:c r="F15" s="24" t="n">
        <x:v>2</x:v>
      </x:c>
      <x:c r="G15" s="24" t="str">
        <x:v>Beings that persist after biological death through animation, trapped soul, curse, hunger, ritual, or necromantic structure.</x:v>
      </x:c>
      <x:c r="H15" s="24" t="str">
        <x:v>Classify by ontology first; morphology, culture, and game creature type are separate axes.</x:v>
      </x:c>
      <x:c r="I15" s="24" t="str"/>
      <x:c r="J15" s="24" t="str">
        <x:v>Organizes source-specific peoples and creatures by the kind of being they are.</x:v>
      </x:c>
      <x:c r="K15" s="24" t="str">
        <x:v>Ghosts; vampires; liches; revenants</x:v>
      </x:c>
      <x:c r="L15" s="24" t="str">
        <x:v>Preserve each source's ontology, culture, history, and terminology when making comparisons.</x:v>
      </x:c>
      <x:c r="M15" s="24" t="str">
        <x:v>Category</x:v>
      </x:c>
    </x:row>
    <x:row r="16" ht="44" customHeight="1">
      <x:c r="A16" s="24" t="str">
        <x:v>PPL-700</x:v>
      </x:c>
      <x:c r="B16" s="24" t="str">
        <x:v>Constructs and Artificial Life</x:v>
      </x:c>
      <x:c r="C16" s="24" t="str">
        <x:v>People &amp; Beings</x:v>
      </x:c>
      <x:c r="D16" s="24" t="str">
        <x:v>PPL-000</x:v>
      </x:c>
      <x:c r="E16" s="24" t="str">
        <x:f>IF(D16="","",IFERROR(VLOOKUP(D16,$A$2:$B$1656,2,FALSE),""))</x:f>
        <x:v>People &amp; Beings</x:v>
      </x:c>
      <x:c r="F16" s="24" t="n">
        <x:v>2</x:v>
      </x:c>
      <x:c r="G16" s="24" t="str">
        <x:v>Created beings whose bodies or minds are deliberately manufactured, assembled, grown, enchanted, or replicated.</x:v>
      </x:c>
      <x:c r="H16" s="24" t="str">
        <x:v>Classify by ontology first; morphology, culture, and game creature type are separate axes.</x:v>
      </x:c>
      <x:c r="I16" s="24" t="str"/>
      <x:c r="J16" s="24" t="str">
        <x:v>Organizes source-specific peoples and creatures by the kind of being they are.</x:v>
      </x:c>
      <x:c r="K16" s="24" t="str">
        <x:v>Golems; homunculi; clockwork people</x:v>
      </x:c>
      <x:c r="L16" s="24" t="str">
        <x:v>Preserve each source's ontology, culture, history, and terminology when making comparisons.</x:v>
      </x:c>
      <x:c r="M16" s="24" t="str">
        <x:v>Category</x:v>
      </x:c>
    </x:row>
    <x:row r="17" ht="44" customHeight="1">
      <x:c r="A17" s="24" t="str">
        <x:v>PPL-800</x:v>
      </x:c>
      <x:c r="B17" s="24" t="str">
        <x:v>Dragons and Legendary Beasts</x:v>
      </x:c>
      <x:c r="C17" s="24" t="str">
        <x:v>People &amp; Beings</x:v>
      </x:c>
      <x:c r="D17" s="24" t="str">
        <x:v>PPL-000</x:v>
      </x:c>
      <x:c r="E17" s="24" t="str">
        <x:f>IF(D17="","",IFERROR(VLOOKUP(D17,$A$2:$B$1656,2,FALSE),""))</x:f>
        <x:v>People &amp; Beings</x:v>
      </x:c>
      <x:c r="F17" s="24" t="n">
        <x:v>2</x:v>
      </x:c>
      <x:c r="G17" s="24" t="str">
        <x:v>Iconic nonhuman beasts whose intelligence, scale, magical potency, or symbolic role exceeds ordinary fauna.</x:v>
      </x:c>
      <x:c r="H17" s="24" t="str">
        <x:v>Classify by ontology first; morphology, culture, and game creature type are separate axes.</x:v>
      </x:c>
      <x:c r="I17" s="24" t="str"/>
      <x:c r="J17" s="24" t="str">
        <x:v>Organizes source-specific peoples and creatures by the kind of being they are.</x:v>
      </x:c>
      <x:c r="K17" s="24" t="str">
        <x:v>Dragons; griffins; hydras; world beasts</x:v>
      </x:c>
      <x:c r="L17" s="24" t="str">
        <x:v>Preserve each source's ontology, culture, history, and terminology when making comparisons.</x:v>
      </x:c>
      <x:c r="M17" s="24" t="str">
        <x:v>Category</x:v>
      </x:c>
    </x:row>
    <x:row r="18" ht="44" customHeight="1">
      <x:c r="A18" s="24" t="str">
        <x:v>PPL-900</x:v>
      </x:c>
      <x:c r="B18" s="24" t="str">
        <x:v>Plant, Fungal, Ooze, and Collective Life</x:v>
      </x:c>
      <x:c r="C18" s="24" t="str">
        <x:v>People &amp; Beings</x:v>
      </x:c>
      <x:c r="D18" s="24" t="str">
        <x:v>PPL-000</x:v>
      </x:c>
      <x:c r="E18" s="24" t="str">
        <x:f>IF(D18="","",IFERROR(VLOOKUP(D18,$A$2:$B$1656,2,FALSE),""))</x:f>
        <x:v>People &amp; Beings</x:v>
      </x:c>
      <x:c r="F18" s="24" t="n">
        <x:v>2</x:v>
      </x:c>
      <x:c r="G18" s="24" t="str">
        <x:v>Beings based on non-animal life, amorphous bodies, swarms, colonies, or distributed consciousness.</x:v>
      </x:c>
      <x:c r="H18" s="24" t="str">
        <x:v>Classify by ontology first; morphology, culture, and game creature type are separate axes.</x:v>
      </x:c>
      <x:c r="I18" s="24" t="str"/>
      <x:c r="J18" s="24" t="str">
        <x:v>Organizes source-specific peoples and creatures by the kind of being they are.</x:v>
      </x:c>
      <x:c r="K18" s="24" t="str">
        <x:v>Plantfolk; slimes; hive minds</x:v>
      </x:c>
      <x:c r="L18" s="24" t="str">
        <x:v>Preserve each source's ontology, culture, history, and terminology when making comparisons.</x:v>
      </x:c>
      <x:c r="M18" s="24" t="str">
        <x:v>Category</x:v>
      </x:c>
    </x:row>
    <x:row r="19" ht="44" customHeight="1">
      <x:c r="A19" s="24" t="str">
        <x:v>PPL-1000</x:v>
      </x:c>
      <x:c r="B19" s="24" t="str">
        <x:v>Shapeshifters, Hybrids, and Mutable Peoples</x:v>
      </x:c>
      <x:c r="C19" s="24" t="str">
        <x:v>People &amp; Beings</x:v>
      </x:c>
      <x:c r="D19" s="24" t="str">
        <x:v>PPL-000</x:v>
      </x:c>
      <x:c r="E19" s="24" t="str">
        <x:f>IF(D19="","",IFERROR(VLOOKUP(D19,$A$2:$B$1656,2,FALSE),""))</x:f>
        <x:v>People &amp; Beings</x:v>
      </x:c>
      <x:c r="F19" s="24" t="n">
        <x:v>2</x:v>
      </x:c>
      <x:c r="G19" s="24" t="str">
        <x:v>Beings defined by mixed ancestry, mutable form, copied identity, animal transformation, possession, or body exchange.</x:v>
      </x:c>
      <x:c r="H19" s="24" t="str">
        <x:v>Classify by ontology first; morphology, culture, and game creature type are separate axes.</x:v>
      </x:c>
      <x:c r="I19" s="24" t="str"/>
      <x:c r="J19" s="24" t="str">
        <x:v>Organizes source-specific peoples and creatures by the kind of being they are.</x:v>
      </x:c>
      <x:c r="K19" s="24" t="str">
        <x:v>Therianthropes; doppelgangers; chimeras</x:v>
      </x:c>
      <x:c r="L19" s="24" t="str">
        <x:v>Preserve each source's ontology, culture, history, and terminology when making comparisons.</x:v>
      </x:c>
      <x:c r="M19" s="24" t="str">
        <x:v>Category</x:v>
      </x:c>
    </x:row>
    <x:row r="20" ht="44" customHeight="1">
      <x:c r="A20" s="24" t="str">
        <x:v>PPL-1100</x:v>
      </x:c>
      <x:c r="B20" s="24" t="str">
        <x:v>Cosmic, Aberrant, and Otherworldly Beings</x:v>
      </x:c>
      <x:c r="C20" s="24" t="str">
        <x:v>People &amp; Beings</x:v>
      </x:c>
      <x:c r="D20" s="24" t="str">
        <x:v>PPL-000</x:v>
      </x:c>
      <x:c r="E20" s="24" t="str">
        <x:f>IF(D20="","",IFERROR(VLOOKUP(D20,$A$2:$B$1656,2,FALSE),""))</x:f>
        <x:v>People &amp; Beings</x:v>
      </x:c>
      <x:c r="F20" s="24" t="n">
        <x:v>2</x:v>
      </x:c>
      <x:c r="G20" s="24" t="str">
        <x:v>Entities whose bodies, minds, origins, or causal rules lie outside the setting's normal natural and supernatural orders.</x:v>
      </x:c>
      <x:c r="H20" s="24" t="str">
        <x:v>Classify by ontology first; morphology, culture, and game creature type are separate axes.</x:v>
      </x:c>
      <x:c r="I20" s="24" t="str"/>
      <x:c r="J20" s="24" t="str">
        <x:v>Organizes source-specific peoples and creatures by the kind of being they are.</x:v>
      </x:c>
      <x:c r="K20" s="24" t="str">
        <x:v>Aberrations; void beings; reality parasites</x:v>
      </x:c>
      <x:c r="L20" s="24" t="str">
        <x:v>Preserve each source's ontology, culture, history, and terminology when making comparisons.</x:v>
      </x:c>
      <x:c r="M20" s="24" t="str">
        <x:v>Category</x:v>
      </x:c>
    </x:row>
    <x:row r="21" ht="44" customHeight="1">
      <x:c r="A21" s="24" t="str">
        <x:v>PPL-101</x:v>
      </x:c>
      <x:c r="B21" s="24" t="str">
        <x:v>Human and Near-Human Peoples</x:v>
      </x:c>
      <x:c r="C21" s="24" t="str">
        <x:v>People &amp; Beings</x:v>
      </x:c>
      <x:c r="D21" s="24" t="str">
        <x:v>PPL-100</x:v>
      </x:c>
      <x:c r="E21" s="24" t="str">
        <x:f>IF(D21="","",IFERROR(VLOOKUP(D21,$A$2:$B$1656,2,FALSE),""))</x:f>
        <x:v>Mortal and Natural Peoples</x:v>
      </x:c>
      <x:c r="F21" s="24" t="n">
        <x:v>3</x:v>
      </x:c>
      <x:c r="G21" s="24" t="str">
        <x:v>Humans or humanlike peoples whose differences are primarily cultural, historical, adaptive, or mildly supernatural rather than a separate metaphysical kind.</x:v>
      </x:c>
      <x:c r="H21" s="24" t="str">
        <x:v>Source-specific examples may differ biologically, metaphysically, culturally, and morally; map them as analogues unless equivalence is explicit.</x:v>
      </x:c>
      <x:c r="I21" s="24" t="str">
        <x:v>human; mortal; man; tall-man; near-human</x:v>
      </x:c>
      <x:c r="J21" s="24" t="str">
        <x:v>Playable ancestry, neighboring civilization, minority people, enemy people, or cultural foil.</x:v>
      </x:c>
      <x:c r="K21" s="24" t="str">
        <x:v>human; mortal; man; tall-man; near-human</x:v>
      </x:c>
      <x:c r="L21" s="24" t="str">
        <x:v>Preserve each source's ontology, culture, history, and terminology when making comparisons.</x:v>
      </x:c>
      <x:c r="M21" s="24" t="str">
        <x:v>Core Family</x:v>
      </x:c>
    </x:row>
    <x:row r="22" ht="44" customHeight="1">
      <x:c r="A22" s="24" t="str">
        <x:v>PPL-102</x:v>
      </x:c>
      <x:c r="B22" s="24" t="str">
        <x:v>Elf-Derived Peoples</x:v>
      </x:c>
      <x:c r="C22" s="24" t="str">
        <x:v>People &amp; Beings</x:v>
      </x:c>
      <x:c r="D22" s="24" t="str">
        <x:v>PPL-100</x:v>
      </x:c>
      <x:c r="E22" s="24" t="str">
        <x:f>IF(D22="","",IFERROR(VLOOKUP(D22,$A$2:$B$1656,2,FALSE),""))</x:f>
        <x:v>Mortal and Natural Peoples</x:v>
      </x:c>
      <x:c r="F22" s="24" t="n">
        <x:v>3</x:v>
      </x:c>
      <x:c r="G22" s="24" t="str">
        <x:v>Graceful or otherworldly humanoids commonly associated with longevity, heightened perception, magic, nature, memory, or a fading elder civilization.</x:v>
      </x:c>
      <x:c r="H22" s="24" t="str">
        <x:v>Source-specific examples may differ biologically, metaphysically, culturally, and morally; map them as analogues unless equivalence is explicit.</x:v>
      </x:c>
      <x:c r="I22" s="24" t="str">
        <x:v>elf; elven; elvish; elder folk; faerie-blooded</x:v>
      </x:c>
      <x:c r="J22" s="24" t="str">
        <x:v>Playable ancestry, neighboring civilization, minority people, enemy people, or cultural foil.</x:v>
      </x:c>
      <x:c r="K22" s="24" t="str">
        <x:v>elf; elven; elvish; elder folk; faerie-blooded</x:v>
      </x:c>
      <x:c r="L22" s="24" t="str">
        <x:v>Do not treat Tolkien's Quendi, folkloric elves, game ancestries, and modern anime elves as one ontology.</x:v>
      </x:c>
      <x:c r="M22" s="24" t="str">
        <x:v>Core Family</x:v>
      </x:c>
    </x:row>
    <x:row r="23" ht="44" customHeight="1">
      <x:c r="A23" s="24" t="str">
        <x:v>PPL-103</x:v>
      </x:c>
      <x:c r="B23" s="24" t="str">
        <x:v>Dwarf-Derived Peoples</x:v>
      </x:c>
      <x:c r="C23" s="24" t="str">
        <x:v>People &amp; Beings</x:v>
      </x:c>
      <x:c r="D23" s="24" t="str">
        <x:v>PPL-100</x:v>
      </x:c>
      <x:c r="E23" s="24" t="str">
        <x:f>IF(D23="","",IFERROR(VLOOKUP(D23,$A$2:$B$1656,2,FALSE),""))</x:f>
        <x:v>Mortal and Natural Peoples</x:v>
      </x:c>
      <x:c r="F23" s="24" t="n">
        <x:v>3</x:v>
      </x:c>
      <x:c r="G23" s="24" t="str">
        <x:v>Compact, hardy humanoids often linked with stone, mining, smithcraft, clan memory, subterranean halls, or martial resilience.</x:v>
      </x:c>
      <x:c r="H23" s="24" t="str">
        <x:v>Source-specific examples may differ biologically, metaphysically, culturally, and morally; map them as analogues unless equivalence is explicit.</x:v>
      </x:c>
      <x:c r="I23" s="24" t="str">
        <x:v>dwarf; dwarven; dwarf-kind; mountain folk</x:v>
      </x:c>
      <x:c r="J23" s="24" t="str">
        <x:v>Playable ancestry, neighboring civilization, minority people, enemy people, or cultural foil.</x:v>
      </x:c>
      <x:c r="K23" s="24" t="str">
        <x:v>dwarf; dwarven; dwarf-kind; mountain folk</x:v>
      </x:c>
      <x:c r="L23" s="24" t="str">
        <x:v>Preserve each source's ontology, culture, history, and terminology when making comparisons.</x:v>
      </x:c>
      <x:c r="M23" s="24" t="str">
        <x:v>Core Family</x:v>
      </x:c>
    </x:row>
    <x:row r="24" ht="44" customHeight="1">
      <x:c r="A24" s="24" t="str">
        <x:v>PPL-104</x:v>
      </x:c>
      <x:c r="B24" s="24" t="str">
        <x:v>Halfling and Smallfolk Peoples</x:v>
      </x:c>
      <x:c r="C24" s="24" t="str">
        <x:v>People &amp; Beings</x:v>
      </x:c>
      <x:c r="D24" s="24" t="str">
        <x:v>PPL-100</x:v>
      </x:c>
      <x:c r="E24" s="24" t="str">
        <x:f>IF(D24="","",IFERROR(VLOOKUP(D24,$A$2:$B$1656,2,FALSE),""))</x:f>
        <x:v>Mortal and Natural Peoples</x:v>
      </x:c>
      <x:c r="F24" s="24" t="n">
        <x:v>3</x:v>
      </x:c>
      <x:c r="G24" s="24" t="str">
        <x:v>Small-statured humanoids whose archetype emphasizes domesticity, stealth, luck, community, mobility, or being overlooked by larger powers.</x:v>
      </x:c>
      <x:c r="H24" s="24" t="str">
        <x:v>Source-specific examples may differ biologically, metaphysically, culturally, and morally; map them as analogues unless equivalence is explicit.</x:v>
      </x:c>
      <x:c r="I24" s="24" t="str">
        <x:v>halfling; hobbit-like; kender-like; smallfolk</x:v>
      </x:c>
      <x:c r="J24" s="24" t="str">
        <x:v>Playable ancestry, neighboring civilization, minority people, enemy people, or cultural foil.</x:v>
      </x:c>
      <x:c r="K24" s="24" t="str">
        <x:v>halfling; hobbit-like; kender-like; smallfolk</x:v>
      </x:c>
      <x:c r="L24" s="24" t="str">
        <x:v>Preserve each source's ontology, culture, history, and terminology when making comparisons.</x:v>
      </x:c>
      <x:c r="M24" s="24" t="str">
        <x:v>Core Family</x:v>
      </x:c>
    </x:row>
    <x:row r="25" ht="44" customHeight="1">
      <x:c r="A25" s="24" t="str">
        <x:v>PPL-105</x:v>
      </x:c>
      <x:c r="B25" s="24" t="str">
        <x:v>Gnome and Tinkerfolk Peoples</x:v>
      </x:c>
      <x:c r="C25" s="24" t="str">
        <x:v>People &amp; Beings</x:v>
      </x:c>
      <x:c r="D25" s="24" t="str">
        <x:v>PPL-100</x:v>
      </x:c>
      <x:c r="E25" s="24" t="str">
        <x:f>IF(D25="","",IFERROR(VLOOKUP(D25,$A$2:$B$1656,2,FALSE),""))</x:f>
        <x:v>Mortal and Natural Peoples</x:v>
      </x:c>
      <x:c r="F25" s="24" t="n">
        <x:v>3</x:v>
      </x:c>
      <x:c r="G25" s="24" t="str">
        <x:v>Small humanoids associated with craft, curiosity, illusion, engineering, alchemy, scholarship, or hidden communities.</x:v>
      </x:c>
      <x:c r="H25" s="24" t="str">
        <x:v>Source-specific examples may differ biologically, metaphysically, culturally, and morally; map them as analogues unless equivalence is explicit.</x:v>
      </x:c>
      <x:c r="I25" s="24" t="str">
        <x:v>gnome; tinkerfolk; deep gnome; garden-gnome analogue</x:v>
      </x:c>
      <x:c r="J25" s="24" t="str">
        <x:v>Playable ancestry, neighboring civilization, minority people, enemy people, or cultural foil.</x:v>
      </x:c>
      <x:c r="K25" s="24" t="str">
        <x:v>gnome; tinkerfolk; deep gnome; garden-gnome analogue</x:v>
      </x:c>
      <x:c r="L25" s="24" t="str">
        <x:v>Preserve each source's ontology, culture, history, and terminology when making comparisons.</x:v>
      </x:c>
      <x:c r="M25" s="24" t="str">
        <x:v>Core Family</x:v>
      </x:c>
    </x:row>
    <x:row r="26" ht="44" customHeight="1">
      <x:c r="A26" s="24" t="str">
        <x:v>PPL-106</x:v>
      </x:c>
      <x:c r="B26" s="24" t="str">
        <x:v>Orc-Derived Peoples</x:v>
      </x:c>
      <x:c r="C26" s="24" t="str">
        <x:v>People &amp; Beings</x:v>
      </x:c>
      <x:c r="D26" s="24" t="str">
        <x:v>PPL-100</x:v>
      </x:c>
      <x:c r="E26" s="24" t="str">
        <x:f>IF(D26="","",IFERROR(VLOOKUP(D26,$A$2:$B$1656,2,FALSE),""))</x:f>
        <x:v>Mortal and Natural Peoples</x:v>
      </x:c>
      <x:c r="F26" s="24" t="n">
        <x:v>3</x:v>
      </x:c>
      <x:c r="G26" s="24" t="str">
        <x:v>Powerfully built humanoids often framed through warfare, marginalization, corruption, honor culture, clan identity, or contested personhood.</x:v>
      </x:c>
      <x:c r="H26" s="24" t="str">
        <x:v>Source-specific examples may differ biologically, metaphysically, culturally, and morally; map them as analogues unless equivalence is explicit.</x:v>
      </x:c>
      <x:c r="I26" s="24" t="str">
        <x:v>orc; orcish; ork; half-orc</x:v>
      </x:c>
      <x:c r="J26" s="24" t="str">
        <x:v>Playable ancestry, neighboring civilization, minority people, enemy people, or cultural foil.</x:v>
      </x:c>
      <x:c r="K26" s="24" t="str">
        <x:v>orc; orcish; ork; half-orc</x:v>
      </x:c>
      <x:c r="L26" s="24" t="str">
        <x:v>Track whether 'orc' denotes a created enemy species, an ethnicized people, a playable ancestry, or a reclaimed identity.</x:v>
      </x:c>
      <x:c r="M26" s="24" t="str">
        <x:v>Core Family</x:v>
      </x:c>
    </x:row>
    <x:row r="27" ht="44" customHeight="1">
      <x:c r="A27" s="24" t="str">
        <x:v>PPL-107</x:v>
      </x:c>
      <x:c r="B27" s="24" t="str">
        <x:v>Goblinoid Peoples</x:v>
      </x:c>
      <x:c r="C27" s="24" t="str">
        <x:v>People &amp; Beings</x:v>
      </x:c>
      <x:c r="D27" s="24" t="str">
        <x:v>PPL-100</x:v>
      </x:c>
      <x:c r="E27" s="24" t="str">
        <x:f>IF(D27="","",IFERROR(VLOOKUP(D27,$A$2:$B$1656,2,FALSE),""))</x:f>
        <x:v>Mortal and Natural Peoples</x:v>
      </x:c>
      <x:c r="F27" s="24" t="n">
        <x:v>3</x:v>
      </x:c>
      <x:c r="G27" s="24" t="str">
        <x:v>Small or medium humanoids associated with subterranean life, scavenging, ambush, craft, trickery, militarized hierarchy, or outsider societies.</x:v>
      </x:c>
      <x:c r="H27" s="24" t="str">
        <x:v>Source-specific examples may differ biologically, metaphysically, culturally, and morally; map them as analogues unless equivalence is explicit.</x:v>
      </x:c>
      <x:c r="I27" s="24" t="str">
        <x:v>goblin; hobgoblin; bugbear; gremlin-like</x:v>
      </x:c>
      <x:c r="J27" s="24" t="str">
        <x:v>Playable ancestry, neighboring civilization, minority people, enemy people, or cultural foil.</x:v>
      </x:c>
      <x:c r="K27" s="24" t="str">
        <x:v>goblin; hobgoblin; bugbear; gremlin-like</x:v>
      </x:c>
      <x:c r="L27" s="24" t="str">
        <x:v>Preserve each source's ontology, culture, history, and terminology when making comparisons.</x:v>
      </x:c>
      <x:c r="M27" s="24" t="str">
        <x:v>Core Family</x:v>
      </x:c>
    </x:row>
    <x:row r="28" ht="44" customHeight="1">
      <x:c r="A28" s="24" t="str">
        <x:v>PPL-108</x:v>
      </x:c>
      <x:c r="B28" s="24" t="str">
        <x:v>Giantkin Peoples</x:v>
      </x:c>
      <x:c r="C28" s="24" t="str">
        <x:v>People &amp; Beings</x:v>
      </x:c>
      <x:c r="D28" s="24" t="str">
        <x:v>PPL-100</x:v>
      </x:c>
      <x:c r="E28" s="24" t="str">
        <x:f>IF(D28="","",IFERROR(VLOOKUP(D28,$A$2:$B$1656,2,FALSE),""))</x:f>
        <x:v>Mortal and Natural Peoples</x:v>
      </x:c>
      <x:c r="F28" s="24" t="n">
        <x:v>3</x:v>
      </x:c>
      <x:c r="G28" s="24" t="str">
        <x:v>Humanoid peoples of exceptional scale, often linked with primordial ancestry, mountains, elemental forces, divine lineage, or fading ages.</x:v>
      </x:c>
      <x:c r="H28" s="24" t="str">
        <x:v>Source-specific examples may differ biologically, metaphysically, culturally, and morally; map them as analogues unless equivalence is explicit.</x:v>
      </x:c>
      <x:c r="I28" s="24" t="str">
        <x:v>giant; jotunn-like; titan-blooded; goliath</x:v>
      </x:c>
      <x:c r="J28" s="24" t="str">
        <x:v>Playable ancestry, neighboring civilization, minority people, enemy people, or cultural foil.</x:v>
      </x:c>
      <x:c r="K28" s="24" t="str">
        <x:v>giant; jotunn-like; titan-blooded; goliath</x:v>
      </x:c>
      <x:c r="L28" s="24" t="str">
        <x:v>Preserve each source's ontology, culture, history, and terminology when making comparisons.</x:v>
      </x:c>
      <x:c r="M28" s="24" t="str">
        <x:v>Core Family</x:v>
      </x:c>
    </x:row>
    <x:row r="29" ht="44" customHeight="1">
      <x:c r="A29" s="24" t="str">
        <x:v>PPL-109</x:v>
      </x:c>
      <x:c r="B29" s="24" t="str">
        <x:v>Ogrekin Peoples</x:v>
      </x:c>
      <x:c r="C29" s="24" t="str">
        <x:v>People &amp; Beings</x:v>
      </x:c>
      <x:c r="D29" s="24" t="str">
        <x:v>PPL-100</x:v>
      </x:c>
      <x:c r="E29" s="24" t="str">
        <x:f>IF(D29="","",IFERROR(VLOOKUP(D29,$A$2:$B$1656,2,FALSE),""))</x:f>
        <x:v>Mortal and Natural Peoples</x:v>
      </x:c>
      <x:c r="F29" s="24" t="n">
        <x:v>3</x:v>
      </x:c>
      <x:c r="G29" s="24" t="str">
        <x:v>Large humanoids commonly framed as physically powerful, socially marginal, cannibalistic, mercenary, clan-based, or unexpectedly sophisticated.</x:v>
      </x:c>
      <x:c r="H29" s="24" t="str">
        <x:v>Source-specific examples may differ biologically, metaphysically, culturally, and morally; map them as analogues unless equivalence is explicit.</x:v>
      </x:c>
      <x:c r="I29" s="24" t="str">
        <x:v>ogre; ogrekin; oni-like giant humanoid</x:v>
      </x:c>
      <x:c r="J29" s="24" t="str">
        <x:v>Playable ancestry, neighboring civilization, minority people, enemy people, or cultural foil.</x:v>
      </x:c>
      <x:c r="K29" s="24" t="str">
        <x:v>ogre; ogrekin; oni-like giant humanoid</x:v>
      </x:c>
      <x:c r="L29" s="24" t="str">
        <x:v>Preserve each source's ontology, culture, history, and terminology when making comparisons.</x:v>
      </x:c>
      <x:c r="M29" s="24" t="str">
        <x:v>Core Family</x:v>
      </x:c>
    </x:row>
    <x:row r="30" ht="44" customHeight="1">
      <x:c r="A30" s="24" t="str">
        <x:v>PPL-110</x:v>
      </x:c>
      <x:c r="B30" s="24" t="str">
        <x:v>Trollkin Peoples</x:v>
      </x:c>
      <x:c r="C30" s="24" t="str">
        <x:v>People &amp; Beings</x:v>
      </x:c>
      <x:c r="D30" s="24" t="str">
        <x:v>PPL-100</x:v>
      </x:c>
      <x:c r="E30" s="24" t="str">
        <x:f>IF(D30="","",IFERROR(VLOOKUP(D30,$A$2:$B$1656,2,FALSE),""))</x:f>
        <x:v>Mortal and Natural Peoples</x:v>
      </x:c>
      <x:c r="F30" s="24" t="n">
        <x:v>3</x:v>
      </x:c>
      <x:c r="G30" s="24" t="str">
        <x:v>Regenerative, stone-associated, monstrous, folkloric, or tribal humanoids whose meanings range from person to predator.</x:v>
      </x:c>
      <x:c r="H30" s="24" t="str">
        <x:v>Source-specific examples may differ biologically, metaphysically, culturally, and morally; map them as analogues unless equivalence is explicit.</x:v>
      </x:c>
      <x:c r="I30" s="24" t="str">
        <x:v>troll; trollkin; troll-blooded</x:v>
      </x:c>
      <x:c r="J30" s="24" t="str">
        <x:v>Playable ancestry, neighboring civilization, minority people, enemy people, or cultural foil.</x:v>
      </x:c>
      <x:c r="K30" s="24" t="str">
        <x:v>troll; trollkin; troll-blooded</x:v>
      </x:c>
      <x:c r="L30" s="24" t="str">
        <x:v>Separate Scandinavian folkloric trolls, Tolkienian trolls, and game troll peoples.</x:v>
      </x:c>
      <x:c r="M30" s="24" t="str">
        <x:v>Core Family</x:v>
      </x:c>
    </x:row>
    <x:row r="31" ht="44" customHeight="1">
      <x:c r="A31" s="24" t="str">
        <x:v>PPL-111</x:v>
      </x:c>
      <x:c r="B31" s="24" t="str">
        <x:v>Cyclopean Peoples</x:v>
      </x:c>
      <x:c r="C31" s="24" t="str">
        <x:v>People &amp; Beings</x:v>
      </x:c>
      <x:c r="D31" s="24" t="str">
        <x:v>PPL-100</x:v>
      </x:c>
      <x:c r="E31" s="24" t="str">
        <x:f>IF(D31="","",IFERROR(VLOOKUP(D31,$A$2:$B$1656,2,FALSE),""))</x:f>
        <x:v>Mortal and Natural Peoples</x:v>
      </x:c>
      <x:c r="F31" s="24" t="n">
        <x:v>3</x:v>
      </x:c>
      <x:c r="G31" s="24" t="str">
        <x:v>One-eyed or otherwise singular-sensed giant humanoids, often connected with smithing, prophecy, isolation, or brute force.</x:v>
      </x:c>
      <x:c r="H31" s="24" t="str">
        <x:v>Source-specific examples may differ biologically, metaphysically, culturally, and morally; map them as analogues unless equivalence is explicit.</x:v>
      </x:c>
      <x:c r="I31" s="24" t="str">
        <x:v>cyclops; one-eyed giant</x:v>
      </x:c>
      <x:c r="J31" s="24" t="str">
        <x:v>Playable ancestry, neighboring civilization, minority people, enemy people, or cultural foil.</x:v>
      </x:c>
      <x:c r="K31" s="24" t="str">
        <x:v>cyclops; one-eyed giant</x:v>
      </x:c>
      <x:c r="L31" s="24" t="str">
        <x:v>Preserve each source's ontology, culture, history, and terminology when making comparisons.</x:v>
      </x:c>
      <x:c r="M31" s="24" t="str">
        <x:v>Core Family</x:v>
      </x:c>
    </x:row>
    <x:row r="32" ht="44" customHeight="1">
      <x:c r="A32" s="24" t="str">
        <x:v>PPL-112</x:v>
      </x:c>
      <x:c r="B32" s="24" t="str">
        <x:v>Lizardfolk and Reptilian Peoples</x:v>
      </x:c>
      <x:c r="C32" s="24" t="str">
        <x:v>People &amp; Beings</x:v>
      </x:c>
      <x:c r="D32" s="24" t="str">
        <x:v>PPL-100</x:v>
      </x:c>
      <x:c r="E32" s="24" t="str">
        <x:f>IF(D32="","",IFERROR(VLOOKUP(D32,$A$2:$B$1656,2,FALSE),""))</x:f>
        <x:v>Mortal and Natural Peoples</x:v>
      </x:c>
      <x:c r="F32" s="24" t="n">
        <x:v>3</x:v>
      </x:c>
      <x:c r="G32" s="24" t="str">
        <x:v>Humanoid reptiles whose settings may emphasize alien cognition, ancient civilizations, survival ecology, or draconic ancestry.</x:v>
      </x:c>
      <x:c r="H32" s="24" t="str">
        <x:v>Source-specific examples may differ biologically, metaphysically, culturally, and morally; map them as analogues unless equivalence is explicit.</x:v>
      </x:c>
      <x:c r="I32" s="24" t="str">
        <x:v>lizardfolk; saurian; argonian-like; reptilian</x:v>
      </x:c>
      <x:c r="J32" s="24" t="str">
        <x:v>Playable ancestry, neighboring civilization, minority people, enemy people, or cultural foil.</x:v>
      </x:c>
      <x:c r="K32" s="24" t="str">
        <x:v>lizardfolk; saurian; argonian-like; reptilian</x:v>
      </x:c>
      <x:c r="L32" s="24" t="str">
        <x:v>Preserve each source's ontology, culture, history, and terminology when making comparisons.</x:v>
      </x:c>
      <x:c r="M32" s="24" t="str">
        <x:v>Core Family</x:v>
      </x:c>
    </x:row>
    <x:row r="33" ht="44" customHeight="1">
      <x:c r="A33" s="24" t="str">
        <x:v>PPL-113</x:v>
      </x:c>
      <x:c r="B33" s="24" t="str">
        <x:v>Serpentfolk, Naga, and Lamia Peoples</x:v>
      </x:c>
      <x:c r="C33" s="24" t="str">
        <x:v>People &amp; Beings</x:v>
      </x:c>
      <x:c r="D33" s="24" t="str">
        <x:v>PPL-100</x:v>
      </x:c>
      <x:c r="E33" s="24" t="str">
        <x:f>IF(D33="","",IFERROR(VLOOKUP(D33,$A$2:$B$1656,2,FALSE),""))</x:f>
        <x:v>Mortal and Natural Peoples</x:v>
      </x:c>
      <x:c r="F33" s="24" t="n">
        <x:v>3</x:v>
      </x:c>
      <x:c r="G33" s="24" t="str">
        <x:v>Humanoid or semi-humanoid serpent beings associated with ancient empires, water, poison, seduction, wisdom, temples, or transformation.</x:v>
      </x:c>
      <x:c r="H33" s="24" t="str">
        <x:v>Source-specific examples may differ biologically, metaphysically, culturally, and morally; map them as analogues unless equivalence is explicit.</x:v>
      </x:c>
      <x:c r="I33" s="24" t="str">
        <x:v>naga; lamia; yuan-ti-like; serpentfolk</x:v>
      </x:c>
      <x:c r="J33" s="24" t="str">
        <x:v>Playable ancestry, neighboring civilization, minority people, enemy people, or cultural foil.</x:v>
      </x:c>
      <x:c r="K33" s="24" t="str">
        <x:v>naga; lamia; yuan-ti-like; serpentfolk</x:v>
      </x:c>
      <x:c r="L33" s="24" t="str">
        <x:v>Naga and lamia arise from distinct South Asian and Mediterranean traditions; preserve source-specific meanings.</x:v>
      </x:c>
      <x:c r="M33" s="24" t="str">
        <x:v>Core Family</x:v>
      </x:c>
    </x:row>
    <x:row r="34" ht="44" customHeight="1">
      <x:c r="A34" s="24" t="str">
        <x:v>PPL-114</x:v>
      </x:c>
      <x:c r="B34" s="24" t="str">
        <x:v>Draconic Humanoid Peoples</x:v>
      </x:c>
      <x:c r="C34" s="24" t="str">
        <x:v>People &amp; Beings</x:v>
      </x:c>
      <x:c r="D34" s="24" t="str">
        <x:v>PPL-100</x:v>
      </x:c>
      <x:c r="E34" s="24" t="str">
        <x:f>IF(D34="","",IFERROR(VLOOKUP(D34,$A$2:$B$1656,2,FALSE),""))</x:f>
        <x:v>Mortal and Natural Peoples</x:v>
      </x:c>
      <x:c r="F34" s="24" t="n">
        <x:v>3</x:v>
      </x:c>
      <x:c r="G34" s="24" t="str">
        <x:v>Humanoid peoples visibly or genealogically linked to dragons through scales, breath, horns, transformation, or engineered descent.</x:v>
      </x:c>
      <x:c r="H34" s="24" t="str">
        <x:v>Source-specific examples may differ biologically, metaphysically, culturally, and morally; map them as analogues unless equivalence is explicit.</x:v>
      </x:c>
      <x:c r="I34" s="24" t="str">
        <x:v>dragonborn; dracthyr-like; half-dragon; dragonkin</x:v>
      </x:c>
      <x:c r="J34" s="24" t="str">
        <x:v>Playable ancestry, neighboring civilization, minority people, enemy people, or cultural foil.</x:v>
      </x:c>
      <x:c r="K34" s="24" t="str">
        <x:v>dragonborn; dracthyr-like; half-dragon; dragonkin</x:v>
      </x:c>
      <x:c r="L34" s="24" t="str">
        <x:v>Preserve each source's ontology, culture, history, and terminology when making comparisons.</x:v>
      </x:c>
      <x:c r="M34" s="24" t="str">
        <x:v>Core Family</x:v>
      </x:c>
    </x:row>
    <x:row r="35" ht="44" customHeight="1">
      <x:c r="A35" s="24" t="str">
        <x:v>PPL-115</x:v>
      </x:c>
      <x:c r="B35" s="24" t="str">
        <x:v>Avian and Winged Humanoid Peoples</x:v>
      </x:c>
      <x:c r="C35" s="24" t="str">
        <x:v>People &amp; Beings</x:v>
      </x:c>
      <x:c r="D35" s="24" t="str">
        <x:v>PPL-100</x:v>
      </x:c>
      <x:c r="E35" s="24" t="str">
        <x:f>IF(D35="","",IFERROR(VLOOKUP(D35,$A$2:$B$1656,2,FALSE),""))</x:f>
        <x:v>Mortal and Natural Peoples</x:v>
      </x:c>
      <x:c r="F35" s="24" t="n">
        <x:v>3</x:v>
      </x:c>
      <x:c r="G35" s="24" t="str">
        <x:v>Humanoids with wings, feathers, bird traits, or a culture organized around flight and altitude.</x:v>
      </x:c>
      <x:c r="H35" s="24" t="str">
        <x:v>Source-specific examples may differ biologically, metaphysically, culturally, and morally; map them as analogues unless equivalence is explicit.</x:v>
      </x:c>
      <x:c r="I35" s="24" t="str">
        <x:v>birdfolk; hawkmen; aarakocra-like; harpy people; winged</x:v>
      </x:c>
      <x:c r="J35" s="24" t="str">
        <x:v>Playable ancestry, neighboring civilization, minority people, enemy people, or cultural foil.</x:v>
      </x:c>
      <x:c r="K35" s="24" t="str">
        <x:v>birdfolk; hawkmen; aarakocra-like; harpy people; winged</x:v>
      </x:c>
      <x:c r="L35" s="24" t="str">
        <x:v>Preserve each source's ontology, culture, history, and terminology when making comparisons.</x:v>
      </x:c>
      <x:c r="M35" s="24" t="str">
        <x:v>Core Family</x:v>
      </x:c>
    </x:row>
    <x:row r="36" ht="44" customHeight="1">
      <x:c r="A36" s="24" t="str">
        <x:v>PPL-116</x:v>
      </x:c>
      <x:c r="B36" s="24" t="str">
        <x:v>Aquatic and Fishfolk Peoples</x:v>
      </x:c>
      <x:c r="C36" s="24" t="str">
        <x:v>People &amp; Beings</x:v>
      </x:c>
      <x:c r="D36" s="24" t="str">
        <x:v>PPL-100</x:v>
      </x:c>
      <x:c r="E36" s="24" t="str">
        <x:f>IF(D36="","",IFERROR(VLOOKUP(D36,$A$2:$B$1656,2,FALSE),""))</x:f>
        <x:v>Mortal and Natural Peoples</x:v>
      </x:c>
      <x:c r="F36" s="24" t="n">
        <x:v>3</x:v>
      </x:c>
      <x:c r="G36" s="24" t="str">
        <x:v>Humanoid peoples adapted to oceans, rivers, reefs, or amphibious life, often with distinct relations to surface civilizations.</x:v>
      </x:c>
      <x:c r="H36" s="24" t="str">
        <x:v>Source-specific examples may differ biologically, metaphysically, culturally, and morally; map them as analogues unless equivalence is explicit.</x:v>
      </x:c>
      <x:c r="I36" s="24" t="str">
        <x:v>merfolk; fishfolk; triton-like; sahuagin-like</x:v>
      </x:c>
      <x:c r="J36" s="24" t="str">
        <x:v>Playable ancestry, neighboring civilization, minority people, enemy people, or cultural foil.</x:v>
      </x:c>
      <x:c r="K36" s="24" t="str">
        <x:v>merfolk; fishfolk; triton-like; sahuagin-like</x:v>
      </x:c>
      <x:c r="L36" s="24" t="str">
        <x:v>Preserve each source's ontology, culture, history, and terminology when making comparisons.</x:v>
      </x:c>
      <x:c r="M36" s="24" t="str">
        <x:v>Core Family</x:v>
      </x:c>
    </x:row>
    <x:row r="37" ht="44" customHeight="1">
      <x:c r="A37" s="24" t="str">
        <x:v>PPL-117</x:v>
      </x:c>
      <x:c r="B37" s="24" t="str">
        <x:v>Amphibian Peoples</x:v>
      </x:c>
      <x:c r="C37" s="24" t="str">
        <x:v>People &amp; Beings</x:v>
      </x:c>
      <x:c r="D37" s="24" t="str">
        <x:v>PPL-100</x:v>
      </x:c>
      <x:c r="E37" s="24" t="str">
        <x:f>IF(D37="","",IFERROR(VLOOKUP(D37,$A$2:$B$1656,2,FALSE),""))</x:f>
        <x:v>Mortal and Natural Peoples</x:v>
      </x:c>
      <x:c r="F37" s="24" t="n">
        <x:v>3</x:v>
      </x:c>
      <x:c r="G37" s="24" t="str">
        <x:v>Frog-, salamander-, or newt-like humanoids whose physiology and culture center on wetlands, metamorphosis, or dual environments.</x:v>
      </x:c>
      <x:c r="H37" s="24" t="str">
        <x:v>Source-specific examples may differ biologically, metaphysically, culturally, and morally; map them as analogues unless equivalence is explicit.</x:v>
      </x:c>
      <x:c r="I37" s="24" t="str">
        <x:v>frogfolk; grippli-like; salamander folk</x:v>
      </x:c>
      <x:c r="J37" s="24" t="str">
        <x:v>Playable ancestry, neighboring civilization, minority people, enemy people, or cultural foil.</x:v>
      </x:c>
      <x:c r="K37" s="24" t="str">
        <x:v>frogfolk; grippli-like; salamander folk</x:v>
      </x:c>
      <x:c r="L37" s="24" t="str">
        <x:v>Preserve each source's ontology, culture, history, and terminology when making comparisons.</x:v>
      </x:c>
      <x:c r="M37" s="24" t="str">
        <x:v>Core Family</x:v>
      </x:c>
    </x:row>
    <x:row r="38" ht="44" customHeight="1">
      <x:c r="A38" s="24" t="str">
        <x:v>PPL-118</x:v>
      </x:c>
      <x:c r="B38" s="24" t="str">
        <x:v>Insectoid Peoples</x:v>
      </x:c>
      <x:c r="C38" s="24" t="str">
        <x:v>People &amp; Beings</x:v>
      </x:c>
      <x:c r="D38" s="24" t="str">
        <x:v>PPL-100</x:v>
      </x:c>
      <x:c r="E38" s="24" t="str">
        <x:f>IF(D38="","",IFERROR(VLOOKUP(D38,$A$2:$B$1656,2,FALSE),""))</x:f>
        <x:v>Mortal and Natural Peoples</x:v>
      </x:c>
      <x:c r="F38" s="24" t="n">
        <x:v>3</x:v>
      </x:c>
      <x:c r="G38" s="24" t="str">
        <x:v>Humanoid or eusocial beings based on insects, often emphasizing caste, metamorphosis, swarm organization, alien perception, or chitinous bodies.</x:v>
      </x:c>
      <x:c r="H38" s="24" t="str">
        <x:v>Source-specific examples may differ biologically, metaphysically, culturally, and morally; map them as analogues unless equivalence is explicit.</x:v>
      </x:c>
      <x:c r="I38" s="24" t="str">
        <x:v>insectfolk; mantis people; ant people; thri-kreen-like</x:v>
      </x:c>
      <x:c r="J38" s="24" t="str">
        <x:v>Playable ancestry, neighboring civilization, minority people, enemy people, or cultural foil.</x:v>
      </x:c>
      <x:c r="K38" s="24" t="str">
        <x:v>insectfolk; mantis people; ant people; thri-kreen-like</x:v>
      </x:c>
      <x:c r="L38" s="24" t="str">
        <x:v>Preserve each source's ontology, culture, history, and terminology when making comparisons.</x:v>
      </x:c>
      <x:c r="M38" s="24" t="str">
        <x:v>Core Family</x:v>
      </x:c>
    </x:row>
    <x:row r="39" ht="44" customHeight="1">
      <x:c r="A39" s="24" t="str">
        <x:v>PPL-119</x:v>
      </x:c>
      <x:c r="B39" s="24" t="str">
        <x:v>Arachnid Peoples</x:v>
      </x:c>
      <x:c r="C39" s="24" t="str">
        <x:v>People &amp; Beings</x:v>
      </x:c>
      <x:c r="D39" s="24" t="str">
        <x:v>PPL-100</x:v>
      </x:c>
      <x:c r="E39" s="24" t="str">
        <x:f>IF(D39="","",IFERROR(VLOOKUP(D39,$A$2:$B$1656,2,FALSE),""))</x:f>
        <x:v>Mortal and Natural Peoples</x:v>
      </x:c>
      <x:c r="F39" s="24" t="n">
        <x:v>3</x:v>
      </x:c>
      <x:c r="G39" s="24" t="str">
        <x:v>Spider- or scorpion-derived peoples, ranging from humanoid societies to predatory or weaving-associated supernatural cultures.</x:v>
      </x:c>
      <x:c r="H39" s="24" t="str">
        <x:v>Source-specific examples may differ biologically, metaphysically, culturally, and morally; map them as analogues unless equivalence is explicit.</x:v>
      </x:c>
      <x:c r="I39" s="24" t="str">
        <x:v>spiderfolk; drider-like; scorpionfolk</x:v>
      </x:c>
      <x:c r="J39" s="24" t="str">
        <x:v>Playable ancestry, neighboring civilization, minority people, enemy people, or cultural foil.</x:v>
      </x:c>
      <x:c r="K39" s="24" t="str">
        <x:v>spiderfolk; drider-like; scorpionfolk</x:v>
      </x:c>
      <x:c r="L39" s="24" t="str">
        <x:v>Preserve each source's ontology, culture, history, and terminology when making comparisons.</x:v>
      </x:c>
      <x:c r="M39" s="24" t="str">
        <x:v>Core Family</x:v>
      </x:c>
    </x:row>
    <x:row r="40" ht="44" customHeight="1">
      <x:c r="A40" s="24" t="str">
        <x:v>PPL-120</x:v>
      </x:c>
      <x:c r="B40" s="24" t="str">
        <x:v>Canine Beastfolk</x:v>
      </x:c>
      <x:c r="C40" s="24" t="str">
        <x:v>People &amp; Beings</x:v>
      </x:c>
      <x:c r="D40" s="24" t="str">
        <x:v>PPL-100</x:v>
      </x:c>
      <x:c r="E40" s="24" t="str">
        <x:f>IF(D40="","",IFERROR(VLOOKUP(D40,$A$2:$B$1656,2,FALSE),""))</x:f>
        <x:v>Mortal and Natural Peoples</x:v>
      </x:c>
      <x:c r="F40" s="24" t="n">
        <x:v>3</x:v>
      </x:c>
      <x:c r="G40" s="24" t="str">
        <x:v>Wolf-, dog-, fox-, or jackal-like humanoids whose archetypes may emphasize packs, loyalty, hunting, liminality, or trickery.</x:v>
      </x:c>
      <x:c r="H40" s="24" t="str">
        <x:v>Source-specific examples may differ biologically, metaphysically, culturally, and morally; map them as analogues unless equivalence is explicit.</x:v>
      </x:c>
      <x:c r="I40" s="24" t="str">
        <x:v>wolfkin; dogfolk; kitsune-like people; jackalfolk</x:v>
      </x:c>
      <x:c r="J40" s="24" t="str">
        <x:v>Playable ancestry, neighboring civilization, minority people, enemy people, or cultural foil.</x:v>
      </x:c>
      <x:c r="K40" s="24" t="str">
        <x:v>wolfkin; dogfolk; kitsune-like people; jackalfolk</x:v>
      </x:c>
      <x:c r="L40" s="24" t="str">
        <x:v>Preserve each source's ontology, culture, history, and terminology when making comparisons.</x:v>
      </x:c>
      <x:c r="M40" s="24" t="str">
        <x:v>Core Family</x:v>
      </x:c>
    </x:row>
    <x:row r="41" ht="44" customHeight="1">
      <x:c r="A41" s="24" t="str">
        <x:v>PPL-121</x:v>
      </x:c>
      <x:c r="B41" s="24" t="str">
        <x:v>Feline Beastfolk</x:v>
      </x:c>
      <x:c r="C41" s="24" t="str">
        <x:v>People &amp; Beings</x:v>
      </x:c>
      <x:c r="D41" s="24" t="str">
        <x:v>PPL-100</x:v>
      </x:c>
      <x:c r="E41" s="24" t="str">
        <x:f>IF(D41="","",IFERROR(VLOOKUP(D41,$A$2:$B$1656,2,FALSE),""))</x:f>
        <x:v>Mortal and Natural Peoples</x:v>
      </x:c>
      <x:c r="F41" s="24" t="n">
        <x:v>3</x:v>
      </x:c>
      <x:c r="G41" s="24" t="str">
        <x:v>Cat-, lion-, tiger-, or panther-like humanoids associated with agility, pride, curiosity, hunting, royal symbolism, or nomadism.</x:v>
      </x:c>
      <x:c r="H41" s="24" t="str">
        <x:v>Source-specific examples may differ biologically, metaphysically, culturally, and morally; map them as analogues unless equivalence is explicit.</x:v>
      </x:c>
      <x:c r="I41" s="24" t="str">
        <x:v>catfolk; tabaxi-like; leonine; tigerfolk</x:v>
      </x:c>
      <x:c r="J41" s="24" t="str">
        <x:v>Playable ancestry, neighboring civilization, minority people, enemy people, or cultural foil.</x:v>
      </x:c>
      <x:c r="K41" s="24" t="str">
        <x:v>catfolk; tabaxi-like; leonine; tigerfolk</x:v>
      </x:c>
      <x:c r="L41" s="24" t="str">
        <x:v>Preserve each source's ontology, culture, history, and terminology when making comparisons.</x:v>
      </x:c>
      <x:c r="M41" s="24" t="str">
        <x:v>Core Family</x:v>
      </x:c>
    </x:row>
    <x:row r="42" ht="44" customHeight="1">
      <x:c r="A42" s="24" t="str">
        <x:v>PPL-122</x:v>
      </x:c>
      <x:c r="B42" s="24" t="str">
        <x:v>Ursine Beastfolk</x:v>
      </x:c>
      <x:c r="C42" s="24" t="str">
        <x:v>People &amp; Beings</x:v>
      </x:c>
      <x:c r="D42" s="24" t="str">
        <x:v>PPL-100</x:v>
      </x:c>
      <x:c r="E42" s="24" t="str">
        <x:f>IF(D42="","",IFERROR(VLOOKUP(D42,$A$2:$B$1656,2,FALSE),""))</x:f>
        <x:v>Mortal and Natural Peoples</x:v>
      </x:c>
      <x:c r="F42" s="24" t="n">
        <x:v>3</x:v>
      </x:c>
      <x:c r="G42" s="24" t="str">
        <x:v>Bear-like humanoids commonly associated with strength, endurance, wilderness guardianship, hibernation, or shamanic symbolism.</x:v>
      </x:c>
      <x:c r="H42" s="24" t="str">
        <x:v>Source-specific examples may differ biologically, metaphysically, culturally, and morally; map them as analogues unless equivalence is explicit.</x:v>
      </x:c>
      <x:c r="I42" s="24" t="str">
        <x:v>bearfolk; ursine people</x:v>
      </x:c>
      <x:c r="J42" s="24" t="str">
        <x:v>Playable ancestry, neighboring civilization, minority people, enemy people, or cultural foil.</x:v>
      </x:c>
      <x:c r="K42" s="24" t="str">
        <x:v>bearfolk; ursine people</x:v>
      </x:c>
      <x:c r="L42" s="24" t="str">
        <x:v>Preserve each source's ontology, culture, history, and terminology when making comparisons.</x:v>
      </x:c>
      <x:c r="M42" s="24" t="str">
        <x:v>Core Family</x:v>
      </x:c>
    </x:row>
    <x:row r="43" ht="44" customHeight="1">
      <x:c r="A43" s="24" t="str">
        <x:v>PPL-123</x:v>
      </x:c>
      <x:c r="B43" s="24" t="str">
        <x:v>Bovine and Caprine Beastfolk</x:v>
      </x:c>
      <x:c r="C43" s="24" t="str">
        <x:v>People &amp; Beings</x:v>
      </x:c>
      <x:c r="D43" s="24" t="str">
        <x:v>PPL-100</x:v>
      </x:c>
      <x:c r="E43" s="24" t="str">
        <x:f>IF(D43="","",IFERROR(VLOOKUP(D43,$A$2:$B$1656,2,FALSE),""))</x:f>
        <x:v>Mortal and Natural Peoples</x:v>
      </x:c>
      <x:c r="F43" s="24" t="n">
        <x:v>3</x:v>
      </x:c>
      <x:c r="G43" s="24" t="str">
        <x:v>Bull-, cow-, goat-, sheep-, or ram-like humanoids associated with strength, pastoralism, labyrinths, fertility, stubbornness, or sacrifice.</x:v>
      </x:c>
      <x:c r="H43" s="24" t="str">
        <x:v>Source-specific examples may differ biologically, metaphysically, culturally, and morally; map them as analogues unless equivalence is explicit.</x:v>
      </x:c>
      <x:c r="I43" s="24" t="str">
        <x:v>minotaur; tauren-like; satyr-like; goatfolk</x:v>
      </x:c>
      <x:c r="J43" s="24" t="str">
        <x:v>Playable ancestry, neighboring civilization, minority people, enemy people, or cultural foil.</x:v>
      </x:c>
      <x:c r="K43" s="24" t="str">
        <x:v>minotaur; tauren-like; satyr-like; goatfolk</x:v>
      </x:c>
      <x:c r="L43" s="24" t="str">
        <x:v>Preserve each source's ontology, culture, history, and terminology when making comparisons.</x:v>
      </x:c>
      <x:c r="M43" s="24" t="str">
        <x:v>Core Family</x:v>
      </x:c>
    </x:row>
    <x:row r="44" ht="44" customHeight="1">
      <x:c r="A44" s="24" t="str">
        <x:v>PPL-124</x:v>
      </x:c>
      <x:c r="B44" s="24" t="str">
        <x:v>Cervine Beastfolk</x:v>
      </x:c>
      <x:c r="C44" s="24" t="str">
        <x:v>People &amp; Beings</x:v>
      </x:c>
      <x:c r="D44" s="24" t="str">
        <x:v>PPL-100</x:v>
      </x:c>
      <x:c r="E44" s="24" t="str">
        <x:f>IF(D44="","",IFERROR(VLOOKUP(D44,$A$2:$B$1656,2,FALSE),""))</x:f>
        <x:v>Mortal and Natural Peoples</x:v>
      </x:c>
      <x:c r="F44" s="24" t="n">
        <x:v>3</x:v>
      </x:c>
      <x:c r="G44" s="24" t="str">
        <x:v>Deer-, elk-, or antelope-like humanoids linked with forests, grace, speed, seasonal cycles, or sacred kingship.</x:v>
      </x:c>
      <x:c r="H44" s="24" t="str">
        <x:v>Source-specific examples may differ biologically, metaphysically, culturally, and morally; map them as analogues unless equivalence is explicit.</x:v>
      </x:c>
      <x:c r="I44" s="24" t="str">
        <x:v>deerfolk; elkfolk; cervitaur</x:v>
      </x:c>
      <x:c r="J44" s="24" t="str">
        <x:v>Playable ancestry, neighboring civilization, minority people, enemy people, or cultural foil.</x:v>
      </x:c>
      <x:c r="K44" s="24" t="str">
        <x:v>deerfolk; elkfolk; cervitaur</x:v>
      </x:c>
      <x:c r="L44" s="24" t="str">
        <x:v>Preserve each source's ontology, culture, history, and terminology when making comparisons.</x:v>
      </x:c>
      <x:c r="M44" s="24" t="str">
        <x:v>Core Family</x:v>
      </x:c>
    </x:row>
    <x:row r="45" ht="44" customHeight="1">
      <x:c r="A45" s="24" t="str">
        <x:v>PPL-125</x:v>
      </x:c>
      <x:c r="B45" s="24" t="str">
        <x:v>Equine and Centaur Peoples</x:v>
      </x:c>
      <x:c r="C45" s="24" t="str">
        <x:v>People &amp; Beings</x:v>
      </x:c>
      <x:c r="D45" s="24" t="str">
        <x:v>PPL-100</x:v>
      </x:c>
      <x:c r="E45" s="24" t="str">
        <x:f>IF(D45="","",IFERROR(VLOOKUP(D45,$A$2:$B$1656,2,FALSE),""))</x:f>
        <x:v>Mortal and Natural Peoples</x:v>
      </x:c>
      <x:c r="F45" s="24" t="n">
        <x:v>3</x:v>
      </x:c>
      <x:c r="G45" s="24" t="str">
        <x:v>Horse-like or horse-bodied peoples emphasizing mobility, steppe life, archery, prophecy, wildness, or a dual human-animal body.</x:v>
      </x:c>
      <x:c r="H45" s="24" t="str">
        <x:v>Source-specific examples may differ biologically, metaphysically, culturally, and morally; map them as analogues unless equivalence is explicit.</x:v>
      </x:c>
      <x:c r="I45" s="24" t="str">
        <x:v>centaur; horsefolk; ponyfolk</x:v>
      </x:c>
      <x:c r="J45" s="24" t="str">
        <x:v>Playable ancestry, neighboring civilization, minority people, enemy people, or cultural foil.</x:v>
      </x:c>
      <x:c r="K45" s="24" t="str">
        <x:v>centaur; horsefolk; ponyfolk</x:v>
      </x:c>
      <x:c r="L45" s="24" t="str">
        <x:v>Preserve each source's ontology, culture, history, and terminology when making comparisons.</x:v>
      </x:c>
      <x:c r="M45" s="24" t="str">
        <x:v>Core Family</x:v>
      </x:c>
    </x:row>
    <x:row r="46" ht="44" customHeight="1">
      <x:c r="A46" s="24" t="str">
        <x:v>PPL-126</x:v>
      </x:c>
      <x:c r="B46" s="24" t="str">
        <x:v>Rodent and Lagomorph Peoples</x:v>
      </x:c>
      <x:c r="C46" s="24" t="str">
        <x:v>People &amp; Beings</x:v>
      </x:c>
      <x:c r="D46" s="24" t="str">
        <x:v>PPL-100</x:v>
      </x:c>
      <x:c r="E46" s="24" t="str">
        <x:f>IF(D46="","",IFERROR(VLOOKUP(D46,$A$2:$B$1656,2,FALSE),""))</x:f>
        <x:v>Mortal and Natural Peoples</x:v>
      </x:c>
      <x:c r="F46" s="24" t="n">
        <x:v>3</x:v>
      </x:c>
      <x:c r="G46" s="24" t="str">
        <x:v>Mouse-, rat-, rabbit-, or hare-like peoples often associated with survival, burrows, speed, fertility, ingenuity, or plague imagery.</x:v>
      </x:c>
      <x:c r="H46" s="24" t="str">
        <x:v>Source-specific examples may differ biologically, metaphysically, culturally, and morally; map them as analogues unless equivalence is explicit.</x:v>
      </x:c>
      <x:c r="I46" s="24" t="str">
        <x:v>ratfolk; skaven-like; mousefolk; rabbitfolk; viera-like</x:v>
      </x:c>
      <x:c r="J46" s="24" t="str">
        <x:v>Playable ancestry, neighboring civilization, minority people, enemy people, or cultural foil.</x:v>
      </x:c>
      <x:c r="K46" s="24" t="str">
        <x:v>ratfolk; skaven-like; mousefolk; rabbitfolk; viera-like</x:v>
      </x:c>
      <x:c r="L46" s="24" t="str">
        <x:v>Preserve each source's ontology, culture, history, and terminology when making comparisons.</x:v>
      </x:c>
      <x:c r="M46" s="24" t="str">
        <x:v>Core Family</x:v>
      </x:c>
    </x:row>
    <x:row r="47" ht="44" customHeight="1">
      <x:c r="A47" s="24" t="str">
        <x:v>PPL-127</x:v>
      </x:c>
      <x:c r="B47" s="24" t="str">
        <x:v>Simian Peoples</x:v>
      </x:c>
      <x:c r="C47" s="24" t="str">
        <x:v>People &amp; Beings</x:v>
      </x:c>
      <x:c r="D47" s="24" t="str">
        <x:v>PPL-100</x:v>
      </x:c>
      <x:c r="E47" s="24" t="str">
        <x:f>IF(D47="","",IFERROR(VLOOKUP(D47,$A$2:$B$1656,2,FALSE),""))</x:f>
        <x:v>Mortal and Natural Peoples</x:v>
      </x:c>
      <x:c r="F47" s="24" t="n">
        <x:v>3</x:v>
      </x:c>
      <x:c r="G47" s="24" t="str">
        <x:v>Ape- or monkey-like peoples associated with agility, martial prowess, trickster divinity, jungle societies, or uplifted intelligence.</x:v>
      </x:c>
      <x:c r="H47" s="24" t="str">
        <x:v>Source-specific examples may differ biologically, metaphysically, culturally, and morally; map them as analogues unless equivalence is explicit.</x:v>
      </x:c>
      <x:c r="I47" s="24" t="str">
        <x:v>ape folk; monkey people; vanara-like</x:v>
      </x:c>
      <x:c r="J47" s="24" t="str">
        <x:v>Playable ancestry, neighboring civilization, minority people, enemy people, or cultural foil.</x:v>
      </x:c>
      <x:c r="K47" s="24" t="str">
        <x:v>ape folk; monkey people; vanara-like</x:v>
      </x:c>
      <x:c r="L47" s="24" t="str">
        <x:v>Preserve each source's ontology, culture, history, and terminology when making comparisons.</x:v>
      </x:c>
      <x:c r="M47" s="24" t="str">
        <x:v>Core Family</x:v>
      </x:c>
    </x:row>
    <x:row r="48" ht="44" customHeight="1">
      <x:c r="A48" s="24" t="str">
        <x:v>PPL-128</x:v>
      </x:c>
      <x:c r="B48" s="24" t="str">
        <x:v>Boar and Swine Peoples</x:v>
      </x:c>
      <x:c r="C48" s="24" t="str">
        <x:v>People &amp; Beings</x:v>
      </x:c>
      <x:c r="D48" s="24" t="str">
        <x:v>PPL-100</x:v>
      </x:c>
      <x:c r="E48" s="24" t="str">
        <x:f>IF(D48="","",IFERROR(VLOOKUP(D48,$A$2:$B$1656,2,FALSE),""))</x:f>
        <x:v>Mortal and Natural Peoples</x:v>
      </x:c>
      <x:c r="F48" s="24" t="n">
        <x:v>3</x:v>
      </x:c>
      <x:c r="G48" s="24" t="str">
        <x:v>Boar- or pig-like humanoids linked with ferocity, appetite, stubbornness, warrior culture, or forest ecology.</x:v>
      </x:c>
      <x:c r="H48" s="24" t="str">
        <x:v>Source-specific examples may differ biologically, metaphysically, culturally, and morally; map them as analogues unless equivalence is explicit.</x:v>
      </x:c>
      <x:c r="I48" s="24" t="str">
        <x:v>boarfolk; pigfolk</x:v>
      </x:c>
      <x:c r="J48" s="24" t="str">
        <x:v>Playable ancestry, neighboring civilization, minority people, enemy people, or cultural foil.</x:v>
      </x:c>
      <x:c r="K48" s="24" t="str">
        <x:v>boarfolk; pigfolk</x:v>
      </x:c>
      <x:c r="L48" s="24" t="str">
        <x:v>Preserve each source's ontology, culture, history, and terminology when making comparisons.</x:v>
      </x:c>
      <x:c r="M48" s="24" t="str">
        <x:v>Core Family</x:v>
      </x:c>
    </x:row>
    <x:row r="49" ht="44" customHeight="1">
      <x:c r="A49" s="24" t="str">
        <x:v>PPL-129</x:v>
      </x:c>
      <x:c r="B49" s="24" t="str">
        <x:v>Hyena and Jackal Peoples</x:v>
      </x:c>
      <x:c r="C49" s="24" t="str">
        <x:v>People &amp; Beings</x:v>
      </x:c>
      <x:c r="D49" s="24" t="str">
        <x:v>PPL-100</x:v>
      </x:c>
      <x:c r="E49" s="24" t="str">
        <x:f>IF(D49="","",IFERROR(VLOOKUP(D49,$A$2:$B$1656,2,FALSE),""))</x:f>
        <x:v>Mortal and Natural Peoples</x:v>
      </x:c>
      <x:c r="F49" s="24" t="n">
        <x:v>3</x:v>
      </x:c>
      <x:c r="G49" s="24" t="str">
        <x:v>Scavenger-predator humanoids commonly used for pack warfare, funerary symbolism, survival, or demonized outsider cultures.</x:v>
      </x:c>
      <x:c r="H49" s="24" t="str">
        <x:v>Source-specific examples may differ biologically, metaphysically, culturally, and morally; map them as analogues unless equivalence is explicit.</x:v>
      </x:c>
      <x:c r="I49" s="24" t="str">
        <x:v>gnoll-like; hyenafolk; jackalfolk</x:v>
      </x:c>
      <x:c r="J49" s="24" t="str">
        <x:v>Playable ancestry, neighboring civilization, minority people, enemy people, or cultural foil.</x:v>
      </x:c>
      <x:c r="K49" s="24" t="str">
        <x:v>gnoll-like; hyenafolk; jackalfolk</x:v>
      </x:c>
      <x:c r="L49" s="24" t="str">
        <x:v>Preserve each source's ontology, culture, history, and terminology when making comparisons.</x:v>
      </x:c>
      <x:c r="M49" s="24" t="str">
        <x:v>Core Family</x:v>
      </x:c>
    </x:row>
    <x:row r="50" ht="44" customHeight="1">
      <x:c r="A50" s="24" t="str">
        <x:v>PPL-130</x:v>
      </x:c>
      <x:c r="B50" s="24" t="str">
        <x:v>Elephantine and Rhinoceros Peoples</x:v>
      </x:c>
      <x:c r="C50" s="24" t="str">
        <x:v>People &amp; Beings</x:v>
      </x:c>
      <x:c r="D50" s="24" t="str">
        <x:v>PPL-100</x:v>
      </x:c>
      <x:c r="E50" s="24" t="str">
        <x:f>IF(D50="","",IFERROR(VLOOKUP(D50,$A$2:$B$1656,2,FALSE),""))</x:f>
        <x:v>Mortal and Natural Peoples</x:v>
      </x:c>
      <x:c r="F50" s="24" t="n">
        <x:v>3</x:v>
      </x:c>
      <x:c r="G50" s="24" t="str">
        <x:v>Large pachyderm-like humanoids associated with memory, strength, desert or savanna cultures, and monumental social roles.</x:v>
      </x:c>
      <x:c r="H50" s="24" t="str">
        <x:v>Source-specific examples may differ biologically, metaphysically, culturally, and morally; map them as analogues unless equivalence is explicit.</x:v>
      </x:c>
      <x:c r="I50" s="24" t="str">
        <x:v>elephantfolk; loxodon-like; rhinofolk</x:v>
      </x:c>
      <x:c r="J50" s="24" t="str">
        <x:v>Playable ancestry, neighboring civilization, minority people, enemy people, or cultural foil.</x:v>
      </x:c>
      <x:c r="K50" s="24" t="str">
        <x:v>elephantfolk; loxodon-like; rhinofolk</x:v>
      </x:c>
      <x:c r="L50" s="24" t="str">
        <x:v>Preserve each source's ontology, culture, history, and terminology when making comparisons.</x:v>
      </x:c>
      <x:c r="M50" s="24" t="str">
        <x:v>Core Family</x:v>
      </x:c>
    </x:row>
    <x:row r="51" ht="44" customHeight="1">
      <x:c r="A51" s="24" t="str">
        <x:v>PPL-131</x:v>
      </x:c>
      <x:c r="B51" s="24" t="str">
        <x:v>General Beastfolk</x:v>
      </x:c>
      <x:c r="C51" s="24" t="str">
        <x:v>People &amp; Beings</x:v>
      </x:c>
      <x:c r="D51" s="24" t="str">
        <x:v>PPL-100</x:v>
      </x:c>
      <x:c r="E51" s="24" t="str">
        <x:f>IF(D51="","",IFERROR(VLOOKUP(D51,$A$2:$B$1656,2,FALSE),""))</x:f>
        <x:v>Mortal and Natural Peoples</x:v>
      </x:c>
      <x:c r="F51" s="24" t="n">
        <x:v>3</x:v>
      </x:c>
      <x:c r="G51" s="24" t="str">
        <x:v>Anthropomorphic animal peoples not usefully captured by a narrower lineage, or settings where animal form is the primary social taxonomy.</x:v>
      </x:c>
      <x:c r="H51" s="24" t="str">
        <x:v>Source-specific examples may differ biologically, metaphysically, culturally, and morally; map them as analogues unless equivalence is explicit.</x:v>
      </x:c>
      <x:c r="I51" s="24" t="str">
        <x:v>beastfolk; kemonomimi; animal people</x:v>
      </x:c>
      <x:c r="J51" s="24" t="str">
        <x:v>Playable ancestry, neighboring civilization, minority people, enemy people, or cultural foil.</x:v>
      </x:c>
      <x:c r="K51" s="24" t="str">
        <x:v>beastfolk; kemonomimi; animal people</x:v>
      </x:c>
      <x:c r="L51" s="24" t="str">
        <x:v>Differentiate full anthropomorphic peoples from humans with cosmetic animal traits.</x:v>
      </x:c>
      <x:c r="M51" s="24" t="str">
        <x:v>Core Family</x:v>
      </x:c>
    </x:row>
    <x:row r="52" ht="44" customHeight="1">
      <x:c r="A52" s="24" t="str">
        <x:v>PPL-201</x:v>
      </x:c>
      <x:c r="B52" s="24" t="str">
        <x:v>Courtly Fae</x:v>
      </x:c>
      <x:c r="C52" s="24" t="str">
        <x:v>People &amp; Beings</x:v>
      </x:c>
      <x:c r="D52" s="24" t="str">
        <x:v>PPL-200</x:v>
      </x:c>
      <x:c r="E52" s="24" t="str">
        <x:f>IF(D52="","",IFERROR(VLOOKUP(D52,$A$2:$B$1656,2,FALSE),""))</x:f>
        <x:v>Fae, Nature, and Liminal Beings</x:v>
      </x:c>
      <x:c r="F52" s="24" t="n">
        <x:v>3</x:v>
      </x:c>
      <x:c r="G52" s="24" t="str">
        <x:v>Powerful otherworldly beings organized into courts, noble houses, seasonal factions, or etiquette-bound hierarchies.</x:v>
      </x:c>
      <x:c r="H52" s="24" t="str">
        <x:v>Source-specific examples may differ biologically, metaphysically, culturally, and morally; map them as analogues unless equivalence is explicit.</x:v>
      </x:c>
      <x:c r="I52" s="24" t="str">
        <x:v>high fae; sidhe-like; faerie nobility</x:v>
      </x:c>
      <x:c r="J52" s="24" t="str">
        <x:v>Threshold guardian, tempter, patron, ecological embodiment, uncanny neighbor, or alternate aristocracy.</x:v>
      </x:c>
      <x:c r="K52" s="24" t="str">
        <x:v>high fae; sidhe-like; faerie nobility</x:v>
      </x:c>
      <x:c r="L52" s="24" t="str">
        <x:v>Preserve each source's ontology, culture, history, and terminology when making comparisons.</x:v>
      </x:c>
      <x:c r="M52" s="24" t="str">
        <x:v>Core Family</x:v>
      </x:c>
    </x:row>
    <x:row r="53" ht="44" customHeight="1">
      <x:c r="A53" s="24" t="str">
        <x:v>PPL-202</x:v>
      </x:c>
      <x:c r="B53" s="24" t="str">
        <x:v>Pixies, Sprites, and Tiny Fae</x:v>
      </x:c>
      <x:c r="C53" s="24" t="str">
        <x:v>People &amp; Beings</x:v>
      </x:c>
      <x:c r="D53" s="24" t="str">
        <x:v>PPL-200</x:v>
      </x:c>
      <x:c r="E53" s="24" t="str">
        <x:f>IF(D53="","",IFERROR(VLOOKUP(D53,$A$2:$B$1656,2,FALSE),""))</x:f>
        <x:v>Fae, Nature, and Liminal Beings</x:v>
      </x:c>
      <x:c r="F53" s="24" t="n">
        <x:v>3</x:v>
      </x:c>
      <x:c r="G53" s="24" t="str">
        <x:v>Small winged or luminous beings associated with mischief, guidance, nature, domestic magic, or capricious bargains.</x:v>
      </x:c>
      <x:c r="H53" s="24" t="str">
        <x:v>Source-specific examples may differ biologically, metaphysically, culturally, and morally; map them as analogues unless equivalence is explicit.</x:v>
      </x:c>
      <x:c r="I53" s="24" t="str">
        <x:v>pixie; sprite; fairy; faerie</x:v>
      </x:c>
      <x:c r="J53" s="24" t="str">
        <x:v>Threshold guardian, tempter, patron, ecological embodiment, uncanny neighbor, or alternate aristocracy.</x:v>
      </x:c>
      <x:c r="K53" s="24" t="str">
        <x:v>pixie; sprite; fairy; faerie</x:v>
      </x:c>
      <x:c r="L53" s="24" t="str">
        <x:v>Preserve each source's ontology, culture, history, and terminology when making comparisons.</x:v>
      </x:c>
      <x:c r="M53" s="24" t="str">
        <x:v>Core Family</x:v>
      </x:c>
    </x:row>
    <x:row r="54" ht="44" customHeight="1">
      <x:c r="A54" s="24" t="str">
        <x:v>PPL-203</x:v>
      </x:c>
      <x:c r="B54" s="24" t="str">
        <x:v>Dryads and Tree-Bound Beings</x:v>
      </x:c>
      <x:c r="C54" s="24" t="str">
        <x:v>People &amp; Beings</x:v>
      </x:c>
      <x:c r="D54" s="24" t="str">
        <x:v>PPL-200</x:v>
      </x:c>
      <x:c r="E54" s="24" t="str">
        <x:f>IF(D54="","",IFERROR(VLOOKUP(D54,$A$2:$B$1656,2,FALSE),""))</x:f>
        <x:v>Fae, Nature, and Liminal Beings</x:v>
      </x:c>
      <x:c r="F54" s="24" t="n">
        <x:v>3</x:v>
      </x:c>
      <x:c r="G54" s="24" t="str">
        <x:v>People or spirits embodied in trees, groves, woodlands, or plant life and often vulnerable to damage to their locus.</x:v>
      </x:c>
      <x:c r="H54" s="24" t="str">
        <x:v>Source-specific examples may differ biologically, metaphysically, culturally, and morally; map them as analogues unless equivalence is explicit.</x:v>
      </x:c>
      <x:c r="I54" s="24" t="str">
        <x:v>dryad; hamadryad; treant-person; tree spirit</x:v>
      </x:c>
      <x:c r="J54" s="24" t="str">
        <x:v>Threshold guardian, tempter, patron, ecological embodiment, uncanny neighbor, or alternate aristocracy.</x:v>
      </x:c>
      <x:c r="K54" s="24" t="str">
        <x:v>dryad; hamadryad; treant-person; tree spirit</x:v>
      </x:c>
      <x:c r="L54" s="24" t="str">
        <x:v>Preserve each source's ontology, culture, history, and terminology when making comparisons.</x:v>
      </x:c>
      <x:c r="M54" s="24" t="str">
        <x:v>Core Family</x:v>
      </x:c>
    </x:row>
    <x:row r="55" ht="44" customHeight="1">
      <x:c r="A55" s="24" t="str">
        <x:v>PPL-204</x:v>
      </x:c>
      <x:c r="B55" s="24" t="str">
        <x:v>Nymphs and Place-Bound Nature Spirits</x:v>
      </x:c>
      <x:c r="C55" s="24" t="str">
        <x:v>People &amp; Beings</x:v>
      </x:c>
      <x:c r="D55" s="24" t="str">
        <x:v>PPL-200</x:v>
      </x:c>
      <x:c r="E55" s="24" t="str">
        <x:f>IF(D55="","",IFERROR(VLOOKUP(D55,$A$2:$B$1656,2,FALSE),""))</x:f>
        <x:v>Fae, Nature, and Liminal Beings</x:v>
      </x:c>
      <x:c r="F55" s="24" t="n">
        <x:v>3</x:v>
      </x:c>
      <x:c r="G55" s="24" t="str">
        <x:v>Personified spirits of rivers, springs, mountains, clouds, seas, or other natural locations.</x:v>
      </x:c>
      <x:c r="H55" s="24" t="str">
        <x:v>Source-specific examples may differ biologically, metaphysically, culturally, and morally; map them as analogues unless equivalence is explicit.</x:v>
      </x:c>
      <x:c r="I55" s="24" t="str">
        <x:v>nymph; naiad; oread; nereid</x:v>
      </x:c>
      <x:c r="J55" s="24" t="str">
        <x:v>Threshold guardian, tempter, patron, ecological embodiment, uncanny neighbor, or alternate aristocracy.</x:v>
      </x:c>
      <x:c r="K55" s="24" t="str">
        <x:v>nymph; naiad; oread; nereid</x:v>
      </x:c>
      <x:c r="L55" s="24" t="str">
        <x:v>Preserve each source's ontology, culture, history, and terminology when making comparisons.</x:v>
      </x:c>
      <x:c r="M55" s="24" t="str">
        <x:v>Core Family</x:v>
      </x:c>
    </x:row>
    <x:row r="56" ht="44" customHeight="1">
      <x:c r="A56" s="24" t="str">
        <x:v>PPL-205</x:v>
      </x:c>
      <x:c r="B56" s="24" t="str">
        <x:v>Household and Hearth Spirits</x:v>
      </x:c>
      <x:c r="C56" s="24" t="str">
        <x:v>People &amp; Beings</x:v>
      </x:c>
      <x:c r="D56" s="24" t="str">
        <x:v>PPL-200</x:v>
      </x:c>
      <x:c r="E56" s="24" t="str">
        <x:f>IF(D56="","",IFERROR(VLOOKUP(D56,$A$2:$B$1656,2,FALSE),""))</x:f>
        <x:v>Fae, Nature, and Liminal Beings</x:v>
      </x:c>
      <x:c r="F56" s="24" t="n">
        <x:v>3</x:v>
      </x:c>
      <x:c r="G56" s="24" t="str">
        <x:v>Small local beings that protect, trouble, or inhabit homes, workshops, farms, or family lines.</x:v>
      </x:c>
      <x:c r="H56" s="24" t="str">
        <x:v>Source-specific examples may differ biologically, metaphysically, culturally, and morally; map them as analogues unless equivalence is explicit.</x:v>
      </x:c>
      <x:c r="I56" s="24" t="str">
        <x:v>brownie; domovoi-like; kobold-spirit; hearth spirit</x:v>
      </x:c>
      <x:c r="J56" s="24" t="str">
        <x:v>Threshold guardian, tempter, patron, ecological embodiment, uncanny neighbor, or alternate aristocracy.</x:v>
      </x:c>
      <x:c r="K56" s="24" t="str">
        <x:v>brownie; domovoi-like; kobold-spirit; hearth spirit</x:v>
      </x:c>
      <x:c r="L56" s="24" t="str">
        <x:v>Preserve each source's ontology, culture, history, and terminology when making comparisons.</x:v>
      </x:c>
      <x:c r="M56" s="24" t="str">
        <x:v>Core Family</x:v>
      </x:c>
    </x:row>
    <x:row r="57" ht="44" customHeight="1">
      <x:c r="A57" s="24" t="str">
        <x:v>PPL-206</x:v>
      </x:c>
      <x:c r="B57" s="24" t="str">
        <x:v>Land and Watershed Spirits</x:v>
      </x:c>
      <x:c r="C57" s="24" t="str">
        <x:v>People &amp; Beings</x:v>
      </x:c>
      <x:c r="D57" s="24" t="str">
        <x:v>PPL-200</x:v>
      </x:c>
      <x:c r="E57" s="24" t="str">
        <x:f>IF(D57="","",IFERROR(VLOOKUP(D57,$A$2:$B$1656,2,FALSE),""))</x:f>
        <x:v>Fae, Nature, and Liminal Beings</x:v>
      </x:c>
      <x:c r="F57" s="24" t="n">
        <x:v>3</x:v>
      </x:c>
      <x:c r="G57" s="24" t="str">
        <x:v>Spirits representing a territory, river system, forest, mountain, or ecological whole.</x:v>
      </x:c>
      <x:c r="H57" s="24" t="str">
        <x:v>Source-specific examples may differ biologically, metaphysically, culturally, and morally; map them as analogues unless equivalence is explicit.</x:v>
      </x:c>
      <x:c r="I57" s="24" t="str">
        <x:v>genius loci; river spirit; mountain spirit</x:v>
      </x:c>
      <x:c r="J57" s="24" t="str">
        <x:v>Threshold guardian, tempter, patron, ecological embodiment, uncanny neighbor, or alternate aristocracy.</x:v>
      </x:c>
      <x:c r="K57" s="24" t="str">
        <x:v>genius loci; river spirit; mountain spirit</x:v>
      </x:c>
      <x:c r="L57" s="24" t="str">
        <x:v>Preserve each source's ontology, culture, history, and terminology when making comparisons.</x:v>
      </x:c>
      <x:c r="M57" s="24" t="str">
        <x:v>Core Family</x:v>
      </x:c>
    </x:row>
    <x:row r="58" ht="44" customHeight="1">
      <x:c r="A58" s="24" t="str">
        <x:v>PPL-207</x:v>
      </x:c>
      <x:c r="B58" s="24" t="str">
        <x:v>Trickster Fae</x:v>
      </x:c>
      <x:c r="C58" s="24" t="str">
        <x:v>People &amp; Beings</x:v>
      </x:c>
      <x:c r="D58" s="24" t="str">
        <x:v>PPL-200</x:v>
      </x:c>
      <x:c r="E58" s="24" t="str">
        <x:f>IF(D58="","",IFERROR(VLOOKUP(D58,$A$2:$B$1656,2,FALSE),""))</x:f>
        <x:v>Fae, Nature, and Liminal Beings</x:v>
      </x:c>
      <x:c r="F58" s="24" t="n">
        <x:v>3</x:v>
      </x:c>
      <x:c r="G58" s="24" t="str">
        <x:v>Otherworldly beings whose defining function is deception, inversion, riddling, testing, or destabilizing social rules.</x:v>
      </x:c>
      <x:c r="H58" s="24" t="str">
        <x:v>Source-specific examples may differ biologically, metaphysically, culturally, and morally; map them as analogues unless equivalence is explicit.</x:v>
      </x:c>
      <x:c r="I58" s="24" t="str">
        <x:v>puck-like; boggart; trickster fairy</x:v>
      </x:c>
      <x:c r="J58" s="24" t="str">
        <x:v>Threshold guardian, tempter, patron, ecological embodiment, uncanny neighbor, or alternate aristocracy.</x:v>
      </x:c>
      <x:c r="K58" s="24" t="str">
        <x:v>puck-like; boggart; trickster fairy</x:v>
      </x:c>
      <x:c r="L58" s="24" t="str">
        <x:v>Preserve each source's ontology, culture, history, and terminology when making comparisons.</x:v>
      </x:c>
      <x:c r="M58" s="24" t="str">
        <x:v>Core Family</x:v>
      </x:c>
    </x:row>
    <x:row r="59" ht="44" customHeight="1">
      <x:c r="A59" s="24" t="str">
        <x:v>PPL-208</x:v>
      </x:c>
      <x:c r="B59" s="24" t="str">
        <x:v>Changelings</x:v>
      </x:c>
      <x:c r="C59" s="24" t="str">
        <x:v>People &amp; Beings</x:v>
      </x:c>
      <x:c r="D59" s="24" t="str">
        <x:v>PPL-200</x:v>
      </x:c>
      <x:c r="E59" s="24" t="str">
        <x:f>IF(D59="","",IFERROR(VLOOKUP(D59,$A$2:$B$1656,2,FALSE),""))</x:f>
        <x:v>Fae, Nature, and Liminal Beings</x:v>
      </x:c>
      <x:c r="F59" s="24" t="n">
        <x:v>3</x:v>
      </x:c>
      <x:c r="G59" s="24" t="str">
        <x:v>Beings exchanged for, disguised as, or raised among mortals, creating uncertainty about kinship and identity.</x:v>
      </x:c>
      <x:c r="H59" s="24" t="str">
        <x:v>Source-specific examples may differ biologically, metaphysically, culturally, and morally; map them as analogues unless equivalence is explicit.</x:v>
      </x:c>
      <x:c r="I59" s="24" t="str">
        <x:v>changeling; fairy replacement; fae-raised mortal</x:v>
      </x:c>
      <x:c r="J59" s="24" t="str">
        <x:v>Threshold guardian, tempter, patron, ecological embodiment, uncanny neighbor, or alternate aristocracy.</x:v>
      </x:c>
      <x:c r="K59" s="24" t="str">
        <x:v>changeling; fairy replacement; fae-raised mortal</x:v>
      </x:c>
      <x:c r="L59" s="24" t="str">
        <x:v>Preserve each source's ontology, culture, history, and terminology when making comparisons.</x:v>
      </x:c>
      <x:c r="M59" s="24" t="str">
        <x:v>Core Family</x:v>
      </x:c>
    </x:row>
    <x:row r="60" ht="44" customHeight="1">
      <x:c r="A60" s="24" t="str">
        <x:v>PPL-209</x:v>
      </x:c>
      <x:c r="B60" s="24" t="str">
        <x:v>Goblin-Faerie Beings</x:v>
      </x:c>
      <x:c r="C60" s="24" t="str">
        <x:v>People &amp; Beings</x:v>
      </x:c>
      <x:c r="D60" s="24" t="str">
        <x:v>PPL-200</x:v>
      </x:c>
      <x:c r="E60" s="24" t="str">
        <x:f>IF(D60="","",IFERROR(VLOOKUP(D60,$A$2:$B$1656,2,FALSE),""))</x:f>
        <x:v>Fae, Nature, and Liminal Beings</x:v>
      </x:c>
      <x:c r="F60" s="24" t="n">
        <x:v>3</x:v>
      </x:c>
      <x:c r="G60" s="24" t="str">
        <x:v>Folkloric or otherworldly goblins defined by uncanny domestic, subterranean, or mischievous qualities rather than a militarized humanoid species.</x:v>
      </x:c>
      <x:c r="H60" s="24" t="str">
        <x:v>Source-specific examples may differ biologically, metaphysically, culturally, and morally; map them as analogues unless equivalence is explicit.</x:v>
      </x:c>
      <x:c r="I60" s="24" t="str">
        <x:v>goblin; hobgoblin; redcap; knockers</x:v>
      </x:c>
      <x:c r="J60" s="24" t="str">
        <x:v>Threshold guardian, tempter, patron, ecological embodiment, uncanny neighbor, or alternate aristocracy.</x:v>
      </x:c>
      <x:c r="K60" s="24" t="str">
        <x:v>goblin; hobgoblin; redcap; knockers</x:v>
      </x:c>
      <x:c r="L60" s="24" t="str">
        <x:v>Keep separate from settings where goblins are ordinary biological peoples.</x:v>
      </x:c>
      <x:c r="M60" s="24" t="str">
        <x:v>Core Family</x:v>
      </x:c>
    </x:row>
    <x:row r="61" ht="44" customHeight="1">
      <x:c r="A61" s="24" t="str">
        <x:v>PPL-210</x:v>
      </x:c>
      <x:c r="B61" s="24" t="str">
        <x:v>Seasonal or Court-Aligned Fae</x:v>
      </x:c>
      <x:c r="C61" s="24" t="str">
        <x:v>People &amp; Beings</x:v>
      </x:c>
      <x:c r="D61" s="24" t="str">
        <x:v>PPL-200</x:v>
      </x:c>
      <x:c r="E61" s="24" t="str">
        <x:f>IF(D61="","",IFERROR(VLOOKUP(D61,$A$2:$B$1656,2,FALSE),""))</x:f>
        <x:v>Fae, Nature, and Liminal Beings</x:v>
      </x:c>
      <x:c r="F61" s="24" t="n">
        <x:v>3</x:v>
      </x:c>
      <x:c r="G61" s="24" t="str">
        <x:v>Fae whose abilities, politics, or bodies are structured by seasons, day/night, emotions, or opposed courts.</x:v>
      </x:c>
      <x:c r="H61" s="24" t="str">
        <x:v>Source-specific examples may differ biologically, metaphysically, culturally, and morally; map them as analogues unless equivalence is explicit.</x:v>
      </x:c>
      <x:c r="I61" s="24" t="str">
        <x:v>summer court; winter court; seelie/unseelie-like</x:v>
      </x:c>
      <x:c r="J61" s="24" t="str">
        <x:v>Threshold guardian, tempter, patron, ecological embodiment, uncanny neighbor, or alternate aristocracy.</x:v>
      </x:c>
      <x:c r="K61" s="24" t="str">
        <x:v>summer court; winter court; seelie/unseelie-like</x:v>
      </x:c>
      <x:c r="L61" s="24" t="str">
        <x:v>Preserve each source's ontology, culture, history, and terminology when making comparisons.</x:v>
      </x:c>
      <x:c r="M61" s="24" t="str">
        <x:v>Core Family</x:v>
      </x:c>
    </x:row>
    <x:row r="62" ht="44" customHeight="1">
      <x:c r="A62" s="24" t="str">
        <x:v>PPL-211</x:v>
      </x:c>
      <x:c r="B62" s="24" t="str">
        <x:v>Wild Hunt Beings</x:v>
      </x:c>
      <x:c r="C62" s="24" t="str">
        <x:v>People &amp; Beings</x:v>
      </x:c>
      <x:c r="D62" s="24" t="str">
        <x:v>PPL-200</x:v>
      </x:c>
      <x:c r="E62" s="24" t="str">
        <x:f>IF(D62="","",IFERROR(VLOOKUP(D62,$A$2:$B$1656,2,FALSE),""))</x:f>
        <x:v>Fae, Nature, and Liminal Beings</x:v>
      </x:c>
      <x:c r="F62" s="24" t="n">
        <x:v>3</x:v>
      </x:c>
      <x:c r="G62" s="24" t="str">
        <x:v>Spectral or fae riders who cross boundaries in a supernatural hunt, often collecting souls or pursuing cosmic quarry.</x:v>
      </x:c>
      <x:c r="H62" s="24" t="str">
        <x:v>Source-specific examples may differ biologically, metaphysically, culturally, and morally; map them as analogues unless equivalence is explicit.</x:v>
      </x:c>
      <x:c r="I62" s="24" t="str">
        <x:v>wild hunt; spectral riders; otherworldly hunt</x:v>
      </x:c>
      <x:c r="J62" s="24" t="str">
        <x:v>Threshold guardian, tempter, patron, ecological embodiment, uncanny neighbor, or alternate aristocracy.</x:v>
      </x:c>
      <x:c r="K62" s="24" t="str">
        <x:v>wild hunt; spectral riders; otherworldly hunt</x:v>
      </x:c>
      <x:c r="L62" s="24" t="str">
        <x:v>The Wild Hunt has multiple folkloric and modern fictional forms; distinguish direct adaptation from loose naming.</x:v>
      </x:c>
      <x:c r="M62" s="24" t="str">
        <x:v>Core Family</x:v>
      </x:c>
    </x:row>
    <x:row r="63" ht="44" customHeight="1">
      <x:c r="A63" s="24" t="str">
        <x:v>PPL-212</x:v>
      </x:c>
      <x:c r="B63" s="24" t="str">
        <x:v>Fairy-Tale Transformative Beings</x:v>
      </x:c>
      <x:c r="C63" s="24" t="str">
        <x:v>People &amp; Beings</x:v>
      </x:c>
      <x:c r="D63" s="24" t="str">
        <x:v>PPL-200</x:v>
      </x:c>
      <x:c r="E63" s="24" t="str">
        <x:f>IF(D63="","",IFERROR(VLOOKUP(D63,$A$2:$B$1656,2,FALSE),""))</x:f>
        <x:v>Fae, Nature, and Liminal Beings</x:v>
      </x:c>
      <x:c r="F63" s="24" t="n">
        <x:v>3</x:v>
      </x:c>
      <x:c r="G63" s="24" t="str">
        <x:v>Otherworldly figures who grant wishes, impose tests, transform bodies, or enforce symbolic bargains.</x:v>
      </x:c>
      <x:c r="H63" s="24" t="str">
        <x:v>Source-specific examples may differ biologically, metaphysically, culturally, and morally; map them as analogues unless equivalence is explicit.</x:v>
      </x:c>
      <x:c r="I63" s="24" t="str">
        <x:v>fairy godparent; curse-giver; wish-granter</x:v>
      </x:c>
      <x:c r="J63" s="24" t="str">
        <x:v>Threshold guardian, tempter, patron, ecological embodiment, uncanny neighbor, or alternate aristocracy.</x:v>
      </x:c>
      <x:c r="K63" s="24" t="str">
        <x:v>fairy godparent; curse-giver; wish-granter</x:v>
      </x:c>
      <x:c r="L63" s="24" t="str">
        <x:v>Preserve each source's ontology, culture, history, and terminology when making comparisons.</x:v>
      </x:c>
      <x:c r="M63" s="24" t="str">
        <x:v>Core Family</x:v>
      </x:c>
    </x:row>
    <x:row r="64" ht="44" customHeight="1">
      <x:c r="A64" s="24" t="str">
        <x:v>PPL-301</x:v>
      </x:c>
      <x:c r="B64" s="24" t="str">
        <x:v>Elementals</x:v>
      </x:c>
      <x:c r="C64" s="24" t="str">
        <x:v>People &amp; Beings</x:v>
      </x:c>
      <x:c r="D64" s="24" t="str">
        <x:v>PPL-300</x:v>
      </x:c>
      <x:c r="E64" s="24" t="str">
        <x:f>IF(D64="","",IFERROR(VLOOKUP(D64,$A$2:$B$1656,2,FALSE),""))</x:f>
        <x:v>Spirits and Elementals</x:v>
      </x:c>
      <x:c r="F64" s="24" t="n">
        <x:v>3</x:v>
      </x:c>
      <x:c r="G64" s="24" t="str">
        <x:v>Beings constituted primarily from fire, water, air, earth, ice, lightning, or another elemental substance or principle.</x:v>
      </x:c>
      <x:c r="H64" s="24" t="str">
        <x:v>Source-specific examples may differ biologically, metaphysically, culturally, and morally; map them as analogues unless equivalence is explicit.</x:v>
      </x:c>
      <x:c r="I64" s="24" t="str">
        <x:v>elemental; elemental spirit; primal</x:v>
      </x:c>
      <x:c r="J64" s="24" t="str">
        <x:v>Cosmological agent, patron, haunting, elemental force, ancestor, or personified idea.</x:v>
      </x:c>
      <x:c r="K64" s="24" t="str">
        <x:v>elemental; elemental spirit; primal</x:v>
      </x:c>
      <x:c r="L64" s="24" t="str">
        <x:v>Preserve each source's ontology, culture, history, and terminology when making comparisons.</x:v>
      </x:c>
      <x:c r="M64" s="24" t="str">
        <x:v>Core Family</x:v>
      </x:c>
    </x:row>
    <x:row r="65" ht="44" customHeight="1">
      <x:c r="A65" s="24" t="str">
        <x:v>PPL-302</x:v>
      </x:c>
      <x:c r="B65" s="24" t="str">
        <x:v>Genies and Djinn-Derived Beings</x:v>
      </x:c>
      <x:c r="C65" s="24" t="str">
        <x:v>People &amp; Beings</x:v>
      </x:c>
      <x:c r="D65" s="24" t="str">
        <x:v>PPL-300</x:v>
      </x:c>
      <x:c r="E65" s="24" t="str">
        <x:f>IF(D65="","",IFERROR(VLOOKUP(D65,$A$2:$B$1656,2,FALSE),""))</x:f>
        <x:v>Spirits and Elementals</x:v>
      </x:c>
      <x:c r="F65" s="24" t="n">
        <x:v>3</x:v>
      </x:c>
      <x:c r="G65" s="24" t="str">
        <x:v>Powerful spirit beings associated with elemental force, freedom and binding, wishes, desert or cosmopolitan spirit societies.</x:v>
      </x:c>
      <x:c r="H65" s="24" t="str">
        <x:v>Source-specific examples may differ biologically, metaphysically, culturally, and morally; map them as analogues unless equivalence is explicit.</x:v>
      </x:c>
      <x:c r="I65" s="24" t="str">
        <x:v>djinn; genie; jinn; efreet; marid</x:v>
      </x:c>
      <x:c r="J65" s="24" t="str">
        <x:v>Cosmological agent, patron, haunting, elemental force, ancestor, or personified idea.</x:v>
      </x:c>
      <x:c r="K65" s="24" t="str">
        <x:v>djinn; genie; jinn; efreet; marid</x:v>
      </x:c>
      <x:c r="L65" s="24" t="str">
        <x:v>Djinn are rooted in Arabic and Islamic traditions; avoid reducing them to generic wish machines.</x:v>
      </x:c>
      <x:c r="M65" s="24" t="str">
        <x:v>Core Family</x:v>
      </x:c>
    </x:row>
    <x:row r="66" ht="44" customHeight="1">
      <x:c r="A66" s="24" t="str">
        <x:v>PPL-303</x:v>
      </x:c>
      <x:c r="B66" s="24" t="str">
        <x:v>Ancestral Spirits</x:v>
      </x:c>
      <x:c r="C66" s="24" t="str">
        <x:v>People &amp; Beings</x:v>
      </x:c>
      <x:c r="D66" s="24" t="str">
        <x:v>PPL-300</x:v>
      </x:c>
      <x:c r="E66" s="24" t="str">
        <x:f>IF(D66="","",IFERROR(VLOOKUP(D66,$A$2:$B$1656,2,FALSE),""))</x:f>
        <x:v>Spirits and Elementals</x:v>
      </x:c>
      <x:c r="F66" s="24" t="n">
        <x:v>3</x:v>
      </x:c>
      <x:c r="G66" s="24" t="str">
        <x:v>The continuing dead understood as kin, guardians, advisors, judges, or claimants within a living community.</x:v>
      </x:c>
      <x:c r="H66" s="24" t="str">
        <x:v>Source-specific examples may differ biologically, metaphysically, culturally, and morally; map them as analogues unless equivalence is explicit.</x:v>
      </x:c>
      <x:c r="I66" s="24" t="str">
        <x:v>ancestor; honored dead; clan spirit</x:v>
      </x:c>
      <x:c r="J66" s="24" t="str">
        <x:v>Cosmological agent, patron, haunting, elemental force, ancestor, or personified idea.</x:v>
      </x:c>
      <x:c r="K66" s="24" t="str">
        <x:v>ancestor; honored dead; clan spirit</x:v>
      </x:c>
      <x:c r="L66" s="24" t="str">
        <x:v>Preserve each source's ontology, culture, history, and terminology when making comparisons.</x:v>
      </x:c>
      <x:c r="M66" s="24" t="str">
        <x:v>Core Family</x:v>
      </x:c>
    </x:row>
    <x:row r="67" ht="44" customHeight="1">
      <x:c r="A67" s="24" t="str">
        <x:v>PPL-304</x:v>
      </x:c>
      <x:c r="B67" s="24" t="str">
        <x:v>Guardian Spirits</x:v>
      </x:c>
      <x:c r="C67" s="24" t="str">
        <x:v>People &amp; Beings</x:v>
      </x:c>
      <x:c r="D67" s="24" t="str">
        <x:v>PPL-300</x:v>
      </x:c>
      <x:c r="E67" s="24" t="str">
        <x:f>IF(D67="","",IFERROR(VLOOKUP(D67,$A$2:$B$1656,2,FALSE),""))</x:f>
        <x:v>Spirits and Elementals</x:v>
      </x:c>
      <x:c r="F67" s="24" t="n">
        <x:v>3</x:v>
      </x:c>
      <x:c r="G67" s="24" t="str">
        <x:v>Nonhuman or deceased protectors bound to a person, lineage, place, object, or institution.</x:v>
      </x:c>
      <x:c r="H67" s="24" t="str">
        <x:v>Source-specific examples may differ biologically, metaphysically, culturally, and morally; map them as analogues unless equivalence is explicit.</x:v>
      </x:c>
      <x:c r="I67" s="24" t="str">
        <x:v>guardian spirit; tutelary spirit; familiar guardian</x:v>
      </x:c>
      <x:c r="J67" s="24" t="str">
        <x:v>Cosmological agent, patron, haunting, elemental force, ancestor, or personified idea.</x:v>
      </x:c>
      <x:c r="K67" s="24" t="str">
        <x:v>guardian spirit; tutelary spirit; familiar guardian</x:v>
      </x:c>
      <x:c r="L67" s="24" t="str">
        <x:v>Preserve each source's ontology, culture, history, and terminology when making comparisons.</x:v>
      </x:c>
      <x:c r="M67" s="24" t="str">
        <x:v>Core Family</x:v>
      </x:c>
    </x:row>
    <x:row r="68" ht="44" customHeight="1">
      <x:c r="A68" s="24" t="str">
        <x:v>PPL-305</x:v>
      </x:c>
      <x:c r="B68" s="24" t="str">
        <x:v>Totemic Spirits</x:v>
      </x:c>
      <x:c r="C68" s="24" t="str">
        <x:v>People &amp; Beings</x:v>
      </x:c>
      <x:c r="D68" s="24" t="str">
        <x:v>PPL-300</x:v>
      </x:c>
      <x:c r="E68" s="24" t="str">
        <x:f>IF(D68="","",IFERROR(VLOOKUP(D68,$A$2:$B$1656,2,FALSE),""))</x:f>
        <x:v>Spirits and Elementals</x:v>
      </x:c>
      <x:c r="F68" s="24" t="n">
        <x:v>3</x:v>
      </x:c>
      <x:c r="G68" s="24" t="str">
        <x:v>Spirits representing animal, plant, clan, or cosmological identities and mediating reciprocal obligations.</x:v>
      </x:c>
      <x:c r="H68" s="24" t="str">
        <x:v>Source-specific examples may differ biologically, metaphysically, culturally, and morally; map them as analogues unless equivalence is explicit.</x:v>
      </x:c>
      <x:c r="I68" s="24" t="str">
        <x:v>totem spirit; animal patron; clan spirit</x:v>
      </x:c>
      <x:c r="J68" s="24" t="str">
        <x:v>Cosmological agent, patron, haunting, elemental force, ancestor, or personified idea.</x:v>
      </x:c>
      <x:c r="K68" s="24" t="str">
        <x:v>totem spirit; animal patron; clan spirit</x:v>
      </x:c>
      <x:c r="L68" s="24" t="str">
        <x:v>Preserve each source's ontology, culture, history, and terminology when making comparisons.</x:v>
      </x:c>
      <x:c r="M68" s="24" t="str">
        <x:v>Core Family</x:v>
      </x:c>
    </x:row>
    <x:row r="69" ht="44" customHeight="1">
      <x:c r="A69" s="24" t="str">
        <x:v>PPL-306</x:v>
      </x:c>
      <x:c r="B69" s="24" t="str">
        <x:v>Dream Beings</x:v>
      </x:c>
      <x:c r="C69" s="24" t="str">
        <x:v>People &amp; Beings</x:v>
      </x:c>
      <x:c r="D69" s="24" t="str">
        <x:v>PPL-300</x:v>
      </x:c>
      <x:c r="E69" s="24" t="str">
        <x:f>IF(D69="","",IFERROR(VLOOKUP(D69,$A$2:$B$1656,2,FALSE),""))</x:f>
        <x:v>Spirits and Elementals</x:v>
      </x:c>
      <x:c r="F69" s="24" t="n">
        <x:v>3</x:v>
      </x:c>
      <x:c r="G69" s="24" t="str">
        <x:v>Entities native to dreams, nightmares, imagination, sleep, or collective unconscious domains.</x:v>
      </x:c>
      <x:c r="H69" s="24" t="str">
        <x:v>Source-specific examples may differ biologically, metaphysically, culturally, and morally; map them as analogues unless equivalence is explicit.</x:v>
      </x:c>
      <x:c r="I69" s="24" t="str">
        <x:v>dream spirit; nightmare; oneiroi-like</x:v>
      </x:c>
      <x:c r="J69" s="24" t="str">
        <x:v>Cosmological agent, patron, haunting, elemental force, ancestor, or personified idea.</x:v>
      </x:c>
      <x:c r="K69" s="24" t="str">
        <x:v>dream spirit; nightmare; oneiroi-like</x:v>
      </x:c>
      <x:c r="L69" s="24" t="str">
        <x:v>Preserve each source's ontology, culture, history, and terminology when making comparisons.</x:v>
      </x:c>
      <x:c r="M69" s="24" t="str">
        <x:v>Core Family</x:v>
      </x:c>
    </x:row>
    <x:row r="70" ht="44" customHeight="1">
      <x:c r="A70" s="24" t="str">
        <x:v>PPL-307</x:v>
      </x:c>
      <x:c r="B70" s="24" t="str">
        <x:v>Shadow Beings</x:v>
      </x:c>
      <x:c r="C70" s="24" t="str">
        <x:v>People &amp; Beings</x:v>
      </x:c>
      <x:c r="D70" s="24" t="str">
        <x:v>PPL-300</x:v>
      </x:c>
      <x:c r="E70" s="24" t="str">
        <x:f>IF(D70="","",IFERROR(VLOOKUP(D70,$A$2:$B$1656,2,FALSE),""))</x:f>
        <x:v>Spirits and Elementals</x:v>
      </x:c>
      <x:c r="F70" s="24" t="n">
        <x:v>3</x:v>
      </x:c>
      <x:c r="G70" s="24" t="str">
        <x:v>Creatures made from shadow, absence, reflection, fear, or a dark duplicate of another being.</x:v>
      </x:c>
      <x:c r="H70" s="24" t="str">
        <x:v>Source-specific examples may differ biologically, metaphysically, culturally, and morally; map them as analogues unless equivalence is explicit.</x:v>
      </x:c>
      <x:c r="I70" s="24" t="str">
        <x:v>shadow; shade; shadow person</x:v>
      </x:c>
      <x:c r="J70" s="24" t="str">
        <x:v>Cosmological agent, patron, haunting, elemental force, ancestor, or personified idea.</x:v>
      </x:c>
      <x:c r="K70" s="24" t="str">
        <x:v>shadow; shade; shadow person</x:v>
      </x:c>
      <x:c r="L70" s="24" t="str">
        <x:v>Preserve each source's ontology, culture, history, and terminology when making comparisons.</x:v>
      </x:c>
      <x:c r="M70" s="24" t="str">
        <x:v>Core Family</x:v>
      </x:c>
    </x:row>
    <x:row r="71" ht="44" customHeight="1">
      <x:c r="A71" s="24" t="str">
        <x:v>PPL-308</x:v>
      </x:c>
      <x:c r="B71" s="24" t="str">
        <x:v>Psychopomps</x:v>
      </x:c>
      <x:c r="C71" s="24" t="str">
        <x:v>People &amp; Beings</x:v>
      </x:c>
      <x:c r="D71" s="24" t="str">
        <x:v>PPL-300</x:v>
      </x:c>
      <x:c r="E71" s="24" t="str">
        <x:f>IF(D71="","",IFERROR(VLOOKUP(D71,$A$2:$B$1656,2,FALSE),""))</x:f>
        <x:v>Spirits and Elementals</x:v>
      </x:c>
      <x:c r="F71" s="24" t="n">
        <x:v>3</x:v>
      </x:c>
      <x:c r="G71" s="24" t="str">
        <x:v>Beings whose primary role is escorting, judging, collecting, or guiding souls between life and afterlife.</x:v>
      </x:c>
      <x:c r="H71" s="24" t="str">
        <x:v>Source-specific examples may differ biologically, metaphysically, culturally, and morally; map them as analogues unless equivalence is explicit.</x:v>
      </x:c>
      <x:c r="I71" s="24" t="str">
        <x:v>reaper; ferryman; death guide</x:v>
      </x:c>
      <x:c r="J71" s="24" t="str">
        <x:v>Cosmological agent, patron, haunting, elemental force, ancestor, or personified idea.</x:v>
      </x:c>
      <x:c r="K71" s="24" t="str">
        <x:v>reaper; ferryman; death guide</x:v>
      </x:c>
      <x:c r="L71" s="24" t="str">
        <x:v>Preserve each source's ontology, culture, history, and terminology when making comparisons.</x:v>
      </x:c>
      <x:c r="M71" s="24" t="str">
        <x:v>Core Family</x:v>
      </x:c>
    </x:row>
    <x:row r="72" ht="44" customHeight="1">
      <x:c r="A72" s="24" t="str">
        <x:v>PPL-309</x:v>
      </x:c>
      <x:c r="B72" s="24" t="str">
        <x:v>Haunts and Poltergeists</x:v>
      </x:c>
      <x:c r="C72" s="24" t="str">
        <x:v>People &amp; Beings</x:v>
      </x:c>
      <x:c r="D72" s="24" t="str">
        <x:v>PPL-300</x:v>
      </x:c>
      <x:c r="E72" s="24" t="str">
        <x:f>IF(D72="","",IFERROR(VLOOKUP(D72,$A$2:$B$1656,2,FALSE),""))</x:f>
        <x:v>Spirits and Elementals</x:v>
      </x:c>
      <x:c r="F72" s="24" t="n">
        <x:v>3</x:v>
      </x:c>
      <x:c r="G72" s="24" t="str">
        <x:v>Place-bound or emotionally charged spirits that manifest through repeated disturbances rather than coherent social personhood.</x:v>
      </x:c>
      <x:c r="H72" s="24" t="str">
        <x:v>Source-specific examples may differ biologically, metaphysically, culturally, and morally; map them as analogues unless equivalence is explicit.</x:v>
      </x:c>
      <x:c r="I72" s="24" t="str">
        <x:v>haunt; poltergeist; residual spirit</x:v>
      </x:c>
      <x:c r="J72" s="24" t="str">
        <x:v>Cosmological agent, patron, haunting, elemental force, ancestor, or personified idea.</x:v>
      </x:c>
      <x:c r="K72" s="24" t="str">
        <x:v>haunt; poltergeist; residual spirit</x:v>
      </x:c>
      <x:c r="L72" s="24" t="str">
        <x:v>Preserve each source's ontology, culture, history, and terminology when making comparisons.</x:v>
      </x:c>
      <x:c r="M72" s="24" t="str">
        <x:v>Core Family</x:v>
      </x:c>
    </x:row>
    <x:row r="73" ht="44" customHeight="1">
      <x:c r="A73" s="24" t="str">
        <x:v>PPL-310</x:v>
      </x:c>
      <x:c r="B73" s="24" t="str">
        <x:v>Embodied Concepts</x:v>
      </x:c>
      <x:c r="C73" s="24" t="str">
        <x:v>People &amp; Beings</x:v>
      </x:c>
      <x:c r="D73" s="24" t="str">
        <x:v>PPL-300</x:v>
      </x:c>
      <x:c r="E73" s="24" t="str">
        <x:f>IF(D73="","",IFERROR(VLOOKUP(D73,$A$2:$B$1656,2,FALSE),""))</x:f>
        <x:v>Spirits and Elementals</x:v>
      </x:c>
      <x:c r="F73" s="24" t="n">
        <x:v>3</x:v>
      </x:c>
      <x:c r="G73" s="24" t="str">
        <x:v>Personifications of abstract principles such as death, war, time, justice, plague, or memory.</x:v>
      </x:c>
      <x:c r="H73" s="24" t="str">
        <x:v>Source-specific examples may differ biologically, metaphysically, culturally, and morally; map them as analogues unless equivalence is explicit.</x:v>
      </x:c>
      <x:c r="I73" s="24" t="str">
        <x:v>personification; living concept; anthropomorphic principle</x:v>
      </x:c>
      <x:c r="J73" s="24" t="str">
        <x:v>Cosmological agent, patron, haunting, elemental force, ancestor, or personified idea.</x:v>
      </x:c>
      <x:c r="K73" s="24" t="str">
        <x:v>personification; living concept; anthropomorphic principle</x:v>
      </x:c>
      <x:c r="L73" s="24" t="str">
        <x:v>Preserve each source's ontology, culture, history, and terminology when making comparisons.</x:v>
      </x:c>
      <x:c r="M73" s="24" t="str">
        <x:v>Core Family</x:v>
      </x:c>
    </x:row>
    <x:row r="74" ht="44" customHeight="1">
      <x:c r="A74" s="24" t="str">
        <x:v>PPL-311</x:v>
      </x:c>
      <x:c r="B74" s="24" t="str">
        <x:v>Soul Fragments and Echoes</x:v>
      </x:c>
      <x:c r="C74" s="24" t="str">
        <x:v>People &amp; Beings</x:v>
      </x:c>
      <x:c r="D74" s="24" t="str">
        <x:v>PPL-300</x:v>
      </x:c>
      <x:c r="E74" s="24" t="str">
        <x:f>IF(D74="","",IFERROR(VLOOKUP(D74,$A$2:$B$1656,2,FALSE),""))</x:f>
        <x:v>Spirits and Elementals</x:v>
      </x:c>
      <x:c r="F74" s="24" t="n">
        <x:v>3</x:v>
      </x:c>
      <x:c r="G74" s="24" t="str">
        <x:v>Partial remnants of a person, memory, spell, or event that possess limited agency or incomplete identity.</x:v>
      </x:c>
      <x:c r="H74" s="24" t="str">
        <x:v>Source-specific examples may differ biologically, metaphysically, culturally, and morally; map them as analogues unless equivalence is explicit.</x:v>
      </x:c>
      <x:c r="I74" s="24" t="str">
        <x:v>echo; shade; memory-ghost</x:v>
      </x:c>
      <x:c r="J74" s="24" t="str">
        <x:v>Cosmological agent, patron, haunting, elemental force, ancestor, or personified idea.</x:v>
      </x:c>
      <x:c r="K74" s="24" t="str">
        <x:v>echo; shade; memory-ghost</x:v>
      </x:c>
      <x:c r="L74" s="24" t="str">
        <x:v>Preserve each source's ontology, culture, history, and terminology when making comparisons.</x:v>
      </x:c>
      <x:c r="M74" s="24" t="str">
        <x:v>Core Family</x:v>
      </x:c>
    </x:row>
    <x:row r="75" ht="44" customHeight="1">
      <x:c r="A75" s="24" t="str">
        <x:v>PPL-312</x:v>
      </x:c>
      <x:c r="B75" s="24" t="str">
        <x:v>Kami and Sacred Presences</x:v>
      </x:c>
      <x:c r="C75" s="24" t="str">
        <x:v>People &amp; Beings</x:v>
      </x:c>
      <x:c r="D75" s="24" t="str">
        <x:v>PPL-300</x:v>
      </x:c>
      <x:c r="E75" s="24" t="str">
        <x:f>IF(D75="","",IFERROR(VLOOKUP(D75,$A$2:$B$1656,2,FALSE),""))</x:f>
        <x:v>Spirits and Elementals</x:v>
      </x:c>
      <x:c r="F75" s="24" t="n">
        <x:v>3</x:v>
      </x:c>
      <x:c r="G75" s="24" t="str">
        <x:v>Sacred presences associated with place, natural phenomena, ancestors, objects, or extraordinary beings in Shinto-derived and analogous settings.</x:v>
      </x:c>
      <x:c r="H75" s="24" t="str">
        <x:v>Source-specific examples may differ biologically, metaphysically, culturally, and morally; map them as analogues unless equivalence is explicit.</x:v>
      </x:c>
      <x:c r="I75" s="24" t="str">
        <x:v>kami; sacred presence</x:v>
      </x:c>
      <x:c r="J75" s="24" t="str">
        <x:v>Cosmological agent, patron, haunting, elemental force, ancestor, or personified idea.</x:v>
      </x:c>
      <x:c r="K75" s="24" t="str">
        <x:v>kami; sacred presence</x:v>
      </x:c>
      <x:c r="L75" s="24" t="str">
        <x:v>Kami should not be treated as a simple synonym for Western 'god' or 'spirit.'</x:v>
      </x:c>
      <x:c r="M75" s="24" t="str">
        <x:v>Core Family</x:v>
      </x:c>
    </x:row>
    <x:row r="76" ht="44" customHeight="1">
      <x:c r="A76" s="24" t="str">
        <x:v>PPL-401</x:v>
      </x:c>
      <x:c r="B76" s="24" t="str">
        <x:v>Deities</x:v>
      </x:c>
      <x:c r="C76" s="24" t="str">
        <x:v>People &amp; Beings</x:v>
      </x:c>
      <x:c r="D76" s="24" t="str">
        <x:v>PPL-400</x:v>
      </x:c>
      <x:c r="E76" s="24" t="str">
        <x:f>IF(D76="","",IFERROR(VLOOKUP(D76,$A$2:$B$1656,2,FALSE),""))</x:f>
        <x:v>Divine and Celestial Beings</x:v>
      </x:c>
      <x:c r="F76" s="24" t="n">
        <x:v>3</x:v>
      </x:c>
      <x:c r="G76" s="24" t="str">
        <x:v>Beings worshiped as gods and possessing authority over cosmic, natural, civic, or moral domains.</x:v>
      </x:c>
      <x:c r="H76" s="24" t="str">
        <x:v>Source-specific examples may differ biologically, metaphysically, culturally, and morally; map them as analogues unless equivalence is explicit.</x:v>
      </x:c>
      <x:c r="I76" s="24" t="str">
        <x:v>god; goddess; deity; pantheon member</x:v>
      </x:c>
      <x:c r="J76" s="24" t="str">
        <x:v>Object of worship, cosmic sovereign, patron, judge, source of miracles, or metaphysical ancestor.</x:v>
      </x:c>
      <x:c r="K76" s="24" t="str">
        <x:v>god; goddess; deity; pantheon member</x:v>
      </x:c>
      <x:c r="L76" s="24" t="str">
        <x:v>Preserve each source's ontology, culture, history, and terminology when making comparisons.</x:v>
      </x:c>
      <x:c r="M76" s="24" t="str">
        <x:v>Core Family</x:v>
      </x:c>
    </x:row>
    <x:row r="77" ht="44" customHeight="1">
      <x:c r="A77" s="24" t="str">
        <x:v>PPL-402</x:v>
      </x:c>
      <x:c r="B77" s="24" t="str">
        <x:v>Demigods and Divine-Blooded Beings</x:v>
      </x:c>
      <x:c r="C77" s="24" t="str">
        <x:v>People &amp; Beings</x:v>
      </x:c>
      <x:c r="D77" s="24" t="str">
        <x:v>PPL-400</x:v>
      </x:c>
      <x:c r="E77" s="24" t="str">
        <x:f>IF(D77="","",IFERROR(VLOOKUP(D77,$A$2:$B$1656,2,FALSE),""))</x:f>
        <x:v>Divine and Celestial Beings</x:v>
      </x:c>
      <x:c r="F77" s="24" t="n">
        <x:v>3</x:v>
      </x:c>
      <x:c r="G77" s="24" t="str">
        <x:v>Mortals or lesser immortals descended from, infused by, or partially identical with divine power.</x:v>
      </x:c>
      <x:c r="H77" s="24" t="str">
        <x:v>Source-specific examples may differ biologically, metaphysically, culturally, and morally; map them as analogues unless equivalence is explicit.</x:v>
      </x:c>
      <x:c r="I77" s="24" t="str">
        <x:v>demigod; god-blooded; scion</x:v>
      </x:c>
      <x:c r="J77" s="24" t="str">
        <x:v>Object of worship, cosmic sovereign, patron, judge, source of miracles, or metaphysical ancestor.</x:v>
      </x:c>
      <x:c r="K77" s="24" t="str">
        <x:v>demigod; god-blooded; scion</x:v>
      </x:c>
      <x:c r="L77" s="24" t="str">
        <x:v>Preserve each source's ontology, culture, history, and terminology when making comparisons.</x:v>
      </x:c>
      <x:c r="M77" s="24" t="str">
        <x:v>Core Family</x:v>
      </x:c>
    </x:row>
    <x:row r="78" ht="44" customHeight="1">
      <x:c r="A78" s="24" t="str">
        <x:v>PPL-403</x:v>
      </x:c>
      <x:c r="B78" s="24" t="str">
        <x:v>Avatars and Incarnations</x:v>
      </x:c>
      <x:c r="C78" s="24" t="str">
        <x:v>People &amp; Beings</x:v>
      </x:c>
      <x:c r="D78" s="24" t="str">
        <x:v>PPL-400</x:v>
      </x:c>
      <x:c r="E78" s="24" t="str">
        <x:f>IF(D78="","",IFERROR(VLOOKUP(D78,$A$2:$B$1656,2,FALSE),""))</x:f>
        <x:v>Divine and Celestial Beings</x:v>
      </x:c>
      <x:c r="F78" s="24" t="n">
        <x:v>3</x:v>
      </x:c>
      <x:c r="G78" s="24" t="str">
        <x:v>Embodied manifestations through which a greater deity, principle, or cosmic entity acts in limited form.</x:v>
      </x:c>
      <x:c r="H78" s="24" t="str">
        <x:v>Source-specific examples may differ biologically, metaphysically, culturally, and morally; map them as analogues unless equivalence is explicit.</x:v>
      </x:c>
      <x:c r="I78" s="24" t="str">
        <x:v>avatar; incarnation; vessel</x:v>
      </x:c>
      <x:c r="J78" s="24" t="str">
        <x:v>Object of worship, cosmic sovereign, patron, judge, source of miracles, or metaphysical ancestor.</x:v>
      </x:c>
      <x:c r="K78" s="24" t="str">
        <x:v>avatar; incarnation; vessel</x:v>
      </x:c>
      <x:c r="L78" s="24" t="str">
        <x:v>Preserve each source's ontology, culture, history, and terminology when making comparisons.</x:v>
      </x:c>
      <x:c r="M78" s="24" t="str">
        <x:v>Core Family</x:v>
      </x:c>
    </x:row>
    <x:row r="79" ht="44" customHeight="1">
      <x:c r="A79" s="24" t="str">
        <x:v>PPL-404</x:v>
      </x:c>
      <x:c r="B79" s="24" t="str">
        <x:v>Celestials and Angelic Beings</x:v>
      </x:c>
      <x:c r="C79" s="24" t="str">
        <x:v>People &amp; Beings</x:v>
      </x:c>
      <x:c r="D79" s="24" t="str">
        <x:v>PPL-400</x:v>
      </x:c>
      <x:c r="E79" s="24" t="str">
        <x:f>IF(D79="","",IFERROR(VLOOKUP(D79,$A$2:$B$1656,2,FALSE),""))</x:f>
        <x:v>Divine and Celestial Beings</x:v>
      </x:c>
      <x:c r="F79" s="24" t="n">
        <x:v>3</x:v>
      </x:c>
      <x:c r="G79" s="24" t="str">
        <x:v>Servants or inhabitants of a divine, heavenly, lawful, or luminous realm.</x:v>
      </x:c>
      <x:c r="H79" s="24" t="str">
        <x:v>Source-specific examples may differ biologically, metaphysically, culturally, and morally; map them as analogues unless equivalence is explicit.</x:v>
      </x:c>
      <x:c r="I79" s="24" t="str">
        <x:v>angel; deva-like; celestial; seraph</x:v>
      </x:c>
      <x:c r="J79" s="24" t="str">
        <x:v>Object of worship, cosmic sovereign, patron, judge, source of miracles, or metaphysical ancestor.</x:v>
      </x:c>
      <x:c r="K79" s="24" t="str">
        <x:v>angel; deva-like; celestial; seraph</x:v>
      </x:c>
      <x:c r="L79" s="24" t="str">
        <x:v>Preserve each source's ontology, culture, history, and terminology when making comparisons.</x:v>
      </x:c>
      <x:c r="M79" s="24" t="str">
        <x:v>Core Family</x:v>
      </x:c>
    </x:row>
    <x:row r="80" ht="44" customHeight="1">
      <x:c r="A80" s="24" t="str">
        <x:v>PPL-405</x:v>
      </x:c>
      <x:c r="B80" s="24" t="str">
        <x:v>Divine Servitors</x:v>
      </x:c>
      <x:c r="C80" s="24" t="str">
        <x:v>People &amp; Beings</x:v>
      </x:c>
      <x:c r="D80" s="24" t="str">
        <x:v>PPL-400</x:v>
      </x:c>
      <x:c r="E80" s="24" t="str">
        <x:f>IF(D80="","",IFERROR(VLOOKUP(D80,$A$2:$B$1656,2,FALSE),""))</x:f>
        <x:v>Divine and Celestial Beings</x:v>
      </x:c>
      <x:c r="F80" s="24" t="n">
        <x:v>3</x:v>
      </x:c>
      <x:c r="G80" s="24" t="str">
        <x:v>Created or appointed beings that execute a deity's will without necessarily possessing independent worship.</x:v>
      </x:c>
      <x:c r="H80" s="24" t="str">
        <x:v>Source-specific examples may differ biologically, metaphysically, culturally, and morally; map them as analogues unless equivalence is explicit.</x:v>
      </x:c>
      <x:c r="I80" s="24" t="str">
        <x:v>herald; divine messenger; sacred guardian</x:v>
      </x:c>
      <x:c r="J80" s="24" t="str">
        <x:v>Object of worship, cosmic sovereign, patron, judge, source of miracles, or metaphysical ancestor.</x:v>
      </x:c>
      <x:c r="K80" s="24" t="str">
        <x:v>herald; divine messenger; sacred guardian</x:v>
      </x:c>
      <x:c r="L80" s="24" t="str">
        <x:v>Preserve each source's ontology, culture, history, and terminology when making comparisons.</x:v>
      </x:c>
      <x:c r="M80" s="24" t="str">
        <x:v>Core Family</x:v>
      </x:c>
    </x:row>
    <x:row r="81" ht="44" customHeight="1">
      <x:c r="A81" s="24" t="str">
        <x:v>PPL-406</x:v>
      </x:c>
      <x:c r="B81" s="24" t="str">
        <x:v>Ascended Mortals</x:v>
      </x:c>
      <x:c r="C81" s="24" t="str">
        <x:v>People &amp; Beings</x:v>
      </x:c>
      <x:c r="D81" s="24" t="str">
        <x:v>PPL-400</x:v>
      </x:c>
      <x:c r="E81" s="24" t="str">
        <x:f>IF(D81="","",IFERROR(VLOOKUP(D81,$A$2:$B$1656,2,FALSE),""))</x:f>
        <x:v>Divine and Celestial Beings</x:v>
      </x:c>
      <x:c r="F81" s="24" t="n">
        <x:v>3</x:v>
      </x:c>
      <x:c r="G81" s="24" t="str">
        <x:v>Former mortals transformed into divine, semi-divine, or immortal beings through apotheosis, cultivation, ritual, or recognition.</x:v>
      </x:c>
      <x:c r="H81" s="24" t="str">
        <x:v>Source-specific examples may differ biologically, metaphysically, culturally, and morally; map them as analogues unless equivalence is explicit.</x:v>
      </x:c>
      <x:c r="I81" s="24" t="str">
        <x:v>ascendant; apotheosized hero; immortal</x:v>
      </x:c>
      <x:c r="J81" s="24" t="str">
        <x:v>Object of worship, cosmic sovereign, patron, judge, source of miracles, or metaphysical ancestor.</x:v>
      </x:c>
      <x:c r="K81" s="24" t="str">
        <x:v>ascendant; apotheosized hero; immortal</x:v>
      </x:c>
      <x:c r="L81" s="24" t="str">
        <x:v>Preserve each source's ontology, culture, history, and terminology when making comparisons.</x:v>
      </x:c>
      <x:c r="M81" s="24" t="str">
        <x:v>Core Family</x:v>
      </x:c>
    </x:row>
    <x:row r="82" ht="44" customHeight="1">
      <x:c r="A82" s="24" t="str">
        <x:v>PPL-407</x:v>
      </x:c>
      <x:c r="B82" s="24" t="str">
        <x:v>Living Saints</x:v>
      </x:c>
      <x:c r="C82" s="24" t="str">
        <x:v>People &amp; Beings</x:v>
      </x:c>
      <x:c r="D82" s="24" t="str">
        <x:v>PPL-400</x:v>
      </x:c>
      <x:c r="E82" s="24" t="str">
        <x:f>IF(D82="","",IFERROR(VLOOKUP(D82,$A$2:$B$1656,2,FALSE),""))</x:f>
        <x:v>Divine and Celestial Beings</x:v>
      </x:c>
      <x:c r="F82" s="24" t="n">
        <x:v>3</x:v>
      </x:c>
      <x:c r="G82" s="24" t="str">
        <x:v>Mortals treated as channels of sacred power while alive, often through miracles, relics, or institutional recognition.</x:v>
      </x:c>
      <x:c r="H82" s="24" t="str">
        <x:v>Source-specific examples may differ biologically, metaphysically, culturally, and morally; map them as analogues unless equivalence is explicit.</x:v>
      </x:c>
      <x:c r="I82" s="24" t="str">
        <x:v>saint; holy person; miracle bearer</x:v>
      </x:c>
      <x:c r="J82" s="24" t="str">
        <x:v>Object of worship, cosmic sovereign, patron, judge, source of miracles, or metaphysical ancestor.</x:v>
      </x:c>
      <x:c r="K82" s="24" t="str">
        <x:v>saint; holy person; miracle bearer</x:v>
      </x:c>
      <x:c r="L82" s="24" t="str">
        <x:v>Preserve each source's ontology, culture, history, and terminology when making comparisons.</x:v>
      </x:c>
      <x:c r="M82" s="24" t="str">
        <x:v>Core Family</x:v>
      </x:c>
    </x:row>
    <x:row r="83" ht="44" customHeight="1">
      <x:c r="A83" s="24" t="str">
        <x:v>PPL-408</x:v>
      </x:c>
      <x:c r="B83" s="24" t="str">
        <x:v>World-Souls and Cosmic Titans</x:v>
      </x:c>
      <x:c r="C83" s="24" t="str">
        <x:v>People &amp; Beings</x:v>
      </x:c>
      <x:c r="D83" s="24" t="str">
        <x:v>PPL-400</x:v>
      </x:c>
      <x:c r="E83" s="24" t="str">
        <x:f>IF(D83="","",IFERROR(VLOOKUP(D83,$A$2:$B$1656,2,FALSE),""))</x:f>
        <x:v>Divine and Celestial Beings</x:v>
      </x:c>
      <x:c r="F83" s="24" t="n">
        <x:v>3</x:v>
      </x:c>
      <x:c r="G83" s="24" t="str">
        <x:v>Vast beings identified with a world, cosmic body, primordial landscape, or foundational process.</x:v>
      </x:c>
      <x:c r="H83" s="24" t="str">
        <x:v>Source-specific examples may differ biologically, metaphysically, culturally, and morally; map them as analogues unless equivalence is explicit.</x:v>
      </x:c>
      <x:c r="I83" s="24" t="str">
        <x:v>world soul; primordial titan; earth mother</x:v>
      </x:c>
      <x:c r="J83" s="24" t="str">
        <x:v>Object of worship, cosmic sovereign, patron, judge, source of miracles, or metaphysical ancestor.</x:v>
      </x:c>
      <x:c r="K83" s="24" t="str">
        <x:v>world soul; primordial titan; earth mother</x:v>
      </x:c>
      <x:c r="L83" s="24" t="str">
        <x:v>Preserve each source's ontology, culture, history, and terminology when making comparisons.</x:v>
      </x:c>
      <x:c r="M83" s="24" t="str">
        <x:v>Core Family</x:v>
      </x:c>
    </x:row>
    <x:row r="84" ht="44" customHeight="1">
      <x:c r="A84" s="24" t="str">
        <x:v>PPL-409</x:v>
      </x:c>
      <x:c r="B84" s="24" t="str">
        <x:v>Divine Beasts</x:v>
      </x:c>
      <x:c r="C84" s="24" t="str">
        <x:v>People &amp; Beings</x:v>
      </x:c>
      <x:c r="D84" s="24" t="str">
        <x:v>PPL-400</x:v>
      </x:c>
      <x:c r="E84" s="24" t="str">
        <x:f>IF(D84="","",IFERROR(VLOOKUP(D84,$A$2:$B$1656,2,FALSE),""))</x:f>
        <x:v>Divine and Celestial Beings</x:v>
      </x:c>
      <x:c r="F84" s="24" t="n">
        <x:v>3</x:v>
      </x:c>
      <x:c r="G84" s="24" t="str">
        <x:v>Sacred animals or legendary creatures that serve as gods, mounts, guardians, or embodiments of divine power.</x:v>
      </x:c>
      <x:c r="H84" s="24" t="str">
        <x:v>Source-specific examples may differ biologically, metaphysically, culturally, and morally; map them as analogues unless equivalence is explicit.</x:v>
      </x:c>
      <x:c r="I84" s="24" t="str">
        <x:v>sacred beast; god-beast; celestial animal</x:v>
      </x:c>
      <x:c r="J84" s="24" t="str">
        <x:v>Object of worship, cosmic sovereign, patron, judge, source of miracles, or metaphysical ancestor.</x:v>
      </x:c>
      <x:c r="K84" s="24" t="str">
        <x:v>sacred beast; god-beast; celestial animal</x:v>
      </x:c>
      <x:c r="L84" s="24" t="str">
        <x:v>Preserve each source's ontology, culture, history, and terminology when making comparisons.</x:v>
      </x:c>
      <x:c r="M84" s="24" t="str">
        <x:v>Core Family</x:v>
      </x:c>
    </x:row>
    <x:row r="85" ht="44" customHeight="1">
      <x:c r="A85" s="24" t="str">
        <x:v>PPL-410</x:v>
      </x:c>
      <x:c r="B85" s="24" t="str">
        <x:v>Fallen or Exiled Gods</x:v>
      </x:c>
      <x:c r="C85" s="24" t="str">
        <x:v>People &amp; Beings</x:v>
      </x:c>
      <x:c r="D85" s="24" t="str">
        <x:v>PPL-400</x:v>
      </x:c>
      <x:c r="E85" s="24" t="str">
        <x:f>IF(D85="","",IFERROR(VLOOKUP(D85,$A$2:$B$1656,2,FALSE),""))</x:f>
        <x:v>Divine and Celestial Beings</x:v>
      </x:c>
      <x:c r="F85" s="24" t="n">
        <x:v>3</x:v>
      </x:c>
      <x:c r="G85" s="24" t="str">
        <x:v>Deities deprived of worship, realm, memory, name, or status and operating from marginal or hostile positions.</x:v>
      </x:c>
      <x:c r="H85" s="24" t="str">
        <x:v>Source-specific examples may differ biologically, metaphysically, culturally, and morally; map them as analogues unless equivalence is explicit.</x:v>
      </x:c>
      <x:c r="I85" s="24" t="str">
        <x:v>fallen god; forgotten god; exiled deity</x:v>
      </x:c>
      <x:c r="J85" s="24" t="str">
        <x:v>Object of worship, cosmic sovereign, patron, judge, source of miracles, or metaphysical ancestor.</x:v>
      </x:c>
      <x:c r="K85" s="24" t="str">
        <x:v>fallen god; forgotten god; exiled deity</x:v>
      </x:c>
      <x:c r="L85" s="24" t="str">
        <x:v>Preserve each source's ontology, culture, history, and terminology when making comparisons.</x:v>
      </x:c>
      <x:c r="M85" s="24" t="str">
        <x:v>Core Family</x:v>
      </x:c>
    </x:row>
    <x:row r="86" ht="44" customHeight="1">
      <x:c r="A86" s="24" t="str">
        <x:v>PPL-501</x:v>
      </x:c>
      <x:c r="B86" s="24" t="str">
        <x:v>Demons</x:v>
      </x:c>
      <x:c r="C86" s="24" t="str">
        <x:v>People &amp; Beings</x:v>
      </x:c>
      <x:c r="D86" s="24" t="str">
        <x:v>PPL-500</x:v>
      </x:c>
      <x:c r="E86" s="24" t="str">
        <x:f>IF(D86="","",IFERROR(VLOOKUP(D86,$A$2:$B$1656,2,FALSE),""))</x:f>
        <x:v>Infernal and Corruptive Beings</x:v>
      </x:c>
      <x:c r="F86" s="24" t="n">
        <x:v>3</x:v>
      </x:c>
      <x:c r="G86" s="24" t="str">
        <x:v>Malevolent, chaotic, hungry, or otherworldly beings commonly tied to corruption, violence, possession, or hostile realms.</x:v>
      </x:c>
      <x:c r="H86" s="24" t="str">
        <x:v>Source-specific examples may differ biologically, metaphysically, culturally, and morally; map them as analogues unless equivalence is explicit.</x:v>
      </x:c>
      <x:c r="I86" s="24" t="str">
        <x:v>demon; daemon; yokai-demon analogue</x:v>
      </x:c>
      <x:c r="J86" s="24" t="str">
        <x:v>Antagonist, corrupter, pact source, invader, embodiment of vice, or hostile outsider.</x:v>
      </x:c>
      <x:c r="K86" s="24" t="str">
        <x:v>demon; daemon; yokai-demon analogue</x:v>
      </x:c>
      <x:c r="L86" s="24" t="str">
        <x:v>Preserve each source's ontology, culture, history, and terminology when making comparisons.</x:v>
      </x:c>
      <x:c r="M86" s="24" t="str">
        <x:v>Core Family</x:v>
      </x:c>
    </x:row>
    <x:row r="87" ht="44" customHeight="1">
      <x:c r="A87" s="24" t="str">
        <x:v>PPL-502</x:v>
      </x:c>
      <x:c r="B87" s="24" t="str">
        <x:v>Devils and Contractual Fiends</x:v>
      </x:c>
      <x:c r="C87" s="24" t="str">
        <x:v>People &amp; Beings</x:v>
      </x:c>
      <x:c r="D87" s="24" t="str">
        <x:v>PPL-500</x:v>
      </x:c>
      <x:c r="E87" s="24" t="str">
        <x:f>IF(D87="","",IFERROR(VLOOKUP(D87,$A$2:$B$1656,2,FALSE),""))</x:f>
        <x:v>Infernal and Corruptive Beings</x:v>
      </x:c>
      <x:c r="F87" s="24" t="n">
        <x:v>3</x:v>
      </x:c>
      <x:c r="G87" s="24" t="str">
        <x:v>Ordered or calculating infernal beings associated with hierarchy, bargains, law, temptation, and soul contracts.</x:v>
      </x:c>
      <x:c r="H87" s="24" t="str">
        <x:v>Source-specific examples may differ biologically, metaphysically, culturally, and morally; map them as analogues unless equivalence is explicit.</x:v>
      </x:c>
      <x:c r="I87" s="24" t="str">
        <x:v>devil; infernal; contract fiend</x:v>
      </x:c>
      <x:c r="J87" s="24" t="str">
        <x:v>Antagonist, corrupter, pact source, invader, embodiment of vice, or hostile outsider.</x:v>
      </x:c>
      <x:c r="K87" s="24" t="str">
        <x:v>devil; infernal; contract fiend</x:v>
      </x:c>
      <x:c r="L87" s="24" t="str">
        <x:v>Preserve each source's ontology, culture, history, and terminology when making comparisons.</x:v>
      </x:c>
      <x:c r="M87" s="24" t="str">
        <x:v>Core Family</x:v>
      </x:c>
    </x:row>
    <x:row r="88" ht="44" customHeight="1">
      <x:c r="A88" s="24" t="str">
        <x:v>PPL-503</x:v>
      </x:c>
      <x:c r="B88" s="24" t="str">
        <x:v>General Fiends</x:v>
      </x:c>
      <x:c r="C88" s="24" t="str">
        <x:v>People &amp; Beings</x:v>
      </x:c>
      <x:c r="D88" s="24" t="str">
        <x:v>PPL-500</x:v>
      </x:c>
      <x:c r="E88" s="24" t="str">
        <x:f>IF(D88="","",IFERROR(VLOOKUP(D88,$A$2:$B$1656,2,FALSE),""))</x:f>
        <x:v>Infernal and Corruptive Beings</x:v>
      </x:c>
      <x:c r="F88" s="24" t="n">
        <x:v>3</x:v>
      </x:c>
      <x:c r="G88" s="24" t="str">
        <x:v>A broad family for hostile supernatural outsiders when a source does not distinguish demon, devil, and related kinds.</x:v>
      </x:c>
      <x:c r="H88" s="24" t="str">
        <x:v>Source-specific examples may differ biologically, metaphysically, culturally, and morally; map them as analogues unless equivalence is explicit.</x:v>
      </x:c>
      <x:c r="I88" s="24" t="str">
        <x:v>fiend; infernal creature</x:v>
      </x:c>
      <x:c r="J88" s="24" t="str">
        <x:v>Antagonist, corrupter, pact source, invader, embodiment of vice, or hostile outsider.</x:v>
      </x:c>
      <x:c r="K88" s="24" t="str">
        <x:v>fiend; infernal creature</x:v>
      </x:c>
      <x:c r="L88" s="24" t="str">
        <x:v>Preserve each source's ontology, culture, history, and terminology when making comparisons.</x:v>
      </x:c>
      <x:c r="M88" s="24" t="str">
        <x:v>Core Family</x:v>
      </x:c>
    </x:row>
    <x:row r="89" ht="44" customHeight="1">
      <x:c r="A89" s="24" t="str">
        <x:v>PPL-504</x:v>
      </x:c>
      <x:c r="B89" s="24" t="str">
        <x:v>Fallen Celestials</x:v>
      </x:c>
      <x:c r="C89" s="24" t="str">
        <x:v>People &amp; Beings</x:v>
      </x:c>
      <x:c r="D89" s="24" t="str">
        <x:v>PPL-500</x:v>
      </x:c>
      <x:c r="E89" s="24" t="str">
        <x:f>IF(D89="","",IFERROR(VLOOKUP(D89,$A$2:$B$1656,2,FALSE),""))</x:f>
        <x:v>Infernal and Corruptive Beings</x:v>
      </x:c>
      <x:c r="F89" s="24" t="n">
        <x:v>3</x:v>
      </x:c>
      <x:c r="G89" s="24" t="str">
        <x:v>Formerly divine or celestial beings transformed by rebellion, pride, corruption, exile, or metaphysical inversion.</x:v>
      </x:c>
      <x:c r="H89" s="24" t="str">
        <x:v>Source-specific examples may differ biologically, metaphysically, culturally, and morally; map them as analogues unless equivalence is explicit.</x:v>
      </x:c>
      <x:c r="I89" s="24" t="str">
        <x:v>fallen angel; corrupted celestial</x:v>
      </x:c>
      <x:c r="J89" s="24" t="str">
        <x:v>Antagonist, corrupter, pact source, invader, embodiment of vice, or hostile outsider.</x:v>
      </x:c>
      <x:c r="K89" s="24" t="str">
        <x:v>fallen angel; corrupted celestial</x:v>
      </x:c>
      <x:c r="L89" s="24" t="str">
        <x:v>Preserve each source's ontology, culture, history, and terminology when making comparisons.</x:v>
      </x:c>
      <x:c r="M89" s="24" t="str">
        <x:v>Core Family</x:v>
      </x:c>
    </x:row>
    <x:row r="90" ht="44" customHeight="1">
      <x:c r="A90" s="24" t="str">
        <x:v>PPL-505</x:v>
      </x:c>
      <x:c r="B90" s="24" t="str">
        <x:v>Corrupting Spirits</x:v>
      </x:c>
      <x:c r="C90" s="24" t="str">
        <x:v>People &amp; Beings</x:v>
      </x:c>
      <x:c r="D90" s="24" t="str">
        <x:v>PPL-500</x:v>
      </x:c>
      <x:c r="E90" s="24" t="str">
        <x:f>IF(D90="","",IFERROR(VLOOKUP(D90,$A$2:$B$1656,2,FALSE),""))</x:f>
        <x:v>Infernal and Corruptive Beings</x:v>
      </x:c>
      <x:c r="F90" s="24" t="n">
        <x:v>3</x:v>
      </x:c>
      <x:c r="G90" s="24" t="str">
        <x:v>Entities that spread moral, bodily, magical, ecological, or psychic degradation.</x:v>
      </x:c>
      <x:c r="H90" s="24" t="str">
        <x:v>Source-specific examples may differ biologically, metaphysically, culturally, and morally; map them as analogues unless equivalence is explicit.</x:v>
      </x:c>
      <x:c r="I90" s="24" t="str">
        <x:v>blight spirit; corruption entity; taint bearer</x:v>
      </x:c>
      <x:c r="J90" s="24" t="str">
        <x:v>Antagonist, corrupter, pact source, invader, embodiment of vice, or hostile outsider.</x:v>
      </x:c>
      <x:c r="K90" s="24" t="str">
        <x:v>blight spirit; corruption entity; taint bearer</x:v>
      </x:c>
      <x:c r="L90" s="24" t="str">
        <x:v>Preserve each source's ontology, culture, history, and terminology when making comparisons.</x:v>
      </x:c>
      <x:c r="M90" s="24" t="str">
        <x:v>Core Family</x:v>
      </x:c>
    </x:row>
    <x:row r="91" ht="44" customHeight="1">
      <x:c r="A91" s="24" t="str">
        <x:v>PPL-506</x:v>
      </x:c>
      <x:c r="B91" s="24" t="str">
        <x:v>Possessing Entities</x:v>
      </x:c>
      <x:c r="C91" s="24" t="str">
        <x:v>People &amp; Beings</x:v>
      </x:c>
      <x:c r="D91" s="24" t="str">
        <x:v>PPL-500</x:v>
      </x:c>
      <x:c r="E91" s="24" t="str">
        <x:f>IF(D91="","",IFERROR(VLOOKUP(D91,$A$2:$B$1656,2,FALSE),""))</x:f>
        <x:v>Infernal and Corruptive Beings</x:v>
      </x:c>
      <x:c r="F91" s="24" t="n">
        <x:v>3</x:v>
      </x:c>
      <x:c r="G91" s="24" t="str">
        <x:v>Beings that enter, control, share, or overwrite another creature's body or mind.</x:v>
      </x:c>
      <x:c r="H91" s="24" t="str">
        <x:v>Source-specific examples may differ biologically, metaphysically, culturally, and morally; map them as analogues unless equivalence is explicit.</x:v>
      </x:c>
      <x:c r="I91" s="24" t="str">
        <x:v>possessor; possessing demon; rider</x:v>
      </x:c>
      <x:c r="J91" s="24" t="str">
        <x:v>Antagonist, corrupter, pact source, invader, embodiment of vice, or hostile outsider.</x:v>
      </x:c>
      <x:c r="K91" s="24" t="str">
        <x:v>possessor; possessing demon; rider</x:v>
      </x:c>
      <x:c r="L91" s="24" t="str">
        <x:v>Preserve each source's ontology, culture, history, and terminology when making comparisons.</x:v>
      </x:c>
      <x:c r="M91" s="24" t="str">
        <x:v>Core Family</x:v>
      </x:c>
    </x:row>
    <x:row r="92" ht="44" customHeight="1">
      <x:c r="A92" s="24" t="str">
        <x:v>PPL-507</x:v>
      </x:c>
      <x:c r="B92" s="24" t="str">
        <x:v>Tempters and Bargain-Makers</x:v>
      </x:c>
      <x:c r="C92" s="24" t="str">
        <x:v>People &amp; Beings</x:v>
      </x:c>
      <x:c r="D92" s="24" t="str">
        <x:v>PPL-500</x:v>
      </x:c>
      <x:c r="E92" s="24" t="str">
        <x:f>IF(D92="","",IFERROR(VLOOKUP(D92,$A$2:$B$1656,2,FALSE),""))</x:f>
        <x:v>Infernal and Corruptive Beings</x:v>
      </x:c>
      <x:c r="F92" s="24" t="n">
        <x:v>3</x:v>
      </x:c>
      <x:c r="G92" s="24" t="str">
        <x:v>Supernatural beings whose narrative role centers on offers, tests, loopholes, wishes, and costly exchanges.</x:v>
      </x:c>
      <x:c r="H92" s="24" t="str">
        <x:v>Source-specific examples may differ biologically, metaphysically, culturally, and morally; map them as analogues unless equivalence is explicit.</x:v>
      </x:c>
      <x:c r="I92" s="24" t="str">
        <x:v>tempter; deal-maker; crossroads spirit</x:v>
      </x:c>
      <x:c r="J92" s="24" t="str">
        <x:v>Antagonist, corrupter, pact source, invader, embodiment of vice, or hostile outsider.</x:v>
      </x:c>
      <x:c r="K92" s="24" t="str">
        <x:v>tempter; deal-maker; crossroads spirit</x:v>
      </x:c>
      <x:c r="L92" s="24" t="str">
        <x:v>Preserve each source's ontology, culture, history, and terminology when making comparisons.</x:v>
      </x:c>
      <x:c r="M92" s="24" t="str">
        <x:v>Core Family</x:v>
      </x:c>
    </x:row>
    <x:row r="93" ht="44" customHeight="1">
      <x:c r="A93" s="24" t="str">
        <x:v>PPL-508</x:v>
      </x:c>
      <x:c r="B93" s="24" t="str">
        <x:v>Chaos Spawn and Mutants</x:v>
      </x:c>
      <x:c r="C93" s="24" t="str">
        <x:v>People &amp; Beings</x:v>
      </x:c>
      <x:c r="D93" s="24" t="str">
        <x:v>PPL-500</x:v>
      </x:c>
      <x:c r="E93" s="24" t="str">
        <x:f>IF(D93="","",IFERROR(VLOOKUP(D93,$A$2:$B$1656,2,FALSE),""))</x:f>
        <x:v>Infernal and Corruptive Beings</x:v>
      </x:c>
      <x:c r="F93" s="24" t="n">
        <x:v>3</x:v>
      </x:c>
      <x:c r="G93" s="24" t="str">
        <x:v>Beings reshaped by uncontrolled magic, divine chaos, corruption, or exposure to reality-warping forces.</x:v>
      </x:c>
      <x:c r="H93" s="24" t="str">
        <x:v>Source-specific examples may differ biologically, metaphysically, culturally, and morally; map them as analogues unless equivalence is explicit.</x:v>
      </x:c>
      <x:c r="I93" s="24" t="str">
        <x:v>chaos spawn; warp mutant; corrupted beast</x:v>
      </x:c>
      <x:c r="J93" s="24" t="str">
        <x:v>Antagonist, corrupter, pact source, invader, embodiment of vice, or hostile outsider.</x:v>
      </x:c>
      <x:c r="K93" s="24" t="str">
        <x:v>chaos spawn; warp mutant; corrupted beast</x:v>
      </x:c>
      <x:c r="L93" s="24" t="str">
        <x:v>Preserve each source's ontology, culture, history, and terminology when making comparisons.</x:v>
      </x:c>
      <x:c r="M93" s="24" t="str">
        <x:v>Core Family</x:v>
      </x:c>
    </x:row>
    <x:row r="94" ht="44" customHeight="1">
      <x:c r="A94" s="24" t="str">
        <x:v>PPL-509</x:v>
      </x:c>
      <x:c r="B94" s="24" t="str">
        <x:v>Demon Lords and Archfiends</x:v>
      </x:c>
      <x:c r="C94" s="24" t="str">
        <x:v>People &amp; Beings</x:v>
      </x:c>
      <x:c r="D94" s="24" t="str">
        <x:v>PPL-500</x:v>
      </x:c>
      <x:c r="E94" s="24" t="str">
        <x:f>IF(D94="","",IFERROR(VLOOKUP(D94,$A$2:$B$1656,2,FALSE),""))</x:f>
        <x:v>Infernal and Corruptive Beings</x:v>
      </x:c>
      <x:c r="F94" s="24" t="n">
        <x:v>3</x:v>
      </x:c>
      <x:c r="G94" s="24" t="str">
        <x:v>Sovereign or near-divine fiends who rule infernal realms, cults, armies, or metaphysical principles.</x:v>
      </x:c>
      <x:c r="H94" s="24" t="str">
        <x:v>Source-specific examples may differ biologically, metaphysically, culturally, and morally; map them as analogues unless equivalence is explicit.</x:v>
      </x:c>
      <x:c r="I94" s="24" t="str">
        <x:v>demon lord; archdevil; dark god</x:v>
      </x:c>
      <x:c r="J94" s="24" t="str">
        <x:v>Antagonist, corrupter, pact source, invader, embodiment of vice, or hostile outsider.</x:v>
      </x:c>
      <x:c r="K94" s="24" t="str">
        <x:v>demon lord; archdevil; dark god</x:v>
      </x:c>
      <x:c r="L94" s="24" t="str">
        <x:v>Preserve each source's ontology, culture, history, and terminology when making comparisons.</x:v>
      </x:c>
      <x:c r="M94" s="24" t="str">
        <x:v>Core Family</x:v>
      </x:c>
    </x:row>
    <x:row r="95" ht="44" customHeight="1">
      <x:c r="A95" s="24" t="str">
        <x:v>PPL-510</x:v>
      </x:c>
      <x:c r="B95" s="24" t="str">
        <x:v>Hungry Ghosts and Predatory Spirits</x:v>
      </x:c>
      <x:c r="C95" s="24" t="str">
        <x:v>People &amp; Beings</x:v>
      </x:c>
      <x:c r="D95" s="24" t="str">
        <x:v>PPL-500</x:v>
      </x:c>
      <x:c r="E95" s="24" t="str">
        <x:f>IF(D95="","",IFERROR(VLOOKUP(D95,$A$2:$B$1656,2,FALSE),""))</x:f>
        <x:v>Infernal and Corruptive Beings</x:v>
      </x:c>
      <x:c r="F95" s="24" t="n">
        <x:v>3</x:v>
      </x:c>
      <x:c r="G95" s="24" t="str">
        <x:v>Postmortem or spirit beings driven by insatiable appetite, resentment, or imbalance.</x:v>
      </x:c>
      <x:c r="H95" s="24" t="str">
        <x:v>Source-specific examples may differ biologically, metaphysically, culturally, and morally; map them as analogues unless equivalence is explicit.</x:v>
      </x:c>
      <x:c r="I95" s="24" t="str">
        <x:v>hungry ghost; preta-like; devouring spirit</x:v>
      </x:c>
      <x:c r="J95" s="24" t="str">
        <x:v>Antagonist, corrupter, pact source, invader, embodiment of vice, or hostile outsider.</x:v>
      </x:c>
      <x:c r="K95" s="24" t="str">
        <x:v>hungry ghost; preta-like; devouring spirit</x:v>
      </x:c>
      <x:c r="L95" s="24" t="str">
        <x:v>Respect Buddhist and East Asian religious contexts when using hungry-ghost terminology.</x:v>
      </x:c>
      <x:c r="M95" s="24" t="str">
        <x:v>Core Family</x:v>
      </x:c>
    </x:row>
    <x:row r="96" ht="44" customHeight="1">
      <x:c r="A96" s="24" t="str">
        <x:v>PPL-511</x:v>
      </x:c>
      <x:c r="B96" s="24" t="str">
        <x:v>Oni-Derived Beings</x:v>
      </x:c>
      <x:c r="C96" s="24" t="str">
        <x:v>People &amp; Beings</x:v>
      </x:c>
      <x:c r="D96" s="24" t="str">
        <x:v>PPL-500</x:v>
      </x:c>
      <x:c r="E96" s="24" t="str">
        <x:f>IF(D96="","",IFERROR(VLOOKUP(D96,$A$2:$B$1656,2,FALSE),""))</x:f>
        <x:v>Infernal and Corruptive Beings</x:v>
      </x:c>
      <x:c r="F96" s="24" t="n">
        <x:v>3</x:v>
      </x:c>
      <x:c r="G96" s="24" t="str">
        <x:v>Japanese ogre-demon figures or adaptations marked by horns, clubs, punishment, wildness, or liminality.</x:v>
      </x:c>
      <x:c r="H96" s="24" t="str">
        <x:v>Source-specific examples may differ biologically, metaphysically, culturally, and morally; map them as analogues unless equivalence is explicit.</x:v>
      </x:c>
      <x:c r="I96" s="24" t="str">
        <x:v>oni; ogre-demon</x:v>
      </x:c>
      <x:c r="J96" s="24" t="str">
        <x:v>Antagonist, corrupter, pact source, invader, embodiment of vice, or hostile outsider.</x:v>
      </x:c>
      <x:c r="K96" s="24" t="str">
        <x:v>oni; ogre-demon</x:v>
      </x:c>
      <x:c r="L96" s="24" t="str">
        <x:v>Oni are culturally specific and should not be flattened into a generic Western demon or ogre category.</x:v>
      </x:c>
      <x:c r="M96" s="24" t="str">
        <x:v>Core Family</x:v>
      </x:c>
    </x:row>
    <x:row r="97" ht="44" customHeight="1">
      <x:c r="A97" s="24" t="str">
        <x:v>PPL-601</x:v>
      </x:c>
      <x:c r="B97" s="24" t="str">
        <x:v>Ghosts</x:v>
      </x:c>
      <x:c r="C97" s="24" t="str">
        <x:v>People &amp; Beings</x:v>
      </x:c>
      <x:c r="D97" s="24" t="str">
        <x:v>PPL-600</x:v>
      </x:c>
      <x:c r="E97" s="24" t="str">
        <x:f>IF(D97="","",IFERROR(VLOOKUP(D97,$A$2:$B$1656,2,FALSE),""))</x:f>
        <x:v>Undead Beings</x:v>
      </x:c>
      <x:c r="F97" s="24" t="n">
        <x:v>3</x:v>
      </x:c>
      <x:c r="G97" s="24" t="str">
        <x:v>Disembodied dead whose identity, memory, attachment, duty, or trauma persists after death.</x:v>
      </x:c>
      <x:c r="H97" s="24" t="str">
        <x:v>Source-specific examples may differ biologically, metaphysically, culturally, and morally; map them as analogues unless equivalence is explicit.</x:v>
      </x:c>
      <x:c r="I97" s="24" t="str">
        <x:v>ghost; spirit of the dead; shade</x:v>
      </x:c>
      <x:c r="J97" s="24" t="str">
        <x:v>Horror, tragic persistence, immortal aristocracy, necromantic army, ancestral guardian, or playable condition.</x:v>
      </x:c>
      <x:c r="K97" s="24" t="str">
        <x:v>ghost; spirit of the dead; shade</x:v>
      </x:c>
      <x:c r="L97" s="24" t="str">
        <x:v>Preserve each source's ontology, culture, history, and terminology when making comparisons.</x:v>
      </x:c>
      <x:c r="M97" s="24" t="str">
        <x:v>Core Family</x:v>
      </x:c>
    </x:row>
    <x:row r="98" ht="44" customHeight="1">
      <x:c r="A98" s="24" t="str">
        <x:v>PPL-602</x:v>
      </x:c>
      <x:c r="B98" s="24" t="str">
        <x:v>Revenants</x:v>
      </x:c>
      <x:c r="C98" s="24" t="str">
        <x:v>People &amp; Beings</x:v>
      </x:c>
      <x:c r="D98" s="24" t="str">
        <x:v>PPL-600</x:v>
      </x:c>
      <x:c r="E98" s="24" t="str">
        <x:f>IF(D98="","",IFERROR(VLOOKUP(D98,$A$2:$B$1656,2,FALSE),""))</x:f>
        <x:v>Undead Beings</x:v>
      </x:c>
      <x:c r="F98" s="24" t="n">
        <x:v>3</x:v>
      </x:c>
      <x:c r="G98" s="24" t="str">
        <x:v>Dead individuals who return with purpose, grievance, duty, vengeance, or an unfinished task.</x:v>
      </x:c>
      <x:c r="H98" s="24" t="str">
        <x:v>Source-specific examples may differ biologically, metaphysically, culturally, and morally; map them as analogues unless equivalence is explicit.</x:v>
      </x:c>
      <x:c r="I98" s="24" t="str">
        <x:v>revenant; returned dead; avenger</x:v>
      </x:c>
      <x:c r="J98" s="24" t="str">
        <x:v>Horror, tragic persistence, immortal aristocracy, necromantic army, ancestral guardian, or playable condition.</x:v>
      </x:c>
      <x:c r="K98" s="24" t="str">
        <x:v>revenant; returned dead; avenger</x:v>
      </x:c>
      <x:c r="L98" s="24" t="str">
        <x:v>Preserve each source's ontology, culture, history, and terminology when making comparisons.</x:v>
      </x:c>
      <x:c r="M98" s="24" t="str">
        <x:v>Core Family</x:v>
      </x:c>
    </x:row>
    <x:row r="99" ht="44" customHeight="1">
      <x:c r="A99" s="24" t="str">
        <x:v>PPL-603</x:v>
      </x:c>
      <x:c r="B99" s="24" t="str">
        <x:v>Skeletons</x:v>
      </x:c>
      <x:c r="C99" s="24" t="str">
        <x:v>People &amp; Beings</x:v>
      </x:c>
      <x:c r="D99" s="24" t="str">
        <x:v>PPL-600</x:v>
      </x:c>
      <x:c r="E99" s="24" t="str">
        <x:f>IF(D99="","",IFERROR(VLOOKUP(D99,$A$2:$B$1656,2,FALSE),""))</x:f>
        <x:v>Undead Beings</x:v>
      </x:c>
      <x:c r="F99" s="24" t="n">
        <x:v>3</x:v>
      </x:c>
      <x:c r="G99" s="24" t="str">
        <x:v>Animated bones functioning as servants, soldiers, cursed dead, or autonomous undead peoples.</x:v>
      </x:c>
      <x:c r="H99" s="24" t="str">
        <x:v>Source-specific examples may differ biologically, metaphysically, culturally, and morally; map them as analogues unless equivalence is explicit.</x:v>
      </x:c>
      <x:c r="I99" s="24" t="str">
        <x:v>skeleton; bone warrior</x:v>
      </x:c>
      <x:c r="J99" s="24" t="str">
        <x:v>Horror, tragic persistence, immortal aristocracy, necromantic army, ancestral guardian, or playable condition.</x:v>
      </x:c>
      <x:c r="K99" s="24" t="str">
        <x:v>skeleton; bone warrior</x:v>
      </x:c>
      <x:c r="L99" s="24" t="str">
        <x:v>Preserve each source's ontology, culture, history, and terminology when making comparisons.</x:v>
      </x:c>
      <x:c r="M99" s="24" t="str">
        <x:v>Core Family</x:v>
      </x:c>
    </x:row>
    <x:row r="100" ht="44" customHeight="1">
      <x:c r="A100" s="24" t="str">
        <x:v>PPL-604</x:v>
      </x:c>
      <x:c r="B100" s="24" t="str">
        <x:v>Zombies</x:v>
      </x:c>
      <x:c r="C100" s="24" t="str">
        <x:v>People &amp; Beings</x:v>
      </x:c>
      <x:c r="D100" s="24" t="str">
        <x:v>PPL-600</x:v>
      </x:c>
      <x:c r="E100" s="24" t="str">
        <x:f>IF(D100="","",IFERROR(VLOOKUP(D100,$A$2:$B$1656,2,FALSE),""))</x:f>
        <x:v>Undead Beings</x:v>
      </x:c>
      <x:c r="F100" s="24" t="n">
        <x:v>3</x:v>
      </x:c>
      <x:c r="G100" s="24" t="str">
        <x:v>Animated corpses characterized by decay, diminished agency, infection, hunger, mass threat, or necromantic control.</x:v>
      </x:c>
      <x:c r="H100" s="24" t="str">
        <x:v>Source-specific examples may differ biologically, metaphysically, culturally, and morally; map them as analogues unless equivalence is explicit.</x:v>
      </x:c>
      <x:c r="I100" s="24" t="str">
        <x:v>zombie; walking corpse; shambling dead</x:v>
      </x:c>
      <x:c r="J100" s="24" t="str">
        <x:v>Horror, tragic persistence, immortal aristocracy, necromantic army, ancestral guardian, or playable condition.</x:v>
      </x:c>
      <x:c r="K100" s="24" t="str">
        <x:v>zombie; walking corpse; shambling dead</x:v>
      </x:c>
      <x:c r="L100" s="24" t="str">
        <x:v>Preserve each source's ontology, culture, history, and terminology when making comparisons.</x:v>
      </x:c>
      <x:c r="M100" s="24" t="str">
        <x:v>Core Family</x:v>
      </x:c>
    </x:row>
    <x:row r="101" ht="44" customHeight="1">
      <x:c r="A101" s="24" t="str">
        <x:v>PPL-605</x:v>
      </x:c>
      <x:c r="B101" s="24" t="str">
        <x:v>Ghouls</x:v>
      </x:c>
      <x:c r="C101" s="24" t="str">
        <x:v>People &amp; Beings</x:v>
      </x:c>
      <x:c r="D101" s="24" t="str">
        <x:v>PPL-600</x:v>
      </x:c>
      <x:c r="E101" s="24" t="str">
        <x:f>IF(D101="","",IFERROR(VLOOKUP(D101,$A$2:$B$1656,2,FALSE),""))</x:f>
        <x:v>Undead Beings</x:v>
      </x:c>
      <x:c r="F101" s="24" t="n">
        <x:v>3</x:v>
      </x:c>
      <x:c r="G101" s="24" t="str">
        <x:v>Corpse-eating or grave-associated undead whose identity centers on hunger, degeneration, or predation.</x:v>
      </x:c>
      <x:c r="H101" s="24" t="str">
        <x:v>Source-specific examples may differ biologically, metaphysically, culturally, and morally; map them as analogues unless equivalence is explicit.</x:v>
      </x:c>
      <x:c r="I101" s="24" t="str">
        <x:v>ghoul; grave-eater</x:v>
      </x:c>
      <x:c r="J101" s="24" t="str">
        <x:v>Horror, tragic persistence, immortal aristocracy, necromantic army, ancestral guardian, or playable condition.</x:v>
      </x:c>
      <x:c r="K101" s="24" t="str">
        <x:v>ghoul; grave-eater</x:v>
      </x:c>
      <x:c r="L101" s="24" t="str">
        <x:v>Preserve each source's ontology, culture, history, and terminology when making comparisons.</x:v>
      </x:c>
      <x:c r="M101" s="24" t="str">
        <x:v>Core Family</x:v>
      </x:c>
    </x:row>
    <x:row r="102" ht="44" customHeight="1">
      <x:c r="A102" s="24" t="str">
        <x:v>PPL-606</x:v>
      </x:c>
      <x:c r="B102" s="24" t="str">
        <x:v>Wights and Wraiths</x:v>
      </x:c>
      <x:c r="C102" s="24" t="str">
        <x:v>People &amp; Beings</x:v>
      </x:c>
      <x:c r="D102" s="24" t="str">
        <x:v>PPL-600</x:v>
      </x:c>
      <x:c r="E102" s="24" t="str">
        <x:f>IF(D102="","",IFERROR(VLOOKUP(D102,$A$2:$B$1656,2,FALSE),""))</x:f>
        <x:v>Undead Beings</x:v>
      </x:c>
      <x:c r="F102" s="24" t="n">
        <x:v>3</x:v>
      </x:c>
      <x:c r="G102" s="24" t="str">
        <x:v>Powerful spectral or preserved undead associated with draining life, barrows, cursed kingship, or dark sorcery.</x:v>
      </x:c>
      <x:c r="H102" s="24" t="str">
        <x:v>Source-specific examples may differ biologically, metaphysically, culturally, and morally; map them as analogues unless equivalence is explicit.</x:v>
      </x:c>
      <x:c r="I102" s="24" t="str">
        <x:v>wight; wraith; ringwraith-like</x:v>
      </x:c>
      <x:c r="J102" s="24" t="str">
        <x:v>Horror, tragic persistence, immortal aristocracy, necromantic army, ancestral guardian, or playable condition.</x:v>
      </x:c>
      <x:c r="K102" s="24" t="str">
        <x:v>wight; wraith; ringwraith-like</x:v>
      </x:c>
      <x:c r="L102" s="24" t="str">
        <x:v>Preserve each source's ontology, culture, history, and terminology when making comparisons.</x:v>
      </x:c>
      <x:c r="M102" s="24" t="str">
        <x:v>Core Family</x:v>
      </x:c>
    </x:row>
    <x:row r="103" ht="44" customHeight="1">
      <x:c r="A103" s="24" t="str">
        <x:v>PPL-607</x:v>
      </x:c>
      <x:c r="B103" s="24" t="str">
        <x:v>Vampires</x:v>
      </x:c>
      <x:c r="C103" s="24" t="str">
        <x:v>People &amp; Beings</x:v>
      </x:c>
      <x:c r="D103" s="24" t="str">
        <x:v>PPL-600</x:v>
      </x:c>
      <x:c r="E103" s="24" t="str">
        <x:f>IF(D103="","",IFERROR(VLOOKUP(D103,$A$2:$B$1656,2,FALSE),""))</x:f>
        <x:v>Undead Beings</x:v>
      </x:c>
      <x:c r="F103" s="24" t="n">
        <x:v>3</x:v>
      </x:c>
      <x:c r="G103" s="24" t="str">
        <x:v>Undead, cursed, parasitic, or transformed beings that sustain themselves on blood, life, emotion, or soul essence.</x:v>
      </x:c>
      <x:c r="H103" s="24" t="str">
        <x:v>Source-specific examples may differ biologically, metaphysically, culturally, and morally; map them as analogues unless equivalence is explicit.</x:v>
      </x:c>
      <x:c r="I103" s="24" t="str">
        <x:v>vampire; nosferatu; blood-drinker</x:v>
      </x:c>
      <x:c r="J103" s="24" t="str">
        <x:v>Horror, tragic persistence, immortal aristocracy, necromantic army, ancestral guardian, or playable condition.</x:v>
      </x:c>
      <x:c r="K103" s="24" t="str">
        <x:v>vampire; nosferatu; blood-drinker</x:v>
      </x:c>
      <x:c r="L103" s="24" t="str">
        <x:v>Track whether vampirism is species, disease, curse, aristocratic condition, demonic lineage, or playable template.</x:v>
      </x:c>
      <x:c r="M103" s="24" t="str">
        <x:v>Core Family</x:v>
      </x:c>
    </x:row>
    <x:row r="104" ht="44" customHeight="1">
      <x:c r="A104" s="24" t="str">
        <x:v>PPL-608</x:v>
      </x:c>
      <x:c r="B104" s="24" t="str">
        <x:v>Liches</x:v>
      </x:c>
      <x:c r="C104" s="24" t="str">
        <x:v>People &amp; Beings</x:v>
      </x:c>
      <x:c r="D104" s="24" t="str">
        <x:v>PPL-600</x:v>
      </x:c>
      <x:c r="E104" s="24" t="str">
        <x:f>IF(D104="","",IFERROR(VLOOKUP(D104,$A$2:$B$1656,2,FALSE),""))</x:f>
        <x:v>Undead Beings</x:v>
      </x:c>
      <x:c r="F104" s="24" t="n">
        <x:v>3</x:v>
      </x:c>
      <x:c r="G104" s="24" t="str">
        <x:v>Spellcasters or rulers who deliberately preserve mind and power beyond death, often through a soul vessel or ritual.</x:v>
      </x:c>
      <x:c r="H104" s="24" t="str">
        <x:v>Source-specific examples may differ biologically, metaphysically, culturally, and morally; map them as analogues unless equivalence is explicit.</x:v>
      </x:c>
      <x:c r="I104" s="24" t="str">
        <x:v>lich; phylactery-bound mage; undead sorcerer</x:v>
      </x:c>
      <x:c r="J104" s="24" t="str">
        <x:v>Horror, tragic persistence, immortal aristocracy, necromantic army, ancestral guardian, or playable condition.</x:v>
      </x:c>
      <x:c r="K104" s="24" t="str">
        <x:v>lich; phylactery-bound mage; undead sorcerer</x:v>
      </x:c>
      <x:c r="L104" s="24" t="str">
        <x:v>Preserve each source's ontology, culture, history, and terminology when making comparisons.</x:v>
      </x:c>
      <x:c r="M104" s="24" t="str">
        <x:v>Core Family</x:v>
      </x:c>
    </x:row>
    <x:row r="105" ht="44" customHeight="1">
      <x:c r="A105" s="24" t="str">
        <x:v>PPL-609</x:v>
      </x:c>
      <x:c r="B105" s="24" t="str">
        <x:v>Mummies</x:v>
      </x:c>
      <x:c r="C105" s="24" t="str">
        <x:v>People &amp; Beings</x:v>
      </x:c>
      <x:c r="D105" s="24" t="str">
        <x:v>PPL-600</x:v>
      </x:c>
      <x:c r="E105" s="24" t="str">
        <x:f>IF(D105="","",IFERROR(VLOOKUP(D105,$A$2:$B$1656,2,FALSE),""))</x:f>
        <x:v>Undead Beings</x:v>
      </x:c>
      <x:c r="F105" s="24" t="n">
        <x:v>3</x:v>
      </x:c>
      <x:c r="G105" s="24" t="str">
        <x:v>Preserved dead animated by curse, ritual duty, royal authority, or funerary magic.</x:v>
      </x:c>
      <x:c r="H105" s="24" t="str">
        <x:v>Source-specific examples may differ biologically, metaphysically, culturally, and morally; map them as analogues unless equivalence is explicit.</x:v>
      </x:c>
      <x:c r="I105" s="24" t="str">
        <x:v>mummy; embalmed guardian</x:v>
      </x:c>
      <x:c r="J105" s="24" t="str">
        <x:v>Horror, tragic persistence, immortal aristocracy, necromantic army, ancestral guardian, or playable condition.</x:v>
      </x:c>
      <x:c r="K105" s="24" t="str">
        <x:v>mummy; embalmed guardian</x:v>
      </x:c>
      <x:c r="L105" s="24" t="str">
        <x:v>Preserve each source's ontology, culture, history, and terminology when making comparisons.</x:v>
      </x:c>
      <x:c r="M105" s="24" t="str">
        <x:v>Core Family</x:v>
      </x:c>
    </x:row>
    <x:row r="106" ht="44" customHeight="1">
      <x:c r="A106" s="24" t="str">
        <x:v>PPL-610</x:v>
      </x:c>
      <x:c r="B106" s="24" t="str">
        <x:v>Banshees and Death-Wail Spirits</x:v>
      </x:c>
      <x:c r="C106" s="24" t="str">
        <x:v>People &amp; Beings</x:v>
      </x:c>
      <x:c r="D106" s="24" t="str">
        <x:v>PPL-600</x:v>
      </x:c>
      <x:c r="E106" s="24" t="str">
        <x:f>IF(D106="","",IFERROR(VLOOKUP(D106,$A$2:$B$1656,2,FALSE),""))</x:f>
        <x:v>Undead Beings</x:v>
      </x:c>
      <x:c r="F106" s="24" t="n">
        <x:v>3</x:v>
      </x:c>
      <x:c r="G106" s="24" t="str">
        <x:v>Spectral figures whose cry, grief, or prophecy heralds death or inflicts harm.</x:v>
      </x:c>
      <x:c r="H106" s="24" t="str">
        <x:v>Source-specific examples may differ biologically, metaphysically, culturally, and morally; map them as analogues unless equivalence is explicit.</x:v>
      </x:c>
      <x:c r="I106" s="24" t="str">
        <x:v>banshee; keening spirit</x:v>
      </x:c>
      <x:c r="J106" s="24" t="str">
        <x:v>Horror, tragic persistence, immortal aristocracy, necromantic army, ancestral guardian, or playable condition.</x:v>
      </x:c>
      <x:c r="K106" s="24" t="str">
        <x:v>banshee; keening spirit</x:v>
      </x:c>
      <x:c r="L106" s="24" t="str">
        <x:v>Preserve each source's ontology, culture, history, and terminology when making comparisons.</x:v>
      </x:c>
      <x:c r="M106" s="24" t="str">
        <x:v>Core Family</x:v>
      </x:c>
    </x:row>
    <x:row r="107" ht="44" customHeight="1">
      <x:c r="A107" s="24" t="str">
        <x:v>PPL-611</x:v>
      </x:c>
      <x:c r="B107" s="24" t="str">
        <x:v>Death Knights</x:v>
      </x:c>
      <x:c r="C107" s="24" t="str">
        <x:v>People &amp; Beings</x:v>
      </x:c>
      <x:c r="D107" s="24" t="str">
        <x:v>PPL-600</x:v>
      </x:c>
      <x:c r="E107" s="24" t="str">
        <x:f>IF(D107="","",IFERROR(VLOOKUP(D107,$A$2:$B$1656,2,FALSE),""))</x:f>
        <x:v>Undead Beings</x:v>
      </x:c>
      <x:c r="F107" s="24" t="n">
        <x:v>3</x:v>
      </x:c>
      <x:c r="G107" s="24" t="str">
        <x:v>Armored undead or death-bound champions who retain martial skill, command, and often a corrupted oath.</x:v>
      </x:c>
      <x:c r="H107" s="24" t="str">
        <x:v>Source-specific examples may differ biologically, metaphysically, culturally, and morally; map them as analogues unless equivalence is explicit.</x:v>
      </x:c>
      <x:c r="I107" s="24" t="str">
        <x:v>death knight; black rider; grave knight</x:v>
      </x:c>
      <x:c r="J107" s="24" t="str">
        <x:v>Horror, tragic persistence, immortal aristocracy, necromantic army, ancestral guardian, or playable condition.</x:v>
      </x:c>
      <x:c r="K107" s="24" t="str">
        <x:v>death knight; black rider; grave knight</x:v>
      </x:c>
      <x:c r="L107" s="24" t="str">
        <x:v>Preserve each source's ontology, culture, history, and terminology when making comparisons.</x:v>
      </x:c>
      <x:c r="M107" s="24" t="str">
        <x:v>Core Family</x:v>
      </x:c>
    </x:row>
    <x:row r="108" ht="44" customHeight="1">
      <x:c r="A108" s="24" t="str">
        <x:v>PPL-612</x:v>
      </x:c>
      <x:c r="B108" s="24" t="str">
        <x:v>Draugr and Barrow Dead</x:v>
      </x:c>
      <x:c r="C108" s="24" t="str">
        <x:v>People &amp; Beings</x:v>
      </x:c>
      <x:c r="D108" s="24" t="str">
        <x:v>PPL-600</x:v>
      </x:c>
      <x:c r="E108" s="24" t="str">
        <x:f>IF(D108="","",IFERROR(VLOOKUP(D108,$A$2:$B$1656,2,FALSE),""))</x:f>
        <x:v>Undead Beings</x:v>
      </x:c>
      <x:c r="F108" s="24" t="n">
        <x:v>3</x:v>
      </x:c>
      <x:c r="G108" s="24" t="str">
        <x:v>Weapon-bearing dead bound to tombs, treasure, territory, or ancient obligations.</x:v>
      </x:c>
      <x:c r="H108" s="24" t="str">
        <x:v>Source-specific examples may differ biologically, metaphysically, culturally, and morally; map them as analogues unless equivalence is explicit.</x:v>
      </x:c>
      <x:c r="I108" s="24" t="str">
        <x:v>draugr; barrow-wight; tomb guardian</x:v>
      </x:c>
      <x:c r="J108" s="24" t="str">
        <x:v>Horror, tragic persistence, immortal aristocracy, necromantic army, ancestral guardian, or playable condition.</x:v>
      </x:c>
      <x:c r="K108" s="24" t="str">
        <x:v>draugr; barrow-wight; tomb guardian</x:v>
      </x:c>
      <x:c r="L108" s="24" t="str">
        <x:v>Draugr derive from Old Norse tradition; distinguish them from generic zombies.</x:v>
      </x:c>
      <x:c r="M108" s="24" t="str">
        <x:v>Core Family</x:v>
      </x:c>
    </x:row>
    <x:row r="109" ht="44" customHeight="1">
      <x:c r="A109" s="24" t="str">
        <x:v>PPL-613</x:v>
      </x:c>
      <x:c r="B109" s="24" t="str">
        <x:v>Corpse Swarms and Composite Undead</x:v>
      </x:c>
      <x:c r="C109" s="24" t="str">
        <x:v>People &amp; Beings</x:v>
      </x:c>
      <x:c r="D109" s="24" t="str">
        <x:v>PPL-600</x:v>
      </x:c>
      <x:c r="E109" s="24" t="str">
        <x:f>IF(D109="","",IFERROR(VLOOKUP(D109,$A$2:$B$1656,2,FALSE),""))</x:f>
        <x:v>Undead Beings</x:v>
      </x:c>
      <x:c r="F109" s="24" t="n">
        <x:v>3</x:v>
      </x:c>
      <x:c r="G109" s="24" t="str">
        <x:v>Undead formed from many bodies, bones, souls, or fragments rather than a single deceased individual.</x:v>
      </x:c>
      <x:c r="H109" s="24" t="str">
        <x:v>Source-specific examples may differ biologically, metaphysically, culturally, and morally; map them as analogues unless equivalence is explicit.</x:v>
      </x:c>
      <x:c r="I109" s="24" t="str">
        <x:v>bone mass; corpse amalgam; legion undead</x:v>
      </x:c>
      <x:c r="J109" s="24" t="str">
        <x:v>Horror, tragic persistence, immortal aristocracy, necromantic army, ancestral guardian, or playable condition.</x:v>
      </x:c>
      <x:c r="K109" s="24" t="str">
        <x:v>bone mass; corpse amalgam; legion undead</x:v>
      </x:c>
      <x:c r="L109" s="24" t="str">
        <x:v>Preserve each source's ontology, culture, history, and terminology when making comparisons.</x:v>
      </x:c>
      <x:c r="M109" s="24" t="str">
        <x:v>Core Family</x:v>
      </x:c>
    </x:row>
    <x:row r="110" ht="44" customHeight="1">
      <x:c r="A110" s="24" t="str">
        <x:v>PPL-614</x:v>
      </x:c>
      <x:c r="B110" s="24" t="str">
        <x:v>Soul-Bound Undead</x:v>
      </x:c>
      <x:c r="C110" s="24" t="str">
        <x:v>People &amp; Beings</x:v>
      </x:c>
      <x:c r="D110" s="24" t="str">
        <x:v>PPL-600</x:v>
      </x:c>
      <x:c r="E110" s="24" t="str">
        <x:f>IF(D110="","",IFERROR(VLOOKUP(D110,$A$2:$B$1656,2,FALSE),""))</x:f>
        <x:v>Undead Beings</x:v>
      </x:c>
      <x:c r="F110" s="24" t="n">
        <x:v>3</x:v>
      </x:c>
      <x:c r="G110" s="24" t="str">
        <x:v>Undead whose animation depends on a trapped, divided, transferred, or externally controlled soul.</x:v>
      </x:c>
      <x:c r="H110" s="24" t="str">
        <x:v>Source-specific examples may differ biologically, metaphysically, culturally, and morally; map them as analogues unless equivalence is explicit.</x:v>
      </x:c>
      <x:c r="I110" s="24" t="str">
        <x:v>soul-bound corpse; bound shade</x:v>
      </x:c>
      <x:c r="J110" s="24" t="str">
        <x:v>Horror, tragic persistence, immortal aristocracy, necromantic army, ancestral guardian, or playable condition.</x:v>
      </x:c>
      <x:c r="K110" s="24" t="str">
        <x:v>soul-bound corpse; bound shade</x:v>
      </x:c>
      <x:c r="L110" s="24" t="str">
        <x:v>Preserve each source's ontology, culture, history, and terminology when making comparisons.</x:v>
      </x:c>
      <x:c r="M110" s="24" t="str">
        <x:v>Core Family</x:v>
      </x:c>
    </x:row>
    <x:row r="111" ht="44" customHeight="1">
      <x:c r="A111" s="24" t="str">
        <x:v>PPL-615</x:v>
      </x:c>
      <x:c r="B111" s="24" t="str">
        <x:v>Intelligent Undead Peoples</x:v>
      </x:c>
      <x:c r="C111" s="24" t="str">
        <x:v>People &amp; Beings</x:v>
      </x:c>
      <x:c r="D111" s="24" t="str">
        <x:v>PPL-600</x:v>
      </x:c>
      <x:c r="E111" s="24" t="str">
        <x:f>IF(D111="","",IFERROR(VLOOKUP(D111,$A$2:$B$1656,2,FALSE),""))</x:f>
        <x:v>Undead Beings</x:v>
      </x:c>
      <x:c r="F111" s="24" t="n">
        <x:v>3</x:v>
      </x:c>
      <x:c r="G111" s="24" t="str">
        <x:v>Undead societies whose members possess stable personhood, culture, politics, and reproduction or recruitment.</x:v>
      </x:c>
      <x:c r="H111" s="24" t="str">
        <x:v>Source-specific examples may differ biologically, metaphysically, culturally, and morally; map them as analogues unless equivalence is explicit.</x:v>
      </x:c>
      <x:c r="I111" s="24" t="str">
        <x:v>forsaken-like; undead nation; vampire society</x:v>
      </x:c>
      <x:c r="J111" s="24" t="str">
        <x:v>Horror, tragic persistence, immortal aristocracy, necromantic army, ancestral guardian, or playable condition.</x:v>
      </x:c>
      <x:c r="K111" s="24" t="str">
        <x:v>forsaken-like; undead nation; vampire society</x:v>
      </x:c>
      <x:c r="L111" s="24" t="str">
        <x:v>Preserve each source's ontology, culture, history, and terminology when making comparisons.</x:v>
      </x:c>
      <x:c r="M111" s="24" t="str">
        <x:v>Core Family</x:v>
      </x:c>
    </x:row>
    <x:row r="112" ht="44" customHeight="1">
      <x:c r="A112" s="24" t="str">
        <x:v>PPL-701</x:v>
      </x:c>
      <x:c r="B112" s="24" t="str">
        <x:v>Golems</x:v>
      </x:c>
      <x:c r="C112" s="24" t="str">
        <x:v>People &amp; Beings</x:v>
      </x:c>
      <x:c r="D112" s="24" t="str">
        <x:v>PPL-700</x:v>
      </x:c>
      <x:c r="E112" s="24" t="str">
        <x:f>IF(D112="","",IFERROR(VLOOKUP(D112,$A$2:$B$1656,2,FALSE),""))</x:f>
        <x:v>Constructs and Artificial Life</x:v>
      </x:c>
      <x:c r="F112" s="24" t="n">
        <x:v>3</x:v>
      </x:c>
      <x:c r="G112" s="24" t="str">
        <x:v>Artificial bodies animated by magic, inscription, divine name, elemental core, or command logic.</x:v>
      </x:c>
      <x:c r="H112" s="24" t="str">
        <x:v>Source-specific examples may differ biologically, metaphysically, culturally, and morally; map them as analogues unless equivalence is explicit.</x:v>
      </x:c>
      <x:c r="I112" s="24" t="str">
        <x:v>golem; clay guardian; stone construct</x:v>
      </x:c>
      <x:c r="J112" s="24" t="str">
        <x:v>Servant, soldier, artificial person, ethical test, inherited relic, or technological counterpoint to magic.</x:v>
      </x:c>
      <x:c r="K112" s="24" t="str">
        <x:v>golem; clay guardian; stone construct</x:v>
      </x:c>
      <x:c r="L112" s="24" t="str">
        <x:v>The golem has specific roots in Jewish folklore; distinguish that tradition from generic fantasy constructs.</x:v>
      </x:c>
      <x:c r="M112" s="24" t="str">
        <x:v>Core Family</x:v>
      </x:c>
    </x:row>
    <x:row r="113" ht="44" customHeight="1">
      <x:c r="A113" s="24" t="str">
        <x:v>PPL-702</x:v>
      </x:c>
      <x:c r="B113" s="24" t="str">
        <x:v>Clockwork and Robotic Beings</x:v>
      </x:c>
      <x:c r="C113" s="24" t="str">
        <x:v>People &amp; Beings</x:v>
      </x:c>
      <x:c r="D113" s="24" t="str">
        <x:v>PPL-700</x:v>
      </x:c>
      <x:c r="E113" s="24" t="str">
        <x:f>IF(D113="","",IFERROR(VLOOKUP(D113,$A$2:$B$1656,2,FALSE),""))</x:f>
        <x:v>Constructs and Artificial Life</x:v>
      </x:c>
      <x:c r="F113" s="24" t="n">
        <x:v>3</x:v>
      </x:c>
      <x:c r="G113" s="24" t="str">
        <x:v>Mechanical or magitech persons whose agency emerges from engineering, programming, soul cores, or awakened machinery.</x:v>
      </x:c>
      <x:c r="H113" s="24" t="str">
        <x:v>Source-specific examples may differ biologically, metaphysically, culturally, and morally; map them as analogues unless equivalence is explicit.</x:v>
      </x:c>
      <x:c r="I113" s="24" t="str">
        <x:v>automaton; clockwork person; robot; warforged-like</x:v>
      </x:c>
      <x:c r="J113" s="24" t="str">
        <x:v>Servant, soldier, artificial person, ethical test, inherited relic, or technological counterpoint to magic.</x:v>
      </x:c>
      <x:c r="K113" s="24" t="str">
        <x:v>automaton; clockwork person; robot; warforged-like</x:v>
      </x:c>
      <x:c r="L113" s="24" t="str">
        <x:v>Preserve each source's ontology, culture, history, and terminology when making comparisons.</x:v>
      </x:c>
      <x:c r="M113" s="24" t="str">
        <x:v>Core Family</x:v>
      </x:c>
    </x:row>
    <x:row r="114" ht="44" customHeight="1">
      <x:c r="A114" s="24" t="str">
        <x:v>PPL-703</x:v>
      </x:c>
      <x:c r="B114" s="24" t="str">
        <x:v>Homunculi</x:v>
      </x:c>
      <x:c r="C114" s="24" t="str">
        <x:v>People &amp; Beings</x:v>
      </x:c>
      <x:c r="D114" s="24" t="str">
        <x:v>PPL-700</x:v>
      </x:c>
      <x:c r="E114" s="24" t="str">
        <x:f>IF(D114="","",IFERROR(VLOOKUP(D114,$A$2:$B$1656,2,FALSE),""))</x:f>
        <x:v>Constructs and Artificial Life</x:v>
      </x:c>
      <x:c r="F114" s="24" t="n">
        <x:v>3</x:v>
      </x:c>
      <x:c r="G114" s="24" t="str">
        <x:v>Artificially created humanoids produced through alchemy, magic, laboratory growth, or incomplete imitation of life.</x:v>
      </x:c>
      <x:c r="H114" s="24" t="str">
        <x:v>Source-specific examples may differ biologically, metaphysically, culturally, and morally; map them as analogues unless equivalence is explicit.</x:v>
      </x:c>
      <x:c r="I114" s="24" t="str">
        <x:v>homunculus; artificial human</x:v>
      </x:c>
      <x:c r="J114" s="24" t="str">
        <x:v>Servant, soldier, artificial person, ethical test, inherited relic, or technological counterpoint to magic.</x:v>
      </x:c>
      <x:c r="K114" s="24" t="str">
        <x:v>homunculus; artificial human</x:v>
      </x:c>
      <x:c r="L114" s="24" t="str">
        <x:v>The term has alchemical and literary histories that differ from many modern anime/game uses.</x:v>
      </x:c>
      <x:c r="M114" s="24" t="str">
        <x:v>Core Family</x:v>
      </x:c>
    </x:row>
    <x:row r="115" ht="44" customHeight="1">
      <x:c r="A115" s="24" t="str">
        <x:v>PPL-704</x:v>
      </x:c>
      <x:c r="B115" s="24" t="str">
        <x:v>Animated Objects</x:v>
      </x:c>
      <x:c r="C115" s="24" t="str">
        <x:v>People &amp; Beings</x:v>
      </x:c>
      <x:c r="D115" s="24" t="str">
        <x:v>PPL-700</x:v>
      </x:c>
      <x:c r="E115" s="24" t="str">
        <x:f>IF(D115="","",IFERROR(VLOOKUP(D115,$A$2:$B$1656,2,FALSE),""))</x:f>
        <x:v>Constructs and Artificial Life</x:v>
      </x:c>
      <x:c r="F115" s="24" t="n">
        <x:v>3</x:v>
      </x:c>
      <x:c r="G115" s="24" t="str">
        <x:v>Tools, statues, armor, furniture, books, or buildings given movement and limited or full agency.</x:v>
      </x:c>
      <x:c r="H115" s="24" t="str">
        <x:v>Source-specific examples may differ biologically, metaphysically, culturally, and morally; map them as analogues unless equivalence is explicit.</x:v>
      </x:c>
      <x:c r="I115" s="24" t="str">
        <x:v>animated armor; living statue; dancing sword</x:v>
      </x:c>
      <x:c r="J115" s="24" t="str">
        <x:v>Servant, soldier, artificial person, ethical test, inherited relic, or technological counterpoint to magic.</x:v>
      </x:c>
      <x:c r="K115" s="24" t="str">
        <x:v>animated armor; living statue; dancing sword</x:v>
      </x:c>
      <x:c r="L115" s="24" t="str">
        <x:v>Preserve each source's ontology, culture, history, and terminology when making comparisons.</x:v>
      </x:c>
      <x:c r="M115" s="24" t="str">
        <x:v>Core Family</x:v>
      </x:c>
    </x:row>
    <x:row r="116" ht="44" customHeight="1">
      <x:c r="A116" s="24" t="str">
        <x:v>PPL-705</x:v>
      </x:c>
      <x:c r="B116" s="24" t="str">
        <x:v>Living Weapons</x:v>
      </x:c>
      <x:c r="C116" s="24" t="str">
        <x:v>People &amp; Beings</x:v>
      </x:c>
      <x:c r="D116" s="24" t="str">
        <x:v>PPL-700</x:v>
      </x:c>
      <x:c r="E116" s="24" t="str">
        <x:f>IF(D116="","",IFERROR(VLOOKUP(D116,$A$2:$B$1656,2,FALSE),""))</x:f>
        <x:v>Constructs and Artificial Life</x:v>
      </x:c>
      <x:c r="F116" s="24" t="n">
        <x:v>3</x:v>
      </x:c>
      <x:c r="G116" s="24" t="str">
        <x:v>Sentient or quasi-sentient weapons that act, speak, bond, tempt, transform, or select wielders.</x:v>
      </x:c>
      <x:c r="H116" s="24" t="str">
        <x:v>Source-specific examples may differ biologically, metaphysically, culturally, and morally; map them as analogues unless equivalence is explicit.</x:v>
      </x:c>
      <x:c r="I116" s="24" t="str">
        <x:v>sentient sword; living gun; weapon spirit</x:v>
      </x:c>
      <x:c r="J116" s="24" t="str">
        <x:v>Servant, soldier, artificial person, ethical test, inherited relic, or technological counterpoint to magic.</x:v>
      </x:c>
      <x:c r="K116" s="24" t="str">
        <x:v>sentient sword; living gun; weapon spirit</x:v>
      </x:c>
      <x:c r="L116" s="24" t="str">
        <x:v>Preserve each source's ontology, culture, history, and terminology when making comparisons.</x:v>
      </x:c>
      <x:c r="M116" s="24" t="str">
        <x:v>Core Family</x:v>
      </x:c>
    </x:row>
    <x:row r="117" ht="44" customHeight="1">
      <x:c r="A117" s="24" t="str">
        <x:v>PPL-706</x:v>
      </x:c>
      <x:c r="B117" s="24" t="str">
        <x:v>Clones and Replicants</x:v>
      </x:c>
      <x:c r="C117" s="24" t="str">
        <x:v>People &amp; Beings</x:v>
      </x:c>
      <x:c r="D117" s="24" t="str">
        <x:v>PPL-700</x:v>
      </x:c>
      <x:c r="E117" s="24" t="str">
        <x:f>IF(D117="","",IFERROR(VLOOKUP(D117,$A$2:$B$1656,2,FALSE),""))</x:f>
        <x:v>Constructs and Artificial Life</x:v>
      </x:c>
      <x:c r="F117" s="24" t="n">
        <x:v>3</x:v>
      </x:c>
      <x:c r="G117" s="24" t="str">
        <x:v>Deliberately copied bodies or persons whose identity raises questions of memory, soul, ownership, and continuity.</x:v>
      </x:c>
      <x:c r="H117" s="24" t="str">
        <x:v>Source-specific examples may differ biologically, metaphysically, culturally, and morally; map them as analogues unless equivalence is explicit.</x:v>
      </x:c>
      <x:c r="I117" s="24" t="str">
        <x:v>clone; duplicate; replica</x:v>
      </x:c>
      <x:c r="J117" s="24" t="str">
        <x:v>Servant, soldier, artificial person, ethical test, inherited relic, or technological counterpoint to magic.</x:v>
      </x:c>
      <x:c r="K117" s="24" t="str">
        <x:v>clone; duplicate; replica</x:v>
      </x:c>
      <x:c r="L117" s="24" t="str">
        <x:v>Preserve each source's ontology, culture, history, and terminology when making comparisons.</x:v>
      </x:c>
      <x:c r="M117" s="24" t="str">
        <x:v>Core Family</x:v>
      </x:c>
    </x:row>
    <x:row r="118" ht="44" customHeight="1">
      <x:c r="A118" s="24" t="str">
        <x:v>PPL-707</x:v>
      </x:c>
      <x:c r="B118" s="24" t="str">
        <x:v>Magical Puppets and Dolls</x:v>
      </x:c>
      <x:c r="C118" s="24" t="str">
        <x:v>People &amp; Beings</x:v>
      </x:c>
      <x:c r="D118" s="24" t="str">
        <x:v>PPL-700</x:v>
      </x:c>
      <x:c r="E118" s="24" t="str">
        <x:f>IF(D118="","",IFERROR(VLOOKUP(D118,$A$2:$B$1656,2,FALSE),""))</x:f>
        <x:v>Constructs and Artificial Life</x:v>
      </x:c>
      <x:c r="F118" s="24" t="n">
        <x:v>3</x:v>
      </x:c>
      <x:c r="G118" s="24" t="str">
        <x:v>Constructed bodies controlled by strings, spells, spirits, artisans, or autonomous awakening.</x:v>
      </x:c>
      <x:c r="H118" s="24" t="str">
        <x:v>Source-specific examples may differ biologically, metaphysically, culturally, and morally; map them as analogues unless equivalence is explicit.</x:v>
      </x:c>
      <x:c r="I118" s="24" t="str">
        <x:v>puppet; doll person; marionette</x:v>
      </x:c>
      <x:c r="J118" s="24" t="str">
        <x:v>Servant, soldier, artificial person, ethical test, inherited relic, or technological counterpoint to magic.</x:v>
      </x:c>
      <x:c r="K118" s="24" t="str">
        <x:v>puppet; doll person; marionette</x:v>
      </x:c>
      <x:c r="L118" s="24" t="str">
        <x:v>Preserve each source's ontology, culture, history, and terminology when making comparisons.</x:v>
      </x:c>
      <x:c r="M118" s="24" t="str">
        <x:v>Core Family</x:v>
      </x:c>
    </x:row>
    <x:row r="119" ht="44" customHeight="1">
      <x:c r="A119" s="24" t="str">
        <x:v>PPL-708</x:v>
      </x:c>
      <x:c r="B119" s="24" t="str">
        <x:v>Artificial Familiars</x:v>
      </x:c>
      <x:c r="C119" s="24" t="str">
        <x:v>People &amp; Beings</x:v>
      </x:c>
      <x:c r="D119" s="24" t="str">
        <x:v>PPL-700</x:v>
      </x:c>
      <x:c r="E119" s="24" t="str">
        <x:f>IF(D119="","",IFERROR(VLOOKUP(D119,$A$2:$B$1656,2,FALSE),""))</x:f>
        <x:v>Constructs and Artificial Life</x:v>
      </x:c>
      <x:c r="F119" s="24" t="n">
        <x:v>3</x:v>
      </x:c>
      <x:c r="G119" s="24" t="str">
        <x:v>Created companion beings designed to assist, scout, channel power, or embody a creator's mind.</x:v>
      </x:c>
      <x:c r="H119" s="24" t="str">
        <x:v>Source-specific examples may differ biologically, metaphysically, culturally, and morally; map them as analogues unless equivalence is explicit.</x:v>
      </x:c>
      <x:c r="I119" s="24" t="str">
        <x:v>artificial familiar; homuncular assistant</x:v>
      </x:c>
      <x:c r="J119" s="24" t="str">
        <x:v>Servant, soldier, artificial person, ethical test, inherited relic, or technological counterpoint to magic.</x:v>
      </x:c>
      <x:c r="K119" s="24" t="str">
        <x:v>artificial familiar; homuncular assistant</x:v>
      </x:c>
      <x:c r="L119" s="24" t="str">
        <x:v>Preserve each source's ontology, culture, history, and terminology when making comparisons.</x:v>
      </x:c>
      <x:c r="M119" s="24" t="str">
        <x:v>Core Family</x:v>
      </x:c>
    </x:row>
    <x:row r="120" ht="44" customHeight="1">
      <x:c r="A120" s="24" t="str">
        <x:v>PPL-709</x:v>
      </x:c>
      <x:c r="B120" s="24" t="str">
        <x:v>Engineered Species</x:v>
      </x:c>
      <x:c r="C120" s="24" t="str">
        <x:v>People &amp; Beings</x:v>
      </x:c>
      <x:c r="D120" s="24" t="str">
        <x:v>PPL-700</x:v>
      </x:c>
      <x:c r="E120" s="24" t="str">
        <x:f>IF(D120="","",IFERROR(VLOOKUP(D120,$A$2:$B$1656,2,FALSE),""))</x:f>
        <x:v>Constructs and Artificial Life</x:v>
      </x:c>
      <x:c r="F120" s="24" t="n">
        <x:v>3</x:v>
      </x:c>
      <x:c r="G120" s="24" t="str">
        <x:v>Populations deliberately designed or altered to serve military, labor, ecological, or ideological purposes.</x:v>
      </x:c>
      <x:c r="H120" s="24" t="str">
        <x:v>Source-specific examples may differ biologically, metaphysically, culturally, and morally; map them as analogues unless equivalence is explicit.</x:v>
      </x:c>
      <x:c r="I120" s="24" t="str">
        <x:v>created race; bred soldier species; uplift</x:v>
      </x:c>
      <x:c r="J120" s="24" t="str">
        <x:v>Servant, soldier, artificial person, ethical test, inherited relic, or technological counterpoint to magic.</x:v>
      </x:c>
      <x:c r="K120" s="24" t="str">
        <x:v>created race; bred soldier species; uplift</x:v>
      </x:c>
      <x:c r="L120" s="24" t="str">
        <x:v>Preserve each source's ontology, culture, history, and terminology when making comparisons.</x:v>
      </x:c>
      <x:c r="M120" s="24" t="str">
        <x:v>Core Family</x:v>
      </x:c>
    </x:row>
    <x:row r="121" ht="44" customHeight="1">
      <x:c r="A121" s="24" t="str">
        <x:v>PPL-710</x:v>
      </x:c>
      <x:c r="B121" s="24" t="str">
        <x:v>Sentient Structures and Vehicles</x:v>
      </x:c>
      <x:c r="C121" s="24" t="str">
        <x:v>People &amp; Beings</x:v>
      </x:c>
      <x:c r="D121" s="24" t="str">
        <x:v>PPL-700</x:v>
      </x:c>
      <x:c r="E121" s="24" t="str">
        <x:f>IF(D121="","",IFERROR(VLOOKUP(D121,$A$2:$B$1656,2,FALSE),""))</x:f>
        <x:v>Constructs and Artificial Life</x:v>
      </x:c>
      <x:c r="F121" s="24" t="n">
        <x:v>3</x:v>
      </x:c>
      <x:c r="G121" s="24" t="str">
        <x:v>Buildings, ships, cities, dungeons, or machines that possess agency, appetite, personality, or a soul.</x:v>
      </x:c>
      <x:c r="H121" s="24" t="str">
        <x:v>Source-specific examples may differ biologically, metaphysically, culturally, and morally; map them as analogues unless equivalence is explicit.</x:v>
      </x:c>
      <x:c r="I121" s="24" t="str">
        <x:v>living castle; sentient ship; dungeon core</x:v>
      </x:c>
      <x:c r="J121" s="24" t="str">
        <x:v>Servant, soldier, artificial person, ethical test, inherited relic, or technological counterpoint to magic.</x:v>
      </x:c>
      <x:c r="K121" s="24" t="str">
        <x:v>living castle; sentient ship; dungeon core</x:v>
      </x:c>
      <x:c r="L121" s="24" t="str">
        <x:v>Preserve each source's ontology, culture, history, and terminology when making comparisons.</x:v>
      </x:c>
      <x:c r="M121" s="24" t="str">
        <x:v>Core Family</x:v>
      </x:c>
    </x:row>
    <x:row r="122" ht="44" customHeight="1">
      <x:c r="A122" s="24" t="str">
        <x:v>PPL-711</x:v>
      </x:c>
      <x:c r="B122" s="24" t="str">
        <x:v>Soul-Vessel Constructs</x:v>
      </x:c>
      <x:c r="C122" s="24" t="str">
        <x:v>People &amp; Beings</x:v>
      </x:c>
      <x:c r="D122" s="24" t="str">
        <x:v>PPL-700</x:v>
      </x:c>
      <x:c r="E122" s="24" t="str">
        <x:f>IF(D122="","",IFERROR(VLOOKUP(D122,$A$2:$B$1656,2,FALSE),""))</x:f>
        <x:v>Constructs and Artificial Life</x:v>
      </x:c>
      <x:c r="F122" s="24" t="n">
        <x:v>3</x:v>
      </x:c>
      <x:c r="G122" s="24" t="str">
        <x:v>Artificial bodies inhabited by transferred, imprisoned, resurrected, or voluntarily housed souls.</x:v>
      </x:c>
      <x:c r="H122" s="24" t="str">
        <x:v>Source-specific examples may differ biologically, metaphysically, culturally, and morally; map them as analogues unless equivalence is explicit.</x:v>
      </x:c>
      <x:c r="I122" s="24" t="str">
        <x:v>soul armor; vessel body; spirit machine</x:v>
      </x:c>
      <x:c r="J122" s="24" t="str">
        <x:v>Servant, soldier, artificial person, ethical test, inherited relic, or technological counterpoint to magic.</x:v>
      </x:c>
      <x:c r="K122" s="24" t="str">
        <x:v>soul armor; vessel body; spirit machine</x:v>
      </x:c>
      <x:c r="L122" s="24" t="str">
        <x:v>Preserve each source's ontology, culture, history, and terminology when making comparisons.</x:v>
      </x:c>
      <x:c r="M122" s="24" t="str">
        <x:v>Core Family</x:v>
      </x:c>
    </x:row>
    <x:row r="123" ht="44" customHeight="1">
      <x:c r="A123" s="24" t="str">
        <x:v>PPL-712</x:v>
      </x:c>
      <x:c r="B123" s="24" t="str">
        <x:v>Rune-Bound Guardians</x:v>
      </x:c>
      <x:c r="C123" s="24" t="str">
        <x:v>People &amp; Beings</x:v>
      </x:c>
      <x:c r="D123" s="24" t="str">
        <x:v>PPL-700</x:v>
      </x:c>
      <x:c r="E123" s="24" t="str">
        <x:f>IF(D123="","",IFERROR(VLOOKUP(D123,$A$2:$B$1656,2,FALSE),""))</x:f>
        <x:v>Constructs and Artificial Life</x:v>
      </x:c>
      <x:c r="F123" s="24" t="n">
        <x:v>3</x:v>
      </x:c>
      <x:c r="G123" s="24" t="str">
        <x:v>Constructs whose behavior and identity are encoded through runes, seals, commands, or geasa.</x:v>
      </x:c>
      <x:c r="H123" s="24" t="str">
        <x:v>Source-specific examples may differ biologically, metaphysically, culturally, and morally; map them as analogues unless equivalence is explicit.</x:v>
      </x:c>
      <x:c r="I123" s="24" t="str">
        <x:v>rune guardian; ward construct</x:v>
      </x:c>
      <x:c r="J123" s="24" t="str">
        <x:v>Servant, soldier, artificial person, ethical test, inherited relic, or technological counterpoint to magic.</x:v>
      </x:c>
      <x:c r="K123" s="24" t="str">
        <x:v>rune guardian; ward construct</x:v>
      </x:c>
      <x:c r="L123" s="24" t="str">
        <x:v>Preserve each source's ontology, culture, history, and terminology when making comparisons.</x:v>
      </x:c>
      <x:c r="M123" s="24" t="str">
        <x:v>Core Family</x:v>
      </x:c>
    </x:row>
    <x:row r="124" ht="44" customHeight="1">
      <x:c r="A124" s="24" t="str">
        <x:v>PPL-801</x:v>
      </x:c>
      <x:c r="B124" s="24" t="str">
        <x:v>True Dragons</x:v>
      </x:c>
      <x:c r="C124" s="24" t="str">
        <x:v>People &amp; Beings</x:v>
      </x:c>
      <x:c r="D124" s="24" t="str">
        <x:v>PPL-800</x:v>
      </x:c>
      <x:c r="E124" s="24" t="str">
        <x:f>IF(D124="","",IFERROR(VLOOKUP(D124,$A$2:$B$1656,2,FALSE),""))</x:f>
        <x:v>Dragons and Legendary Beasts</x:v>
      </x:c>
      <x:c r="F124" s="24" t="n">
        <x:v>3</x:v>
      </x:c>
      <x:c r="G124" s="24" t="str">
        <x:v>Great draconic beings typically combining immense power, intelligence, longevity, treasure, elemental breath, sovereignty, or cosmic significance.</x:v>
      </x:c>
      <x:c r="H124" s="24" t="str">
        <x:v>Source-specific examples may differ biologically, metaphysically, culturally, and morally; map them as analogues unless equivalence is explicit.</x:v>
      </x:c>
      <x:c r="I124" s="24" t="str">
        <x:v>dragon; great wyrm; elder dragon</x:v>
      </x:c>
      <x:c r="J124" s="24" t="str">
        <x:v>Boss, mount, guardian, sovereign, ecological apex, heraldic symbol, or embodiment of primal power.</x:v>
      </x:c>
      <x:c r="K124" s="24" t="str">
        <x:v>dragon; great wyrm; elder dragon</x:v>
      </x:c>
      <x:c r="L124" s="24" t="str">
        <x:v>Preserve each source's ontology, culture, history, and terminology when making comparisons.</x:v>
      </x:c>
      <x:c r="M124" s="24" t="str">
        <x:v>Core Family</x:v>
      </x:c>
    </x:row>
    <x:row r="125" ht="44" customHeight="1">
      <x:c r="A125" s="24" t="str">
        <x:v>PPL-802</x:v>
      </x:c>
      <x:c r="B125" s="24" t="str">
        <x:v>Wyverns</x:v>
      </x:c>
      <x:c r="C125" s="24" t="str">
        <x:v>People &amp; Beings</x:v>
      </x:c>
      <x:c r="D125" s="24" t="str">
        <x:v>PPL-800</x:v>
      </x:c>
      <x:c r="E125" s="24" t="str">
        <x:f>IF(D125="","",IFERROR(VLOOKUP(D125,$A$2:$B$1656,2,FALSE),""))</x:f>
        <x:v>Dragons and Legendary Beasts</x:v>
      </x:c>
      <x:c r="F125" s="24" t="n">
        <x:v>3</x:v>
      </x:c>
      <x:c r="G125" s="24" t="str">
        <x:v>Two-legged winged draconic predators, often less sapient or less magically sovereign than true dragons.</x:v>
      </x:c>
      <x:c r="H125" s="24" t="str">
        <x:v>Source-specific examples may differ biologically, metaphysically, culturally, and morally; map them as analogues unless equivalence is explicit.</x:v>
      </x:c>
      <x:c r="I125" s="24" t="str">
        <x:v>wyvern</x:v>
      </x:c>
      <x:c r="J125" s="24" t="str">
        <x:v>Boss, mount, guardian, sovereign, ecological apex, heraldic symbol, or embodiment of primal power.</x:v>
      </x:c>
      <x:c r="K125" s="24" t="str">
        <x:v>wyvern</x:v>
      </x:c>
      <x:c r="L125" s="24" t="str">
        <x:v>Preserve each source's ontology, culture, history, and terminology when making comparisons.</x:v>
      </x:c>
      <x:c r="M125" s="24" t="str">
        <x:v>Core Family</x:v>
      </x:c>
    </x:row>
    <x:row r="126" ht="44" customHeight="1">
      <x:c r="A126" s="24" t="str">
        <x:v>PPL-803</x:v>
      </x:c>
      <x:c r="B126" s="24" t="str">
        <x:v>Drakes</x:v>
      </x:c>
      <x:c r="C126" s="24" t="str">
        <x:v>People &amp; Beings</x:v>
      </x:c>
      <x:c r="D126" s="24" t="str">
        <x:v>PPL-800</x:v>
      </x:c>
      <x:c r="E126" s="24" t="str">
        <x:f>IF(D126="","",IFERROR(VLOOKUP(D126,$A$2:$B$1656,2,FALSE),""))</x:f>
        <x:v>Dragons and Legendary Beasts</x:v>
      </x:c>
      <x:c r="F126" s="24" t="n">
        <x:v>3</x:v>
      </x:c>
      <x:c r="G126" s="24" t="str">
        <x:v>Wingless or lesser draconic beasts, frequently terrestrial, elemental, or domesticated.</x:v>
      </x:c>
      <x:c r="H126" s="24" t="str">
        <x:v>Source-specific examples may differ biologically, metaphysically, culturally, and morally; map them as analogues unless equivalence is explicit.</x:v>
      </x:c>
      <x:c r="I126" s="24" t="str">
        <x:v>drake; lesser dragon</x:v>
      </x:c>
      <x:c r="J126" s="24" t="str">
        <x:v>Boss, mount, guardian, sovereign, ecological apex, heraldic symbol, or embodiment of primal power.</x:v>
      </x:c>
      <x:c r="K126" s="24" t="str">
        <x:v>drake; lesser dragon</x:v>
      </x:c>
      <x:c r="L126" s="24" t="str">
        <x:v>Preserve each source's ontology, culture, history, and terminology when making comparisons.</x:v>
      </x:c>
      <x:c r="M126" s="24" t="str">
        <x:v>Core Family</x:v>
      </x:c>
    </x:row>
    <x:row r="127" ht="44" customHeight="1">
      <x:c r="A127" s="24" t="str">
        <x:v>PPL-804</x:v>
      </x:c>
      <x:c r="B127" s="24" t="str">
        <x:v>World Serpents and Great Wyrms</x:v>
      </x:c>
      <x:c r="C127" s="24" t="str">
        <x:v>People &amp; Beings</x:v>
      </x:c>
      <x:c r="D127" s="24" t="str">
        <x:v>PPL-800</x:v>
      </x:c>
      <x:c r="E127" s="24" t="str">
        <x:f>IF(D127="","",IFERROR(VLOOKUP(D127,$A$2:$B$1656,2,FALSE),""))</x:f>
        <x:v>Dragons and Legendary Beasts</x:v>
      </x:c>
      <x:c r="F127" s="24" t="n">
        <x:v>3</x:v>
      </x:c>
      <x:c r="G127" s="24" t="str">
        <x:v>Serpentine dragons or cosmic snakes whose bodies encircle, uphold, poison, or threaten the world.</x:v>
      </x:c>
      <x:c r="H127" s="24" t="str">
        <x:v>Source-specific examples may differ biologically, metaphysically, culturally, and morally; map them as analogues unless equivalence is explicit.</x:v>
      </x:c>
      <x:c r="I127" s="24" t="str">
        <x:v>world serpent; lindworm; great wyrm</x:v>
      </x:c>
      <x:c r="J127" s="24" t="str">
        <x:v>Boss, mount, guardian, sovereign, ecological apex, heraldic symbol, or embodiment of primal power.</x:v>
      </x:c>
      <x:c r="K127" s="24" t="str">
        <x:v>world serpent; lindworm; great wyrm</x:v>
      </x:c>
      <x:c r="L127" s="24" t="str">
        <x:v>Preserve each source's ontology, culture, history, and terminology when making comparisons.</x:v>
      </x:c>
      <x:c r="M127" s="24" t="str">
        <x:v>Core Family</x:v>
      </x:c>
    </x:row>
    <x:row r="128" ht="44" customHeight="1">
      <x:c r="A128" s="24" t="str">
        <x:v>PPL-805</x:v>
      </x:c>
      <x:c r="B128" s="24" t="str">
        <x:v>Hydras</x:v>
      </x:c>
      <x:c r="C128" s="24" t="str">
        <x:v>People &amp; Beings</x:v>
      </x:c>
      <x:c r="D128" s="24" t="str">
        <x:v>PPL-800</x:v>
      </x:c>
      <x:c r="E128" s="24" t="str">
        <x:f>IF(D128="","",IFERROR(VLOOKUP(D128,$A$2:$B$1656,2,FALSE),""))</x:f>
        <x:v>Dragons and Legendary Beasts</x:v>
      </x:c>
      <x:c r="F128" s="24" t="n">
        <x:v>3</x:v>
      </x:c>
      <x:c r="G128" s="24" t="str">
        <x:v>Multi-headed reptilian monsters whose regenerative or proliferating heads create an escalating combat problem.</x:v>
      </x:c>
      <x:c r="H128" s="24" t="str">
        <x:v>Source-specific examples may differ biologically, metaphysically, culturally, and morally; map them as analogues unless equivalence is explicit.</x:v>
      </x:c>
      <x:c r="I128" s="24" t="str">
        <x:v>hydra</x:v>
      </x:c>
      <x:c r="J128" s="24" t="str">
        <x:v>Boss, mount, guardian, sovereign, ecological apex, heraldic symbol, or embodiment of primal power.</x:v>
      </x:c>
      <x:c r="K128" s="24" t="str">
        <x:v>hydra</x:v>
      </x:c>
      <x:c r="L128" s="24" t="str">
        <x:v>Preserve each source's ontology, culture, history, and terminology when making comparisons.</x:v>
      </x:c>
      <x:c r="M128" s="24" t="str">
        <x:v>Core Family</x:v>
      </x:c>
    </x:row>
    <x:row r="129" ht="44" customHeight="1">
      <x:c r="A129" s="24" t="str">
        <x:v>PPL-806</x:v>
      </x:c>
      <x:c r="B129" s="24" t="str">
        <x:v>Phoenixes and Firebirds</x:v>
      </x:c>
      <x:c r="C129" s="24" t="str">
        <x:v>People &amp; Beings</x:v>
      </x:c>
      <x:c r="D129" s="24" t="str">
        <x:v>PPL-800</x:v>
      </x:c>
      <x:c r="E129" s="24" t="str">
        <x:f>IF(D129="","",IFERROR(VLOOKUP(D129,$A$2:$B$1656,2,FALSE),""))</x:f>
        <x:v>Dragons and Legendary Beasts</x:v>
      </x:c>
      <x:c r="F129" s="24" t="n">
        <x:v>3</x:v>
      </x:c>
      <x:c r="G129" s="24" t="str">
        <x:v>Sacred or magical birds associated with flame, rebirth, cyclical time, kingship, or immortality.</x:v>
      </x:c>
      <x:c r="H129" s="24" t="str">
        <x:v>Source-specific examples may differ biologically, metaphysically, culturally, and morally; map them as analogues unless equivalence is explicit.</x:v>
      </x:c>
      <x:c r="I129" s="24" t="str">
        <x:v>phoenix; firebird; bennu-like</x:v>
      </x:c>
      <x:c r="J129" s="24" t="str">
        <x:v>Boss, mount, guardian, sovereign, ecological apex, heraldic symbol, or embodiment of primal power.</x:v>
      </x:c>
      <x:c r="K129" s="24" t="str">
        <x:v>phoenix; firebird; bennu-like</x:v>
      </x:c>
      <x:c r="L129" s="24" t="str">
        <x:v>Preserve each source's ontology, culture, history, and terminology when making comparisons.</x:v>
      </x:c>
      <x:c r="M129" s="24" t="str">
        <x:v>Core Family</x:v>
      </x:c>
    </x:row>
    <x:row r="130" ht="44" customHeight="1">
      <x:c r="A130" s="24" t="str">
        <x:v>PPL-807</x:v>
      </x:c>
      <x:c r="B130" s="24" t="str">
        <x:v>Griffins and Hippogriffs</x:v>
      </x:c>
      <x:c r="C130" s="24" t="str">
        <x:v>People &amp; Beings</x:v>
      </x:c>
      <x:c r="D130" s="24" t="str">
        <x:v>PPL-800</x:v>
      </x:c>
      <x:c r="E130" s="24" t="str">
        <x:f>IF(D130="","",IFERROR(VLOOKUP(D130,$A$2:$B$1656,2,FALSE),""))</x:f>
        <x:v>Dragons and Legendary Beasts</x:v>
      </x:c>
      <x:c r="F130" s="24" t="n">
        <x:v>3</x:v>
      </x:c>
      <x:c r="G130" s="24" t="str">
        <x:v>Hybrid aerial beasts combining eagle and lion or horse traits, often used as guardians, mounts, or heraldic creatures.</x:v>
      </x:c>
      <x:c r="H130" s="24" t="str">
        <x:v>Source-specific examples may differ biologically, metaphysically, culturally, and morally; map them as analogues unless equivalence is explicit.</x:v>
      </x:c>
      <x:c r="I130" s="24" t="str">
        <x:v>griffin; gryphon; hippogriff</x:v>
      </x:c>
      <x:c r="J130" s="24" t="str">
        <x:v>Boss, mount, guardian, sovereign, ecological apex, heraldic symbol, or embodiment of primal power.</x:v>
      </x:c>
      <x:c r="K130" s="24" t="str">
        <x:v>griffin; gryphon; hippogriff</x:v>
      </x:c>
      <x:c r="L130" s="24" t="str">
        <x:v>Preserve each source's ontology, culture, history, and terminology when making comparisons.</x:v>
      </x:c>
      <x:c r="M130" s="24" t="str">
        <x:v>Core Family</x:v>
      </x:c>
    </x:row>
    <x:row r="131" ht="44" customHeight="1">
      <x:c r="A131" s="24" t="str">
        <x:v>PPL-808</x:v>
      </x:c>
      <x:c r="B131" s="24" t="str">
        <x:v>Unicorns</x:v>
      </x:c>
      <x:c r="C131" s="24" t="str">
        <x:v>People &amp; Beings</x:v>
      </x:c>
      <x:c r="D131" s="24" t="str">
        <x:v>PPL-800</x:v>
      </x:c>
      <x:c r="E131" s="24" t="str">
        <x:f>IF(D131="","",IFERROR(VLOOKUP(D131,$A$2:$B$1656,2,FALSE),""))</x:f>
        <x:v>Dragons and Legendary Beasts</x:v>
      </x:c>
      <x:c r="F131" s="24" t="n">
        <x:v>3</x:v>
      </x:c>
      <x:c r="G131" s="24" t="str">
        <x:v>Horned equine beings associated with purity, healing, wilderness, sovereignty, danger, or selective trust.</x:v>
      </x:c>
      <x:c r="H131" s="24" t="str">
        <x:v>Source-specific examples may differ biologically, metaphysically, culturally, and morally; map them as analogues unless equivalence is explicit.</x:v>
      </x:c>
      <x:c r="I131" s="24" t="str">
        <x:v>unicorn; kirin-like comparison</x:v>
      </x:c>
      <x:c r="J131" s="24" t="str">
        <x:v>Boss, mount, guardian, sovereign, ecological apex, heraldic symbol, or embodiment of primal power.</x:v>
      </x:c>
      <x:c r="K131" s="24" t="str">
        <x:v>unicorn; kirin-like comparison</x:v>
      </x:c>
      <x:c r="L131" s="24" t="str">
        <x:v>Preserve each source's ontology, culture, history, and terminology when making comparisons.</x:v>
      </x:c>
      <x:c r="M131" s="24" t="str">
        <x:v>Core Family</x:v>
      </x:c>
    </x:row>
    <x:row r="132" ht="44" customHeight="1">
      <x:c r="A132" s="24" t="str">
        <x:v>PPL-809</x:v>
      </x:c>
      <x:c r="B132" s="24" t="str">
        <x:v>Pegasi and Winged Horses</x:v>
      </x:c>
      <x:c r="C132" s="24" t="str">
        <x:v>People &amp; Beings</x:v>
      </x:c>
      <x:c r="D132" s="24" t="str">
        <x:v>PPL-800</x:v>
      </x:c>
      <x:c r="E132" s="24" t="str">
        <x:f>IF(D132="","",IFERROR(VLOOKUP(D132,$A$2:$B$1656,2,FALSE),""))</x:f>
        <x:v>Dragons and Legendary Beasts</x:v>
      </x:c>
      <x:c r="F132" s="24" t="n">
        <x:v>3</x:v>
      </x:c>
      <x:c r="G132" s="24" t="str">
        <x:v>Winged equines serving as mounts, divine animals, symbols of inspiration, or sky peoples' companions.</x:v>
      </x:c>
      <x:c r="H132" s="24" t="str">
        <x:v>Source-specific examples may differ biologically, metaphysically, culturally, and morally; map them as analogues unless equivalence is explicit.</x:v>
      </x:c>
      <x:c r="I132" s="24" t="str">
        <x:v>pegasus; winged horse</x:v>
      </x:c>
      <x:c r="J132" s="24" t="str">
        <x:v>Boss, mount, guardian, sovereign, ecological apex, heraldic symbol, or embodiment of primal power.</x:v>
      </x:c>
      <x:c r="K132" s="24" t="str">
        <x:v>pegasus; winged horse</x:v>
      </x:c>
      <x:c r="L132" s="24" t="str">
        <x:v>Preserve each source's ontology, culture, history, and terminology when making comparisons.</x:v>
      </x:c>
      <x:c r="M132" s="24" t="str">
        <x:v>Core Family</x:v>
      </x:c>
    </x:row>
    <x:row r="133" ht="44" customHeight="1">
      <x:c r="A133" s="24" t="str">
        <x:v>PPL-810</x:v>
      </x:c>
      <x:c r="B133" s="24" t="str">
        <x:v>Sphinxes</x:v>
      </x:c>
      <x:c r="C133" s="24" t="str">
        <x:v>People &amp; Beings</x:v>
      </x:c>
      <x:c r="D133" s="24" t="str">
        <x:v>PPL-800</x:v>
      </x:c>
      <x:c r="E133" s="24" t="str">
        <x:f>IF(D133="","",IFERROR(VLOOKUP(D133,$A$2:$B$1656,2,FALSE),""))</x:f>
        <x:v>Dragons and Legendary Beasts</x:v>
      </x:c>
      <x:c r="F133" s="24" t="n">
        <x:v>3</x:v>
      </x:c>
      <x:c r="G133" s="24" t="str">
        <x:v>Hybrid lion-human or lion-bird beings associated with riddles, thresholds, royal power, tombs, or ancient knowledge.</x:v>
      </x:c>
      <x:c r="H133" s="24" t="str">
        <x:v>Source-specific examples may differ biologically, metaphysically, culturally, and morally; map them as analogues unless equivalence is explicit.</x:v>
      </x:c>
      <x:c r="I133" s="24" t="str">
        <x:v>sphinx</x:v>
      </x:c>
      <x:c r="J133" s="24" t="str">
        <x:v>Boss, mount, guardian, sovereign, ecological apex, heraldic symbol, or embodiment of primal power.</x:v>
      </x:c>
      <x:c r="K133" s="24" t="str">
        <x:v>sphinx</x:v>
      </x:c>
      <x:c r="L133" s="24" t="str">
        <x:v>Preserve each source's ontology, culture, history, and terminology when making comparisons.</x:v>
      </x:c>
      <x:c r="M133" s="24" t="str">
        <x:v>Core Family</x:v>
      </x:c>
    </x:row>
    <x:row r="134" ht="44" customHeight="1">
      <x:c r="A134" s="24" t="str">
        <x:v>PPL-811</x:v>
      </x:c>
      <x:c r="B134" s="24" t="str">
        <x:v>Chimeras</x:v>
      </x:c>
      <x:c r="C134" s="24" t="str">
        <x:v>People &amp; Beings</x:v>
      </x:c>
      <x:c r="D134" s="24" t="str">
        <x:v>PPL-800</x:v>
      </x:c>
      <x:c r="E134" s="24" t="str">
        <x:f>IF(D134="","",IFERROR(VLOOKUP(D134,$A$2:$B$1656,2,FALSE),""))</x:f>
        <x:v>Dragons and Legendary Beasts</x:v>
      </x:c>
      <x:c r="F134" s="24" t="n">
        <x:v>3</x:v>
      </x:c>
      <x:c r="G134" s="24" t="str">
        <x:v>Composite monsters whose bodies combine multiple animals and often signify unnatural creation or mythic threat.</x:v>
      </x:c>
      <x:c r="H134" s="24" t="str">
        <x:v>Source-specific examples may differ biologically, metaphysically, culturally, and morally; map them as analogues unless equivalence is explicit.</x:v>
      </x:c>
      <x:c r="I134" s="24" t="str">
        <x:v>chimera; composite beast</x:v>
      </x:c>
      <x:c r="J134" s="24" t="str">
        <x:v>Boss, mount, guardian, sovereign, ecological apex, heraldic symbol, or embodiment of primal power.</x:v>
      </x:c>
      <x:c r="K134" s="24" t="str">
        <x:v>chimera; composite beast</x:v>
      </x:c>
      <x:c r="L134" s="24" t="str">
        <x:v>Preserve each source's ontology, culture, history, and terminology when making comparisons.</x:v>
      </x:c>
      <x:c r="M134" s="24" t="str">
        <x:v>Core Family</x:v>
      </x:c>
    </x:row>
    <x:row r="135" ht="44" customHeight="1">
      <x:c r="A135" s="24" t="str">
        <x:v>PPL-812</x:v>
      </x:c>
      <x:c r="B135" s="24" t="str">
        <x:v>Manticores</x:v>
      </x:c>
      <x:c r="C135" s="24" t="str">
        <x:v>People &amp; Beings</x:v>
      </x:c>
      <x:c r="D135" s="24" t="str">
        <x:v>PPL-800</x:v>
      </x:c>
      <x:c r="E135" s="24" t="str">
        <x:f>IF(D135="","",IFERROR(VLOOKUP(D135,$A$2:$B$1656,2,FALSE),""))</x:f>
        <x:v>Dragons and Legendary Beasts</x:v>
      </x:c>
      <x:c r="F135" s="24" t="n">
        <x:v>3</x:v>
      </x:c>
      <x:c r="G135" s="24" t="str">
        <x:v>Human-faced or otherwise hybrid leonine predators, often equipped with venomous tails or projectile spines.</x:v>
      </x:c>
      <x:c r="H135" s="24" t="str">
        <x:v>Source-specific examples may differ biologically, metaphysically, culturally, and morally; map them as analogues unless equivalence is explicit.</x:v>
      </x:c>
      <x:c r="I135" s="24" t="str">
        <x:v>manticore</x:v>
      </x:c>
      <x:c r="J135" s="24" t="str">
        <x:v>Boss, mount, guardian, sovereign, ecological apex, heraldic symbol, or embodiment of primal power.</x:v>
      </x:c>
      <x:c r="K135" s="24" t="str">
        <x:v>manticore</x:v>
      </x:c>
      <x:c r="L135" s="24" t="str">
        <x:v>Preserve each source's ontology, culture, history, and terminology when making comparisons.</x:v>
      </x:c>
      <x:c r="M135" s="24" t="str">
        <x:v>Core Family</x:v>
      </x:c>
    </x:row>
    <x:row r="136" ht="44" customHeight="1">
      <x:c r="A136" s="24" t="str">
        <x:v>PPL-813</x:v>
      </x:c>
      <x:c r="B136" s="24" t="str">
        <x:v>Basilisks and Cockatrices</x:v>
      </x:c>
      <x:c r="C136" s="24" t="str">
        <x:v>People &amp; Beings</x:v>
      </x:c>
      <x:c r="D136" s="24" t="str">
        <x:v>PPL-800</x:v>
      </x:c>
      <x:c r="E136" s="24" t="str">
        <x:f>IF(D136="","",IFERROR(VLOOKUP(D136,$A$2:$B$1656,2,FALSE),""))</x:f>
        <x:v>Dragons and Legendary Beasts</x:v>
      </x:c>
      <x:c r="F136" s="24" t="n">
        <x:v>3</x:v>
      </x:c>
      <x:c r="G136" s="24" t="str">
        <x:v>Reptilian or rooster-serpent monsters whose gaze, breath, venom, or presence petrifies or kills.</x:v>
      </x:c>
      <x:c r="H136" s="24" t="str">
        <x:v>Source-specific examples may differ biologically, metaphysically, culturally, and morally; map them as analogues unless equivalence is explicit.</x:v>
      </x:c>
      <x:c r="I136" s="24" t="str">
        <x:v>basilisk; cockatrice</x:v>
      </x:c>
      <x:c r="J136" s="24" t="str">
        <x:v>Boss, mount, guardian, sovereign, ecological apex, heraldic symbol, or embodiment of primal power.</x:v>
      </x:c>
      <x:c r="K136" s="24" t="str">
        <x:v>basilisk; cockatrice</x:v>
      </x:c>
      <x:c r="L136" s="24" t="str">
        <x:v>Preserve each source's ontology, culture, history, and terminology when making comparisons.</x:v>
      </x:c>
      <x:c r="M136" s="24" t="str">
        <x:v>Core Family</x:v>
      </x:c>
    </x:row>
    <x:row r="137" ht="44" customHeight="1">
      <x:c r="A137" s="24" t="str">
        <x:v>PPL-814</x:v>
      </x:c>
      <x:c r="B137" s="24" t="str">
        <x:v>Rocs and Thunderbirds</x:v>
      </x:c>
      <x:c r="C137" s="24" t="str">
        <x:v>People &amp; Beings</x:v>
      </x:c>
      <x:c r="D137" s="24" t="str">
        <x:v>PPL-800</x:v>
      </x:c>
      <x:c r="E137" s="24" t="str">
        <x:f>IF(D137="","",IFERROR(VLOOKUP(D137,$A$2:$B$1656,2,FALSE),""))</x:f>
        <x:v>Dragons and Legendary Beasts</x:v>
      </x:c>
      <x:c r="F137" s="24" t="n">
        <x:v>3</x:v>
      </x:c>
      <x:c r="G137" s="24" t="str">
        <x:v>Enormous birds capable of carrying great prey and associated with storms, mountains, sky power, or divine omens.</x:v>
      </x:c>
      <x:c r="H137" s="24" t="str">
        <x:v>Source-specific examples may differ biologically, metaphysically, culturally, and morally; map them as analogues unless equivalence is explicit.</x:v>
      </x:c>
      <x:c r="I137" s="24" t="str">
        <x:v>roc; thunderbird analogue</x:v>
      </x:c>
      <x:c r="J137" s="24" t="str">
        <x:v>Boss, mount, guardian, sovereign, ecological apex, heraldic symbol, or embodiment of primal power.</x:v>
      </x:c>
      <x:c r="K137" s="24" t="str">
        <x:v>roc; thunderbird analogue</x:v>
      </x:c>
      <x:c r="L137" s="24" t="str">
        <x:v>Thunderbird belongs to specific Indigenous North American traditions; avoid using it as a generic giant bird without context.</x:v>
      </x:c>
      <x:c r="M137" s="24" t="str">
        <x:v>Core Family</x:v>
      </x:c>
    </x:row>
    <x:row r="138" ht="44" customHeight="1">
      <x:c r="A138" s="24" t="str">
        <x:v>PPL-815</x:v>
      </x:c>
      <x:c r="B138" s="24" t="str">
        <x:v>Krakens and Leviathans</x:v>
      </x:c>
      <x:c r="C138" s="24" t="str">
        <x:v>People &amp; Beings</x:v>
      </x:c>
      <x:c r="D138" s="24" t="str">
        <x:v>PPL-800</x:v>
      </x:c>
      <x:c r="E138" s="24" t="str">
        <x:f>IF(D138="","",IFERROR(VLOOKUP(D138,$A$2:$B$1656,2,FALSE),""))</x:f>
        <x:v>Dragons and Legendary Beasts</x:v>
      </x:c>
      <x:c r="F138" s="24" t="n">
        <x:v>3</x:v>
      </x:c>
      <x:c r="G138" s="24" t="str">
        <x:v>Vast marine beings that threaten ships, coastlines, civilizations, or cosmic order.</x:v>
      </x:c>
      <x:c r="H138" s="24" t="str">
        <x:v>Source-specific examples may differ biologically, metaphysically, culturally, and morally; map them as analogues unless equivalence is explicit.</x:v>
      </x:c>
      <x:c r="I138" s="24" t="str">
        <x:v>kraken; leviathan; sea titan</x:v>
      </x:c>
      <x:c r="J138" s="24" t="str">
        <x:v>Boss, mount, guardian, sovereign, ecological apex, heraldic symbol, or embodiment of primal power.</x:v>
      </x:c>
      <x:c r="K138" s="24" t="str">
        <x:v>kraken; leviathan; sea titan</x:v>
      </x:c>
      <x:c r="L138" s="24" t="str">
        <x:v>Preserve each source's ontology, culture, history, and terminology when making comparisons.</x:v>
      </x:c>
      <x:c r="M138" s="24" t="str">
        <x:v>Core Family</x:v>
      </x:c>
    </x:row>
    <x:row r="139" ht="44" customHeight="1">
      <x:c r="A139" s="24" t="str">
        <x:v>PPL-816</x:v>
      </x:c>
      <x:c r="B139" s="24" t="str">
        <x:v>Sea Serpents</x:v>
      </x:c>
      <x:c r="C139" s="24" t="str">
        <x:v>People &amp; Beings</x:v>
      </x:c>
      <x:c r="D139" s="24" t="str">
        <x:v>PPL-800</x:v>
      </x:c>
      <x:c r="E139" s="24" t="str">
        <x:f>IF(D139="","",IFERROR(VLOOKUP(D139,$A$2:$B$1656,2,FALSE),""))</x:f>
        <x:v>Dragons and Legendary Beasts</x:v>
      </x:c>
      <x:c r="F139" s="24" t="n">
        <x:v>3</x:v>
      </x:c>
      <x:c r="G139" s="24" t="str">
        <x:v>Long-bodied marine dragons or monsters that haunt trade routes, depths, and liminal waters.</x:v>
      </x:c>
      <x:c r="H139" s="24" t="str">
        <x:v>Source-specific examples may differ biologically, metaphysically, culturally, and morally; map them as analogues unless equivalence is explicit.</x:v>
      </x:c>
      <x:c r="I139" s="24" t="str">
        <x:v>sea serpent; sea dragon</x:v>
      </x:c>
      <x:c r="J139" s="24" t="str">
        <x:v>Boss, mount, guardian, sovereign, ecological apex, heraldic symbol, or embodiment of primal power.</x:v>
      </x:c>
      <x:c r="K139" s="24" t="str">
        <x:v>sea serpent; sea dragon</x:v>
      </x:c>
      <x:c r="L139" s="24" t="str">
        <x:v>Preserve each source's ontology, culture, history, and terminology when making comparisons.</x:v>
      </x:c>
      <x:c r="M139" s="24" t="str">
        <x:v>Core Family</x:v>
      </x:c>
    </x:row>
    <x:row r="140" ht="44" customHeight="1">
      <x:c r="A140" s="24" t="str">
        <x:v>PPL-817</x:v>
      </x:c>
      <x:c r="B140" s="24" t="str">
        <x:v>World Beasts and Kaiju</x:v>
      </x:c>
      <x:c r="C140" s="24" t="str">
        <x:v>People &amp; Beings</x:v>
      </x:c>
      <x:c r="D140" s="24" t="str">
        <x:v>PPL-800</x:v>
      </x:c>
      <x:c r="E140" s="24" t="str">
        <x:f>IF(D140="","",IFERROR(VLOOKUP(D140,$A$2:$B$1656,2,FALSE),""))</x:f>
        <x:v>Dragons and Legendary Beasts</x:v>
      </x:c>
      <x:c r="F140" s="24" t="n">
        <x:v>3</x:v>
      </x:c>
      <x:c r="G140" s="24" t="str">
        <x:v>Creatures of landscape or city-destroying scale whose bodies function as disasters, ecosystems, gods, or final bosses.</x:v>
      </x:c>
      <x:c r="H140" s="24" t="str">
        <x:v>Source-specific examples may differ biologically, metaphysically, culturally, and morally; map them as analogues unless equivalence is explicit.</x:v>
      </x:c>
      <x:c r="I140" s="24" t="str">
        <x:v>kaiju; world beast; colossal monster</x:v>
      </x:c>
      <x:c r="J140" s="24" t="str">
        <x:v>Boss, mount, guardian, sovereign, ecological apex, heraldic symbol, or embodiment of primal power.</x:v>
      </x:c>
      <x:c r="K140" s="24" t="str">
        <x:v>kaiju; world beast; colossal monster</x:v>
      </x:c>
      <x:c r="L140" s="24" t="str">
        <x:v>Preserve each source's ontology, culture, history, and terminology when making comparisons.</x:v>
      </x:c>
      <x:c r="M140" s="24" t="str">
        <x:v>Core Family</x:v>
      </x:c>
    </x:row>
    <x:row r="141" ht="44" customHeight="1">
      <x:c r="A141" s="24" t="str">
        <x:v>PPL-818</x:v>
      </x:c>
      <x:c r="B141" s="24" t="str">
        <x:v>Giant Spiders and Web Sovereigns</x:v>
      </x:c>
      <x:c r="C141" s="24" t="str">
        <x:v>People &amp; Beings</x:v>
      </x:c>
      <x:c r="D141" s="24" t="str">
        <x:v>PPL-800</x:v>
      </x:c>
      <x:c r="E141" s="24" t="str">
        <x:f>IF(D141="","",IFERROR(VLOOKUP(D141,$A$2:$B$1656,2,FALSE),""))</x:f>
        <x:v>Dragons and Legendary Beasts</x:v>
      </x:c>
      <x:c r="F141" s="24" t="n">
        <x:v>3</x:v>
      </x:c>
      <x:c r="G141" s="24" t="str">
        <x:v>Oversized or supernatural arachnids associated with caves, forests, predation, weaving, corruption, or ancient intelligence.</x:v>
      </x:c>
      <x:c r="H141" s="24" t="str">
        <x:v>Source-specific examples may differ biologically, metaphysically, culturally, and morally; map them as analogues unless equivalence is explicit.</x:v>
      </x:c>
      <x:c r="I141" s="24" t="str">
        <x:v>giant spider; spider queen</x:v>
      </x:c>
      <x:c r="J141" s="24" t="str">
        <x:v>Boss, mount, guardian, sovereign, ecological apex, heraldic symbol, or embodiment of primal power.</x:v>
      </x:c>
      <x:c r="K141" s="24" t="str">
        <x:v>giant spider; spider queen</x:v>
      </x:c>
      <x:c r="L141" s="24" t="str">
        <x:v>Preserve each source's ontology, culture, history, and terminology when making comparisons.</x:v>
      </x:c>
      <x:c r="M141" s="24" t="str">
        <x:v>Core Family</x:v>
      </x:c>
    </x:row>
    <x:row r="142" ht="44" customHeight="1">
      <x:c r="A142" s="24" t="str">
        <x:v>PPL-819</x:v>
      </x:c>
      <x:c r="B142" s="24" t="str">
        <x:v>Dire and Mythic Megafauna</x:v>
      </x:c>
      <x:c r="C142" s="24" t="str">
        <x:v>People &amp; Beings</x:v>
      </x:c>
      <x:c r="D142" s="24" t="str">
        <x:v>PPL-800</x:v>
      </x:c>
      <x:c r="E142" s="24" t="str">
        <x:f>IF(D142="","",IFERROR(VLOOKUP(D142,$A$2:$B$1656,2,FALSE),""))</x:f>
        <x:v>Dragons and Legendary Beasts</x:v>
      </x:c>
      <x:c r="F142" s="24" t="n">
        <x:v>3</x:v>
      </x:c>
      <x:c r="G142" s="24" t="str">
        <x:v>Exaggerated versions of natural animals used as mounts, guardians, predators, ancestral symbols, or remnants of an older world.</x:v>
      </x:c>
      <x:c r="H142" s="24" t="str">
        <x:v>Source-specific examples may differ biologically, metaphysically, culturally, and morally; map them as analogues unless equivalence is explicit.</x:v>
      </x:c>
      <x:c r="I142" s="24" t="str">
        <x:v>dire wolf; great bear; mammoth; giant boar</x:v>
      </x:c>
      <x:c r="J142" s="24" t="str">
        <x:v>Boss, mount, guardian, sovereign, ecological apex, heraldic symbol, or embodiment of primal power.</x:v>
      </x:c>
      <x:c r="K142" s="24" t="str">
        <x:v>dire wolf; great bear; mammoth; giant boar</x:v>
      </x:c>
      <x:c r="L142" s="24" t="str">
        <x:v>Preserve each source's ontology, culture, history, and terminology when making comparisons.</x:v>
      </x:c>
      <x:c r="M142" s="24" t="str">
        <x:v>Core Family</x:v>
      </x:c>
    </x:row>
    <x:row r="143" ht="44" customHeight="1">
      <x:c r="A143" s="24" t="str">
        <x:v>PPL-820</x:v>
      </x:c>
      <x:c r="B143" s="24" t="str">
        <x:v>Sacred Guardian Beasts</x:v>
      </x:c>
      <x:c r="C143" s="24" t="str">
        <x:v>People &amp; Beings</x:v>
      </x:c>
      <x:c r="D143" s="24" t="str">
        <x:v>PPL-800</x:v>
      </x:c>
      <x:c r="E143" s="24" t="str">
        <x:f>IF(D143="","",IFERROR(VLOOKUP(D143,$A$2:$B$1656,2,FALSE),""))</x:f>
        <x:v>Dragons and Legendary Beasts</x:v>
      </x:c>
      <x:c r="F143" s="24" t="n">
        <x:v>3</x:v>
      </x:c>
      <x:c r="G143" s="24" t="str">
        <x:v>Legendary animals bound to temples, rulers, elements, directions, or sacred geographies.</x:v>
      </x:c>
      <x:c r="H143" s="24" t="str">
        <x:v>Source-specific examples may differ biologically, metaphysically, culturally, and morally; map them as analogues unless equivalence is explicit.</x:v>
      </x:c>
      <x:c r="I143" s="24" t="str">
        <x:v>guardian lion; temple beast; divine mount</x:v>
      </x:c>
      <x:c r="J143" s="24" t="str">
        <x:v>Boss, mount, guardian, sovereign, ecological apex, heraldic symbol, or embodiment of primal power.</x:v>
      </x:c>
      <x:c r="K143" s="24" t="str">
        <x:v>guardian lion; temple beast; divine mount</x:v>
      </x:c>
      <x:c r="L143" s="24" t="str">
        <x:v>Preserve each source's ontology, culture, history, and terminology when making comparisons.</x:v>
      </x:c>
      <x:c r="M143" s="24" t="str">
        <x:v>Core Family</x:v>
      </x:c>
    </x:row>
    <x:row r="144" ht="44" customHeight="1">
      <x:c r="A144" s="24" t="str">
        <x:v>PPL-901</x:v>
      </x:c>
      <x:c r="B144" s="24" t="str">
        <x:v>Plantfolk</x:v>
      </x:c>
      <x:c r="C144" s="24" t="str">
        <x:v>People &amp; Beings</x:v>
      </x:c>
      <x:c r="D144" s="24" t="str">
        <x:v>PPL-900</x:v>
      </x:c>
      <x:c r="E144" s="24" t="str">
        <x:f>IF(D144="","",IFERROR(VLOOKUP(D144,$A$2:$B$1656,2,FALSE),""))</x:f>
        <x:v>Plant, Fungal, Ooze, and Collective Life</x:v>
      </x:c>
      <x:c r="F144" s="24" t="n">
        <x:v>3</x:v>
      </x:c>
      <x:c r="G144" s="24" t="str">
        <x:v>Sentient plants or plant-humanoid peoples whose bodies, reproduction, memory, and societies derive from vegetal life.</x:v>
      </x:c>
      <x:c r="H144" s="24" t="str">
        <x:v>Source-specific examples may differ biologically, metaphysically, culturally, and morally; map them as analogues unless equivalence is explicit.</x:v>
      </x:c>
      <x:c r="I144" s="24" t="str">
        <x:v>plantfolk; leshy-like; sylvari-like</x:v>
      </x:c>
      <x:c r="J144" s="24" t="str">
        <x:v>Ecological other, distributed intelligence, body-horror threat, unusual playable ancestry, or setting-scale organism.</x:v>
      </x:c>
      <x:c r="K144" s="24" t="str">
        <x:v>plantfolk; leshy-like; sylvari-like</x:v>
      </x:c>
      <x:c r="L144" s="24" t="str">
        <x:v>Preserve each source's ontology, culture, history, and terminology when making comparisons.</x:v>
      </x:c>
      <x:c r="M144" s="24" t="str">
        <x:v>Core Family</x:v>
      </x:c>
    </x:row>
    <x:row r="145" ht="44" customHeight="1">
      <x:c r="A145" s="24" t="str">
        <x:v>PPL-902</x:v>
      </x:c>
      <x:c r="B145" s="24" t="str">
        <x:v>Fungal Peoples</x:v>
      </x:c>
      <x:c r="C145" s="24" t="str">
        <x:v>People &amp; Beings</x:v>
      </x:c>
      <x:c r="D145" s="24" t="str">
        <x:v>PPL-900</x:v>
      </x:c>
      <x:c r="E145" s="24" t="str">
        <x:f>IF(D145="","",IFERROR(VLOOKUP(D145,$A$2:$B$1656,2,FALSE),""))</x:f>
        <x:v>Plant, Fungal, Ooze, and Collective Life</x:v>
      </x:c>
      <x:c r="F145" s="24" t="n">
        <x:v>3</x:v>
      </x:c>
      <x:c r="G145" s="24" t="str">
        <x:v>Mushroom- or mycelium-based beings emphasizing spores, decomposition, networks, symbiosis, or subterranean ecologies.</x:v>
      </x:c>
      <x:c r="H145" s="24" t="str">
        <x:v>Source-specific examples may differ biologically, metaphysically, culturally, and morally; map them as analogues unless equivalence is explicit.</x:v>
      </x:c>
      <x:c r="I145" s="24" t="str">
        <x:v>mushroom folk; myconid-like; fungal collective</x:v>
      </x:c>
      <x:c r="J145" s="24" t="str">
        <x:v>Ecological other, distributed intelligence, body-horror threat, unusual playable ancestry, or setting-scale organism.</x:v>
      </x:c>
      <x:c r="K145" s="24" t="str">
        <x:v>mushroom folk; myconid-like; fungal collective</x:v>
      </x:c>
      <x:c r="L145" s="24" t="str">
        <x:v>Preserve each source's ontology, culture, history, and terminology when making comparisons.</x:v>
      </x:c>
      <x:c r="M145" s="24" t="str">
        <x:v>Core Family</x:v>
      </x:c>
    </x:row>
    <x:row r="146" ht="44" customHeight="1">
      <x:c r="A146" s="24" t="str">
        <x:v>PPL-903</x:v>
      </x:c>
      <x:c r="B146" s="24" t="str">
        <x:v>Oozes and Slimes</x:v>
      </x:c>
      <x:c r="C146" s="24" t="str">
        <x:v>People &amp; Beings</x:v>
      </x:c>
      <x:c r="D146" s="24" t="str">
        <x:v>PPL-900</x:v>
      </x:c>
      <x:c r="E146" s="24" t="str">
        <x:f>IF(D146="","",IFERROR(VLOOKUP(D146,$A$2:$B$1656,2,FALSE),""))</x:f>
        <x:v>Plant, Fungal, Ooze, and Collective Life</x:v>
      </x:c>
      <x:c r="F146" s="24" t="n">
        <x:v>3</x:v>
      </x:c>
      <x:c r="G146" s="24" t="str">
        <x:v>Amorphous beings whose bodies flow, absorb, divide, dissolve, imitate, or evolve without fixed anatomy.</x:v>
      </x:c>
      <x:c r="H146" s="24" t="str">
        <x:v>Source-specific examples may differ biologically, metaphysically, culturally, and morally; map them as analogues unless equivalence is explicit.</x:v>
      </x:c>
      <x:c r="I146" s="24" t="str">
        <x:v>slime; ooze; gelatinous being</x:v>
      </x:c>
      <x:c r="J146" s="24" t="str">
        <x:v>Ecological other, distributed intelligence, body-horror threat, unusual playable ancestry, or setting-scale organism.</x:v>
      </x:c>
      <x:c r="K146" s="24" t="str">
        <x:v>slime; ooze; gelatinous being</x:v>
      </x:c>
      <x:c r="L146" s="24" t="str">
        <x:v>Preserve each source's ontology, culture, history, and terminology when making comparisons.</x:v>
      </x:c>
      <x:c r="M146" s="24" t="str">
        <x:v>Core Family</x:v>
      </x:c>
    </x:row>
    <x:row r="147" ht="44" customHeight="1">
      <x:c r="A147" s="24" t="str">
        <x:v>PPL-904</x:v>
      </x:c>
      <x:c r="B147" s="24" t="str">
        <x:v>Swarm Collectives</x:v>
      </x:c>
      <x:c r="C147" s="24" t="str">
        <x:v>People &amp; Beings</x:v>
      </x:c>
      <x:c r="D147" s="24" t="str">
        <x:v>PPL-900</x:v>
      </x:c>
      <x:c r="E147" s="24" t="str">
        <x:f>IF(D147="","",IFERROR(VLOOKUP(D147,$A$2:$B$1656,2,FALSE),""))</x:f>
        <x:v>Plant, Fungal, Ooze, and Collective Life</x:v>
      </x:c>
      <x:c r="F147" s="24" t="n">
        <x:v>3</x:v>
      </x:c>
      <x:c r="G147" s="24" t="str">
        <x:v>A person or creature constituted by many small organisms acting as a coordinated whole.</x:v>
      </x:c>
      <x:c r="H147" s="24" t="str">
        <x:v>Source-specific examples may differ biologically, metaphysically, culturally, and morally; map them as analogues unless equivalence is explicit.</x:v>
      </x:c>
      <x:c r="I147" s="24" t="str">
        <x:v>swarm person; insect cloud; rat king</x:v>
      </x:c>
      <x:c r="J147" s="24" t="str">
        <x:v>Ecological other, distributed intelligence, body-horror threat, unusual playable ancestry, or setting-scale organism.</x:v>
      </x:c>
      <x:c r="K147" s="24" t="str">
        <x:v>swarm person; insect cloud; rat king</x:v>
      </x:c>
      <x:c r="L147" s="24" t="str">
        <x:v>Preserve each source's ontology, culture, history, and terminology when making comparisons.</x:v>
      </x:c>
      <x:c r="M147" s="24" t="str">
        <x:v>Core Family</x:v>
      </x:c>
    </x:row>
    <x:row r="148" ht="44" customHeight="1">
      <x:c r="A148" s="24" t="str">
        <x:v>PPL-905</x:v>
      </x:c>
      <x:c r="B148" s="24" t="str">
        <x:v>Hive Minds</x:v>
      </x:c>
      <x:c r="C148" s="24" t="str">
        <x:v>People &amp; Beings</x:v>
      </x:c>
      <x:c r="D148" s="24" t="str">
        <x:v>PPL-900</x:v>
      </x:c>
      <x:c r="E148" s="24" t="str">
        <x:f>IF(D148="","",IFERROR(VLOOKUP(D148,$A$2:$B$1656,2,FALSE),""))</x:f>
        <x:v>Plant, Fungal, Ooze, and Collective Life</x:v>
      </x:c>
      <x:c r="F148" s="24" t="n">
        <x:v>3</x:v>
      </x:c>
      <x:c r="G148" s="24" t="str">
        <x:v>Populations sharing consciousness, command, memory, or telepathy across multiple bodies.</x:v>
      </x:c>
      <x:c r="H148" s="24" t="str">
        <x:v>Source-specific examples may differ biologically, metaphysically, culturally, and morally; map them as analogues unless equivalence is explicit.</x:v>
      </x:c>
      <x:c r="I148" s="24" t="str">
        <x:v>hive mind; collective consciousness</x:v>
      </x:c>
      <x:c r="J148" s="24" t="str">
        <x:v>Ecological other, distributed intelligence, body-horror threat, unusual playable ancestry, or setting-scale organism.</x:v>
      </x:c>
      <x:c r="K148" s="24" t="str">
        <x:v>hive mind; collective consciousness</x:v>
      </x:c>
      <x:c r="L148" s="24" t="str">
        <x:v>Preserve each source's ontology, culture, history, and terminology when making comparisons.</x:v>
      </x:c>
      <x:c r="M148" s="24" t="str">
        <x:v>Core Family</x:v>
      </x:c>
    </x:row>
    <x:row r="149" ht="44" customHeight="1">
      <x:c r="A149" s="24" t="str">
        <x:v>PPL-906</x:v>
      </x:c>
      <x:c r="B149" s="24" t="str">
        <x:v>Colony Organisms</x:v>
      </x:c>
      <x:c r="C149" s="24" t="str">
        <x:v>People &amp; Beings</x:v>
      </x:c>
      <x:c r="D149" s="24" t="str">
        <x:v>PPL-900</x:v>
      </x:c>
      <x:c r="E149" s="24" t="str">
        <x:f>IF(D149="","",IFERROR(VLOOKUP(D149,$A$2:$B$1656,2,FALSE),""))</x:f>
        <x:v>Plant, Fungal, Ooze, and Collective Life</x:v>
      </x:c>
      <x:c r="F149" s="24" t="n">
        <x:v>3</x:v>
      </x:c>
      <x:c r="G149" s="24" t="str">
        <x:v>Distributed beings whose apparently separate bodies are modules of one organism or society-person.</x:v>
      </x:c>
      <x:c r="H149" s="24" t="str">
        <x:v>Source-specific examples may differ biologically, metaphysically, culturally, and morally; map them as analogues unless equivalence is explicit.</x:v>
      </x:c>
      <x:c r="I149" s="24" t="str">
        <x:v>colony being; coral intelligence</x:v>
      </x:c>
      <x:c r="J149" s="24" t="str">
        <x:v>Ecological other, distributed intelligence, body-horror threat, unusual playable ancestry, or setting-scale organism.</x:v>
      </x:c>
      <x:c r="K149" s="24" t="str">
        <x:v>colony being; coral intelligence</x:v>
      </x:c>
      <x:c r="L149" s="24" t="str">
        <x:v>Preserve each source's ontology, culture, history, and terminology when making comparisons.</x:v>
      </x:c>
      <x:c r="M149" s="24" t="str">
        <x:v>Core Family</x:v>
      </x:c>
    </x:row>
    <x:row r="150" ht="44" customHeight="1">
      <x:c r="A150" s="24" t="str">
        <x:v>PPL-907</x:v>
      </x:c>
      <x:c r="B150" s="24" t="str">
        <x:v>Parasitic Symbiotes</x:v>
      </x:c>
      <x:c r="C150" s="24" t="str">
        <x:v>People &amp; Beings</x:v>
      </x:c>
      <x:c r="D150" s="24" t="str">
        <x:v>PPL-900</x:v>
      </x:c>
      <x:c r="E150" s="24" t="str">
        <x:f>IF(D150="","",IFERROR(VLOOKUP(D150,$A$2:$B$1656,2,FALSE),""))</x:f>
        <x:v>Plant, Fungal, Ooze, and Collective Life</x:v>
      </x:c>
      <x:c r="F150" s="24" t="n">
        <x:v>3</x:v>
      </x:c>
      <x:c r="G150" s="24" t="str">
        <x:v>Beings that require or share a host body, ranging from cooperative partners to identity-erasing parasites.</x:v>
      </x:c>
      <x:c r="H150" s="24" t="str">
        <x:v>Source-specific examples may differ biologically, metaphysically, culturally, and morally; map them as analogues unless equivalence is explicit.</x:v>
      </x:c>
      <x:c r="I150" s="24" t="str">
        <x:v>symbiote; parasite; bonded organism</x:v>
      </x:c>
      <x:c r="J150" s="24" t="str">
        <x:v>Ecological other, distributed intelligence, body-horror threat, unusual playable ancestry, or setting-scale organism.</x:v>
      </x:c>
      <x:c r="K150" s="24" t="str">
        <x:v>symbiote; parasite; bonded organism</x:v>
      </x:c>
      <x:c r="L150" s="24" t="str">
        <x:v>Preserve each source's ontology, culture, history, and terminology when making comparisons.</x:v>
      </x:c>
      <x:c r="M150" s="24" t="str">
        <x:v>Core Family</x:v>
      </x:c>
    </x:row>
    <x:row r="151" ht="44" customHeight="1">
      <x:c r="A151" s="24" t="str">
        <x:v>PPL-908</x:v>
      </x:c>
      <x:c r="B151" s="24" t="str">
        <x:v>Living Ecosystems</x:v>
      </x:c>
      <x:c r="C151" s="24" t="str">
        <x:v>People &amp; Beings</x:v>
      </x:c>
      <x:c r="D151" s="24" t="str">
        <x:v>PPL-900</x:v>
      </x:c>
      <x:c r="E151" s="24" t="str">
        <x:f>IF(D151="","",IFERROR(VLOOKUP(D151,$A$2:$B$1656,2,FALSE),""))</x:f>
        <x:v>Plant, Fungal, Ooze, and Collective Life</x:v>
      </x:c>
      <x:c r="F151" s="24" t="n">
        <x:v>3</x:v>
      </x:c>
      <x:c r="G151" s="24" t="str">
        <x:v>Forests, reefs, dungeons, planets, or biomes possessing unified agency or consciousness.</x:v>
      </x:c>
      <x:c r="H151" s="24" t="str">
        <x:v>Source-specific examples may differ biologically, metaphysically, culturally, and morally; map them as analogues unless equivalence is explicit.</x:v>
      </x:c>
      <x:c r="I151" s="24" t="str">
        <x:v>sentient forest; living dungeon; world organism</x:v>
      </x:c>
      <x:c r="J151" s="24" t="str">
        <x:v>Ecological other, distributed intelligence, body-horror threat, unusual playable ancestry, or setting-scale organism.</x:v>
      </x:c>
      <x:c r="K151" s="24" t="str">
        <x:v>sentient forest; living dungeon; world organism</x:v>
      </x:c>
      <x:c r="L151" s="24" t="str">
        <x:v>Preserve each source's ontology, culture, history, and terminology when making comparisons.</x:v>
      </x:c>
      <x:c r="M151" s="24" t="str">
        <x:v>Core Family</x:v>
      </x:c>
    </x:row>
    <x:row r="152" ht="44" customHeight="1">
      <x:c r="A152" s="24" t="str">
        <x:v>PPL-909</x:v>
      </x:c>
      <x:c r="B152" s="24" t="str">
        <x:v>Mimetic Organic Beings</x:v>
      </x:c>
      <x:c r="C152" s="24" t="str">
        <x:v>People &amp; Beings</x:v>
      </x:c>
      <x:c r="D152" s="24" t="str">
        <x:v>PPL-900</x:v>
      </x:c>
      <x:c r="E152" s="24" t="str">
        <x:f>IF(D152="","",IFERROR(VLOOKUP(D152,$A$2:$B$1656,2,FALSE),""))</x:f>
        <x:v>Plant, Fungal, Ooze, and Collective Life</x:v>
      </x:c>
      <x:c r="F152" s="24" t="n">
        <x:v>3</x:v>
      </x:c>
      <x:c r="G152" s="24" t="str">
        <x:v>Life-forms that copy bodies, voices, objects, or environments as a primary survival and identity strategy.</x:v>
      </x:c>
      <x:c r="H152" s="24" t="str">
        <x:v>Source-specific examples may differ biologically, metaphysically, culturally, and morally; map them as analogues unless equivalence is explicit.</x:v>
      </x:c>
      <x:c r="I152" s="24" t="str">
        <x:v>mimic organism; body copier</x:v>
      </x:c>
      <x:c r="J152" s="24" t="str">
        <x:v>Ecological other, distributed intelligence, body-horror threat, unusual playable ancestry, or setting-scale organism.</x:v>
      </x:c>
      <x:c r="K152" s="24" t="str">
        <x:v>mimic organism; body copier</x:v>
      </x:c>
      <x:c r="L152" s="24" t="str">
        <x:v>Preserve each source's ontology, culture, history, and terminology when making comparisons.</x:v>
      </x:c>
      <x:c r="M152" s="24" t="str">
        <x:v>Core Family</x:v>
      </x:c>
    </x:row>
    <x:row r="153" ht="44" customHeight="1">
      <x:c r="A153" s="24" t="str">
        <x:v>PPL-910</x:v>
      </x:c>
      <x:c r="B153" s="24" t="str">
        <x:v>Spore and Infection Intelligences</x:v>
      </x:c>
      <x:c r="C153" s="24" t="str">
        <x:v>People &amp; Beings</x:v>
      </x:c>
      <x:c r="D153" s="24" t="str">
        <x:v>PPL-900</x:v>
      </x:c>
      <x:c r="E153" s="24" t="str">
        <x:f>IF(D153="","",IFERROR(VLOOKUP(D153,$A$2:$B$1656,2,FALSE),""))</x:f>
        <x:v>Plant, Fungal, Ooze, and Collective Life</x:v>
      </x:c>
      <x:c r="F153" s="24" t="n">
        <x:v>3</x:v>
      </x:c>
      <x:c r="G153" s="24" t="str">
        <x:v>Distributed organisms that spread through infection and create shared bodies, memories, or behavioral control.</x:v>
      </x:c>
      <x:c r="H153" s="24" t="str">
        <x:v>Source-specific examples may differ biologically, metaphysically, culturally, and morally; map them as analogues unless equivalence is explicit.</x:v>
      </x:c>
      <x:c r="I153" s="24" t="str">
        <x:v>spore mind; fungal infection; assimilator</x:v>
      </x:c>
      <x:c r="J153" s="24" t="str">
        <x:v>Ecological other, distributed intelligence, body-horror threat, unusual playable ancestry, or setting-scale organism.</x:v>
      </x:c>
      <x:c r="K153" s="24" t="str">
        <x:v>spore mind; fungal infection; assimilator</x:v>
      </x:c>
      <x:c r="L153" s="24" t="str">
        <x:v>Preserve each source's ontology, culture, history, and terminology when making comparisons.</x:v>
      </x:c>
      <x:c r="M153" s="24" t="str">
        <x:v>Core Family</x:v>
      </x:c>
    </x:row>
    <x:row r="154" ht="44" customHeight="1">
      <x:c r="A154" s="24" t="str">
        <x:v>PPL-1001</x:v>
      </x:c>
      <x:c r="B154" s="24" t="str">
        <x:v>General Shapeshifters</x:v>
      </x:c>
      <x:c r="C154" s="24" t="str">
        <x:v>People &amp; Beings</x:v>
      </x:c>
      <x:c r="D154" s="24" t="str">
        <x:v>PPL-1000</x:v>
      </x:c>
      <x:c r="E154" s="24" t="str">
        <x:f>IF(D154="","",IFERROR(VLOOKUP(D154,$A$2:$B$1656,2,FALSE),""))</x:f>
        <x:v>Shapeshifters, Hybrids, and Mutable Peoples</x:v>
      </x:c>
      <x:c r="F154" s="24" t="n">
        <x:v>3</x:v>
      </x:c>
      <x:c r="G154" s="24" t="str">
        <x:v>Beings able to change body, species, age, sex, scale, or material form as an innate or learned capacity.</x:v>
      </x:c>
      <x:c r="H154" s="24" t="str">
        <x:v>Source-specific examples may differ biologically, metaphysically, culturally, and morally; map them as analogues unless equivalence is explicit.</x:v>
      </x:c>
      <x:c r="I154" s="24" t="str">
        <x:v>shapeshifter; metamorph; shapechanger</x:v>
      </x:c>
      <x:c r="J154" s="24" t="str">
        <x:v>Identity mystery, boundary crossing, infiltration, curse narrative, mixed heritage, or transformational heroism.</x:v>
      </x:c>
      <x:c r="K154" s="24" t="str">
        <x:v>shapeshifter; metamorph; shapechanger</x:v>
      </x:c>
      <x:c r="L154" s="24" t="str">
        <x:v>Preserve each source's ontology, culture, history, and terminology when making comparisons.</x:v>
      </x:c>
      <x:c r="M154" s="24" t="str">
        <x:v>Core Family</x:v>
      </x:c>
    </x:row>
    <x:row r="155" ht="44" customHeight="1">
      <x:c r="A155" s="24" t="str">
        <x:v>PPL-1002</x:v>
      </x:c>
      <x:c r="B155" s="24" t="str">
        <x:v>Doppelgangers and Identity Mimics</x:v>
      </x:c>
      <x:c r="C155" s="24" t="str">
        <x:v>People &amp; Beings</x:v>
      </x:c>
      <x:c r="D155" s="24" t="str">
        <x:v>PPL-1000</x:v>
      </x:c>
      <x:c r="E155" s="24" t="str">
        <x:f>IF(D155="","",IFERROR(VLOOKUP(D155,$A$2:$B$1656,2,FALSE),""))</x:f>
        <x:v>Shapeshifters, Hybrids, and Mutable Peoples</x:v>
      </x:c>
      <x:c r="F155" s="24" t="n">
        <x:v>3</x:v>
      </x:c>
      <x:c r="G155" s="24" t="str">
        <x:v>Beings specialized in copying another person's appearance, voice, memories, or social role.</x:v>
      </x:c>
      <x:c r="H155" s="24" t="str">
        <x:v>Source-specific examples may differ biologically, metaphysically, culturally, and morally; map them as analogues unless equivalence is explicit.</x:v>
      </x:c>
      <x:c r="I155" s="24" t="str">
        <x:v>doppelganger; faceless mimic; changeling spy</x:v>
      </x:c>
      <x:c r="J155" s="24" t="str">
        <x:v>Identity mystery, boundary crossing, infiltration, curse narrative, mixed heritage, or transformational heroism.</x:v>
      </x:c>
      <x:c r="K155" s="24" t="str">
        <x:v>doppelganger; faceless mimic; changeling spy</x:v>
      </x:c>
      <x:c r="L155" s="24" t="str">
        <x:v>Preserve each source's ontology, culture, history, and terminology when making comparisons.</x:v>
      </x:c>
      <x:c r="M155" s="24" t="str">
        <x:v>Core Family</x:v>
      </x:c>
    </x:row>
    <x:row r="156" ht="44" customHeight="1">
      <x:c r="A156" s="24" t="str">
        <x:v>PPL-1003</x:v>
      </x:c>
      <x:c r="B156" s="24" t="str">
        <x:v>Therianthropes</x:v>
      </x:c>
      <x:c r="C156" s="24" t="str">
        <x:v>People &amp; Beings</x:v>
      </x:c>
      <x:c r="D156" s="24" t="str">
        <x:v>PPL-1000</x:v>
      </x:c>
      <x:c r="E156" s="24" t="str">
        <x:f>IF(D156="","",IFERROR(VLOOKUP(D156,$A$2:$B$1656,2,FALSE),""))</x:f>
        <x:v>Shapeshifters, Hybrids, and Mutable Peoples</x:v>
      </x:c>
      <x:c r="F156" s="24" t="n">
        <x:v>3</x:v>
      </x:c>
      <x:c r="G156" s="24" t="str">
        <x:v>Humans or humanoids who transform into animals or hybrid forms through curse, inheritance, infection, ritual, or choice.</x:v>
      </x:c>
      <x:c r="H156" s="24" t="str">
        <x:v>Source-specific examples may differ biologically, metaphysically, culturally, and morally; map them as analogues unless equivalence is explicit.</x:v>
      </x:c>
      <x:c r="I156" s="24" t="str">
        <x:v>werewolf; werebear; lycanthrope; beast transformation</x:v>
      </x:c>
      <x:c r="J156" s="24" t="str">
        <x:v>Identity mystery, boundary crossing, infiltration, curse narrative, mixed heritage, or transformational heroism.</x:v>
      </x:c>
      <x:c r="K156" s="24" t="str">
        <x:v>werewolf; werebear; lycanthrope; beast transformation</x:v>
      </x:c>
      <x:c r="L156" s="24" t="str">
        <x:v>Preserve each source's ontology, culture, history, and terminology when making comparisons.</x:v>
      </x:c>
      <x:c r="M156" s="24" t="str">
        <x:v>Core Family</x:v>
      </x:c>
    </x:row>
    <x:row r="157" ht="44" customHeight="1">
      <x:c r="A157" s="24" t="str">
        <x:v>PPL-1004</x:v>
      </x:c>
      <x:c r="B157" s="24" t="str">
        <x:v>Animal-Form Peoples</x:v>
      </x:c>
      <x:c r="C157" s="24" t="str">
        <x:v>People &amp; Beings</x:v>
      </x:c>
      <x:c r="D157" s="24" t="str">
        <x:v>PPL-1000</x:v>
      </x:c>
      <x:c r="E157" s="24" t="str">
        <x:f>IF(D157="","",IFERROR(VLOOKUP(D157,$A$2:$B$1656,2,FALSE),""))</x:f>
        <x:v>Shapeshifters, Hybrids, and Mutable Peoples</x:v>
      </x:c>
      <x:c r="F157" s="24" t="n">
        <x:v>3</x:v>
      </x:c>
      <x:c r="G157" s="24" t="str">
        <x:v>Peoples whose normal identity includes switching between humanoid and animal bodies without necessarily being cursed.</x:v>
      </x:c>
      <x:c r="H157" s="24" t="str">
        <x:v>Source-specific examples may differ biologically, metaphysically, culturally, and morally; map them as analogues unless equivalence is explicit.</x:v>
      </x:c>
      <x:c r="I157" s="24" t="str">
        <x:v>fox spirit; selkie; swan maiden; animal shifter</x:v>
      </x:c>
      <x:c r="J157" s="24" t="str">
        <x:v>Identity mystery, boundary crossing, infiltration, curse narrative, mixed heritage, or transformational heroism.</x:v>
      </x:c>
      <x:c r="K157" s="24" t="str">
        <x:v>fox spirit; selkie; swan maiden; animal shifter</x:v>
      </x:c>
      <x:c r="L157" s="24" t="str">
        <x:v>Preserve each source's ontology, culture, history, and terminology when making comparisons.</x:v>
      </x:c>
      <x:c r="M157" s="24" t="str">
        <x:v>Core Family</x:v>
      </x:c>
    </x:row>
    <x:row r="158" ht="44" customHeight="1">
      <x:c r="A158" s="24" t="str">
        <x:v>PPL-1005</x:v>
      </x:c>
      <x:c r="B158" s="24" t="str">
        <x:v>Hybrid and Chimera Peoples</x:v>
      </x:c>
      <x:c r="C158" s="24" t="str">
        <x:v>People &amp; Beings</x:v>
      </x:c>
      <x:c r="D158" s="24" t="str">
        <x:v>PPL-1000</x:v>
      </x:c>
      <x:c r="E158" s="24" t="str">
        <x:f>IF(D158="","",IFERROR(VLOOKUP(D158,$A$2:$B$1656,2,FALSE),""))</x:f>
        <x:v>Shapeshifters, Hybrids, and Mutable Peoples</x:v>
      </x:c>
      <x:c r="F158" s="24" t="n">
        <x:v>3</x:v>
      </x:c>
      <x:c r="G158" s="24" t="str">
        <x:v>Stable peoples or individuals combining traits from multiple species, engineered lineages, or mythic parentage.</x:v>
      </x:c>
      <x:c r="H158" s="24" t="str">
        <x:v>Source-specific examples may differ biologically, metaphysically, culturally, and morally; map them as analogues unless equivalence is explicit.</x:v>
      </x:c>
      <x:c r="I158" s="24" t="str">
        <x:v>chimera person; hybrid species; splice</x:v>
      </x:c>
      <x:c r="J158" s="24" t="str">
        <x:v>Identity mystery, boundary crossing, infiltration, curse narrative, mixed heritage, or transformational heroism.</x:v>
      </x:c>
      <x:c r="K158" s="24" t="str">
        <x:v>chimera person; hybrid species; splice</x:v>
      </x:c>
      <x:c r="L158" s="24" t="str">
        <x:v>Preserve each source's ontology, culture, history, and terminology when making comparisons.</x:v>
      </x:c>
      <x:c r="M158" s="24" t="str">
        <x:v>Core Family</x:v>
      </x:c>
    </x:row>
    <x:row r="159" ht="44" customHeight="1">
      <x:c r="A159" s="24" t="str">
        <x:v>PPL-1006</x:v>
      </x:c>
      <x:c r="B159" s="24" t="str">
        <x:v>Mixed-Ancestry and Half-Blood Peoples</x:v>
      </x:c>
      <x:c r="C159" s="24" t="str">
        <x:v>People &amp; Beings</x:v>
      </x:c>
      <x:c r="D159" s="24" t="str">
        <x:v>PPL-1000</x:v>
      </x:c>
      <x:c r="E159" s="24" t="str">
        <x:f>IF(D159="","",IFERROR(VLOOKUP(D159,$A$2:$B$1656,2,FALSE),""))</x:f>
        <x:v>Shapeshifters, Hybrids, and Mutable Peoples</x:v>
      </x:c>
      <x:c r="F159" s="24" t="n">
        <x:v>3</x:v>
      </x:c>
      <x:c r="G159" s="24" t="str">
        <x:v>Individuals or populations descended from multiple recognized peoples, lineages, or metaphysical kinds.</x:v>
      </x:c>
      <x:c r="H159" s="24" t="str">
        <x:v>Source-specific examples may differ biologically, metaphysically, culturally, and morally; map them as analogues unless equivalence is explicit.</x:v>
      </x:c>
      <x:c r="I159" s="24" t="str">
        <x:v>half-elf; half-orc; mixed lineage</x:v>
      </x:c>
      <x:c r="J159" s="24" t="str">
        <x:v>Identity mystery, boundary crossing, infiltration, curse narrative, mixed heritage, or transformational heroism.</x:v>
      </x:c>
      <x:c r="K159" s="24" t="str">
        <x:v>half-elf; half-orc; mixed lineage</x:v>
      </x:c>
      <x:c r="L159" s="24" t="str">
        <x:v>Preserve each source's ontology, culture, history, and terminology when making comparisons.</x:v>
      </x:c>
      <x:c r="M159" s="24" t="str">
        <x:v>Core Family</x:v>
      </x:c>
    </x:row>
    <x:row r="160" ht="44" customHeight="1">
      <x:c r="A160" s="24" t="str">
        <x:v>PPL-1007</x:v>
      </x:c>
      <x:c r="B160" s="24" t="str">
        <x:v>Possessed Hosts</x:v>
      </x:c>
      <x:c r="C160" s="24" t="str">
        <x:v>People &amp; Beings</x:v>
      </x:c>
      <x:c r="D160" s="24" t="str">
        <x:v>PPL-1000</x:v>
      </x:c>
      <x:c r="E160" s="24" t="str">
        <x:f>IF(D160="","",IFERROR(VLOOKUP(D160,$A$2:$B$1656,2,FALSE),""))</x:f>
        <x:v>Shapeshifters, Hybrids, and Mutable Peoples</x:v>
      </x:c>
      <x:c r="F160" s="24" t="n">
        <x:v>3</x:v>
      </x:c>
      <x:c r="G160" s="24" t="str">
        <x:v>Bodies inhabited or shared by an external spirit, demon, deity, ancestor, or alien mind.</x:v>
      </x:c>
      <x:c r="H160" s="24" t="str">
        <x:v>Source-specific examples may differ biologically, metaphysically, culturally, and morally; map them as analogues unless equivalence is explicit.</x:v>
      </x:c>
      <x:c r="I160" s="24" t="str">
        <x:v>host; vessel; ridden person</x:v>
      </x:c>
      <x:c r="J160" s="24" t="str">
        <x:v>Identity mystery, boundary crossing, infiltration, curse narrative, mixed heritage, or transformational heroism.</x:v>
      </x:c>
      <x:c r="K160" s="24" t="str">
        <x:v>host; vessel; ridden person</x:v>
      </x:c>
      <x:c r="L160" s="24" t="str">
        <x:v>Preserve each source's ontology, culture, history, and terminology when making comparisons.</x:v>
      </x:c>
      <x:c r="M160" s="24" t="str">
        <x:v>Core Family</x:v>
      </x:c>
    </x:row>
    <x:row r="161" ht="44" customHeight="1">
      <x:c r="A161" s="24" t="str">
        <x:v>PPL-1008</x:v>
      </x:c>
      <x:c r="B161" s="24" t="str">
        <x:v>Body-Hoppers</x:v>
      </x:c>
      <x:c r="C161" s="24" t="str">
        <x:v>People &amp; Beings</x:v>
      </x:c>
      <x:c r="D161" s="24" t="str">
        <x:v>PPL-1000</x:v>
      </x:c>
      <x:c r="E161" s="24" t="str">
        <x:f>IF(D161="","",IFERROR(VLOOKUP(D161,$A$2:$B$1656,2,FALSE),""))</x:f>
        <x:v>Shapeshifters, Hybrids, and Mutable Peoples</x:v>
      </x:c>
      <x:c r="F161" s="24" t="n">
        <x:v>3</x:v>
      </x:c>
      <x:c r="G161" s="24" t="str">
        <x:v>Entities that transfer consciousness between bodies, temporarily or permanently.</x:v>
      </x:c>
      <x:c r="H161" s="24" t="str">
        <x:v>Source-specific examples may differ biologically, metaphysically, culturally, and morally; map them as analogues unless equivalence is explicit.</x:v>
      </x:c>
      <x:c r="I161" s="24" t="str">
        <x:v>body hopper; soul transfer; possessing immortal</x:v>
      </x:c>
      <x:c r="J161" s="24" t="str">
        <x:v>Identity mystery, boundary crossing, infiltration, curse narrative, mixed heritage, or transformational heroism.</x:v>
      </x:c>
      <x:c r="K161" s="24" t="str">
        <x:v>body hopper; soul transfer; possessing immortal</x:v>
      </x:c>
      <x:c r="L161" s="24" t="str">
        <x:v>Preserve each source's ontology, culture, history, and terminology when making comparisons.</x:v>
      </x:c>
      <x:c r="M161" s="24" t="str">
        <x:v>Core Family</x:v>
      </x:c>
    </x:row>
    <x:row r="162" ht="44" customHeight="1">
      <x:c r="A162" s="24" t="str">
        <x:v>PPL-1009</x:v>
      </x:c>
      <x:c r="B162" s="24" t="str">
        <x:v>Skin-Wearers and Body Thieves</x:v>
      </x:c>
      <x:c r="C162" s="24" t="str">
        <x:v>People &amp; Beings</x:v>
      </x:c>
      <x:c r="D162" s="24" t="str">
        <x:v>PPL-1000</x:v>
      </x:c>
      <x:c r="E162" s="24" t="str">
        <x:f>IF(D162="","",IFERROR(VLOOKUP(D162,$A$2:$B$1656,2,FALSE),""))</x:f>
        <x:v>Shapeshifters, Hybrids, and Mutable Peoples</x:v>
      </x:c>
      <x:c r="F162" s="24" t="n">
        <x:v>3</x:v>
      </x:c>
      <x:c r="G162" s="24" t="str">
        <x:v>Beings that assume identity through stolen skin, consumed bodies, masks, or direct replacement.</x:v>
      </x:c>
      <x:c r="H162" s="24" t="str">
        <x:v>Source-specific examples may differ biologically, metaphysically, culturally, and morally; map them as analogues unless equivalence is explicit.</x:v>
      </x:c>
      <x:c r="I162" s="24" t="str">
        <x:v>skin-walker analogue; body thief; corpse wearer</x:v>
      </x:c>
      <x:c r="J162" s="24" t="str">
        <x:v>Identity mystery, boundary crossing, infiltration, curse narrative, mixed heritage, or transformational heroism.</x:v>
      </x:c>
      <x:c r="K162" s="24" t="str">
        <x:v>skin-walker analogue; body thief; corpse wearer</x:v>
      </x:c>
      <x:c r="L162" s="24" t="str">
        <x:v>Avoid applying culturally specific 'skinwalker' terminology outside its Diné context.</x:v>
      </x:c>
      <x:c r="M162" s="24" t="str">
        <x:v>Core Family</x:v>
      </x:c>
    </x:row>
    <x:row r="163" ht="44" customHeight="1">
      <x:c r="A163" s="24" t="str">
        <x:v>PPL-1010</x:v>
      </x:c>
      <x:c r="B163" s="24" t="str">
        <x:v>Metamorphic Species</x:v>
      </x:c>
      <x:c r="C163" s="24" t="str">
        <x:v>People &amp; Beings</x:v>
      </x:c>
      <x:c r="D163" s="24" t="str">
        <x:v>PPL-1000</x:v>
      </x:c>
      <x:c r="E163" s="24" t="str">
        <x:f>IF(D163="","",IFERROR(VLOOKUP(D163,$A$2:$B$1656,2,FALSE),""))</x:f>
        <x:v>Shapeshifters, Hybrids, and Mutable Peoples</x:v>
      </x:c>
      <x:c r="F163" s="24" t="n">
        <x:v>3</x:v>
      </x:c>
      <x:c r="G163" s="24" t="str">
        <x:v>Peoples whose bodies naturally pass through multiple forms or life stages with major changes in capability and identity.</x:v>
      </x:c>
      <x:c r="H163" s="24" t="str">
        <x:v>Source-specific examples may differ biologically, metaphysically, culturally, and morally; map them as analogues unless equivalence is explicit.</x:v>
      </x:c>
      <x:c r="I163" s="24" t="str">
        <x:v>metamorph; larval/adult people; chrysalis species</x:v>
      </x:c>
      <x:c r="J163" s="24" t="str">
        <x:v>Identity mystery, boundary crossing, infiltration, curse narrative, mixed heritage, or transformational heroism.</x:v>
      </x:c>
      <x:c r="K163" s="24" t="str">
        <x:v>metamorph; larval/adult people; chrysalis species</x:v>
      </x:c>
      <x:c r="L163" s="24" t="str">
        <x:v>Preserve each source's ontology, culture, history, and terminology when making comparisons.</x:v>
      </x:c>
      <x:c r="M163" s="24" t="str">
        <x:v>Core Family</x:v>
      </x:c>
    </x:row>
    <x:row r="164" ht="44" customHeight="1">
      <x:c r="A164" s="24" t="str">
        <x:v>PPL-1011</x:v>
      </x:c>
      <x:c r="B164" s="24" t="str">
        <x:v>Gender-Fluid or Form-Fluid Beings</x:v>
      </x:c>
      <x:c r="C164" s="24" t="str">
        <x:v>People &amp; Beings</x:v>
      </x:c>
      <x:c r="D164" s="24" t="str">
        <x:v>PPL-1000</x:v>
      </x:c>
      <x:c r="E164" s="24" t="str">
        <x:f>IF(D164="","",IFERROR(VLOOKUP(D164,$A$2:$B$1656,2,FALSE),""))</x:f>
        <x:v>Shapeshifters, Hybrids, and Mutable Peoples</x:v>
      </x:c>
      <x:c r="F164" s="24" t="n">
        <x:v>3</x:v>
      </x:c>
      <x:c r="G164" s="24" t="str">
        <x:v>Beings whose physical sex, gendered embodiment, or social presentation changes through magic or biology.</x:v>
      </x:c>
      <x:c r="H164" s="24" t="str">
        <x:v>Source-specific examples may differ biologically, metaphysically, culturally, and morally; map them as analogues unless equivalence is explicit.</x:v>
      </x:c>
      <x:c r="I164" s="24" t="str">
        <x:v>form-fluid; sex-changing species</x:v>
      </x:c>
      <x:c r="J164" s="24" t="str">
        <x:v>Identity mystery, boundary crossing, infiltration, curse narrative, mixed heritage, or transformational heroism.</x:v>
      </x:c>
      <x:c r="K164" s="24" t="str">
        <x:v>form-fluid; sex-changing species</x:v>
      </x:c>
      <x:c r="L164" s="24" t="str">
        <x:v>Preserve each source's ontology, culture, history, and terminology when making comparisons.</x:v>
      </x:c>
      <x:c r="M164" s="24" t="str">
        <x:v>Core Family</x:v>
      </x:c>
    </x:row>
    <x:row r="165" ht="44" customHeight="1">
      <x:c r="A165" s="24" t="str">
        <x:v>PPL-1012</x:v>
      </x:c>
      <x:c r="B165" s="24" t="str">
        <x:v>Composite Souls</x:v>
      </x:c>
      <x:c r="C165" s="24" t="str">
        <x:v>People &amp; Beings</x:v>
      </x:c>
      <x:c r="D165" s="24" t="str">
        <x:v>PPL-1000</x:v>
      </x:c>
      <x:c r="E165" s="24" t="str">
        <x:f>IF(D165="","",IFERROR(VLOOKUP(D165,$A$2:$B$1656,2,FALSE),""))</x:f>
        <x:v>Shapeshifters, Hybrids, and Mutable Peoples</x:v>
      </x:c>
      <x:c r="F165" s="24" t="n">
        <x:v>3</x:v>
      </x:c>
      <x:c r="G165" s="24" t="str">
        <x:v>Persons formed by fused souls, inherited memories, reincarnated identities, or many minds sharing one body.</x:v>
      </x:c>
      <x:c r="H165" s="24" t="str">
        <x:v>Source-specific examples may differ biologically, metaphysically, culturally, and morally; map them as analogues unless equivalence is explicit.</x:v>
      </x:c>
      <x:c r="I165" s="24" t="str">
        <x:v>soul fusion; gestalt person; multiple-self being</x:v>
      </x:c>
      <x:c r="J165" s="24" t="str">
        <x:v>Identity mystery, boundary crossing, infiltration, curse narrative, mixed heritage, or transformational heroism.</x:v>
      </x:c>
      <x:c r="K165" s="24" t="str">
        <x:v>soul fusion; gestalt person; multiple-self being</x:v>
      </x:c>
      <x:c r="L165" s="24" t="str">
        <x:v>Preserve each source's ontology, culture, history, and terminology when making comparisons.</x:v>
      </x:c>
      <x:c r="M165" s="24" t="str">
        <x:v>Core Family</x:v>
      </x:c>
    </x:row>
    <x:row r="166" ht="44" customHeight="1">
      <x:c r="A166" s="24" t="str">
        <x:v>PPL-1101</x:v>
      </x:c>
      <x:c r="B166" s="24" t="str">
        <x:v>Aberrations</x:v>
      </x:c>
      <x:c r="C166" s="24" t="str">
        <x:v>People &amp; Beings</x:v>
      </x:c>
      <x:c r="D166" s="24" t="str">
        <x:v>PPL-1100</x:v>
      </x:c>
      <x:c r="E166" s="24" t="str">
        <x:f>IF(D166="","",IFERROR(VLOOKUP(D166,$A$2:$B$1656,2,FALSE),""))</x:f>
        <x:v>Cosmic, Aberrant, and Otherworldly Beings</x:v>
      </x:c>
      <x:c r="F166" s="24" t="n">
        <x:v>3</x:v>
      </x:c>
      <x:c r="G166" s="24" t="str">
        <x:v>Beings whose anatomy, cognition, magic, or origin violates the setting's ordinary taxonomies.</x:v>
      </x:c>
      <x:c r="H166" s="24" t="str">
        <x:v>Source-specific examples may differ biologically, metaphysically, culturally, and morally; map them as analogues unless equivalence is explicit.</x:v>
      </x:c>
      <x:c r="I166" s="24" t="str">
        <x:v>aberration; anomalous creature</x:v>
      </x:c>
      <x:c r="J166" s="24" t="str">
        <x:v>Cosmic threat, reality challenge, alien civilization, metaphysical mystery, or boundary of comprehension.</x:v>
      </x:c>
      <x:c r="K166" s="24" t="str">
        <x:v>aberration; anomalous creature</x:v>
      </x:c>
      <x:c r="L166" s="24" t="str">
        <x:v>Preserve each source's ontology, culture, history, and terminology when making comparisons.</x:v>
      </x:c>
      <x:c r="M166" s="24" t="str">
        <x:v>Core Family</x:v>
      </x:c>
    </x:row>
    <x:row r="167" ht="44" customHeight="1">
      <x:c r="A167" s="24" t="str">
        <x:v>PPL-1102</x:v>
      </x:c>
      <x:c r="B167" s="24" t="str">
        <x:v>Alien and Otherworlder Peoples</x:v>
      </x:c>
      <x:c r="C167" s="24" t="str">
        <x:v>People &amp; Beings</x:v>
      </x:c>
      <x:c r="D167" s="24" t="str">
        <x:v>PPL-1100</x:v>
      </x:c>
      <x:c r="E167" s="24" t="str">
        <x:f>IF(D167="","",IFERROR(VLOOKUP(D167,$A$2:$B$1656,2,FALSE),""))</x:f>
        <x:v>Cosmic, Aberrant, and Otherworldly Beings</x:v>
      </x:c>
      <x:c r="F167" s="24" t="n">
        <x:v>3</x:v>
      </x:c>
      <x:c r="G167" s="24" t="str">
        <x:v>Beings from another planet, plane, realm, timeline, or cosmos who remain intelligible as persons or societies.</x:v>
      </x:c>
      <x:c r="H167" s="24" t="str">
        <x:v>Source-specific examples may differ biologically, metaphysically, culturally, and morally; map them as analogues unless equivalence is explicit.</x:v>
      </x:c>
      <x:c r="I167" s="24" t="str">
        <x:v>alien; outsider; extraplanar people</x:v>
      </x:c>
      <x:c r="J167" s="24" t="str">
        <x:v>Cosmic threat, reality challenge, alien civilization, metaphysical mystery, or boundary of comprehension.</x:v>
      </x:c>
      <x:c r="K167" s="24" t="str">
        <x:v>alien; outsider; extraplanar people</x:v>
      </x:c>
      <x:c r="L167" s="24" t="str">
        <x:v>Preserve each source's ontology, culture, history, and terminology when making comparisons.</x:v>
      </x:c>
      <x:c r="M167" s="24" t="str">
        <x:v>Core Family</x:v>
      </x:c>
    </x:row>
    <x:row r="168" ht="44" customHeight="1">
      <x:c r="A168" s="24" t="str">
        <x:v>PPL-1103</x:v>
      </x:c>
      <x:c r="B168" s="24" t="str">
        <x:v>Eldritch Gods</x:v>
      </x:c>
      <x:c r="C168" s="24" t="str">
        <x:v>People &amp; Beings</x:v>
      </x:c>
      <x:c r="D168" s="24" t="str">
        <x:v>PPL-1100</x:v>
      </x:c>
      <x:c r="E168" s="24" t="str">
        <x:f>IF(D168="","",IFERROR(VLOOKUP(D168,$A$2:$B$1656,2,FALSE),""))</x:f>
        <x:v>Cosmic, Aberrant, and Otherworldly Beings</x:v>
      </x:c>
      <x:c r="F168" s="24" t="n">
        <x:v>3</x:v>
      </x:c>
      <x:c r="G168" s="24" t="str">
        <x:v>Vast incomprehensible entities whose scale, ontology, or perception makes ordinary religion and morality inadequate.</x:v>
      </x:c>
      <x:c r="H168" s="24" t="str">
        <x:v>Source-specific examples may differ biologically, metaphysically, culturally, and morally; map them as analogues unless equivalence is explicit.</x:v>
      </x:c>
      <x:c r="I168" s="24" t="str">
        <x:v>eldritch god; Great Old One-like being</x:v>
      </x:c>
      <x:c r="J168" s="24" t="str">
        <x:v>Cosmic threat, reality challenge, alien civilization, metaphysical mystery, or boundary of comprehension.</x:v>
      </x:c>
      <x:c r="K168" s="24" t="str">
        <x:v>eldritch god; Great Old One-like being</x:v>
      </x:c>
      <x:c r="L168" s="24" t="str">
        <x:v>Preserve each source's ontology, culture, history, and terminology when making comparisons.</x:v>
      </x:c>
      <x:c r="M168" s="24" t="str">
        <x:v>Core Family</x:v>
      </x:c>
    </x:row>
    <x:row r="169" ht="44" customHeight="1">
      <x:c r="A169" s="24" t="str">
        <x:v>PPL-1104</x:v>
      </x:c>
      <x:c r="B169" s="24" t="str">
        <x:v>Void Beings</x:v>
      </x:c>
      <x:c r="C169" s="24" t="str">
        <x:v>People &amp; Beings</x:v>
      </x:c>
      <x:c r="D169" s="24" t="str">
        <x:v>PPL-1100</x:v>
      </x:c>
      <x:c r="E169" s="24" t="str">
        <x:f>IF(D169="","",IFERROR(VLOOKUP(D169,$A$2:$B$1656,2,FALSE),""))</x:f>
        <x:v>Cosmic, Aberrant, and Otherworldly Beings</x:v>
      </x:c>
      <x:c r="F169" s="24" t="n">
        <x:v>3</x:v>
      </x:c>
      <x:c r="G169" s="24" t="str">
        <x:v>Entities constituted by emptiness, negation, anti-reality, cosmic darkness, or a realm outside creation.</x:v>
      </x:c>
      <x:c r="H169" s="24" t="str">
        <x:v>Source-specific examples may differ biologically, metaphysically, culturally, and morally; map them as analogues unless equivalence is explicit.</x:v>
      </x:c>
      <x:c r="I169" s="24" t="str">
        <x:v>voidborn; null entity; abyssal being</x:v>
      </x:c>
      <x:c r="J169" s="24" t="str">
        <x:v>Cosmic threat, reality challenge, alien civilization, metaphysical mystery, or boundary of comprehension.</x:v>
      </x:c>
      <x:c r="K169" s="24" t="str">
        <x:v>voidborn; null entity; abyssal being</x:v>
      </x:c>
      <x:c r="L169" s="24" t="str">
        <x:v>Preserve each source's ontology, culture, history, and terminology when making comparisons.</x:v>
      </x:c>
      <x:c r="M169" s="24" t="str">
        <x:v>Core Family</x:v>
      </x:c>
    </x:row>
    <x:row r="170" ht="44" customHeight="1">
      <x:c r="A170" s="24" t="str">
        <x:v>PPL-1105</x:v>
      </x:c>
      <x:c r="B170" s="24" t="str">
        <x:v>Star Beings</x:v>
      </x:c>
      <x:c r="C170" s="24" t="str">
        <x:v>People &amp; Beings</x:v>
      </x:c>
      <x:c r="D170" s="24" t="str">
        <x:v>PPL-1100</x:v>
      </x:c>
      <x:c r="E170" s="24" t="str">
        <x:f>IF(D170="","",IFERROR(VLOOKUP(D170,$A$2:$B$1656,2,FALSE),""))</x:f>
        <x:v>Cosmic, Aberrant, and Otherworldly Beings</x:v>
      </x:c>
      <x:c r="F170" s="24" t="n">
        <x:v>3</x:v>
      </x:c>
      <x:c r="G170" s="24" t="str">
        <x:v>Celestial intelligences, fallen stars, constellations, or people whose bodies and power derive from stellar phenomena.</x:v>
      </x:c>
      <x:c r="H170" s="24" t="str">
        <x:v>Source-specific examples may differ biologically, metaphysically, culturally, and morally; map them as analogues unless equivalence is explicit.</x:v>
      </x:c>
      <x:c r="I170" s="24" t="str">
        <x:v>star child; living constellation; astral being</x:v>
      </x:c>
      <x:c r="J170" s="24" t="str">
        <x:v>Cosmic threat, reality challenge, alien civilization, metaphysical mystery, or boundary of comprehension.</x:v>
      </x:c>
      <x:c r="K170" s="24" t="str">
        <x:v>star child; living constellation; astral being</x:v>
      </x:c>
      <x:c r="L170" s="24" t="str">
        <x:v>Preserve each source's ontology, culture, history, and terminology when making comparisons.</x:v>
      </x:c>
      <x:c r="M170" s="24" t="str">
        <x:v>Core Family</x:v>
      </x:c>
    </x:row>
    <x:row r="171" ht="44" customHeight="1">
      <x:c r="A171" s="24" t="str">
        <x:v>PPL-1106</x:v>
      </x:c>
      <x:c r="B171" s="24" t="str">
        <x:v>Time-Displaced Peoples</x:v>
      </x:c>
      <x:c r="C171" s="24" t="str">
        <x:v>People &amp; Beings</x:v>
      </x:c>
      <x:c r="D171" s="24" t="str">
        <x:v>PPL-1100</x:v>
      </x:c>
      <x:c r="E171" s="24" t="str">
        <x:f>IF(D171="","",IFERROR(VLOOKUP(D171,$A$2:$B$1656,2,FALSE),""))</x:f>
        <x:v>Cosmic, Aberrant, and Otherworldly Beings</x:v>
      </x:c>
      <x:c r="F171" s="24" t="n">
        <x:v>3</x:v>
      </x:c>
      <x:c r="G171" s="24" t="str">
        <x:v>Beings originating in another era or existing nonlinearly across time.</x:v>
      </x:c>
      <x:c r="H171" s="24" t="str">
        <x:v>Source-specific examples may differ biologically, metaphysically, culturally, and morally; map them as analogues unless equivalence is explicit.</x:v>
      </x:c>
      <x:c r="I171" s="24" t="str">
        <x:v>future exile; ancient survivor; temporal being</x:v>
      </x:c>
      <x:c r="J171" s="24" t="str">
        <x:v>Cosmic threat, reality challenge, alien civilization, metaphysical mystery, or boundary of comprehension.</x:v>
      </x:c>
      <x:c r="K171" s="24" t="str">
        <x:v>future exile; ancient survivor; temporal being</x:v>
      </x:c>
      <x:c r="L171" s="24" t="str">
        <x:v>Preserve each source's ontology, culture, history, and terminology when making comparisons.</x:v>
      </x:c>
      <x:c r="M171" s="24" t="str">
        <x:v>Core Family</x:v>
      </x:c>
    </x:row>
    <x:row r="172" ht="44" customHeight="1">
      <x:c r="A172" s="24" t="str">
        <x:v>PPL-1107</x:v>
      </x:c>
      <x:c r="B172" s="24" t="str">
        <x:v>Dimensional Exiles</x:v>
      </x:c>
      <x:c r="C172" s="24" t="str">
        <x:v>People &amp; Beings</x:v>
      </x:c>
      <x:c r="D172" s="24" t="str">
        <x:v>PPL-1100</x:v>
      </x:c>
      <x:c r="E172" s="24" t="str">
        <x:f>IF(D172="","",IFERROR(VLOOKUP(D172,$A$2:$B$1656,2,FALSE),""))</x:f>
        <x:v>Cosmic, Aberrant, and Otherworldly Beings</x:v>
      </x:c>
      <x:c r="F172" s="24" t="n">
        <x:v>3</x:v>
      </x:c>
      <x:c r="G172" s="24" t="str">
        <x:v>Peoples stranded, banished, or displaced from another plane and transformed by their new reality.</x:v>
      </x:c>
      <x:c r="H172" s="24" t="str">
        <x:v>Source-specific examples may differ biologically, metaphysically, culturally, and morally; map them as analogues unless equivalence is explicit.</x:v>
      </x:c>
      <x:c r="I172" s="24" t="str">
        <x:v>planar refugee; exile from another realm</x:v>
      </x:c>
      <x:c r="J172" s="24" t="str">
        <x:v>Cosmic threat, reality challenge, alien civilization, metaphysical mystery, or boundary of comprehension.</x:v>
      </x:c>
      <x:c r="K172" s="24" t="str">
        <x:v>planar refugee; exile from another realm</x:v>
      </x:c>
      <x:c r="L172" s="24" t="str">
        <x:v>Preserve each source's ontology, culture, history, and terminology when making comparisons.</x:v>
      </x:c>
      <x:c r="M172" s="24" t="str">
        <x:v>Core Family</x:v>
      </x:c>
    </x:row>
    <x:row r="173" ht="44" customHeight="1">
      <x:c r="A173" s="24" t="str">
        <x:v>PPL-1108</x:v>
      </x:c>
      <x:c r="B173" s="24" t="str">
        <x:v>Living Paradoxes</x:v>
      </x:c>
      <x:c r="C173" s="24" t="str">
        <x:v>People &amp; Beings</x:v>
      </x:c>
      <x:c r="D173" s="24" t="str">
        <x:v>PPL-1100</x:v>
      </x:c>
      <x:c r="E173" s="24" t="str">
        <x:f>IF(D173="","",IFERROR(VLOOKUP(D173,$A$2:$B$1656,2,FALSE),""))</x:f>
        <x:v>Cosmic, Aberrant, and Otherworldly Beings</x:v>
      </x:c>
      <x:c r="F173" s="24" t="n">
        <x:v>3</x:v>
      </x:c>
      <x:c r="G173" s="24" t="str">
        <x:v>Entities whose existence depends on contradiction, recursive causality, impossible identity, or broken natural law.</x:v>
      </x:c>
      <x:c r="H173" s="24" t="str">
        <x:v>Source-specific examples may differ biologically, metaphysically, culturally, and morally; map them as analogues unless equivalence is explicit.</x:v>
      </x:c>
      <x:c r="I173" s="24" t="str">
        <x:v>paradox being; impossible person</x:v>
      </x:c>
      <x:c r="J173" s="24" t="str">
        <x:v>Cosmic threat, reality challenge, alien civilization, metaphysical mystery, or boundary of comprehension.</x:v>
      </x:c>
      <x:c r="K173" s="24" t="str">
        <x:v>paradox being; impossible person</x:v>
      </x:c>
      <x:c r="L173" s="24" t="str">
        <x:v>Preserve each source's ontology, culture, history, and terminology when making comparisons.</x:v>
      </x:c>
      <x:c r="M173" s="24" t="str">
        <x:v>Core Family</x:v>
      </x:c>
    </x:row>
    <x:row r="174" ht="44" customHeight="1">
      <x:c r="A174" s="24" t="str">
        <x:v>PPL-1109</x:v>
      </x:c>
      <x:c r="B174" s="24" t="str">
        <x:v>Mimic Predators</x:v>
      </x:c>
      <x:c r="C174" s="24" t="str">
        <x:v>People &amp; Beings</x:v>
      </x:c>
      <x:c r="D174" s="24" t="str">
        <x:v>PPL-1100</x:v>
      </x:c>
      <x:c r="E174" s="24" t="str">
        <x:f>IF(D174="","",IFERROR(VLOOKUP(D174,$A$2:$B$1656,2,FALSE),""))</x:f>
        <x:v>Cosmic, Aberrant, and Otherworldly Beings</x:v>
      </x:c>
      <x:c r="F174" s="24" t="n">
        <x:v>3</x:v>
      </x:c>
      <x:c r="G174" s="24" t="str">
        <x:v>Creatures that imitate objects, architecture, terrain, or social forms to ambush prey.</x:v>
      </x:c>
      <x:c r="H174" s="24" t="str">
        <x:v>Source-specific examples may differ biologically, metaphysically, culturally, and morally; map them as analogues unless equivalence is explicit.</x:v>
      </x:c>
      <x:c r="I174" s="24" t="str">
        <x:v>mimic; false chest; living door</x:v>
      </x:c>
      <x:c r="J174" s="24" t="str">
        <x:v>Cosmic threat, reality challenge, alien civilization, metaphysical mystery, or boundary of comprehension.</x:v>
      </x:c>
      <x:c r="K174" s="24" t="str">
        <x:v>mimic; false chest; living door</x:v>
      </x:c>
      <x:c r="L174" s="24" t="str">
        <x:v>Preserve each source's ontology, culture, history, and terminology when making comparisons.</x:v>
      </x:c>
      <x:c r="M174" s="24" t="str">
        <x:v>Core Family</x:v>
      </x:c>
    </x:row>
    <x:row r="175" ht="44" customHeight="1">
      <x:c r="A175" s="24" t="str">
        <x:v>PPL-1110</x:v>
      </x:c>
      <x:c r="B175" s="24" t="str">
        <x:v>Reality Parasites</x:v>
      </x:c>
      <x:c r="C175" s="24" t="str">
        <x:v>People &amp; Beings</x:v>
      </x:c>
      <x:c r="D175" s="24" t="str">
        <x:v>PPL-1100</x:v>
      </x:c>
      <x:c r="E175" s="24" t="str">
        <x:f>IF(D175="","",IFERROR(VLOOKUP(D175,$A$2:$B$1656,2,FALSE),""))</x:f>
        <x:v>Cosmic, Aberrant, and Otherworldly Beings</x:v>
      </x:c>
      <x:c r="F175" s="24" t="n">
        <x:v>3</x:v>
      </x:c>
      <x:c r="G175" s="24" t="str">
        <x:v>Entities that feed on laws, memories, timelines, stories, dimensions, or the existence of other worlds.</x:v>
      </x:c>
      <x:c r="H175" s="24" t="str">
        <x:v>Source-specific examples may differ biologically, metaphysically, culturally, and morally; map them as analogues unless equivalence is explicit.</x:v>
      </x:c>
      <x:c r="I175" s="24" t="str">
        <x:v>reality eater; concept parasite</x:v>
      </x:c>
      <x:c r="J175" s="24" t="str">
        <x:v>Cosmic threat, reality challenge, alien civilization, metaphysical mystery, or boundary of comprehension.</x:v>
      </x:c>
      <x:c r="K175" s="24" t="str">
        <x:v>reality eater; concept parasite</x:v>
      </x:c>
      <x:c r="L175" s="24" t="str">
        <x:v>Preserve each source's ontology, culture, history, and terminology when making comparisons.</x:v>
      </x:c>
      <x:c r="M175" s="24" t="str">
        <x:v>Core Family</x:v>
      </x:c>
    </x:row>
    <x:row r="176" ht="44" customHeight="1">
      <x:c r="A176" s="24" t="str">
        <x:v>PPL-1111</x:v>
      </x:c>
      <x:c r="B176" s="24" t="str">
        <x:v>Dreaming World-Minds</x:v>
      </x:c>
      <x:c r="C176" s="24" t="str">
        <x:v>People &amp; Beings</x:v>
      </x:c>
      <x:c r="D176" s="24" t="str">
        <x:v>PPL-1100</x:v>
      </x:c>
      <x:c r="E176" s="24" t="str">
        <x:f>IF(D176="","",IFERROR(VLOOKUP(D176,$A$2:$B$1656,2,FALSE),""))</x:f>
        <x:v>Cosmic, Aberrant, and Otherworldly Beings</x:v>
      </x:c>
      <x:c r="F176" s="24" t="n">
        <x:v>3</x:v>
      </x:c>
      <x:c r="G176" s="24" t="str">
        <x:v>Cosmic entities whose dreams, thoughts, or sleep generate or destabilize reality.</x:v>
      </x:c>
      <x:c r="H176" s="24" t="str">
        <x:v>Source-specific examples may differ biologically, metaphysically, culturally, and morally; map them as analogues unless equivalence is explicit.</x:v>
      </x:c>
      <x:c r="I176" s="24" t="str">
        <x:v>dreaming god; world dreamer</x:v>
      </x:c>
      <x:c r="J176" s="24" t="str">
        <x:v>Cosmic threat, reality challenge, alien civilization, metaphysical mystery, or boundary of comprehension.</x:v>
      </x:c>
      <x:c r="K176" s="24" t="str">
        <x:v>dreaming god; world dreamer</x:v>
      </x:c>
      <x:c r="L176" s="24" t="str">
        <x:v>Preserve each source's ontology, culture, history, and terminology when making comparisons.</x:v>
      </x:c>
      <x:c r="M176" s="24" t="str">
        <x:v>Core Family</x:v>
      </x:c>
    </x:row>
    <x:row r="177" ht="44" customHeight="1">
      <x:c r="A177" s="24" t="str">
        <x:v>PPL-1112</x:v>
      </x:c>
      <x:c r="B177" s="24" t="str">
        <x:v>Incomprehensible Collective Intelligences</x:v>
      </x:c>
      <x:c r="C177" s="24" t="str">
        <x:v>People &amp; Beings</x:v>
      </x:c>
      <x:c r="D177" s="24" t="str">
        <x:v>PPL-1100</x:v>
      </x:c>
      <x:c r="E177" s="24" t="str">
        <x:f>IF(D177="","",IFERROR(VLOOKUP(D177,$A$2:$B$1656,2,FALSE),""))</x:f>
        <x:v>Cosmic, Aberrant, and Otherworldly Beings</x:v>
      </x:c>
      <x:c r="F177" s="24" t="n">
        <x:v>3</x:v>
      </x:c>
      <x:c r="G177" s="24" t="str">
        <x:v>Vast minds distributed across species, dimensions, stars, or informational systems beyond individual-scale personhood.</x:v>
      </x:c>
      <x:c r="H177" s="24" t="str">
        <x:v>Source-specific examples may differ biologically, metaphysically, culturally, and morally; map them as analogues unless equivalence is explicit.</x:v>
      </x:c>
      <x:c r="I177" s="24" t="str">
        <x:v>cosmic hive mind; overmind</x:v>
      </x:c>
      <x:c r="J177" s="24" t="str">
        <x:v>Cosmic threat, reality challenge, alien civilization, metaphysical mystery, or boundary of comprehension.</x:v>
      </x:c>
      <x:c r="K177" s="24" t="str">
        <x:v>cosmic hive mind; overmind</x:v>
      </x:c>
      <x:c r="L177" s="24" t="str">
        <x:v>Preserve each source's ontology, culture, history, and terminology when making comparisons.</x:v>
      </x:c>
      <x:c r="M177" s="24" t="str">
        <x:v>Core Family</x:v>
      </x:c>
    </x:row>
    <x:row r="178" ht="44" customHeight="1">
      <x:c r="A178" s="24" t="str">
        <x:v>ROL-100</x:v>
      </x:c>
      <x:c r="B178" s="24" t="str">
        <x:v>Martial Roles</x:v>
      </x:c>
      <x:c r="C178" s="24" t="str">
        <x:v>Roles &amp; Vocations</x:v>
      </x:c>
      <x:c r="D178" s="24" t="str">
        <x:v>ROL-000</x:v>
      </x:c>
      <x:c r="E178" s="24" t="str">
        <x:f>IF(D178="","",IFERROR(VLOOKUP(D178,$A$2:$B$1656,2,FALSE),""))</x:f>
        <x:v>Roles &amp; Vocations</x:v>
      </x:c>
      <x:c r="F178" s="24" t="n">
        <x:v>2</x:v>
      </x:c>
      <x:c r="G178" s="24" t="str">
        <x:v>Combatants whose primary expertise is weapons, armor, physical discipline, command, or battlefield endurance.</x:v>
      </x:c>
      <x:c r="H178" s="24" t="str">
        <x:v>A role may be a profession, class, office, order, build, or narrative identity; record the native type separately.</x:v>
      </x:c>
      <x:c r="I178" s="24" t="str"/>
      <x:c r="J178" s="24" t="str">
        <x:v>Groups source-specific classes and vocations by practical and symbolic function.</x:v>
      </x:c>
      <x:c r="K178" s="24" t="str">
        <x:v>Martial Roles</x:v>
      </x:c>
      <x:c r="L178" s="24" t="str">
        <x:v>Preserve each source's ontology, culture, history, and terminology when making comparisons.</x:v>
      </x:c>
      <x:c r="M178" s="24" t="str">
        <x:v>Category</x:v>
      </x:c>
    </x:row>
    <x:row r="179" ht="44" customHeight="1">
      <x:c r="A179" s="24" t="str">
        <x:v>ROL-200</x:v>
      </x:c>
      <x:c r="B179" s="24" t="str">
        <x:v>Rogue and Underworld Roles</x:v>
      </x:c>
      <x:c r="C179" s="24" t="str">
        <x:v>Roles &amp; Vocations</x:v>
      </x:c>
      <x:c r="D179" s="24" t="str">
        <x:v>ROL-000</x:v>
      </x:c>
      <x:c r="E179" s="24" t="str">
        <x:f>IF(D179="","",IFERROR(VLOOKUP(D179,$A$2:$B$1656,2,FALSE),""))</x:f>
        <x:v>Roles &amp; Vocations</x:v>
      </x:c>
      <x:c r="F179" s="24" t="n">
        <x:v>2</x:v>
      </x:c>
      <x:c r="G179" s="24" t="str">
        <x:v>Stealth, infiltration, theft, assassination, deception, sabotage, and informal survival professions.</x:v>
      </x:c>
      <x:c r="H179" s="24" t="str">
        <x:v>A role may be a profession, class, office, order, build, or narrative identity; record the native type separately.</x:v>
      </x:c>
      <x:c r="I179" s="24" t="str"/>
      <x:c r="J179" s="24" t="str">
        <x:v>Groups source-specific classes and vocations by practical and symbolic function.</x:v>
      </x:c>
      <x:c r="K179" s="24" t="str">
        <x:v>Rogue and Underworld Roles</x:v>
      </x:c>
      <x:c r="L179" s="24" t="str">
        <x:v>Preserve each source's ontology, culture, history, and terminology when making comparisons.</x:v>
      </x:c>
      <x:c r="M179" s="24" t="str">
        <x:v>Category</x:v>
      </x:c>
    </x:row>
    <x:row r="180" ht="44" customHeight="1">
      <x:c r="A180" s="24" t="str">
        <x:v>ROL-300</x:v>
      </x:c>
      <x:c r="B180" s="24" t="str">
        <x:v>Arcane and Scholarly Magic Roles</x:v>
      </x:c>
      <x:c r="C180" s="24" t="str">
        <x:v>Roles &amp; Vocations</x:v>
      </x:c>
      <x:c r="D180" s="24" t="str">
        <x:v>ROL-000</x:v>
      </x:c>
      <x:c r="E180" s="24" t="str">
        <x:f>IF(D180="","",IFERROR(VLOOKUP(D180,$A$2:$B$1656,2,FALSE),""))</x:f>
        <x:v>Roles &amp; Vocations</x:v>
      </x:c>
      <x:c r="F180" s="24" t="n">
        <x:v>2</x:v>
      </x:c>
      <x:c r="G180" s="24" t="str">
        <x:v>Practitioners whose extraordinary abilities are framed as learned, innate, technical, symbolic, or occult magic.</x:v>
      </x:c>
      <x:c r="H180" s="24" t="str">
        <x:v>A role may be a profession, class, office, order, build, or narrative identity; record the native type separately.</x:v>
      </x:c>
      <x:c r="I180" s="24" t="str"/>
      <x:c r="J180" s="24" t="str">
        <x:v>Groups source-specific classes and vocations by practical and symbolic function.</x:v>
      </x:c>
      <x:c r="K180" s="24" t="str">
        <x:v>Arcane and Scholarly Magic Roles</x:v>
      </x:c>
      <x:c r="L180" s="24" t="str">
        <x:v>Preserve each source's ontology, culture, history, and terminology when making comparisons.</x:v>
      </x:c>
      <x:c r="M180" s="24" t="str">
        <x:v>Category</x:v>
      </x:c>
    </x:row>
    <x:row r="181" ht="44" customHeight="1">
      <x:c r="A181" s="24" t="str">
        <x:v>ROL-400</x:v>
      </x:c>
      <x:c r="B181" s="24" t="str">
        <x:v>Divine and Religious Roles</x:v>
      </x:c>
      <x:c r="C181" s="24" t="str">
        <x:v>Roles &amp; Vocations</x:v>
      </x:c>
      <x:c r="D181" s="24" t="str">
        <x:v>ROL-000</x:v>
      </x:c>
      <x:c r="E181" s="24" t="str">
        <x:f>IF(D181="","",IFERROR(VLOOKUP(D181,$A$2:$B$1656,2,FALSE),""))</x:f>
        <x:v>Roles &amp; Vocations</x:v>
      </x:c>
      <x:c r="F181" s="24" t="n">
        <x:v>2</x:v>
      </x:c>
      <x:c r="G181" s="24" t="str">
        <x:v>Vocations grounded in worship, sacred authority, miracles, prophecy, ritual office, or opposition to spiritual threats.</x:v>
      </x:c>
      <x:c r="H181" s="24" t="str">
        <x:v>A role may be a profession, class, office, order, build, or narrative identity; record the native type separately.</x:v>
      </x:c>
      <x:c r="I181" s="24" t="str"/>
      <x:c r="J181" s="24" t="str">
        <x:v>Groups source-specific classes and vocations by practical and symbolic function.</x:v>
      </x:c>
      <x:c r="K181" s="24" t="str">
        <x:v>Divine and Religious Roles</x:v>
      </x:c>
      <x:c r="L181" s="24" t="str">
        <x:v>Preserve each source's ontology, culture, history, and terminology when making comparisons.</x:v>
      </x:c>
      <x:c r="M181" s="24" t="str">
        <x:v>Category</x:v>
      </x:c>
    </x:row>
    <x:row r="182" ht="44" customHeight="1">
      <x:c r="A182" s="24" t="str">
        <x:v>ROL-500</x:v>
      </x:c>
      <x:c r="B182" s="24" t="str">
        <x:v>Nature and Spirit Roles</x:v>
      </x:c>
      <x:c r="C182" s="24" t="str">
        <x:v>Roles &amp; Vocations</x:v>
      </x:c>
      <x:c r="D182" s="24" t="str">
        <x:v>ROL-000</x:v>
      </x:c>
      <x:c r="E182" s="24" t="str">
        <x:f>IF(D182="","",IFERROR(VLOOKUP(D182,$A$2:$B$1656,2,FALSE),""))</x:f>
        <x:v>Roles &amp; Vocations</x:v>
      </x:c>
      <x:c r="F182" s="24" t="n">
        <x:v>2</x:v>
      </x:c>
      <x:c r="G182" s="24" t="str">
        <x:v>Vocations that mediate wilderness, animals, elements, ancestors, land spirits, or ecological reciprocity.</x:v>
      </x:c>
      <x:c r="H182" s="24" t="str">
        <x:v>A role may be a profession, class, office, order, build, or narrative identity; record the native type separately.</x:v>
      </x:c>
      <x:c r="I182" s="24" t="str"/>
      <x:c r="J182" s="24" t="str">
        <x:v>Groups source-specific classes and vocations by practical and symbolic function.</x:v>
      </x:c>
      <x:c r="K182" s="24" t="str">
        <x:v>Nature and Spirit Roles</x:v>
      </x:c>
      <x:c r="L182" s="24" t="str">
        <x:v>Preserve each source's ontology, culture, history, and terminology when making comparisons.</x:v>
      </x:c>
      <x:c r="M182" s="24" t="str">
        <x:v>Category</x:v>
      </x:c>
    </x:row>
    <x:row r="183" ht="44" customHeight="1">
      <x:c r="A183" s="24" t="str">
        <x:v>ROL-600</x:v>
      </x:c>
      <x:c r="B183" s="24" t="str">
        <x:v>Healing, Craft, and Knowledge Roles</x:v>
      </x:c>
      <x:c r="C183" s="24" t="str">
        <x:v>Roles &amp; Vocations</x:v>
      </x:c>
      <x:c r="D183" s="24" t="str">
        <x:v>ROL-000</x:v>
      </x:c>
      <x:c r="E183" s="24" t="str">
        <x:f>IF(D183="","",IFERROR(VLOOKUP(D183,$A$2:$B$1656,2,FALSE),""))</x:f>
        <x:v>Roles &amp; Vocations</x:v>
      </x:c>
      <x:c r="F183" s="24" t="n">
        <x:v>2</x:v>
      </x:c>
      <x:c r="G183" s="24" t="str">
        <x:v>Supportive, productive, scholarly, artistic, and technical professions that sustain people and institutions.</x:v>
      </x:c>
      <x:c r="H183" s="24" t="str">
        <x:v>A role may be a profession, class, office, order, build, or narrative identity; record the native type separately.</x:v>
      </x:c>
      <x:c r="I183" s="24" t="str"/>
      <x:c r="J183" s="24" t="str">
        <x:v>Groups source-specific classes and vocations by practical and symbolic function.</x:v>
      </x:c>
      <x:c r="K183" s="24" t="str">
        <x:v>Healing, Craft, and Knowledge Roles</x:v>
      </x:c>
      <x:c r="L183" s="24" t="str">
        <x:v>Preserve each source's ontology, culture, history, and terminology when making comparisons.</x:v>
      </x:c>
      <x:c r="M183" s="24" t="str">
        <x:v>Category</x:v>
      </x:c>
    </x:row>
    <x:row r="184" ht="44" customHeight="1">
      <x:c r="A184" s="24" t="str">
        <x:v>ROL-700</x:v>
      </x:c>
      <x:c r="B184" s="24" t="str">
        <x:v>Leadership and Social Office Roles</x:v>
      </x:c>
      <x:c r="C184" s="24" t="str">
        <x:v>Roles &amp; Vocations</x:v>
      </x:c>
      <x:c r="D184" s="24" t="str">
        <x:v>ROL-000</x:v>
      </x:c>
      <x:c r="E184" s="24" t="str">
        <x:f>IF(D184="","",IFERROR(VLOOKUP(D184,$A$2:$B$1656,2,FALSE),""))</x:f>
        <x:v>Roles &amp; Vocations</x:v>
      </x:c>
      <x:c r="F184" s="24" t="n">
        <x:v>2</x:v>
      </x:c>
      <x:c r="G184" s="24" t="str">
        <x:v>Roles defined by authority, status, governance, diplomacy, lineage, administration, or command.</x:v>
      </x:c>
      <x:c r="H184" s="24" t="str">
        <x:v>A role may be a profession, class, office, order, build, or narrative identity; record the native type separately.</x:v>
      </x:c>
      <x:c r="I184" s="24" t="str"/>
      <x:c r="J184" s="24" t="str">
        <x:v>Groups source-specific classes and vocations by practical and symbolic function.</x:v>
      </x:c>
      <x:c r="K184" s="24" t="str">
        <x:v>Leadership and Social Office Roles</x:v>
      </x:c>
      <x:c r="L184" s="24" t="str">
        <x:v>Preserve each source's ontology, culture, history, and terminology when making comparisons.</x:v>
      </x:c>
      <x:c r="M184" s="24" t="str">
        <x:v>Category</x:v>
      </x:c>
    </x:row>
    <x:row r="185" ht="44" customHeight="1">
      <x:c r="A185" s="24" t="str">
        <x:v>ROL-800</x:v>
      </x:c>
      <x:c r="B185" s="24" t="str">
        <x:v>Hybrid and Specialist Fantasy Roles</x:v>
      </x:c>
      <x:c r="C185" s="24" t="str">
        <x:v>Roles &amp; Vocations</x:v>
      </x:c>
      <x:c r="D185" s="24" t="str">
        <x:v>ROL-000</x:v>
      </x:c>
      <x:c r="E185" s="24" t="str">
        <x:f>IF(D185="","",IFERROR(VLOOKUP(D185,$A$2:$B$1656,2,FALSE),""))</x:f>
        <x:v>Roles &amp; Vocations</x:v>
      </x:c>
      <x:c r="F185" s="24" t="n">
        <x:v>2</x:v>
      </x:c>
      <x:c r="G185" s="24" t="str">
        <x:v>Composite, setting-specific, transformational, or strongly genre-coded roles that combine multiple domains.</x:v>
      </x:c>
      <x:c r="H185" s="24" t="str">
        <x:v>A role may be a profession, class, office, order, build, or narrative identity; record the native type separately.</x:v>
      </x:c>
      <x:c r="I185" s="24" t="str"/>
      <x:c r="J185" s="24" t="str">
        <x:v>Groups source-specific classes and vocations by practical and symbolic function.</x:v>
      </x:c>
      <x:c r="K185" s="24" t="str">
        <x:v>Hybrid and Specialist Fantasy Roles</x:v>
      </x:c>
      <x:c r="L185" s="24" t="str">
        <x:v>Preserve each source's ontology, culture, history, and terminology when making comparisons.</x:v>
      </x:c>
      <x:c r="M185" s="24" t="str">
        <x:v>Category</x:v>
      </x:c>
    </x:row>
    <x:row r="186" ht="44" customHeight="1">
      <x:c r="A186" s="24" t="str">
        <x:v>ROL-900</x:v>
      </x:c>
      <x:c r="B186" s="24" t="str">
        <x:v>Progression, Cultivation, and Adventure Roles</x:v>
      </x:c>
      <x:c r="C186" s="24" t="str">
        <x:v>Roles &amp; Vocations</x:v>
      </x:c>
      <x:c r="D186" s="24" t="str">
        <x:v>ROL-000</x:v>
      </x:c>
      <x:c r="E186" s="24" t="str">
        <x:f>IF(D186="","",IFERROR(VLOOKUP(D186,$A$2:$B$1656,2,FALSE),""))</x:f>
        <x:v>Roles &amp; Vocations</x:v>
      </x:c>
      <x:c r="F186" s="24" t="n">
        <x:v>2</x:v>
      </x:c>
      <x:c r="G186" s="24" t="str">
        <x:v>Roles defined by advancement systems, guild ranks, cultivation paths, reincarnation structures, or exploratory play.</x:v>
      </x:c>
      <x:c r="H186" s="24" t="str">
        <x:v>A role may be a profession, class, office, order, build, or narrative identity; record the native type separately.</x:v>
      </x:c>
      <x:c r="I186" s="24" t="str"/>
      <x:c r="J186" s="24" t="str">
        <x:v>Groups source-specific classes and vocations by practical and symbolic function.</x:v>
      </x:c>
      <x:c r="K186" s="24" t="str">
        <x:v>Progression, Cultivation, and Adventure Roles</x:v>
      </x:c>
      <x:c r="L186" s="24" t="str">
        <x:v>Preserve each source's ontology, culture, history, and terminology when making comparisons.</x:v>
      </x:c>
      <x:c r="M186" s="24" t="str">
        <x:v>Category</x:v>
      </x:c>
    </x:row>
    <x:row r="187" ht="44" customHeight="1">
      <x:c r="A187" s="24" t="str">
        <x:v>ROL-101</x:v>
      </x:c>
      <x:c r="B187" s="24" t="str">
        <x:v>Warrior or Fighter</x:v>
      </x:c>
      <x:c r="C187" s="24" t="str">
        <x:v>Roles &amp; Vocations</x:v>
      </x:c>
      <x:c r="D187" s="24" t="str">
        <x:v>ROL-100</x:v>
      </x:c>
      <x:c r="E187" s="24" t="str">
        <x:f>IF(D187="","",IFERROR(VLOOKUP(D187,$A$2:$B$1656,2,FALSE),""))</x:f>
        <x:v>Martial Roles</x:v>
      </x:c>
      <x:c r="F187" s="24" t="n">
        <x:v>3</x:v>
      </x:c>
      <x:c r="G187" s="24" t="str">
        <x:v>Broad weapon-using combatant whose competence is defined by martial training rather than a narrower social office or weapon style.</x:v>
      </x:c>
      <x:c r="H187" s="24" t="str">
        <x:v>Do not assume identical training, social status, powers, or mechanics across settings.</x:v>
      </x:c>
      <x:c r="I187" s="24" t="str">
        <x:v>warrior; fighter; man-at-arms; combatant</x:v>
      </x:c>
      <x:c r="J187" s="24" t="str">
        <x:v>Front-line combat, defense, mobility, command, hunting, or weapon mastery.</x:v>
      </x:c>
      <x:c r="K187" s="24" t="str">
        <x:v>warrior; fighter; man-at-arms; combatant</x:v>
      </x:c>
      <x:c r="L187" s="24" t="str">
        <x:v>Preserve each source's ontology, culture, history, and terminology when making comparisons.</x:v>
      </x:c>
      <x:c r="M187" s="24" t="str">
        <x:v>Core Family</x:v>
      </x:c>
    </x:row>
    <x:row r="188" ht="44" customHeight="1">
      <x:c r="A188" s="24" t="str">
        <x:v>ROL-102</x:v>
      </x:c>
      <x:c r="B188" s="24" t="str">
        <x:v>Soldier</x:v>
      </x:c>
      <x:c r="C188" s="24" t="str">
        <x:v>Roles &amp; Vocations</x:v>
      </x:c>
      <x:c r="D188" s="24" t="str">
        <x:v>ROL-100</x:v>
      </x:c>
      <x:c r="E188" s="24" t="str">
        <x:f>IF(D188="","",IFERROR(VLOOKUP(D188,$A$2:$B$1656,2,FALSE),""))</x:f>
        <x:v>Martial Roles</x:v>
      </x:c>
      <x:c r="F188" s="24" t="n">
        <x:v>3</x:v>
      </x:c>
      <x:c r="G188" s="24" t="str">
        <x:v>Combatant trained and organized as part of a formal military institution.</x:v>
      </x:c>
      <x:c r="H188" s="24" t="str">
        <x:v>Do not assume identical training, social status, powers, or mechanics across settings.</x:v>
      </x:c>
      <x:c r="I188" s="24" t="str">
        <x:v>soldier; trooper; legionary; regular</x:v>
      </x:c>
      <x:c r="J188" s="24" t="str">
        <x:v>Front-line combat, defense, mobility, command, hunting, or weapon mastery.</x:v>
      </x:c>
      <x:c r="K188" s="24" t="str">
        <x:v>soldier; trooper; legionary; regular</x:v>
      </x:c>
      <x:c r="L188" s="24" t="str">
        <x:v>Preserve each source's ontology, culture, history, and terminology when making comparisons.</x:v>
      </x:c>
      <x:c r="M188" s="24" t="str">
        <x:v>Core Family</x:v>
      </x:c>
    </x:row>
    <x:row r="189" ht="44" customHeight="1">
      <x:c r="A189" s="24" t="str">
        <x:v>ROL-103</x:v>
      </x:c>
      <x:c r="B189" s="24" t="str">
        <x:v>Militia and Levy</x:v>
      </x:c>
      <x:c r="C189" s="24" t="str">
        <x:v>Roles &amp; Vocations</x:v>
      </x:c>
      <x:c r="D189" s="24" t="str">
        <x:v>ROL-100</x:v>
      </x:c>
      <x:c r="E189" s="24" t="str">
        <x:f>IF(D189="","",IFERROR(VLOOKUP(D189,$A$2:$B$1656,2,FALSE),""))</x:f>
        <x:v>Martial Roles</x:v>
      </x:c>
      <x:c r="F189" s="24" t="n">
        <x:v>3</x:v>
      </x:c>
      <x:c r="G189" s="24" t="str">
        <x:v>Part-time or conscripted defender mobilized from civilian society.</x:v>
      </x:c>
      <x:c r="H189" s="24" t="str">
        <x:v>Do not assume identical training, social status, powers, or mechanics across settings.</x:v>
      </x:c>
      <x:c r="I189" s="24" t="str">
        <x:v>militia; levy; town guard</x:v>
      </x:c>
      <x:c r="J189" s="24" t="str">
        <x:v>Front-line combat, defense, mobility, command, hunting, or weapon mastery.</x:v>
      </x:c>
      <x:c r="K189" s="24" t="str">
        <x:v>militia; levy; town guard</x:v>
      </x:c>
      <x:c r="L189" s="24" t="str">
        <x:v>Preserve each source's ontology, culture, history, and terminology when making comparisons.</x:v>
      </x:c>
      <x:c r="M189" s="24" t="str">
        <x:v>Core Family</x:v>
      </x:c>
    </x:row>
    <x:row r="190" ht="44" customHeight="1">
      <x:c r="A190" s="24" t="str">
        <x:v>ROL-104</x:v>
      </x:c>
      <x:c r="B190" s="24" t="str">
        <x:v>Heavy Infantry</x:v>
      </x:c>
      <x:c r="C190" s="24" t="str">
        <x:v>Roles &amp; Vocations</x:v>
      </x:c>
      <x:c r="D190" s="24" t="str">
        <x:v>ROL-100</x:v>
      </x:c>
      <x:c r="E190" s="24" t="str">
        <x:f>IF(D190="","",IFERROR(VLOOKUP(D190,$A$2:$B$1656,2,FALSE),""))</x:f>
        <x:v>Martial Roles</x:v>
      </x:c>
      <x:c r="F190" s="24" t="n">
        <x:v>3</x:v>
      </x:c>
      <x:c r="G190" s="24" t="str">
        <x:v>Armored foot soldier designed to hold ground, absorb pressure, and fight in formation.</x:v>
      </x:c>
      <x:c r="H190" s="24" t="str">
        <x:v>Do not assume identical training, social status, powers, or mechanics across settings.</x:v>
      </x:c>
      <x:c r="I190" s="24" t="str">
        <x:v>heavy infantry; armored foot; linebreaker</x:v>
      </x:c>
      <x:c r="J190" s="24" t="str">
        <x:v>Front-line combat, defense, mobility, command, hunting, or weapon mastery.</x:v>
      </x:c>
      <x:c r="K190" s="24" t="str">
        <x:v>heavy infantry; armored foot; linebreaker</x:v>
      </x:c>
      <x:c r="L190" s="24" t="str">
        <x:v>Preserve each source's ontology, culture, history, and terminology when making comparisons.</x:v>
      </x:c>
      <x:c r="M190" s="24" t="str">
        <x:v>Core Family</x:v>
      </x:c>
    </x:row>
    <x:row r="191" ht="44" customHeight="1">
      <x:c r="A191" s="24" t="str">
        <x:v>ROL-105</x:v>
      </x:c>
      <x:c r="B191" s="24" t="str">
        <x:v>Light Infantry and Skirmisher</x:v>
      </x:c>
      <x:c r="C191" s="24" t="str">
        <x:v>Roles &amp; Vocations</x:v>
      </x:c>
      <x:c r="D191" s="24" t="str">
        <x:v>ROL-100</x:v>
      </x:c>
      <x:c r="E191" s="24" t="str">
        <x:f>IF(D191="","",IFERROR(VLOOKUP(D191,$A$2:$B$1656,2,FALSE),""))</x:f>
        <x:v>Martial Roles</x:v>
      </x:c>
      <x:c r="F191" s="24" t="n">
        <x:v>3</x:v>
      </x:c>
      <x:c r="G191" s="24" t="str">
        <x:v>Mobile foot soldier specializing in harassment, screening, scouting, or flexible engagement.</x:v>
      </x:c>
      <x:c r="H191" s="24" t="str">
        <x:v>Do not assume identical training, social status, powers, or mechanics across settings.</x:v>
      </x:c>
      <x:c r="I191" s="24" t="str">
        <x:v>skirmisher; light infantry; peltast-like</x:v>
      </x:c>
      <x:c r="J191" s="24" t="str">
        <x:v>Front-line combat, defense, mobility, command, hunting, or weapon mastery.</x:v>
      </x:c>
      <x:c r="K191" s="24" t="str">
        <x:v>skirmisher; light infantry; peltast-like</x:v>
      </x:c>
      <x:c r="L191" s="24" t="str">
        <x:v>Preserve each source's ontology, culture, history, and terminology when making comparisons.</x:v>
      </x:c>
      <x:c r="M191" s="24" t="str">
        <x:v>Core Family</x:v>
      </x:c>
    </x:row>
    <x:row r="192" ht="44" customHeight="1">
      <x:c r="A192" s="24" t="str">
        <x:v>ROL-106</x:v>
      </x:c>
      <x:c r="B192" s="24" t="str">
        <x:v>Spearfighter and Pikeman</x:v>
      </x:c>
      <x:c r="C192" s="24" t="str">
        <x:v>Roles &amp; Vocations</x:v>
      </x:c>
      <x:c r="D192" s="24" t="str">
        <x:v>ROL-100</x:v>
      </x:c>
      <x:c r="E192" s="24" t="str">
        <x:f>IF(D192="","",IFERROR(VLOOKUP(D192,$A$2:$B$1656,2,FALSE),""))</x:f>
        <x:v>Martial Roles</x:v>
      </x:c>
      <x:c r="F192" s="24" t="n">
        <x:v>3</x:v>
      </x:c>
      <x:c r="G192" s="24" t="str">
        <x:v>Combatant specializing in spears, polearms, pikes, reach, formation fighting, or anti-cavalry tactics.</x:v>
      </x:c>
      <x:c r="H192" s="24" t="str">
        <x:v>Do not assume identical training, social status, powers, or mechanics across settings.</x:v>
      </x:c>
      <x:c r="I192" s="24" t="str">
        <x:v>spearman; pikeman; lancer; polearm master</x:v>
      </x:c>
      <x:c r="J192" s="24" t="str">
        <x:v>Front-line combat, defense, mobility, command, hunting, or weapon mastery.</x:v>
      </x:c>
      <x:c r="K192" s="24" t="str">
        <x:v>spearman; pikeman; lancer; polearm master</x:v>
      </x:c>
      <x:c r="L192" s="24" t="str">
        <x:v>Preserve each source's ontology, culture, history, and terminology when making comparisons.</x:v>
      </x:c>
      <x:c r="M192" s="24" t="str">
        <x:v>Core Family</x:v>
      </x:c>
    </x:row>
    <x:row r="193" ht="44" customHeight="1">
      <x:c r="A193" s="24" t="str">
        <x:v>ROL-107</x:v>
      </x:c>
      <x:c r="B193" s="24" t="str">
        <x:v>Swordsman</x:v>
      </x:c>
      <x:c r="C193" s="24" t="str">
        <x:v>Roles &amp; Vocations</x:v>
      </x:c>
      <x:c r="D193" s="24" t="str">
        <x:v>ROL-100</x:v>
      </x:c>
      <x:c r="E193" s="24" t="str">
        <x:f>IF(D193="","",IFERROR(VLOOKUP(D193,$A$2:$B$1656,2,FALSE),""))</x:f>
        <x:v>Martial Roles</x:v>
      </x:c>
      <x:c r="F193" s="24" t="n">
        <x:v>3</x:v>
      </x:c>
      <x:c r="G193" s="24" t="str">
        <x:v>Combatant whose identity centers on sword mastery, often as a generalized heroic martial archetype.</x:v>
      </x:c>
      <x:c r="H193" s="24" t="str">
        <x:v>Do not assume identical training, social status, powers, or mechanics across settings.</x:v>
      </x:c>
      <x:c r="I193" s="24" t="str">
        <x:v>swordsman; swordfighter; blade master</x:v>
      </x:c>
      <x:c r="J193" s="24" t="str">
        <x:v>Front-line combat, defense, mobility, command, hunting, or weapon mastery.</x:v>
      </x:c>
      <x:c r="K193" s="24" t="str">
        <x:v>swordsman; swordfighter; blade master</x:v>
      </x:c>
      <x:c r="L193" s="24" t="str">
        <x:v>Preserve each source's ontology, culture, history, and terminology when making comparisons.</x:v>
      </x:c>
      <x:c r="M193" s="24" t="str">
        <x:v>Core Family</x:v>
      </x:c>
    </x:row>
    <x:row r="194" ht="44" customHeight="1">
      <x:c r="A194" s="24" t="str">
        <x:v>ROL-108</x:v>
      </x:c>
      <x:c r="B194" s="24" t="str">
        <x:v>Axefighter</x:v>
      </x:c>
      <x:c r="C194" s="24" t="str">
        <x:v>Roles &amp; Vocations</x:v>
      </x:c>
      <x:c r="D194" s="24" t="str">
        <x:v>ROL-100</x:v>
      </x:c>
      <x:c r="E194" s="24" t="str">
        <x:f>IF(D194="","",IFERROR(VLOOKUP(D194,$A$2:$B$1656,2,FALSE),""))</x:f>
        <x:v>Martial Roles</x:v>
      </x:c>
      <x:c r="F194" s="24" t="n">
        <x:v>3</x:v>
      </x:c>
      <x:c r="G194" s="24" t="str">
        <x:v>Combatant specializing in axes and commonly framed through power, aggression, woodcraft, or northern warrior imagery.</x:v>
      </x:c>
      <x:c r="H194" s="24" t="str">
        <x:v>Do not assume identical training, social status, powers, or mechanics across settings.</x:v>
      </x:c>
      <x:c r="I194" s="24" t="str">
        <x:v>axeman; axe warrior</x:v>
      </x:c>
      <x:c r="J194" s="24" t="str">
        <x:v>Front-line combat, defense, mobility, command, hunting, or weapon mastery.</x:v>
      </x:c>
      <x:c r="K194" s="24" t="str">
        <x:v>axeman; axe warrior</x:v>
      </x:c>
      <x:c r="L194" s="24" t="str">
        <x:v>Preserve each source's ontology, culture, history, and terminology when making comparisons.</x:v>
      </x:c>
      <x:c r="M194" s="24" t="str">
        <x:v>Core Family</x:v>
      </x:c>
    </x:row>
    <x:row r="195" ht="44" customHeight="1">
      <x:c r="A195" s="24" t="str">
        <x:v>ROL-109</x:v>
      </x:c>
      <x:c r="B195" s="24" t="str">
        <x:v>Hammer and Mace Fighter</x:v>
      </x:c>
      <x:c r="C195" s="24" t="str">
        <x:v>Roles &amp; Vocations</x:v>
      </x:c>
      <x:c r="D195" s="24" t="str">
        <x:v>ROL-100</x:v>
      </x:c>
      <x:c r="E195" s="24" t="str">
        <x:f>IF(D195="","",IFERROR(VLOOKUP(D195,$A$2:$B$1656,2,FALSE),""))</x:f>
        <x:v>Martial Roles</x:v>
      </x:c>
      <x:c r="F195" s="24" t="n">
        <x:v>3</x:v>
      </x:c>
      <x:c r="G195" s="24" t="str">
        <x:v>Blunt-weapon specialist associated with armor-breaking, sacred warfare, smithing cultures, or crushing force.</x:v>
      </x:c>
      <x:c r="H195" s="24" t="str">
        <x:v>Do not assume identical training, social status, powers, or mechanics across settings.</x:v>
      </x:c>
      <x:c r="I195" s="24" t="str">
        <x:v>hammerer; mace fighter; maul warrior</x:v>
      </x:c>
      <x:c r="J195" s="24" t="str">
        <x:v>Front-line combat, defense, mobility, command, hunting, or weapon mastery.</x:v>
      </x:c>
      <x:c r="K195" s="24" t="str">
        <x:v>hammerer; mace fighter; maul warrior</x:v>
      </x:c>
      <x:c r="L195" s="24" t="str">
        <x:v>Preserve each source's ontology, culture, history, and terminology when making comparisons.</x:v>
      </x:c>
      <x:c r="M195" s="24" t="str">
        <x:v>Core Family</x:v>
      </x:c>
    </x:row>
    <x:row r="196" ht="44" customHeight="1">
      <x:c r="A196" s="24" t="str">
        <x:v>ROL-110</x:v>
      </x:c>
      <x:c r="B196" s="24" t="str">
        <x:v>Shieldbearer and Guardian</x:v>
      </x:c>
      <x:c r="C196" s="24" t="str">
        <x:v>Roles &amp; Vocations</x:v>
      </x:c>
      <x:c r="D196" s="24" t="str">
        <x:v>ROL-100</x:v>
      </x:c>
      <x:c r="E196" s="24" t="str">
        <x:f>IF(D196="","",IFERROR(VLOOKUP(D196,$A$2:$B$1656,2,FALSE),""))</x:f>
        <x:v>Martial Roles</x:v>
      </x:c>
      <x:c r="F196" s="24" t="n">
        <x:v>3</x:v>
      </x:c>
      <x:c r="G196" s="24" t="str">
        <x:v>Defensive combatant who protects allies, controls space, or embodies duty through shield and armor.</x:v>
      </x:c>
      <x:c r="H196" s="24" t="str">
        <x:v>Do not assume identical training, social status, powers, or mechanics across settings.</x:v>
      </x:c>
      <x:c r="I196" s="24" t="str">
        <x:v>shieldbearer; guardian; defender; sentinel</x:v>
      </x:c>
      <x:c r="J196" s="24" t="str">
        <x:v>Front-line combat, defense, mobility, command, hunting, or weapon mastery.</x:v>
      </x:c>
      <x:c r="K196" s="24" t="str">
        <x:v>shieldbearer; guardian; defender; sentinel</x:v>
      </x:c>
      <x:c r="L196" s="24" t="str">
        <x:v>Preserve each source's ontology, culture, history, and terminology when making comparisons.</x:v>
      </x:c>
      <x:c r="M196" s="24" t="str">
        <x:v>Core Family</x:v>
      </x:c>
    </x:row>
    <x:row r="197" ht="44" customHeight="1">
      <x:c r="A197" s="24" t="str">
        <x:v>ROL-111</x:v>
      </x:c>
      <x:c r="B197" s="24" t="str">
        <x:v>Berserker</x:v>
      </x:c>
      <x:c r="C197" s="24" t="str">
        <x:v>Roles &amp; Vocations</x:v>
      </x:c>
      <x:c r="D197" s="24" t="str">
        <x:v>ROL-100</x:v>
      </x:c>
      <x:c r="E197" s="24" t="str">
        <x:f>IF(D197="","",IFERROR(VLOOKUP(D197,$A$2:$B$1656,2,FALSE),""))</x:f>
        <x:v>Martial Roles</x:v>
      </x:c>
      <x:c r="F197" s="24" t="n">
        <x:v>3</x:v>
      </x:c>
      <x:c r="G197" s="24" t="str">
        <x:v>Warrior who enters a heightened state of rage, trance, pain suppression, possession, or self-destructive power.</x:v>
      </x:c>
      <x:c r="H197" s="24" t="str">
        <x:v>Do not assume identical training, social status, powers, or mechanics across settings.</x:v>
      </x:c>
      <x:c r="I197" s="24" t="str">
        <x:v>berserker; rager; frenzy warrior</x:v>
      </x:c>
      <x:c r="J197" s="24" t="str">
        <x:v>Front-line combat, defense, mobility, command, hunting, or weapon mastery.</x:v>
      </x:c>
      <x:c r="K197" s="24" t="str">
        <x:v>berserker; rager; frenzy warrior</x:v>
      </x:c>
      <x:c r="L197" s="24" t="str">
        <x:v>The historical Norse term and modern game mechanic are related but not interchangeable.</x:v>
      </x:c>
      <x:c r="M197" s="24" t="str">
        <x:v>Core Family</x:v>
      </x:c>
    </x:row>
    <x:row r="198" ht="44" customHeight="1">
      <x:c r="A198" s="24" t="str">
        <x:v>ROL-112</x:v>
      </x:c>
      <x:c r="B198" s="24" t="str">
        <x:v>Barbarian</x:v>
      </x:c>
      <x:c r="C198" s="24" t="str">
        <x:v>Roles &amp; Vocations</x:v>
      </x:c>
      <x:c r="D198" s="24" t="str">
        <x:v>ROL-100</x:v>
      </x:c>
      <x:c r="E198" s="24" t="str">
        <x:f>IF(D198="","",IFERROR(VLOOKUP(D198,$A$2:$B$1656,2,FALSE),""))</x:f>
        <x:v>Martial Roles</x:v>
      </x:c>
      <x:c r="F198" s="24" t="n">
        <x:v>3</x:v>
      </x:c>
      <x:c r="G198" s="24" t="str">
        <x:v>Warrior archetype coded as outside urban civilization and associated with physical prowess, survival, rage, or anti-imperial freedom.</x:v>
      </x:c>
      <x:c r="H198" s="24" t="str">
        <x:v>Do not assume identical training, social status, powers, or mechanics across settings.</x:v>
      </x:c>
      <x:c r="I198" s="24" t="str">
        <x:v>barbarian; wild warrior</x:v>
      </x:c>
      <x:c r="J198" s="24" t="str">
        <x:v>Front-line combat, defense, mobility, command, hunting, or weapon mastery.</x:v>
      </x:c>
      <x:c r="K198" s="24" t="str">
        <x:v>barbarian; wild warrior</x:v>
      </x:c>
      <x:c r="L198" s="24" t="str">
        <x:v>The label often carries colonial or civilizational bias; prefer source-specific cultural terms where possible.</x:v>
      </x:c>
      <x:c r="M198" s="24" t="str">
        <x:v>Core Family</x:v>
      </x:c>
    </x:row>
    <x:row r="199" ht="44" customHeight="1">
      <x:c r="A199" s="24" t="str">
        <x:v>ROL-113</x:v>
      </x:c>
      <x:c r="B199" s="24" t="str">
        <x:v>Gladiator and Arena Fighter</x:v>
      </x:c>
      <x:c r="C199" s="24" t="str">
        <x:v>Roles &amp; Vocations</x:v>
      </x:c>
      <x:c r="D199" s="24" t="str">
        <x:v>ROL-100</x:v>
      </x:c>
      <x:c r="E199" s="24" t="str">
        <x:f>IF(D199="","",IFERROR(VLOOKUP(D199,$A$2:$B$1656,2,FALSE),""))</x:f>
        <x:v>Martial Roles</x:v>
      </x:c>
      <x:c r="F199" s="24" t="n">
        <x:v>3</x:v>
      </x:c>
      <x:c r="G199" s="24" t="str">
        <x:v>Professional combatant shaped by spectacle, captivity, sport, ritualized duels, or public reputation.</x:v>
      </x:c>
      <x:c r="H199" s="24" t="str">
        <x:v>Do not assume identical training, social status, powers, or mechanics across settings.</x:v>
      </x:c>
      <x:c r="I199" s="24" t="str">
        <x:v>gladiator; arena fighter; pit fighter</x:v>
      </x:c>
      <x:c r="J199" s="24" t="str">
        <x:v>Front-line combat, defense, mobility, command, hunting, or weapon mastery.</x:v>
      </x:c>
      <x:c r="K199" s="24" t="str">
        <x:v>gladiator; arena fighter; pit fighter</x:v>
      </x:c>
      <x:c r="L199" s="24" t="str">
        <x:v>Preserve each source's ontology, culture, history, and terminology when making comparisons.</x:v>
      </x:c>
      <x:c r="M199" s="24" t="str">
        <x:v>Core Family</x:v>
      </x:c>
    </x:row>
    <x:row r="200" ht="44" customHeight="1">
      <x:c r="A200" s="24" t="str">
        <x:v>ROL-114</x:v>
      </x:c>
      <x:c r="B200" s="24" t="str">
        <x:v>Duelist and Fencer</x:v>
      </x:c>
      <x:c r="C200" s="24" t="str">
        <x:v>Roles &amp; Vocations</x:v>
      </x:c>
      <x:c r="D200" s="24" t="str">
        <x:v>ROL-100</x:v>
      </x:c>
      <x:c r="E200" s="24" t="str">
        <x:f>IF(D200="","",IFERROR(VLOOKUP(D200,$A$2:$B$1656,2,FALSE),""))</x:f>
        <x:v>Martial Roles</x:v>
      </x:c>
      <x:c r="F200" s="24" t="n">
        <x:v>3</x:v>
      </x:c>
      <x:c r="G200" s="24" t="str">
        <x:v>Agile specialist in formal single combat, precision, timing, honor codes, or aristocratic weapon culture.</x:v>
      </x:c>
      <x:c r="H200" s="24" t="str">
        <x:v>Do not assume identical training, social status, powers, or mechanics across settings.</x:v>
      </x:c>
      <x:c r="I200" s="24" t="str">
        <x:v>duelist; fencer; swashbuckler</x:v>
      </x:c>
      <x:c r="J200" s="24" t="str">
        <x:v>Front-line combat, defense, mobility, command, hunting, or weapon mastery.</x:v>
      </x:c>
      <x:c r="K200" s="24" t="str">
        <x:v>duelist; fencer; swashbuckler</x:v>
      </x:c>
      <x:c r="L200" s="24" t="str">
        <x:v>Preserve each source's ontology, culture, history, and terminology when making comparisons.</x:v>
      </x:c>
      <x:c r="M200" s="24" t="str">
        <x:v>Core Family</x:v>
      </x:c>
    </x:row>
    <x:row r="201" ht="44" customHeight="1">
      <x:c r="A201" s="24" t="str">
        <x:v>ROL-115</x:v>
      </x:c>
      <x:c r="B201" s="24" t="str">
        <x:v>Knight</x:v>
      </x:c>
      <x:c r="C201" s="24" t="str">
        <x:v>Roles &amp; Vocations</x:v>
      </x:c>
      <x:c r="D201" s="24" t="str">
        <x:v>ROL-100</x:v>
      </x:c>
      <x:c r="E201" s="24" t="str">
        <x:f>IF(D201="","",IFERROR(VLOOKUP(D201,$A$2:$B$1656,2,FALSE),""))</x:f>
        <x:v>Martial Roles</x:v>
      </x:c>
      <x:c r="F201" s="24" t="n">
        <x:v>3</x:v>
      </x:c>
      <x:c r="G201" s="24" t="str">
        <x:v>Mounted or armored elite warrior defined by oath, feudal status, chivalric ideology, order membership, or noble service.</x:v>
      </x:c>
      <x:c r="H201" s="24" t="str">
        <x:v>Do not assume identical training, social status, powers, or mechanics across settings.</x:v>
      </x:c>
      <x:c r="I201" s="24" t="str">
        <x:v>knight; chevalier; cavalier</x:v>
      </x:c>
      <x:c r="J201" s="24" t="str">
        <x:v>Front-line combat, defense, mobility, command, hunting, or weapon mastery.</x:v>
      </x:c>
      <x:c r="K201" s="24" t="str">
        <x:v>knight; chevalier; cavalier</x:v>
      </x:c>
      <x:c r="L201" s="24" t="str">
        <x:v>Preserve each source's ontology, culture, history, and terminology when making comparisons.</x:v>
      </x:c>
      <x:c r="M201" s="24" t="str">
        <x:v>Core Family</x:v>
      </x:c>
    </x:row>
    <x:row r="202" ht="44" customHeight="1">
      <x:c r="A202" s="24" t="str">
        <x:v>ROL-116</x:v>
      </x:c>
      <x:c r="B202" s="24" t="str">
        <x:v>Cavalier and Mounted Knight</x:v>
      </x:c>
      <x:c r="C202" s="24" t="str">
        <x:v>Roles &amp; Vocations</x:v>
      </x:c>
      <x:c r="D202" s="24" t="str">
        <x:v>ROL-100</x:v>
      </x:c>
      <x:c r="E202" s="24" t="str">
        <x:f>IF(D202="","",IFERROR(VLOOKUP(D202,$A$2:$B$1656,2,FALSE),""))</x:f>
        <x:v>Martial Roles</x:v>
      </x:c>
      <x:c r="F202" s="24" t="n">
        <x:v>3</x:v>
      </x:c>
      <x:c r="G202" s="24" t="str">
        <x:v>Combatant whose primary identity is shock cavalry, horsemanship, mounted command, or noble war service.</x:v>
      </x:c>
      <x:c r="H202" s="24" t="str">
        <x:v>Do not assume identical training, social status, powers, or mechanics across settings.</x:v>
      </x:c>
      <x:c r="I202" s="24" t="str">
        <x:v>cavalier; horse knight; cataphract analogue</x:v>
      </x:c>
      <x:c r="J202" s="24" t="str">
        <x:v>Front-line combat, defense, mobility, command, hunting, or weapon mastery.</x:v>
      </x:c>
      <x:c r="K202" s="24" t="str">
        <x:v>cavalier; horse knight; cataphract analogue</x:v>
      </x:c>
      <x:c r="L202" s="24" t="str">
        <x:v>Preserve each source's ontology, culture, history, and terminology when making comparisons.</x:v>
      </x:c>
      <x:c r="M202" s="24" t="str">
        <x:v>Core Family</x:v>
      </x:c>
    </x:row>
    <x:row r="203" ht="44" customHeight="1">
      <x:c r="A203" s="24" t="str">
        <x:v>ROL-117</x:v>
      </x:c>
      <x:c r="B203" s="24" t="str">
        <x:v>Paladin and Holy Knight</x:v>
      </x:c>
      <x:c r="C203" s="24" t="str">
        <x:v>Roles &amp; Vocations</x:v>
      </x:c>
      <x:c r="D203" s="24" t="str">
        <x:v>ROL-100</x:v>
      </x:c>
      <x:c r="E203" s="24" t="str">
        <x:f>IF(D203="","",IFERROR(VLOOKUP(D203,$A$2:$B$1656,2,FALSE),""))</x:f>
        <x:v>Martial Roles</x:v>
      </x:c>
      <x:c r="F203" s="24" t="n">
        <x:v>3</x:v>
      </x:c>
      <x:c r="G203" s="24" t="str">
        <x:v>Martial champion empowered or authorized by sacred oath, deity, moral code, or religious institution.</x:v>
      </x:c>
      <x:c r="H203" s="24" t="str">
        <x:v>Do not assume identical training, social status, powers, or mechanics across settings.</x:v>
      </x:c>
      <x:c r="I203" s="24" t="str">
        <x:v>paladin; holy knight; sacred champion</x:v>
      </x:c>
      <x:c r="J203" s="24" t="str">
        <x:v>Front-line combat, defense, mobility, command, hunting, or weapon mastery.</x:v>
      </x:c>
      <x:c r="K203" s="24" t="str">
        <x:v>paladin; holy knight; sacred champion</x:v>
      </x:c>
      <x:c r="L203" s="24" t="str">
        <x:v>Preserve each source's ontology, culture, history, and terminology when making comparisons.</x:v>
      </x:c>
      <x:c r="M203" s="24" t="str">
        <x:v>Core Family</x:v>
      </x:c>
    </x:row>
    <x:row r="204" ht="44" customHeight="1">
      <x:c r="A204" s="24" t="str">
        <x:v>ROL-118</x:v>
      </x:c>
      <x:c r="B204" s="24" t="str">
        <x:v>Dark Knight and Blackguard</x:v>
      </x:c>
      <x:c r="C204" s="24" t="str">
        <x:v>Roles &amp; Vocations</x:v>
      </x:c>
      <x:c r="D204" s="24" t="str">
        <x:v>ROL-100</x:v>
      </x:c>
      <x:c r="E204" s="24" t="str">
        <x:f>IF(D204="","",IFERROR(VLOOKUP(D204,$A$2:$B$1656,2,FALSE),""))</x:f>
        <x:v>Martial Roles</x:v>
      </x:c>
      <x:c r="F204" s="24" t="n">
        <x:v>3</x:v>
      </x:c>
      <x:c r="G204" s="24" t="str">
        <x:v>Martial champion whose power, imagery, or oath is tied to darkness, curse, sacrifice, taboo, or antiheroic inversion.</x:v>
      </x:c>
      <x:c r="H204" s="24" t="str">
        <x:v>Do not assume identical training, social status, powers, or mechanics across settings.</x:v>
      </x:c>
      <x:c r="I204" s="24" t="str">
        <x:v>dark knight; blackguard; doom knight</x:v>
      </x:c>
      <x:c r="J204" s="24" t="str">
        <x:v>Front-line combat, defense, mobility, command, hunting, or weapon mastery.</x:v>
      </x:c>
      <x:c r="K204" s="24" t="str">
        <x:v>dark knight; blackguard; doom knight</x:v>
      </x:c>
      <x:c r="L204" s="24" t="str">
        <x:v>Preserve each source's ontology, culture, history, and terminology when making comparisons.</x:v>
      </x:c>
      <x:c r="M204" s="24" t="str">
        <x:v>Core Family</x:v>
      </x:c>
    </x:row>
    <x:row r="205" ht="44" customHeight="1">
      <x:c r="A205" s="24" t="str">
        <x:v>ROL-119</x:v>
      </x:c>
      <x:c r="B205" s="24" t="str">
        <x:v>Terror Knight and Fear Warrior</x:v>
      </x:c>
      <x:c r="C205" s="24" t="str">
        <x:v>Roles &amp; Vocations</x:v>
      </x:c>
      <x:c r="D205" s="24" t="str">
        <x:v>ROL-100</x:v>
      </x:c>
      <x:c r="E205" s="24" t="str">
        <x:f>IF(D205="","",IFERROR(VLOOKUP(D205,$A$2:$B$1656,2,FALSE),""))</x:f>
        <x:v>Martial Roles</x:v>
      </x:c>
      <x:c r="F205" s="24" t="n">
        <x:v>3</x:v>
      </x:c>
      <x:c r="G205" s="24" t="str">
        <x:v>Armored warrior who weaponizes dread, intimidation, curse, death imagery, or battlefield morale.</x:v>
      </x:c>
      <x:c r="H205" s="24" t="str">
        <x:v>Do not assume identical training, social status, powers, or mechanics across settings.</x:v>
      </x:c>
      <x:c r="I205" s="24" t="str">
        <x:v>terror knight; dread knight; fear warrior</x:v>
      </x:c>
      <x:c r="J205" s="24" t="str">
        <x:v>Front-line combat, defense, mobility, command, hunting, or weapon mastery.</x:v>
      </x:c>
      <x:c r="K205" s="24" t="str">
        <x:v>terror knight; dread knight; fear warrior</x:v>
      </x:c>
      <x:c r="L205" s="24" t="str">
        <x:v>Preserve each source's ontology, culture, history, and terminology when making comparisons.</x:v>
      </x:c>
      <x:c r="M205" s="24" t="str">
        <x:v>Core Family</x:v>
      </x:c>
    </x:row>
    <x:row r="206" ht="44" customHeight="1">
      <x:c r="A206" s="24" t="str">
        <x:v>ROL-120</x:v>
      </x:c>
      <x:c r="B206" s="24" t="str">
        <x:v>Samurai-Derived Warrior</x:v>
      </x:c>
      <x:c r="C206" s="24" t="str">
        <x:v>Roles &amp; Vocations</x:v>
      </x:c>
      <x:c r="D206" s="24" t="str">
        <x:v>ROL-100</x:v>
      </x:c>
      <x:c r="E206" s="24" t="str">
        <x:f>IF(D206="","",IFERROR(VLOOKUP(D206,$A$2:$B$1656,2,FALSE),""))</x:f>
        <x:v>Martial Roles</x:v>
      </x:c>
      <x:c r="F206" s="24" t="n">
        <x:v>3</x:v>
      </x:c>
      <x:c r="G206" s="24" t="str">
        <x:v>Warrior role drawing on Japanese bushi traditions, sword discipline, service, status, and later romanticized honor codes.</x:v>
      </x:c>
      <x:c r="H206" s="24" t="str">
        <x:v>Do not assume identical training, social status, powers, or mechanics across settings.</x:v>
      </x:c>
      <x:c r="I206" s="24" t="str">
        <x:v>samurai; bushi; sword retainer</x:v>
      </x:c>
      <x:c r="J206" s="24" t="str">
        <x:v>Front-line combat, defense, mobility, command, hunting, or weapon mastery.</x:v>
      </x:c>
      <x:c r="K206" s="24" t="str">
        <x:v>samurai; bushi; sword retainer</x:v>
      </x:c>
      <x:c r="L206" s="24" t="str">
        <x:v>Separate historical samurai from fantasy class conventions and pan-Asian sword-warrior amalgams.</x:v>
      </x:c>
      <x:c r="M206" s="24" t="str">
        <x:v>Core Family</x:v>
      </x:c>
    </x:row>
    <x:row r="207" ht="44" customHeight="1">
      <x:c r="A207" s="24" t="str">
        <x:v>ROL-121</x:v>
      </x:c>
      <x:c r="B207" s="24" t="str">
        <x:v>Ronin and Masterless Retainer</x:v>
      </x:c>
      <x:c r="C207" s="24" t="str">
        <x:v>Roles &amp; Vocations</x:v>
      </x:c>
      <x:c r="D207" s="24" t="str">
        <x:v>ROL-100</x:v>
      </x:c>
      <x:c r="E207" s="24" t="str">
        <x:f>IF(D207="","",IFERROR(VLOOKUP(D207,$A$2:$B$1656,2,FALSE),""))</x:f>
        <x:v>Martial Roles</x:v>
      </x:c>
      <x:c r="F207" s="24" t="n">
        <x:v>3</x:v>
      </x:c>
      <x:c r="G207" s="24" t="str">
        <x:v>Former retainer or wandering warrior defined by broken service, independence, dispossession, or moral ambiguity.</x:v>
      </x:c>
      <x:c r="H207" s="24" t="str">
        <x:v>Do not assume identical training, social status, powers, or mechanics across settings.</x:v>
      </x:c>
      <x:c r="I207" s="24" t="str">
        <x:v>ronin; wandering swordsman</x:v>
      </x:c>
      <x:c r="J207" s="24" t="str">
        <x:v>Front-line combat, defense, mobility, command, hunting, or weapon mastery.</x:v>
      </x:c>
      <x:c r="K207" s="24" t="str">
        <x:v>ronin; wandering swordsman</x:v>
      </x:c>
      <x:c r="L207" s="24" t="str">
        <x:v>Preserve each source's ontology, culture, history, and terminology when making comparisons.</x:v>
      </x:c>
      <x:c r="M207" s="24" t="str">
        <x:v>Core Family</x:v>
      </x:c>
    </x:row>
    <x:row r="208" ht="44" customHeight="1">
      <x:c r="A208" s="24" t="str">
        <x:v>ROL-122</x:v>
      </x:c>
      <x:c r="B208" s="24" t="str">
        <x:v>Dragoon and Leaping Lancer</x:v>
      </x:c>
      <x:c r="C208" s="24" t="str">
        <x:v>Roles &amp; Vocations</x:v>
      </x:c>
      <x:c r="D208" s="24" t="str">
        <x:v>ROL-100</x:v>
      </x:c>
      <x:c r="E208" s="24" t="str">
        <x:f>IF(D208="","",IFERROR(VLOOKUP(D208,$A$2:$B$1656,2,FALSE),""))</x:f>
        <x:v>Martial Roles</x:v>
      </x:c>
      <x:c r="F208" s="24" t="n">
        <x:v>3</x:v>
      </x:c>
      <x:c r="G208" s="24" t="str">
        <x:v>Lance-wielding elite associated in fantasy games with aerial leaps, dragon hunting, dragon bonds, or shock assault.</x:v>
      </x:c>
      <x:c r="H208" s="24" t="str">
        <x:v>Do not assume identical training, social status, powers, or mechanics across settings.</x:v>
      </x:c>
      <x:c r="I208" s="24" t="str">
        <x:v>dragoon; dragon knight; jump lancer</x:v>
      </x:c>
      <x:c r="J208" s="24" t="str">
        <x:v>Front-line combat, defense, mobility, command, hunting, or weapon mastery.</x:v>
      </x:c>
      <x:c r="K208" s="24" t="str">
        <x:v>dragoon; dragon knight; jump lancer</x:v>
      </x:c>
      <x:c r="L208" s="24" t="str">
        <x:v>Preserve each source's ontology, culture, history, and terminology when making comparisons.</x:v>
      </x:c>
      <x:c r="M208" s="24" t="str">
        <x:v>Core Family</x:v>
      </x:c>
    </x:row>
    <x:row r="209" ht="44" customHeight="1">
      <x:c r="A209" s="24" t="str">
        <x:v>ROL-123</x:v>
      </x:c>
      <x:c r="B209" s="24" t="str">
        <x:v>Monk and Martial Artist</x:v>
      </x:c>
      <x:c r="C209" s="24" t="str">
        <x:v>Roles &amp; Vocations</x:v>
      </x:c>
      <x:c r="D209" s="24" t="str">
        <x:v>ROL-100</x:v>
      </x:c>
      <x:c r="E209" s="24" t="str">
        <x:f>IF(D209="","",IFERROR(VLOOKUP(D209,$A$2:$B$1656,2,FALSE),""))</x:f>
        <x:v>Martial Roles</x:v>
      </x:c>
      <x:c r="F209" s="24" t="n">
        <x:v>3</x:v>
      </x:c>
      <x:c r="G209" s="24" t="str">
        <x:v>Combatant who develops body, breath, mind, and technique through disciplined training, often within a religious or philosophical order.</x:v>
      </x:c>
      <x:c r="H209" s="24" t="str">
        <x:v>Do not assume identical training, social status, powers, or mechanics across settings.</x:v>
      </x:c>
      <x:c r="I209" s="24" t="str">
        <x:v>monk; martial artist; pugilist</x:v>
      </x:c>
      <x:c r="J209" s="24" t="str">
        <x:v>Front-line combat, defense, mobility, command, hunting, or weapon mastery.</x:v>
      </x:c>
      <x:c r="K209" s="24" t="str">
        <x:v>monk; martial artist; pugilist</x:v>
      </x:c>
      <x:c r="L209" s="24" t="str">
        <x:v>Preserve each source's ontology, culture, history, and terminology when making comparisons.</x:v>
      </x:c>
      <x:c r="M209" s="24" t="str">
        <x:v>Core Family</x:v>
      </x:c>
    </x:row>
    <x:row r="210" ht="44" customHeight="1">
      <x:c r="A210" s="24" t="str">
        <x:v>ROL-124</x:v>
      </x:c>
      <x:c r="B210" s="24" t="str">
        <x:v>Brawler and Pugilist</x:v>
      </x:c>
      <x:c r="C210" s="24" t="str">
        <x:v>Roles &amp; Vocations</x:v>
      </x:c>
      <x:c r="D210" s="24" t="str">
        <x:v>ROL-100</x:v>
      </x:c>
      <x:c r="E210" s="24" t="str">
        <x:f>IF(D210="","",IFERROR(VLOOKUP(D210,$A$2:$B$1656,2,FALSE),""))</x:f>
        <x:v>Martial Roles</x:v>
      </x:c>
      <x:c r="F210" s="24" t="n">
        <x:v>3</x:v>
      </x:c>
      <x:c r="G210" s="24" t="str">
        <x:v>Unarmed or close-range fighter emphasizing toughness, improvised technique, street experience, or raw physicality.</x:v>
      </x:c>
      <x:c r="H210" s="24" t="str">
        <x:v>Do not assume identical training, social status, powers, or mechanics across settings.</x:v>
      </x:c>
      <x:c r="I210" s="24" t="str">
        <x:v>brawler; pugilist; fistfighter</x:v>
      </x:c>
      <x:c r="J210" s="24" t="str">
        <x:v>Front-line combat, defense, mobility, command, hunting, or weapon mastery.</x:v>
      </x:c>
      <x:c r="K210" s="24" t="str">
        <x:v>brawler; pugilist; fistfighter</x:v>
      </x:c>
      <x:c r="L210" s="24" t="str">
        <x:v>Preserve each source's ontology, culture, history, and terminology when making comparisons.</x:v>
      </x:c>
      <x:c r="M210" s="24" t="str">
        <x:v>Core Family</x:v>
      </x:c>
    </x:row>
    <x:row r="211" ht="44" customHeight="1">
      <x:c r="A211" s="24" t="str">
        <x:v>ROL-125</x:v>
      </x:c>
      <x:c r="B211" s="24" t="str">
        <x:v>Ranger</x:v>
      </x:c>
      <x:c r="C211" s="24" t="str">
        <x:v>Roles &amp; Vocations</x:v>
      </x:c>
      <x:c r="D211" s="24" t="str">
        <x:v>ROL-100</x:v>
      </x:c>
      <x:c r="E211" s="24" t="str">
        <x:f>IF(D211="","",IFERROR(VLOOKUP(D211,$A$2:$B$1656,2,FALSE),""))</x:f>
        <x:v>Martial Roles</x:v>
      </x:c>
      <x:c r="F211" s="24" t="n">
        <x:v>3</x:v>
      </x:c>
      <x:c r="G211" s="24" t="str">
        <x:v>Wilderness-oriented combatant combining tracking, mobility, archery, survival, scouting, or guardianship.</x:v>
      </x:c>
      <x:c r="H211" s="24" t="str">
        <x:v>Do not assume identical training, social status, powers, or mechanics across settings.</x:v>
      </x:c>
      <x:c r="I211" s="24" t="str">
        <x:v>ranger; warden; borderer</x:v>
      </x:c>
      <x:c r="J211" s="24" t="str">
        <x:v>Front-line combat, defense, mobility, command, hunting, or weapon mastery.</x:v>
      </x:c>
      <x:c r="K211" s="24" t="str">
        <x:v>ranger; warden; borderer</x:v>
      </x:c>
      <x:c r="L211" s="24" t="str">
        <x:v>Preserve each source's ontology, culture, history, and terminology when making comparisons.</x:v>
      </x:c>
      <x:c r="M211" s="24" t="str">
        <x:v>Core Family</x:v>
      </x:c>
    </x:row>
    <x:row r="212" ht="44" customHeight="1">
      <x:c r="A212" s="24" t="str">
        <x:v>ROL-126</x:v>
      </x:c>
      <x:c r="B212" s="24" t="str">
        <x:v>Hunter</x:v>
      </x:c>
      <x:c r="C212" s="24" t="str">
        <x:v>Roles &amp; Vocations</x:v>
      </x:c>
      <x:c r="D212" s="24" t="str">
        <x:v>ROL-100</x:v>
      </x:c>
      <x:c r="E212" s="24" t="str">
        <x:f>IF(D212="","",IFERROR(VLOOKUP(D212,$A$2:$B$1656,2,FALSE),""))</x:f>
        <x:v>Martial Roles</x:v>
      </x:c>
      <x:c r="F212" s="24" t="n">
        <x:v>3</x:v>
      </x:c>
      <x:c r="G212" s="24" t="str">
        <x:v>Tracker and killer of animals, monsters, people, or supernatural quarry, using environmental knowledge and preparation.</x:v>
      </x:c>
      <x:c r="H212" s="24" t="str">
        <x:v>Do not assume identical training, social status, powers, or mechanics across settings.</x:v>
      </x:c>
      <x:c r="I212" s="24" t="str">
        <x:v>hunter; huntsman; tracker</x:v>
      </x:c>
      <x:c r="J212" s="24" t="str">
        <x:v>Front-line combat, defense, mobility, command, hunting, or weapon mastery.</x:v>
      </x:c>
      <x:c r="K212" s="24" t="str">
        <x:v>hunter; huntsman; tracker</x:v>
      </x:c>
      <x:c r="L212" s="24" t="str">
        <x:v>Preserve each source's ontology, culture, history, and terminology when making comparisons.</x:v>
      </x:c>
      <x:c r="M212" s="24" t="str">
        <x:v>Core Family</x:v>
      </x:c>
    </x:row>
    <x:row r="213" ht="44" customHeight="1">
      <x:c r="A213" s="24" t="str">
        <x:v>ROL-127</x:v>
      </x:c>
      <x:c r="B213" s="24" t="str">
        <x:v>Archer</x:v>
      </x:c>
      <x:c r="C213" s="24" t="str">
        <x:v>Roles &amp; Vocations</x:v>
      </x:c>
      <x:c r="D213" s="24" t="str">
        <x:v>ROL-100</x:v>
      </x:c>
      <x:c r="E213" s="24" t="str">
        <x:f>IF(D213="","",IFERROR(VLOOKUP(D213,$A$2:$B$1656,2,FALSE),""))</x:f>
        <x:v>Martial Roles</x:v>
      </x:c>
      <x:c r="F213" s="24" t="n">
        <x:v>3</x:v>
      </x:c>
      <x:c r="G213" s="24" t="str">
        <x:v>Ranged combatant specializing in bows, accuracy, positioning, volleys, or mounted archery.</x:v>
      </x:c>
      <x:c r="H213" s="24" t="str">
        <x:v>Do not assume identical training, social status, powers, or mechanics across settings.</x:v>
      </x:c>
      <x:c r="I213" s="24" t="str">
        <x:v>archer; bowman; marksman</x:v>
      </x:c>
      <x:c r="J213" s="24" t="str">
        <x:v>Front-line combat, defense, mobility, command, hunting, or weapon mastery.</x:v>
      </x:c>
      <x:c r="K213" s="24" t="str">
        <x:v>archer; bowman; marksman</x:v>
      </x:c>
      <x:c r="L213" s="24" t="str">
        <x:v>Preserve each source's ontology, culture, history, and terminology when making comparisons.</x:v>
      </x:c>
      <x:c r="M213" s="24" t="str">
        <x:v>Core Family</x:v>
      </x:c>
    </x:row>
    <x:row r="214" ht="44" customHeight="1">
      <x:c r="A214" s="24" t="str">
        <x:v>ROL-128</x:v>
      </x:c>
      <x:c r="B214" s="24" t="str">
        <x:v>Crossbowman</x:v>
      </x:c>
      <x:c r="C214" s="24" t="str">
        <x:v>Roles &amp; Vocations</x:v>
      </x:c>
      <x:c r="D214" s="24" t="str">
        <x:v>ROL-100</x:v>
      </x:c>
      <x:c r="E214" s="24" t="str">
        <x:f>IF(D214="","",IFERROR(VLOOKUP(D214,$A$2:$B$1656,2,FALSE),""))</x:f>
        <x:v>Martial Roles</x:v>
      </x:c>
      <x:c r="F214" s="24" t="n">
        <x:v>3</x:v>
      </x:c>
      <x:c r="G214" s="24" t="str">
        <x:v>Ranged combatant specializing in crossbows, armor penetration, disciplined volleys, or accessible mechanical weaponry.</x:v>
      </x:c>
      <x:c r="H214" s="24" t="str">
        <x:v>Do not assume identical training, social status, powers, or mechanics across settings.</x:v>
      </x:c>
      <x:c r="I214" s="24" t="str">
        <x:v>crossbowman; arbalester</x:v>
      </x:c>
      <x:c r="J214" s="24" t="str">
        <x:v>Front-line combat, defense, mobility, command, hunting, or weapon mastery.</x:v>
      </x:c>
      <x:c r="K214" s="24" t="str">
        <x:v>crossbowman; arbalester</x:v>
      </x:c>
      <x:c r="L214" s="24" t="str">
        <x:v>Preserve each source's ontology, culture, history, and terminology when making comparisons.</x:v>
      </x:c>
      <x:c r="M214" s="24" t="str">
        <x:v>Core Family</x:v>
      </x:c>
    </x:row>
    <x:row r="215" ht="44" customHeight="1">
      <x:c r="A215" s="24" t="str">
        <x:v>ROL-129</x:v>
      </x:c>
      <x:c r="B215" s="24" t="str">
        <x:v>Gunner and Fusilier</x:v>
      </x:c>
      <x:c r="C215" s="24" t="str">
        <x:v>Roles &amp; Vocations</x:v>
      </x:c>
      <x:c r="D215" s="24" t="str">
        <x:v>ROL-100</x:v>
      </x:c>
      <x:c r="E215" s="24" t="str">
        <x:f>IF(D215="","",IFERROR(VLOOKUP(D215,$A$2:$B$1656,2,FALSE),""))</x:f>
        <x:v>Martial Roles</x:v>
      </x:c>
      <x:c r="F215" s="24" t="n">
        <x:v>3</x:v>
      </x:c>
      <x:c r="G215" s="24" t="str">
        <x:v>Combatant defined by firearms or magitech guns, often marking a technological shift within fantasy warfare.</x:v>
      </x:c>
      <x:c r="H215" s="24" t="str">
        <x:v>Do not assume identical training, social status, powers, or mechanics across settings.</x:v>
      </x:c>
      <x:c r="I215" s="24" t="str">
        <x:v>gunner; fusilier; musketeer; cannoneer</x:v>
      </x:c>
      <x:c r="J215" s="24" t="str">
        <x:v>Front-line combat, defense, mobility, command, hunting, or weapon mastery.</x:v>
      </x:c>
      <x:c r="K215" s="24" t="str">
        <x:v>gunner; fusilier; musketeer; cannoneer</x:v>
      </x:c>
      <x:c r="L215" s="24" t="str">
        <x:v>Preserve each source's ontology, culture, history, and terminology when making comparisons.</x:v>
      </x:c>
      <x:c r="M215" s="24" t="str">
        <x:v>Core Family</x:v>
      </x:c>
    </x:row>
    <x:row r="216" ht="44" customHeight="1">
      <x:c r="A216" s="24" t="str">
        <x:v>ROL-130</x:v>
      </x:c>
      <x:c r="B216" s="24" t="str">
        <x:v>Scout</x:v>
      </x:c>
      <x:c r="C216" s="24" t="str">
        <x:v>Roles &amp; Vocations</x:v>
      </x:c>
      <x:c r="D216" s="24" t="str">
        <x:v>ROL-100</x:v>
      </x:c>
      <x:c r="E216" s="24" t="str">
        <x:f>IF(D216="","",IFERROR(VLOOKUP(D216,$A$2:$B$1656,2,FALSE),""))</x:f>
        <x:v>Martial Roles</x:v>
      </x:c>
      <x:c r="F216" s="24" t="n">
        <x:v>3</x:v>
      </x:c>
      <x:c r="G216" s="24" t="str">
        <x:v>Mobile observer who gathers intelligence, screens forces, navigates terrain, and avoids decisive engagement.</x:v>
      </x:c>
      <x:c r="H216" s="24" t="str">
        <x:v>Do not assume identical training, social status, powers, or mechanics across settings.</x:v>
      </x:c>
      <x:c r="I216" s="24" t="str">
        <x:v>scout; outrider; pathfinder</x:v>
      </x:c>
      <x:c r="J216" s="24" t="str">
        <x:v>Front-line combat, defense, mobility, command, hunting, or weapon mastery.</x:v>
      </x:c>
      <x:c r="K216" s="24" t="str">
        <x:v>scout; outrider; pathfinder</x:v>
      </x:c>
      <x:c r="L216" s="24" t="str">
        <x:v>Preserve each source's ontology, culture, history, and terminology when making comparisons.</x:v>
      </x:c>
      <x:c r="M216" s="24" t="str">
        <x:v>Core Family</x:v>
      </x:c>
    </x:row>
    <x:row r="217" ht="44" customHeight="1">
      <x:c r="A217" s="24" t="str">
        <x:v>ROL-131</x:v>
      </x:c>
      <x:c r="B217" s="24" t="str">
        <x:v>Beast Rider</x:v>
      </x:c>
      <x:c r="C217" s="24" t="str">
        <x:v>Roles &amp; Vocations</x:v>
      </x:c>
      <x:c r="D217" s="24" t="str">
        <x:v>ROL-100</x:v>
      </x:c>
      <x:c r="E217" s="24" t="str">
        <x:f>IF(D217="","",IFERROR(VLOOKUP(D217,$A$2:$B$1656,2,FALSE),""))</x:f>
        <x:v>Martial Roles</x:v>
      </x:c>
      <x:c r="F217" s="24" t="n">
        <x:v>3</x:v>
      </x:c>
      <x:c r="G217" s="24" t="str">
        <x:v>Warrior whose identity and tactics depend on a bonded or trained nonhuman mount.</x:v>
      </x:c>
      <x:c r="H217" s="24" t="str">
        <x:v>Do not assume identical training, social status, powers, or mechanics across settings.</x:v>
      </x:c>
      <x:c r="I217" s="24" t="str">
        <x:v>beast rider; wolf rider; gryphon rider</x:v>
      </x:c>
      <x:c r="J217" s="24" t="str">
        <x:v>Front-line combat, defense, mobility, command, hunting, or weapon mastery.</x:v>
      </x:c>
      <x:c r="K217" s="24" t="str">
        <x:v>beast rider; wolf rider; gryphon rider</x:v>
      </x:c>
      <x:c r="L217" s="24" t="str">
        <x:v>Preserve each source's ontology, culture, history, and terminology when making comparisons.</x:v>
      </x:c>
      <x:c r="M217" s="24" t="str">
        <x:v>Core Family</x:v>
      </x:c>
    </x:row>
    <x:row r="218" ht="44" customHeight="1">
      <x:c r="A218" s="24" t="str">
        <x:v>ROL-132</x:v>
      </x:c>
      <x:c r="B218" s="24" t="str">
        <x:v>Mounted Archer</x:v>
      </x:c>
      <x:c r="C218" s="24" t="str">
        <x:v>Roles &amp; Vocations</x:v>
      </x:c>
      <x:c r="D218" s="24" t="str">
        <x:v>ROL-100</x:v>
      </x:c>
      <x:c r="E218" s="24" t="str">
        <x:f>IF(D218="","",IFERROR(VLOOKUP(D218,$A$2:$B$1656,2,FALSE),""))</x:f>
        <x:v>Martial Roles</x:v>
      </x:c>
      <x:c r="F218" s="24" t="n">
        <x:v>3</x:v>
      </x:c>
      <x:c r="G218" s="24" t="str">
        <x:v>Mobile ranged combatant combining horsemanship or beast-riding with archery.</x:v>
      </x:c>
      <x:c r="H218" s="24" t="str">
        <x:v>Do not assume identical training, social status, powers, or mechanics across settings.</x:v>
      </x:c>
      <x:c r="I218" s="24" t="str">
        <x:v>horse archer; mounted bowman</x:v>
      </x:c>
      <x:c r="J218" s="24" t="str">
        <x:v>Front-line combat, defense, mobility, command, hunting, or weapon mastery.</x:v>
      </x:c>
      <x:c r="K218" s="24" t="str">
        <x:v>horse archer; mounted bowman</x:v>
      </x:c>
      <x:c r="L218" s="24" t="str">
        <x:v>Preserve each source's ontology, culture, history, and terminology when making comparisons.</x:v>
      </x:c>
      <x:c r="M218" s="24" t="str">
        <x:v>Core Family</x:v>
      </x:c>
    </x:row>
    <x:row r="219" ht="44" customHeight="1">
      <x:c r="A219" s="24" t="str">
        <x:v>ROL-133</x:v>
      </x:c>
      <x:c r="B219" s="24" t="str">
        <x:v>Charioteer</x:v>
      </x:c>
      <x:c r="C219" s="24" t="str">
        <x:v>Roles &amp; Vocations</x:v>
      </x:c>
      <x:c r="D219" s="24" t="str">
        <x:v>ROL-100</x:v>
      </x:c>
      <x:c r="E219" s="24" t="str">
        <x:f>IF(D219="","",IFERROR(VLOOKUP(D219,$A$2:$B$1656,2,FALSE),""))</x:f>
        <x:v>Martial Roles</x:v>
      </x:c>
      <x:c r="F219" s="24" t="n">
        <x:v>3</x:v>
      </x:c>
      <x:c r="G219" s="24" t="str">
        <x:v>Combatant or elite driver using a chariot for mobility, prestige, missile fire, or shock action.</x:v>
      </x:c>
      <x:c r="H219" s="24" t="str">
        <x:v>Do not assume identical training, social status, powers, or mechanics across settings.</x:v>
      </x:c>
      <x:c r="I219" s="24" t="str">
        <x:v>charioteer; war-cart fighter</x:v>
      </x:c>
      <x:c r="J219" s="24" t="str">
        <x:v>Front-line combat, defense, mobility, command, hunting, or weapon mastery.</x:v>
      </x:c>
      <x:c r="K219" s="24" t="str">
        <x:v>charioteer; war-cart fighter</x:v>
      </x:c>
      <x:c r="L219" s="24" t="str">
        <x:v>Preserve each source's ontology, culture, history, and terminology when making comparisons.</x:v>
      </x:c>
      <x:c r="M219" s="24" t="str">
        <x:v>Core Family</x:v>
      </x:c>
    </x:row>
    <x:row r="220" ht="44" customHeight="1">
      <x:c r="A220" s="24" t="str">
        <x:v>ROL-134</x:v>
      </x:c>
      <x:c r="B220" s="24" t="str">
        <x:v>Marine and Naval Warrior</x:v>
      </x:c>
      <x:c r="C220" s="24" t="str">
        <x:v>Roles &amp; Vocations</x:v>
      </x:c>
      <x:c r="D220" s="24" t="str">
        <x:v>ROL-100</x:v>
      </x:c>
      <x:c r="E220" s="24" t="str">
        <x:f>IF(D220="","",IFERROR(VLOOKUP(D220,$A$2:$B$1656,2,FALSE),""))</x:f>
        <x:v>Martial Roles</x:v>
      </x:c>
      <x:c r="F220" s="24" t="n">
        <x:v>3</x:v>
      </x:c>
      <x:c r="G220" s="24" t="str">
        <x:v>Combatant trained for ships, boarding, amphibious assault, and maritime defense.</x:v>
      </x:c>
      <x:c r="H220" s="24" t="str">
        <x:v>Do not assume identical training, social status, powers, or mechanics across settings.</x:v>
      </x:c>
      <x:c r="I220" s="24" t="str">
        <x:v>marine; sailor-soldier; corsair</x:v>
      </x:c>
      <x:c r="J220" s="24" t="str">
        <x:v>Front-line combat, defense, mobility, command, hunting, or weapon mastery.</x:v>
      </x:c>
      <x:c r="K220" s="24" t="str">
        <x:v>marine; sailor-soldier; corsair</x:v>
      </x:c>
      <x:c r="L220" s="24" t="str">
        <x:v>Preserve each source's ontology, culture, history, and terminology when making comparisons.</x:v>
      </x:c>
      <x:c r="M220" s="24" t="str">
        <x:v>Core Family</x:v>
      </x:c>
    </x:row>
    <x:row r="221" ht="44" customHeight="1">
      <x:c r="A221" s="24" t="str">
        <x:v>ROL-135</x:v>
      </x:c>
      <x:c r="B221" s="24" t="str">
        <x:v>Pirate and Corsair</x:v>
      </x:c>
      <x:c r="C221" s="24" t="str">
        <x:v>Roles &amp; Vocations</x:v>
      </x:c>
      <x:c r="D221" s="24" t="str">
        <x:v>ROL-100</x:v>
      </x:c>
      <x:c r="E221" s="24" t="str">
        <x:f>IF(D221="","",IFERROR(VLOOKUP(D221,$A$2:$B$1656,2,FALSE),""))</x:f>
        <x:v>Martial Roles</x:v>
      </x:c>
      <x:c r="F221" s="24" t="n">
        <x:v>3</x:v>
      </x:c>
      <x:c r="G221" s="24" t="str">
        <x:v>Maritime raider combining combat, navigation, plunder, smuggling, and outlaw social organization.</x:v>
      </x:c>
      <x:c r="H221" s="24" t="str">
        <x:v>Do not assume identical training, social status, powers, or mechanics across settings.</x:v>
      </x:c>
      <x:c r="I221" s="24" t="str">
        <x:v>pirate; corsair; buccaneer</x:v>
      </x:c>
      <x:c r="J221" s="24" t="str">
        <x:v>Front-line combat, defense, mobility, command, hunting, or weapon mastery.</x:v>
      </x:c>
      <x:c r="K221" s="24" t="str">
        <x:v>pirate; corsair; buccaneer</x:v>
      </x:c>
      <x:c r="L221" s="24" t="str">
        <x:v>Preserve each source's ontology, culture, history, and terminology when making comparisons.</x:v>
      </x:c>
      <x:c r="M221" s="24" t="str">
        <x:v>Core Family</x:v>
      </x:c>
    </x:row>
    <x:row r="222" ht="44" customHeight="1">
      <x:c r="A222" s="24" t="str">
        <x:v>ROL-136</x:v>
      </x:c>
      <x:c r="B222" s="24" t="str">
        <x:v>Raider</x:v>
      </x:c>
      <x:c r="C222" s="24" t="str">
        <x:v>Roles &amp; Vocations</x:v>
      </x:c>
      <x:c r="D222" s="24" t="str">
        <x:v>ROL-100</x:v>
      </x:c>
      <x:c r="E222" s="24" t="str">
        <x:f>IF(D222="","",IFERROR(VLOOKUP(D222,$A$2:$B$1656,2,FALSE),""))</x:f>
        <x:v>Martial Roles</x:v>
      </x:c>
      <x:c r="F222" s="24" t="n">
        <x:v>3</x:v>
      </x:c>
      <x:c r="G222" s="24" t="str">
        <x:v>Mobile warrior who obtains resources, prestige, or territory through sudden attacks and withdrawal.</x:v>
      </x:c>
      <x:c r="H222" s="24" t="str">
        <x:v>Do not assume identical training, social status, powers, or mechanics across settings.</x:v>
      </x:c>
      <x:c r="I222" s="24" t="str">
        <x:v>raider; reaver; pillager</x:v>
      </x:c>
      <x:c r="J222" s="24" t="str">
        <x:v>Front-line combat, defense, mobility, command, hunting, or weapon mastery.</x:v>
      </x:c>
      <x:c r="K222" s="24" t="str">
        <x:v>raider; reaver; pillager</x:v>
      </x:c>
      <x:c r="L222" s="24" t="str">
        <x:v>Preserve each source's ontology, culture, history, and terminology when making comparisons.</x:v>
      </x:c>
      <x:c r="M222" s="24" t="str">
        <x:v>Core Family</x:v>
      </x:c>
    </x:row>
    <x:row r="223" ht="44" customHeight="1">
      <x:c r="A223" s="24" t="str">
        <x:v>ROL-137</x:v>
      </x:c>
      <x:c r="B223" s="24" t="str">
        <x:v>Mercenary</x:v>
      </x:c>
      <x:c r="C223" s="24" t="str">
        <x:v>Roles &amp; Vocations</x:v>
      </x:c>
      <x:c r="D223" s="24" t="str">
        <x:v>ROL-100</x:v>
      </x:c>
      <x:c r="E223" s="24" t="str">
        <x:f>IF(D223="","",IFERROR(VLOOKUP(D223,$A$2:$B$1656,2,FALSE),""))</x:f>
        <x:v>Martial Roles</x:v>
      </x:c>
      <x:c r="F223" s="24" t="n">
        <x:v>3</x:v>
      </x:c>
      <x:c r="G223" s="24" t="str">
        <x:v>Professional combatant whose service is contractual, commercial, or politically independent.</x:v>
      </x:c>
      <x:c r="H223" s="24" t="str">
        <x:v>Do not assume identical training, social status, powers, or mechanics across settings.</x:v>
      </x:c>
      <x:c r="I223" s="24" t="str">
        <x:v>mercenary; sellsword; free company soldier</x:v>
      </x:c>
      <x:c r="J223" s="24" t="str">
        <x:v>Front-line combat, defense, mobility, command, hunting, or weapon mastery.</x:v>
      </x:c>
      <x:c r="K223" s="24" t="str">
        <x:v>mercenary; sellsword; free company soldier</x:v>
      </x:c>
      <x:c r="L223" s="24" t="str">
        <x:v>Preserve each source's ontology, culture, history, and terminology when making comparisons.</x:v>
      </x:c>
      <x:c r="M223" s="24" t="str">
        <x:v>Core Family</x:v>
      </x:c>
    </x:row>
    <x:row r="224" ht="44" customHeight="1">
      <x:c r="A224" s="24" t="str">
        <x:v>ROL-138</x:v>
      </x:c>
      <x:c r="B224" s="24" t="str">
        <x:v>Bodyguard</x:v>
      </x:c>
      <x:c r="C224" s="24" t="str">
        <x:v>Roles &amp; Vocations</x:v>
      </x:c>
      <x:c r="D224" s="24" t="str">
        <x:v>ROL-100</x:v>
      </x:c>
      <x:c r="E224" s="24" t="str">
        <x:f>IF(D224="","",IFERROR(VLOOKUP(D224,$A$2:$B$1656,2,FALSE),""))</x:f>
        <x:v>Martial Roles</x:v>
      </x:c>
      <x:c r="F224" s="24" t="n">
        <x:v>3</x:v>
      </x:c>
      <x:c r="G224" s="24" t="str">
        <x:v>Protective specialist responsible for the survival of a particular person or group.</x:v>
      </x:c>
      <x:c r="H224" s="24" t="str">
        <x:v>Do not assume identical training, social status, powers, or mechanics across settings.</x:v>
      </x:c>
      <x:c r="I224" s="24" t="str">
        <x:v>bodyguard; sworn shield; protector</x:v>
      </x:c>
      <x:c r="J224" s="24" t="str">
        <x:v>Front-line combat, defense, mobility, command, hunting, or weapon mastery.</x:v>
      </x:c>
      <x:c r="K224" s="24" t="str">
        <x:v>bodyguard; sworn shield; protector</x:v>
      </x:c>
      <x:c r="L224" s="24" t="str">
        <x:v>Preserve each source's ontology, culture, history, and terminology when making comparisons.</x:v>
      </x:c>
      <x:c r="M224" s="24" t="str">
        <x:v>Core Family</x:v>
      </x:c>
    </x:row>
    <x:row r="225" ht="44" customHeight="1">
      <x:c r="A225" s="24" t="str">
        <x:v>ROL-139</x:v>
      </x:c>
      <x:c r="B225" s="24" t="str">
        <x:v>Champion</x:v>
      </x:c>
      <x:c r="C225" s="24" t="str">
        <x:v>Roles &amp; Vocations</x:v>
      </x:c>
      <x:c r="D225" s="24" t="str">
        <x:v>ROL-100</x:v>
      </x:c>
      <x:c r="E225" s="24" t="str">
        <x:f>IF(D225="","",IFERROR(VLOOKUP(D225,$A$2:$B$1656,2,FALSE),""))</x:f>
        <x:v>Martial Roles</x:v>
      </x:c>
      <x:c r="F225" s="24" t="n">
        <x:v>3</x:v>
      </x:c>
      <x:c r="G225" s="24" t="str">
        <x:v>Recognized elite who represents a ruler, deity, people, cause, or faction through personal combat.</x:v>
      </x:c>
      <x:c r="H225" s="24" t="str">
        <x:v>Do not assume identical training, social status, powers, or mechanics across settings.</x:v>
      </x:c>
      <x:c r="I225" s="24" t="str">
        <x:v>champion; chosen warrior; exemplar</x:v>
      </x:c>
      <x:c r="J225" s="24" t="str">
        <x:v>Front-line combat, defense, mobility, command, hunting, or weapon mastery.</x:v>
      </x:c>
      <x:c r="K225" s="24" t="str">
        <x:v>champion; chosen warrior; exemplar</x:v>
      </x:c>
      <x:c r="L225" s="24" t="str">
        <x:v>Preserve each source's ontology, culture, history, and terminology when making comparisons.</x:v>
      </x:c>
      <x:c r="M225" s="24" t="str">
        <x:v>Core Family</x:v>
      </x:c>
    </x:row>
    <x:row r="226" ht="44" customHeight="1">
      <x:c r="A226" s="24" t="str">
        <x:v>ROL-140</x:v>
      </x:c>
      <x:c r="B226" s="24" t="str">
        <x:v>Warlord</x:v>
      </x:c>
      <x:c r="C226" s="24" t="str">
        <x:v>Roles &amp; Vocations</x:v>
      </x:c>
      <x:c r="D226" s="24" t="str">
        <x:v>ROL-100</x:v>
      </x:c>
      <x:c r="E226" s="24" t="str">
        <x:f>IF(D226="","",IFERROR(VLOOKUP(D226,$A$2:$B$1656,2,FALSE),""))</x:f>
        <x:v>Martial Roles</x:v>
      </x:c>
      <x:c r="F226" s="24" t="n">
        <x:v>3</x:v>
      </x:c>
      <x:c r="G226" s="24" t="str">
        <x:v>Martial leader whose authority rests on force, personal loyalty, conquest, or fragmented political conditions.</x:v>
      </x:c>
      <x:c r="H226" s="24" t="str">
        <x:v>Do not assume identical training, social status, powers, or mechanics across settings.</x:v>
      </x:c>
      <x:c r="I226" s="24" t="str">
        <x:v>warlord; war chief</x:v>
      </x:c>
      <x:c r="J226" s="24" t="str">
        <x:v>Front-line combat, defense, mobility, command, hunting, or weapon mastery.</x:v>
      </x:c>
      <x:c r="K226" s="24" t="str">
        <x:v>warlord; war chief</x:v>
      </x:c>
      <x:c r="L226" s="24" t="str">
        <x:v>Preserve each source's ontology, culture, history, and terminology when making comparisons.</x:v>
      </x:c>
      <x:c r="M226" s="24" t="str">
        <x:v>Core Family</x:v>
      </x:c>
    </x:row>
    <x:row r="227" ht="44" customHeight="1">
      <x:c r="A227" s="24" t="str">
        <x:v>ROL-141</x:v>
      </x:c>
      <x:c r="B227" s="24" t="str">
        <x:v>Commander and General</x:v>
      </x:c>
      <x:c r="C227" s="24" t="str">
        <x:v>Roles &amp; Vocations</x:v>
      </x:c>
      <x:c r="D227" s="24" t="str">
        <x:v>ROL-100</x:v>
      </x:c>
      <x:c r="E227" s="24" t="str">
        <x:f>IF(D227="","",IFERROR(VLOOKUP(D227,$A$2:$B$1656,2,FALSE),""))</x:f>
        <x:v>Martial Roles</x:v>
      </x:c>
      <x:c r="F227" s="24" t="n">
        <x:v>3</x:v>
      </x:c>
      <x:c r="G227" s="24" t="str">
        <x:v>Leader who directs troops, strategy, logistics, and battlefield coordination rather than fighting only as an individual.</x:v>
      </x:c>
      <x:c r="H227" s="24" t="str">
        <x:v>Do not assume identical training, social status, powers, or mechanics across settings.</x:v>
      </x:c>
      <x:c r="I227" s="24" t="str">
        <x:v>commander; general; marshal</x:v>
      </x:c>
      <x:c r="J227" s="24" t="str">
        <x:v>Front-line combat, defense, mobility, command, hunting, or weapon mastery.</x:v>
      </x:c>
      <x:c r="K227" s="24" t="str">
        <x:v>commander; general; marshal</x:v>
      </x:c>
      <x:c r="L227" s="24" t="str">
        <x:v>Preserve each source's ontology, culture, history, and terminology when making comparisons.</x:v>
      </x:c>
      <x:c r="M227" s="24" t="str">
        <x:v>Core Family</x:v>
      </x:c>
    </x:row>
    <x:row r="228" ht="44" customHeight="1">
      <x:c r="A228" s="24" t="str">
        <x:v>ROL-142</x:v>
      </x:c>
      <x:c r="B228" s="24" t="str">
        <x:v>Tactician and Strategist</x:v>
      </x:c>
      <x:c r="C228" s="24" t="str">
        <x:v>Roles &amp; Vocations</x:v>
      </x:c>
      <x:c r="D228" s="24" t="str">
        <x:v>ROL-100</x:v>
      </x:c>
      <x:c r="E228" s="24" t="str">
        <x:f>IF(D228="","",IFERROR(VLOOKUP(D228,$A$2:$B$1656,2,FALSE),""))</x:f>
        <x:v>Martial Roles</x:v>
      </x:c>
      <x:c r="F228" s="24" t="n">
        <x:v>3</x:v>
      </x:c>
      <x:c r="G228" s="24" t="str">
        <x:v>Specialist whose primary contribution is planning, prediction, formation, information, and exploitation of battlefield systems.</x:v>
      </x:c>
      <x:c r="H228" s="24" t="str">
        <x:v>Do not assume identical training, social status, powers, or mechanics across settings.</x:v>
      </x:c>
      <x:c r="I228" s="24" t="str">
        <x:v>tactician; strategist; battle planner</x:v>
      </x:c>
      <x:c r="J228" s="24" t="str">
        <x:v>Front-line combat, defense, mobility, command, hunting, or weapon mastery.</x:v>
      </x:c>
      <x:c r="K228" s="24" t="str">
        <x:v>tactician; strategist; battle planner</x:v>
      </x:c>
      <x:c r="L228" s="24" t="str">
        <x:v>Preserve each source's ontology, culture, history, and terminology when making comparisons.</x:v>
      </x:c>
      <x:c r="M228" s="24" t="str">
        <x:v>Core Family</x:v>
      </x:c>
    </x:row>
    <x:row r="229" ht="44" customHeight="1">
      <x:c r="A229" s="24" t="str">
        <x:v>ROL-143</x:v>
      </x:c>
      <x:c r="B229" s="24" t="str">
        <x:v>Weapon Master</x:v>
      </x:c>
      <x:c r="C229" s="24" t="str">
        <x:v>Roles &amp; Vocations</x:v>
      </x:c>
      <x:c r="D229" s="24" t="str">
        <x:v>ROL-100</x:v>
      </x:c>
      <x:c r="E229" s="24" t="str">
        <x:f>IF(D229="","",IFERROR(VLOOKUP(D229,$A$2:$B$1656,2,FALSE),""))</x:f>
        <x:v>Martial Roles</x:v>
      </x:c>
      <x:c r="F229" s="24" t="n">
        <x:v>3</x:v>
      </x:c>
      <x:c r="G229" s="24" t="str">
        <x:v>Martial expert defined by mastery of many weapons or near-supernatural perfection with one weapon.</x:v>
      </x:c>
      <x:c r="H229" s="24" t="str">
        <x:v>Do not assume identical training, social status, powers, or mechanics across settings.</x:v>
      </x:c>
      <x:c r="I229" s="24" t="str">
        <x:v>weapon master; blade saint; arms master</x:v>
      </x:c>
      <x:c r="J229" s="24" t="str">
        <x:v>Front-line combat, defense, mobility, command, hunting, or weapon mastery.</x:v>
      </x:c>
      <x:c r="K229" s="24" t="str">
        <x:v>weapon master; blade saint; arms master</x:v>
      </x:c>
      <x:c r="L229" s="24" t="str">
        <x:v>Preserve each source's ontology, culture, history, and terminology when making comparisons.</x:v>
      </x:c>
      <x:c r="M229" s="24" t="str">
        <x:v>Core Family</x:v>
      </x:c>
    </x:row>
    <x:row r="230" ht="44" customHeight="1">
      <x:c r="A230" s="24" t="str">
        <x:v>ROL-144</x:v>
      </x:c>
      <x:c r="B230" s="24" t="str">
        <x:v>Monster Hunter</x:v>
      </x:c>
      <x:c r="C230" s="24" t="str">
        <x:v>Roles &amp; Vocations</x:v>
      </x:c>
      <x:c r="D230" s="24" t="str">
        <x:v>ROL-100</x:v>
      </x:c>
      <x:c r="E230" s="24" t="str">
        <x:f>IF(D230="","",IFERROR(VLOOKUP(D230,$A$2:$B$1656,2,FALSE),""))</x:f>
        <x:v>Martial Roles</x:v>
      </x:c>
      <x:c r="F230" s="24" t="n">
        <x:v>3</x:v>
      </x:c>
      <x:c r="G230" s="24" t="str">
        <x:v>Professional who studies, tracks, prepares for, and kills dangerous nonhuman creatures.</x:v>
      </x:c>
      <x:c r="H230" s="24" t="str">
        <x:v>Do not assume identical training, social status, powers, or mechanics across settings.</x:v>
      </x:c>
      <x:c r="I230" s="24" t="str">
        <x:v>monster hunter; slayer; witcher-like hunter</x:v>
      </x:c>
      <x:c r="J230" s="24" t="str">
        <x:v>Front-line combat, defense, mobility, command, hunting, or weapon mastery.</x:v>
      </x:c>
      <x:c r="K230" s="24" t="str">
        <x:v>monster hunter; slayer; witcher-like hunter</x:v>
      </x:c>
      <x:c r="L230" s="24" t="str">
        <x:v>Preserve each source's ontology, culture, history, and terminology when making comparisons.</x:v>
      </x:c>
      <x:c r="M230" s="24" t="str">
        <x:v>Core Family</x:v>
      </x:c>
    </x:row>
    <x:row r="231" ht="44" customHeight="1">
      <x:c r="A231" s="24" t="str">
        <x:v>ROL-145</x:v>
      </x:c>
      <x:c r="B231" s="24" t="str">
        <x:v>Dragon Slayer</x:v>
      </x:c>
      <x:c r="C231" s="24" t="str">
        <x:v>Roles &amp; Vocations</x:v>
      </x:c>
      <x:c r="D231" s="24" t="str">
        <x:v>ROL-100</x:v>
      </x:c>
      <x:c r="E231" s="24" t="str">
        <x:f>IF(D231="","",IFERROR(VLOOKUP(D231,$A$2:$B$1656,2,FALSE),""))</x:f>
        <x:v>Martial Roles</x:v>
      </x:c>
      <x:c r="F231" s="24" t="n">
        <x:v>3</x:v>
      </x:c>
      <x:c r="G231" s="24" t="str">
        <x:v>Specialist or heroic identity centered on defeating dragons, often with dedicated weapons, vows, or biological adaptations.</x:v>
      </x:c>
      <x:c r="H231" s="24" t="str">
        <x:v>Do not assume identical training, social status, powers, or mechanics across settings.</x:v>
      </x:c>
      <x:c r="I231" s="24" t="str">
        <x:v>dragon slayer; dragoon; wyrm hunter</x:v>
      </x:c>
      <x:c r="J231" s="24" t="str">
        <x:v>Front-line combat, defense, mobility, command, hunting, or weapon mastery.</x:v>
      </x:c>
      <x:c r="K231" s="24" t="str">
        <x:v>dragon slayer; dragoon; wyrm hunter</x:v>
      </x:c>
      <x:c r="L231" s="24" t="str">
        <x:v>Preserve each source's ontology, culture, history, and terminology when making comparisons.</x:v>
      </x:c>
      <x:c r="M231" s="24" t="str">
        <x:v>Core Family</x:v>
      </x:c>
    </x:row>
    <x:row r="232" ht="44" customHeight="1">
      <x:c r="A232" s="24" t="str">
        <x:v>ROL-146</x:v>
      </x:c>
      <x:c r="B232" s="24" t="str">
        <x:v>Demon Hunter</x:v>
      </x:c>
      <x:c r="C232" s="24" t="str">
        <x:v>Roles &amp; Vocations</x:v>
      </x:c>
      <x:c r="D232" s="24" t="str">
        <x:v>ROL-100</x:v>
      </x:c>
      <x:c r="E232" s="24" t="str">
        <x:f>IF(D232="","",IFERROR(VLOOKUP(D232,$A$2:$B$1656,2,FALSE),""))</x:f>
        <x:v>Martial Roles</x:v>
      </x:c>
      <x:c r="F232" s="24" t="n">
        <x:v>3</x:v>
      </x:c>
      <x:c r="G232" s="24" t="str">
        <x:v>Warrior trained to identify and destroy fiends, possessed beings, cults, or corruptive magic.</x:v>
      </x:c>
      <x:c r="H232" s="24" t="str">
        <x:v>Do not assume identical training, social status, powers, or mechanics across settings.</x:v>
      </x:c>
      <x:c r="I232" s="24" t="str">
        <x:v>demon hunter; fiend slayer</x:v>
      </x:c>
      <x:c r="J232" s="24" t="str">
        <x:v>Front-line combat, defense, mobility, command, hunting, or weapon mastery.</x:v>
      </x:c>
      <x:c r="K232" s="24" t="str">
        <x:v>demon hunter; fiend slayer</x:v>
      </x:c>
      <x:c r="L232" s="24" t="str">
        <x:v>Preserve each source's ontology, culture, history, and terminology when making comparisons.</x:v>
      </x:c>
      <x:c r="M232" s="24" t="str">
        <x:v>Core Family</x:v>
      </x:c>
    </x:row>
    <x:row r="233" ht="44" customHeight="1">
      <x:c r="A233" s="24" t="str">
        <x:v>ROL-147</x:v>
      </x:c>
      <x:c r="B233" s="24" t="str">
        <x:v>Mage Hunter and Witch Hunter</x:v>
      </x:c>
      <x:c r="C233" s="24" t="str">
        <x:v>Roles &amp; Vocations</x:v>
      </x:c>
      <x:c r="D233" s="24" t="str">
        <x:v>ROL-100</x:v>
      </x:c>
      <x:c r="E233" s="24" t="str">
        <x:f>IF(D233="","",IFERROR(VLOOKUP(D233,$A$2:$B$1656,2,FALSE),""))</x:f>
        <x:v>Martial Roles</x:v>
      </x:c>
      <x:c r="F233" s="24" t="n">
        <x:v>3</x:v>
      </x:c>
      <x:c r="G233" s="24" t="str">
        <x:v>Combatant or official specialized in tracking, suppressing, policing, or killing magic users.</x:v>
      </x:c>
      <x:c r="H233" s="24" t="str">
        <x:v>Do not assume identical training, social status, powers, or mechanics across settings.</x:v>
      </x:c>
      <x:c r="I233" s="24" t="str">
        <x:v>mage hunter; witch hunter; spellbreaker</x:v>
      </x:c>
      <x:c r="J233" s="24" t="str">
        <x:v>Front-line combat, defense, mobility, command, hunting, or weapon mastery.</x:v>
      </x:c>
      <x:c r="K233" s="24" t="str">
        <x:v>mage hunter; witch hunter; spellbreaker</x:v>
      </x:c>
      <x:c r="L233" s="24" t="str">
        <x:v>Preserve each source's ontology, culture, history, and terminology when making comparisons.</x:v>
      </x:c>
      <x:c r="M233" s="24" t="str">
        <x:v>Core Family</x:v>
      </x:c>
    </x:row>
    <x:row r="234" ht="44" customHeight="1">
      <x:c r="A234" s="24" t="str">
        <x:v>ROL-148</x:v>
      </x:c>
      <x:c r="B234" s="24" t="str">
        <x:v>Anti-Magic Warrior</x:v>
      </x:c>
      <x:c r="C234" s="24" t="str">
        <x:v>Roles &amp; Vocations</x:v>
      </x:c>
      <x:c r="D234" s="24" t="str">
        <x:v>ROL-100</x:v>
      </x:c>
      <x:c r="E234" s="24" t="str">
        <x:f>IF(D234="","",IFERROR(VLOOKUP(D234,$A$2:$B$1656,2,FALSE),""))</x:f>
        <x:v>Martial Roles</x:v>
      </x:c>
      <x:c r="F234" s="24" t="n">
        <x:v>3</x:v>
      </x:c>
      <x:c r="G234" s="24" t="str">
        <x:v>Martial specialist whose abilities nullify, resist, reflect, or disrupt supernatural power.</x:v>
      </x:c>
      <x:c r="H234" s="24" t="str">
        <x:v>Do not assume identical training, social status, powers, or mechanics across settings.</x:v>
      </x:c>
      <x:c r="I234" s="24" t="str">
        <x:v>spellbreaker; null knight; templar analogue</x:v>
      </x:c>
      <x:c r="J234" s="24" t="str">
        <x:v>Front-line combat, defense, mobility, command, hunting, or weapon mastery.</x:v>
      </x:c>
      <x:c r="K234" s="24" t="str">
        <x:v>spellbreaker; null knight; templar analogue</x:v>
      </x:c>
      <x:c r="L234" s="24" t="str">
        <x:v>Preserve each source's ontology, culture, history, and terminology when making comparisons.</x:v>
      </x:c>
      <x:c r="M234" s="24" t="str">
        <x:v>Core Family</x:v>
      </x:c>
    </x:row>
    <x:row r="235" ht="44" customHeight="1">
      <x:c r="A235" s="24" t="str">
        <x:v>ROL-149</x:v>
      </x:c>
      <x:c r="B235" s="24" t="str">
        <x:v>Siege Specialist</x:v>
      </x:c>
      <x:c r="C235" s="24" t="str">
        <x:v>Roles &amp; Vocations</x:v>
      </x:c>
      <x:c r="D235" s="24" t="str">
        <x:v>ROL-100</x:v>
      </x:c>
      <x:c r="E235" s="24" t="str">
        <x:f>IF(D235="","",IFERROR(VLOOKUP(D235,$A$2:$B$1656,2,FALSE),""))</x:f>
        <x:v>Martial Roles</x:v>
      </x:c>
      <x:c r="F235" s="24" t="n">
        <x:v>3</x:v>
      </x:c>
      <x:c r="G235" s="24" t="str">
        <x:v>Warrior-engineer who operates siege engines, demolitions, fortifications, or battlefield construction.</x:v>
      </x:c>
      <x:c r="H235" s="24" t="str">
        <x:v>Do not assume identical training, social status, powers, or mechanics across settings.</x:v>
      </x:c>
      <x:c r="I235" s="24" t="str">
        <x:v>siege engineer; sapper; artillerist</x:v>
      </x:c>
      <x:c r="J235" s="24" t="str">
        <x:v>Front-line combat, defense, mobility, command, hunting, or weapon mastery.</x:v>
      </x:c>
      <x:c r="K235" s="24" t="str">
        <x:v>siege engineer; sapper; artillerist</x:v>
      </x:c>
      <x:c r="L235" s="24" t="str">
        <x:v>Preserve each source's ontology, culture, history, and terminology when making comparisons.</x:v>
      </x:c>
      <x:c r="M235" s="24" t="str">
        <x:v>Core Family</x:v>
      </x:c>
    </x:row>
    <x:row r="236" ht="44" customHeight="1">
      <x:c r="A236" s="24" t="str">
        <x:v>ROL-150</x:v>
      </x:c>
      <x:c r="B236" s="24" t="str">
        <x:v>Dragon Rider</x:v>
      </x:c>
      <x:c r="C236" s="24" t="str">
        <x:v>Roles &amp; Vocations</x:v>
      </x:c>
      <x:c r="D236" s="24" t="str">
        <x:v>ROL-100</x:v>
      </x:c>
      <x:c r="E236" s="24" t="str">
        <x:f>IF(D236="","",IFERROR(VLOOKUP(D236,$A$2:$B$1656,2,FALSE),""))</x:f>
        <x:v>Martial Roles</x:v>
      </x:c>
      <x:c r="F236" s="24" t="n">
        <x:v>3</x:v>
      </x:c>
      <x:c r="G236" s="24" t="str">
        <x:v>Elite combatant whose social and military identity is built around a bonded dragon mount.</x:v>
      </x:c>
      <x:c r="H236" s="24" t="str">
        <x:v>Do not assume identical training, social status, powers, or mechanics across settings.</x:v>
      </x:c>
      <x:c r="I236" s="24" t="str">
        <x:v>dragon rider; dragon knight; wyvern rider</x:v>
      </x:c>
      <x:c r="J236" s="24" t="str">
        <x:v>Front-line combat, defense, mobility, command, hunting, or weapon mastery.</x:v>
      </x:c>
      <x:c r="K236" s="24" t="str">
        <x:v>dragon rider; dragon knight; wyvern rider</x:v>
      </x:c>
      <x:c r="L236" s="24" t="str">
        <x:v>Preserve each source's ontology, culture, history, and terminology when making comparisons.</x:v>
      </x:c>
      <x:c r="M236" s="24" t="str">
        <x:v>Core Family</x:v>
      </x:c>
    </x:row>
    <x:row r="237" ht="44" customHeight="1">
      <x:c r="A237" s="24" t="str">
        <x:v>ROL-201</x:v>
      </x:c>
      <x:c r="B237" s="24" t="str">
        <x:v>Thief</x:v>
      </x:c>
      <x:c r="C237" s="24" t="str">
        <x:v>Roles &amp; Vocations</x:v>
      </x:c>
      <x:c r="D237" s="24" t="str">
        <x:v>ROL-200</x:v>
      </x:c>
      <x:c r="E237" s="24" t="str">
        <x:f>IF(D237="","",IFERROR(VLOOKUP(D237,$A$2:$B$1656,2,FALSE),""))</x:f>
        <x:v>Rogue and Underworld Roles</x:v>
      </x:c>
      <x:c r="F237" s="24" t="n">
        <x:v>3</x:v>
      </x:c>
      <x:c r="G237" s="24" t="str">
        <x:v>Person who acquires property through stealth, deception, access, or opportunism, often formalized as an adventuring class.</x:v>
      </x:c>
      <x:c r="H237" s="24" t="str">
        <x:v>Do not assume identical training, social status, powers, or mechanics across settings.</x:v>
      </x:c>
      <x:c r="I237" s="24" t="str">
        <x:v>thief; rogue; cutpurse</x:v>
      </x:c>
      <x:c r="J237" s="24" t="str">
        <x:v>Stealth, access, information, precision damage, deception, crime, or social manipulation.</x:v>
      </x:c>
      <x:c r="K237" s="24" t="str">
        <x:v>thief; rogue; cutpurse</x:v>
      </x:c>
      <x:c r="L237" s="24" t="str">
        <x:v>Preserve each source's ontology, culture, history, and terminology when making comparisons.</x:v>
      </x:c>
      <x:c r="M237" s="24" t="str">
        <x:v>Core Family</x:v>
      </x:c>
    </x:row>
    <x:row r="238" ht="44" customHeight="1">
      <x:c r="A238" s="24" t="str">
        <x:v>ROL-202</x:v>
      </x:c>
      <x:c r="B238" s="24" t="str">
        <x:v>Burglar and Infiltrator</x:v>
      </x:c>
      <x:c r="C238" s="24" t="str">
        <x:v>Roles &amp; Vocations</x:v>
      </x:c>
      <x:c r="D238" s="24" t="str">
        <x:v>ROL-200</x:v>
      </x:c>
      <x:c r="E238" s="24" t="str">
        <x:f>IF(D238="","",IFERROR(VLOOKUP(D238,$A$2:$B$1656,2,FALSE),""))</x:f>
        <x:v>Rogue and Underworld Roles</x:v>
      </x:c>
      <x:c r="F238" s="24" t="n">
        <x:v>3</x:v>
      </x:c>
      <x:c r="G238" s="24" t="str">
        <x:v>Specialist in bypassing locks, traps, walls, guards, and secure spaces.</x:v>
      </x:c>
      <x:c r="H238" s="24" t="str">
        <x:v>Do not assume identical training, social status, powers, or mechanics across settings.</x:v>
      </x:c>
      <x:c r="I238" s="24" t="str">
        <x:v>burglar; infiltrator; second-story thief</x:v>
      </x:c>
      <x:c r="J238" s="24" t="str">
        <x:v>Stealth, access, information, precision damage, deception, crime, or social manipulation.</x:v>
      </x:c>
      <x:c r="K238" s="24" t="str">
        <x:v>burglar; infiltrator; second-story thief</x:v>
      </x:c>
      <x:c r="L238" s="24" t="str">
        <x:v>Preserve each source's ontology, culture, history, and terminology when making comparisons.</x:v>
      </x:c>
      <x:c r="M238" s="24" t="str">
        <x:v>Core Family</x:v>
      </x:c>
    </x:row>
    <x:row r="239" ht="44" customHeight="1">
      <x:c r="A239" s="24" t="str">
        <x:v>ROL-203</x:v>
      </x:c>
      <x:c r="B239" s="24" t="str">
        <x:v>Pickpocket</x:v>
      </x:c>
      <x:c r="C239" s="24" t="str">
        <x:v>Roles &amp; Vocations</x:v>
      </x:c>
      <x:c r="D239" s="24" t="str">
        <x:v>ROL-200</x:v>
      </x:c>
      <x:c r="E239" s="24" t="str">
        <x:f>IF(D239="","",IFERROR(VLOOKUP(D239,$A$2:$B$1656,2,FALSE),""))</x:f>
        <x:v>Rogue and Underworld Roles</x:v>
      </x:c>
      <x:c r="F239" s="24" t="n">
        <x:v>3</x:v>
      </x:c>
      <x:c r="G239" s="24" t="str">
        <x:v>Close-contact thief specializing in unnoticed personal theft.</x:v>
      </x:c>
      <x:c r="H239" s="24" t="str">
        <x:v>Do not assume identical training, social status, powers, or mechanics across settings.</x:v>
      </x:c>
      <x:c r="I239" s="24" t="str">
        <x:v>pickpocket; cutpurse</x:v>
      </x:c>
      <x:c r="J239" s="24" t="str">
        <x:v>Stealth, access, information, precision damage, deception, crime, or social manipulation.</x:v>
      </x:c>
      <x:c r="K239" s="24" t="str">
        <x:v>pickpocket; cutpurse</x:v>
      </x:c>
      <x:c r="L239" s="24" t="str">
        <x:v>Preserve each source's ontology, culture, history, and terminology when making comparisons.</x:v>
      </x:c>
      <x:c r="M239" s="24" t="str">
        <x:v>Core Family</x:v>
      </x:c>
    </x:row>
    <x:row r="240" ht="44" customHeight="1">
      <x:c r="A240" s="24" t="str">
        <x:v>ROL-204</x:v>
      </x:c>
      <x:c r="B240" s="24" t="str">
        <x:v>Bandit and Outlaw</x:v>
      </x:c>
      <x:c r="C240" s="24" t="str">
        <x:v>Roles &amp; Vocations</x:v>
      </x:c>
      <x:c r="D240" s="24" t="str">
        <x:v>ROL-200</x:v>
      </x:c>
      <x:c r="E240" s="24" t="str">
        <x:f>IF(D240="","",IFERROR(VLOOKUP(D240,$A$2:$B$1656,2,FALSE),""))</x:f>
        <x:v>Rogue and Underworld Roles</x:v>
      </x:c>
      <x:c r="F240" s="24" t="n">
        <x:v>3</x:v>
      </x:c>
      <x:c r="G240" s="24" t="str">
        <x:v>Armed criminal or rebel operating outside recognized law, often from roads, forests, or borderlands.</x:v>
      </x:c>
      <x:c r="H240" s="24" t="str">
        <x:v>Do not assume identical training, social status, powers, or mechanics across settings.</x:v>
      </x:c>
      <x:c r="I240" s="24" t="str">
        <x:v>bandit; outlaw; brigand</x:v>
      </x:c>
      <x:c r="J240" s="24" t="str">
        <x:v>Stealth, access, information, precision damage, deception, crime, or social manipulation.</x:v>
      </x:c>
      <x:c r="K240" s="24" t="str">
        <x:v>bandit; outlaw; brigand</x:v>
      </x:c>
      <x:c r="L240" s="24" t="str">
        <x:v>Preserve each source's ontology, culture, history, and terminology when making comparisons.</x:v>
      </x:c>
      <x:c r="M240" s="24" t="str">
        <x:v>Core Family</x:v>
      </x:c>
    </x:row>
    <x:row r="241" ht="44" customHeight="1">
      <x:c r="A241" s="24" t="str">
        <x:v>ROL-205</x:v>
      </x:c>
      <x:c r="B241" s="24" t="str">
        <x:v>Rogue</x:v>
      </x:c>
      <x:c r="C241" s="24" t="str">
        <x:v>Roles &amp; Vocations</x:v>
      </x:c>
      <x:c r="D241" s="24" t="str">
        <x:v>ROL-200</x:v>
      </x:c>
      <x:c r="E241" s="24" t="str">
        <x:f>IF(D241="","",IFERROR(VLOOKUP(D241,$A$2:$B$1656,2,FALSE),""))</x:f>
        <x:v>Rogue and Underworld Roles</x:v>
      </x:c>
      <x:c r="F241" s="24" t="n">
        <x:v>3</x:v>
      </x:c>
      <x:c r="G241" s="24" t="str">
        <x:v>Flexible adventurer archetype combining stealth, expertise, opportunistic combat, and underworld skills.</x:v>
      </x:c>
      <x:c r="H241" s="24" t="str">
        <x:v>Do not assume identical training, social status, powers, or mechanics across settings.</x:v>
      </x:c>
      <x:c r="I241" s="24" t="str">
        <x:v>rogue; scoundrel; knave</x:v>
      </x:c>
      <x:c r="J241" s="24" t="str">
        <x:v>Stealth, access, information, precision damage, deception, crime, or social manipulation.</x:v>
      </x:c>
      <x:c r="K241" s="24" t="str">
        <x:v>rogue; scoundrel; knave</x:v>
      </x:c>
      <x:c r="L241" s="24" t="str">
        <x:v>Preserve each source's ontology, culture, history, and terminology when making comparisons.</x:v>
      </x:c>
      <x:c r="M241" s="24" t="str">
        <x:v>Core Family</x:v>
      </x:c>
    </x:row>
    <x:row r="242" ht="44" customHeight="1">
      <x:c r="A242" s="24" t="str">
        <x:v>ROL-206</x:v>
      </x:c>
      <x:c r="B242" s="24" t="str">
        <x:v>Spy</x:v>
      </x:c>
      <x:c r="C242" s="24" t="str">
        <x:v>Roles &amp; Vocations</x:v>
      </x:c>
      <x:c r="D242" s="24" t="str">
        <x:v>ROL-200</x:v>
      </x:c>
      <x:c r="E242" s="24" t="str">
        <x:f>IF(D242="","",IFERROR(VLOOKUP(D242,$A$2:$B$1656,2,FALSE),""))</x:f>
        <x:v>Rogue and Underworld Roles</x:v>
      </x:c>
      <x:c r="F242" s="24" t="n">
        <x:v>3</x:v>
      </x:c>
      <x:c r="G242" s="24" t="str">
        <x:v>Agent who secretly gathers political, military, magical, or personal intelligence.</x:v>
      </x:c>
      <x:c r="H242" s="24" t="str">
        <x:v>Do not assume identical training, social status, powers, or mechanics across settings.</x:v>
      </x:c>
      <x:c r="I242" s="24" t="str">
        <x:v>spy; intelligence agent; secret agent</x:v>
      </x:c>
      <x:c r="J242" s="24" t="str">
        <x:v>Stealth, access, information, precision damage, deception, crime, or social manipulation.</x:v>
      </x:c>
      <x:c r="K242" s="24" t="str">
        <x:v>spy; intelligence agent; secret agent</x:v>
      </x:c>
      <x:c r="L242" s="24" t="str">
        <x:v>Preserve each source's ontology, culture, history, and terminology when making comparisons.</x:v>
      </x:c>
      <x:c r="M242" s="24" t="str">
        <x:v>Core Family</x:v>
      </x:c>
    </x:row>
    <x:row r="243" ht="44" customHeight="1">
      <x:c r="A243" s="24" t="str">
        <x:v>ROL-207</x:v>
      </x:c>
      <x:c r="B243" s="24" t="str">
        <x:v>Scout-Infiltrator</x:v>
      </x:c>
      <x:c r="C243" s="24" t="str">
        <x:v>Roles &amp; Vocations</x:v>
      </x:c>
      <x:c r="D243" s="24" t="str">
        <x:v>ROL-200</x:v>
      </x:c>
      <x:c r="E243" s="24" t="str">
        <x:f>IF(D243="","",IFERROR(VLOOKUP(D243,$A$2:$B$1656,2,FALSE),""))</x:f>
        <x:v>Rogue and Underworld Roles</x:v>
      </x:c>
      <x:c r="F243" s="24" t="n">
        <x:v>3</x:v>
      </x:c>
      <x:c r="G243" s="24" t="str">
        <x:v>Operative combining reconnaissance, stealth, pathfinding, and covert entry.</x:v>
      </x:c>
      <x:c r="H243" s="24" t="str">
        <x:v>Do not assume identical training, social status, powers, or mechanics across settings.</x:v>
      </x:c>
      <x:c r="I243" s="24" t="str">
        <x:v>infiltrator; forward scout; covert ranger</x:v>
      </x:c>
      <x:c r="J243" s="24" t="str">
        <x:v>Stealth, access, information, precision damage, deception, crime, or social manipulation.</x:v>
      </x:c>
      <x:c r="K243" s="24" t="str">
        <x:v>infiltrator; forward scout; covert ranger</x:v>
      </x:c>
      <x:c r="L243" s="24" t="str">
        <x:v>Preserve each source's ontology, culture, history, and terminology when making comparisons.</x:v>
      </x:c>
      <x:c r="M243" s="24" t="str">
        <x:v>Core Family</x:v>
      </x:c>
    </x:row>
    <x:row r="244" ht="44" customHeight="1">
      <x:c r="A244" s="24" t="str">
        <x:v>ROL-208</x:v>
      </x:c>
      <x:c r="B244" s="24" t="str">
        <x:v>Assassin</x:v>
      </x:c>
      <x:c r="C244" s="24" t="str">
        <x:v>Roles &amp; Vocations</x:v>
      </x:c>
      <x:c r="D244" s="24" t="str">
        <x:v>ROL-200</x:v>
      </x:c>
      <x:c r="E244" s="24" t="str">
        <x:f>IF(D244="","",IFERROR(VLOOKUP(D244,$A$2:$B$1656,2,FALSE),""))</x:f>
        <x:v>Rogue and Underworld Roles</x:v>
      </x:c>
      <x:c r="F244" s="24" t="n">
        <x:v>3</x:v>
      </x:c>
      <x:c r="G244" s="24" t="str">
        <x:v>Professional killer defined by secrecy, precision, poison, ritual, politics, or institutional training.</x:v>
      </x:c>
      <x:c r="H244" s="24" t="str">
        <x:v>Do not assume identical training, social status, powers, or mechanics across settings.</x:v>
      </x:c>
      <x:c r="I244" s="24" t="str">
        <x:v>assassin; killer; hitman</x:v>
      </x:c>
      <x:c r="J244" s="24" t="str">
        <x:v>Stealth, access, information, precision damage, deception, crime, or social manipulation.</x:v>
      </x:c>
      <x:c r="K244" s="24" t="str">
        <x:v>assassin; killer; hitman</x:v>
      </x:c>
      <x:c r="L244" s="24" t="str">
        <x:v>Preserve each source's ontology, culture, history, and terminology when making comparisons.</x:v>
      </x:c>
      <x:c r="M244" s="24" t="str">
        <x:v>Core Family</x:v>
      </x:c>
    </x:row>
    <x:row r="245" ht="44" customHeight="1">
      <x:c r="A245" s="24" t="str">
        <x:v>ROL-209</x:v>
      </x:c>
      <x:c r="B245" s="24" t="str">
        <x:v>Poisoner</x:v>
      </x:c>
      <x:c r="C245" s="24" t="str">
        <x:v>Roles &amp; Vocations</x:v>
      </x:c>
      <x:c r="D245" s="24" t="str">
        <x:v>ROL-200</x:v>
      </x:c>
      <x:c r="E245" s="24" t="str">
        <x:f>IF(D245="","",IFERROR(VLOOKUP(D245,$A$2:$B$1656,2,FALSE),""))</x:f>
        <x:v>Rogue and Underworld Roles</x:v>
      </x:c>
      <x:c r="F245" s="24" t="n">
        <x:v>3</x:v>
      </x:c>
      <x:c r="G245" s="24" t="str">
        <x:v>Specialist in toxins, venoms, contamination, antidotes, and covert delivery.</x:v>
      </x:c>
      <x:c r="H245" s="24" t="str">
        <x:v>Do not assume identical training, social status, powers, or mechanics across settings.</x:v>
      </x:c>
      <x:c r="I245" s="24" t="str">
        <x:v>poisoner; toxicologist; venom master</x:v>
      </x:c>
      <x:c r="J245" s="24" t="str">
        <x:v>Stealth, access, information, precision damage, deception, crime, or social manipulation.</x:v>
      </x:c>
      <x:c r="K245" s="24" t="str">
        <x:v>poisoner; toxicologist; venom master</x:v>
      </x:c>
      <x:c r="L245" s="24" t="str">
        <x:v>Preserve each source's ontology, culture, history, and terminology when making comparisons.</x:v>
      </x:c>
      <x:c r="M245" s="24" t="str">
        <x:v>Core Family</x:v>
      </x:c>
    </x:row>
    <x:row r="246" ht="44" customHeight="1">
      <x:c r="A246" s="24" t="str">
        <x:v>ROL-210</x:v>
      </x:c>
      <x:c r="B246" s="24" t="str">
        <x:v>Ninja-Derived Operative</x:v>
      </x:c>
      <x:c r="C246" s="24" t="str">
        <x:v>Roles &amp; Vocations</x:v>
      </x:c>
      <x:c r="D246" s="24" t="str">
        <x:v>ROL-200</x:v>
      </x:c>
      <x:c r="E246" s="24" t="str">
        <x:f>IF(D246="","",IFERROR(VLOOKUP(D246,$A$2:$B$1656,2,FALSE),""))</x:f>
        <x:v>Rogue and Underworld Roles</x:v>
      </x:c>
      <x:c r="F246" s="24" t="n">
        <x:v>3</x:v>
      </x:c>
      <x:c r="G246" s="24" t="str">
        <x:v>Fantasy role combining covert movement, espionage, assassination, martial arts, tools, and supernatural techniques.</x:v>
      </x:c>
      <x:c r="H246" s="24" t="str">
        <x:v>Do not assume identical training, social status, powers, or mechanics across settings.</x:v>
      </x:c>
      <x:c r="I246" s="24" t="str">
        <x:v>ninja; shinobi; kunoichi</x:v>
      </x:c>
      <x:c r="J246" s="24" t="str">
        <x:v>Stealth, access, information, precision damage, deception, crime, or social manipulation.</x:v>
      </x:c>
      <x:c r="K246" s="24" t="str">
        <x:v>ninja; shinobi; kunoichi</x:v>
      </x:c>
      <x:c r="L246" s="24" t="str">
        <x:v>Distinguish historical shinobi practices from modern fantasy ninja iconography.</x:v>
      </x:c>
      <x:c r="M246" s="24" t="str">
        <x:v>Core Family</x:v>
      </x:c>
    </x:row>
    <x:row r="247" ht="44" customHeight="1">
      <x:c r="A247" s="24" t="str">
        <x:v>ROL-211</x:v>
      </x:c>
      <x:c r="B247" s="24" t="str">
        <x:v>Saboteur</x:v>
      </x:c>
      <x:c r="C247" s="24" t="str">
        <x:v>Roles &amp; Vocations</x:v>
      </x:c>
      <x:c r="D247" s="24" t="str">
        <x:v>ROL-200</x:v>
      </x:c>
      <x:c r="E247" s="24" t="str">
        <x:f>IF(D247="","",IFERROR(VLOOKUP(D247,$A$2:$B$1656,2,FALSE),""))</x:f>
        <x:v>Rogue and Underworld Roles</x:v>
      </x:c>
      <x:c r="F247" s="24" t="n">
        <x:v>3</x:v>
      </x:c>
      <x:c r="G247" s="24" t="str">
        <x:v>Operative who disrupts infrastructure, logistics, rituals, machines, fortifications, or morale.</x:v>
      </x:c>
      <x:c r="H247" s="24" t="str">
        <x:v>Do not assume identical training, social status, powers, or mechanics across settings.</x:v>
      </x:c>
      <x:c r="I247" s="24" t="str">
        <x:v>saboteur; demolitionist; disruptor</x:v>
      </x:c>
      <x:c r="J247" s="24" t="str">
        <x:v>Stealth, access, information, precision damage, deception, crime, or social manipulation.</x:v>
      </x:c>
      <x:c r="K247" s="24" t="str">
        <x:v>saboteur; demolitionist; disruptor</x:v>
      </x:c>
      <x:c r="L247" s="24" t="str">
        <x:v>Preserve each source's ontology, culture, history, and terminology when making comparisons.</x:v>
      </x:c>
      <x:c r="M247" s="24" t="str">
        <x:v>Core Family</x:v>
      </x:c>
    </x:row>
    <x:row r="248" ht="44" customHeight="1">
      <x:c r="A248" s="24" t="str">
        <x:v>ROL-212</x:v>
      </x:c>
      <x:c r="B248" s="24" t="str">
        <x:v>Smuggler</x:v>
      </x:c>
      <x:c r="C248" s="24" t="str">
        <x:v>Roles &amp; Vocations</x:v>
      </x:c>
      <x:c r="D248" s="24" t="str">
        <x:v>ROL-200</x:v>
      </x:c>
      <x:c r="E248" s="24" t="str">
        <x:f>IF(D248="","",IFERROR(VLOOKUP(D248,$A$2:$B$1656,2,FALSE),""))</x:f>
        <x:v>Rogue and Underworld Roles</x:v>
      </x:c>
      <x:c r="F248" s="24" t="n">
        <x:v>3</x:v>
      </x:c>
      <x:c r="G248" s="24" t="str">
        <x:v>Specialist in moving people or goods across borders, blockades, laws, or magical barriers.</x:v>
      </x:c>
      <x:c r="H248" s="24" t="str">
        <x:v>Do not assume identical training, social status, powers, or mechanics across settings.</x:v>
      </x:c>
      <x:c r="I248" s="24" t="str">
        <x:v>smuggler; runner; contraband trader</x:v>
      </x:c>
      <x:c r="J248" s="24" t="str">
        <x:v>Stealth, access, information, precision damage, deception, crime, or social manipulation.</x:v>
      </x:c>
      <x:c r="K248" s="24" t="str">
        <x:v>smuggler; runner; contraband trader</x:v>
      </x:c>
      <x:c r="L248" s="24" t="str">
        <x:v>Preserve each source's ontology, culture, history, and terminology when making comparisons.</x:v>
      </x:c>
      <x:c r="M248" s="24" t="str">
        <x:v>Core Family</x:v>
      </x:c>
    </x:row>
    <x:row r="249" ht="44" customHeight="1">
      <x:c r="A249" s="24" t="str">
        <x:v>ROL-213</x:v>
      </x:c>
      <x:c r="B249" s="24" t="str">
        <x:v>Bounty Hunter</x:v>
      </x:c>
      <x:c r="C249" s="24" t="str">
        <x:v>Roles &amp; Vocations</x:v>
      </x:c>
      <x:c r="D249" s="24" t="str">
        <x:v>ROL-200</x:v>
      </x:c>
      <x:c r="E249" s="24" t="str">
        <x:f>IF(D249="","",IFERROR(VLOOKUP(D249,$A$2:$B$1656,2,FALSE),""))</x:f>
        <x:v>Rogue and Underworld Roles</x:v>
      </x:c>
      <x:c r="F249" s="24" t="n">
        <x:v>3</x:v>
      </x:c>
      <x:c r="G249" s="24" t="str">
        <x:v>Tracker who captures or kills designated targets for payment, law, or private contract.</x:v>
      </x:c>
      <x:c r="H249" s="24" t="str">
        <x:v>Do not assume identical training, social status, powers, or mechanics across settings.</x:v>
      </x:c>
      <x:c r="I249" s="24" t="str">
        <x:v>bounty hunter; pursuer</x:v>
      </x:c>
      <x:c r="J249" s="24" t="str">
        <x:v>Stealth, access, information, precision damage, deception, crime, or social manipulation.</x:v>
      </x:c>
      <x:c r="K249" s="24" t="str">
        <x:v>bounty hunter; pursuer</x:v>
      </x:c>
      <x:c r="L249" s="24" t="str">
        <x:v>Preserve each source's ontology, culture, history, and terminology when making comparisons.</x:v>
      </x:c>
      <x:c r="M249" s="24" t="str">
        <x:v>Core Family</x:v>
      </x:c>
    </x:row>
    <x:row r="250" ht="44" customHeight="1">
      <x:c r="A250" s="24" t="str">
        <x:v>ROL-214</x:v>
      </x:c>
      <x:c r="B250" s="24" t="str">
        <x:v>Treasure Hunter</x:v>
      </x:c>
      <x:c r="C250" s="24" t="str">
        <x:v>Roles &amp; Vocations</x:v>
      </x:c>
      <x:c r="D250" s="24" t="str">
        <x:v>ROL-200</x:v>
      </x:c>
      <x:c r="E250" s="24" t="str">
        <x:f>IF(D250="","",IFERROR(VLOOKUP(D250,$A$2:$B$1656,2,FALSE),""))</x:f>
        <x:v>Rogue and Underworld Roles</x:v>
      </x:c>
      <x:c r="F250" s="24" t="n">
        <x:v>3</x:v>
      </x:c>
      <x:c r="G250" s="24" t="str">
        <x:v>Explorer-thief specializing in ruins, relics, traps, maps, and contested artifacts.</x:v>
      </x:c>
      <x:c r="H250" s="24" t="str">
        <x:v>Do not assume identical training, social status, powers, or mechanics across settings.</x:v>
      </x:c>
      <x:c r="I250" s="24" t="str">
        <x:v>treasure hunter; relic seeker; tomb raider</x:v>
      </x:c>
      <x:c r="J250" s="24" t="str">
        <x:v>Stealth, access, information, precision damage, deception, crime, or social manipulation.</x:v>
      </x:c>
      <x:c r="K250" s="24" t="str">
        <x:v>treasure hunter; relic seeker; tomb raider</x:v>
      </x:c>
      <x:c r="L250" s="24" t="str">
        <x:v>Preserve each source's ontology, culture, history, and terminology when making comparisons.</x:v>
      </x:c>
      <x:c r="M250" s="24" t="str">
        <x:v>Core Family</x:v>
      </x:c>
    </x:row>
    <x:row r="251" ht="44" customHeight="1">
      <x:c r="A251" s="24" t="str">
        <x:v>ROL-215</x:v>
      </x:c>
      <x:c r="B251" s="24" t="str">
        <x:v>Gambler and Luck-Fighter</x:v>
      </x:c>
      <x:c r="C251" s="24" t="str">
        <x:v>Roles &amp; Vocations</x:v>
      </x:c>
      <x:c r="D251" s="24" t="str">
        <x:v>ROL-200</x:v>
      </x:c>
      <x:c r="E251" s="24" t="str">
        <x:f>IF(D251="","",IFERROR(VLOOKUP(D251,$A$2:$B$1656,2,FALSE),""))</x:f>
        <x:v>Rogue and Underworld Roles</x:v>
      </x:c>
      <x:c r="F251" s="24" t="n">
        <x:v>3</x:v>
      </x:c>
      <x:c r="G251" s="24" t="str">
        <x:v>Risk-based specialist whose success depends on chance, wagers, cards, dice, or probabilistic magic.</x:v>
      </x:c>
      <x:c r="H251" s="24" t="str">
        <x:v>Do not assume identical training, social status, powers, or mechanics across settings.</x:v>
      </x:c>
      <x:c r="I251" s="24" t="str">
        <x:v>gambler; cardsharp; luck mage</x:v>
      </x:c>
      <x:c r="J251" s="24" t="str">
        <x:v>Stealth, access, information, precision damage, deception, crime, or social manipulation.</x:v>
      </x:c>
      <x:c r="K251" s="24" t="str">
        <x:v>gambler; cardsharp; luck mage</x:v>
      </x:c>
      <x:c r="L251" s="24" t="str">
        <x:v>Preserve each source's ontology, culture, history, and terminology when making comparisons.</x:v>
      </x:c>
      <x:c r="M251" s="24" t="str">
        <x:v>Core Family</x:v>
      </x:c>
    </x:row>
    <x:row r="252" ht="44" customHeight="1">
      <x:c r="A252" s="24" t="str">
        <x:v>ROL-216</x:v>
      </x:c>
      <x:c r="B252" s="24" t="str">
        <x:v>Con Artist and Grifter</x:v>
      </x:c>
      <x:c r="C252" s="24" t="str">
        <x:v>Roles &amp; Vocations</x:v>
      </x:c>
      <x:c r="D252" s="24" t="str">
        <x:v>ROL-200</x:v>
      </x:c>
      <x:c r="E252" s="24" t="str">
        <x:f>IF(D252="","",IFERROR(VLOOKUP(D252,$A$2:$B$1656,2,FALSE),""))</x:f>
        <x:v>Rogue and Underworld Roles</x:v>
      </x:c>
      <x:c r="F252" s="24" t="n">
        <x:v>3</x:v>
      </x:c>
      <x:c r="G252" s="24" t="str">
        <x:v>Deceiver who manipulates trust, identity, desire, or social expectations for gain.</x:v>
      </x:c>
      <x:c r="H252" s="24" t="str">
        <x:v>Do not assume identical training, social status, powers, or mechanics across settings.</x:v>
      </x:c>
      <x:c r="I252" s="24" t="str">
        <x:v>con artist; grifter; swindler</x:v>
      </x:c>
      <x:c r="J252" s="24" t="str">
        <x:v>Stealth, access, information, precision damage, deception, crime, or social manipulation.</x:v>
      </x:c>
      <x:c r="K252" s="24" t="str">
        <x:v>con artist; grifter; swindler</x:v>
      </x:c>
      <x:c r="L252" s="24" t="str">
        <x:v>Preserve each source's ontology, culture, history, and terminology when making comparisons.</x:v>
      </x:c>
      <x:c r="M252" s="24" t="str">
        <x:v>Core Family</x:v>
      </x:c>
    </x:row>
    <x:row r="253" ht="44" customHeight="1">
      <x:c r="A253" s="24" t="str">
        <x:v>ROL-217</x:v>
      </x:c>
      <x:c r="B253" s="24" t="str">
        <x:v>Trickster</x:v>
      </x:c>
      <x:c r="C253" s="24" t="str">
        <x:v>Roles &amp; Vocations</x:v>
      </x:c>
      <x:c r="D253" s="24" t="str">
        <x:v>ROL-200</x:v>
      </x:c>
      <x:c r="E253" s="24" t="str">
        <x:f>IF(D253="","",IFERROR(VLOOKUP(D253,$A$2:$B$1656,2,FALSE),""))</x:f>
        <x:v>Rogue and Underworld Roles</x:v>
      </x:c>
      <x:c r="F253" s="24" t="n">
        <x:v>3</x:v>
      </x:c>
      <x:c r="G253" s="24" t="str">
        <x:v>Role defined by misdirection, pranks, reversals, improvisation, and rule-breaking rather than direct force.</x:v>
      </x:c>
      <x:c r="H253" s="24" t="str">
        <x:v>Do not assume identical training, social status, powers, or mechanics across settings.</x:v>
      </x:c>
      <x:c r="I253" s="24" t="str">
        <x:v>trickster; jester rogue; deceiver</x:v>
      </x:c>
      <x:c r="J253" s="24" t="str">
        <x:v>Stealth, access, information, precision damage, deception, crime, or social manipulation.</x:v>
      </x:c>
      <x:c r="K253" s="24" t="str">
        <x:v>trickster; jester rogue; deceiver</x:v>
      </x:c>
      <x:c r="L253" s="24" t="str">
        <x:v>Preserve each source's ontology, culture, history, and terminology when making comparisons.</x:v>
      </x:c>
      <x:c r="M253" s="24" t="str">
        <x:v>Core Family</x:v>
      </x:c>
    </x:row>
    <x:row r="254" ht="44" customHeight="1">
      <x:c r="A254" s="24" t="str">
        <x:v>ROL-218</x:v>
      </x:c>
      <x:c r="B254" s="24" t="str">
        <x:v>Acrobat and Mobility Specialist</x:v>
      </x:c>
      <x:c r="C254" s="24" t="str">
        <x:v>Roles &amp; Vocations</x:v>
      </x:c>
      <x:c r="D254" s="24" t="str">
        <x:v>ROL-200</x:v>
      </x:c>
      <x:c r="E254" s="24" t="str">
        <x:f>IF(D254="","",IFERROR(VLOOKUP(D254,$A$2:$B$1656,2,FALSE),""))</x:f>
        <x:v>Rogue and Underworld Roles</x:v>
      </x:c>
      <x:c r="F254" s="24" t="n">
        <x:v>3</x:v>
      </x:c>
      <x:c r="G254" s="24" t="str">
        <x:v>Operative whose exceptional movement, balance, climbing, tumbling, or performance enables infiltration and combat.</x:v>
      </x:c>
      <x:c r="H254" s="24" t="str">
        <x:v>Do not assume identical training, social status, powers, or mechanics across settings.</x:v>
      </x:c>
      <x:c r="I254" s="24" t="str">
        <x:v>acrobat; tumbler; aerialist</x:v>
      </x:c>
      <x:c r="J254" s="24" t="str">
        <x:v>Stealth, access, information, precision damage, deception, crime, or social manipulation.</x:v>
      </x:c>
      <x:c r="K254" s="24" t="str">
        <x:v>acrobat; tumbler; aerialist</x:v>
      </x:c>
      <x:c r="L254" s="24" t="str">
        <x:v>Preserve each source's ontology, culture, history, and terminology when making comparisons.</x:v>
      </x:c>
      <x:c r="M254" s="24" t="str">
        <x:v>Core Family</x:v>
      </x:c>
    </x:row>
    <x:row r="255" ht="44" customHeight="1">
      <x:c r="A255" s="24" t="str">
        <x:v>ROL-219</x:v>
      </x:c>
      <x:c r="B255" s="24" t="str">
        <x:v>Shadowblade</x:v>
      </x:c>
      <x:c r="C255" s="24" t="str">
        <x:v>Roles &amp; Vocations</x:v>
      </x:c>
      <x:c r="D255" s="24" t="str">
        <x:v>ROL-200</x:v>
      </x:c>
      <x:c r="E255" s="24" t="str">
        <x:f>IF(D255="","",IFERROR(VLOOKUP(D255,$A$2:$B$1656,2,FALSE),""))</x:f>
        <x:v>Rogue and Underworld Roles</x:v>
      </x:c>
      <x:c r="F255" s="24" t="n">
        <x:v>3</x:v>
      </x:c>
      <x:c r="G255" s="24" t="str">
        <x:v>Stealth combatant augmented by shadow, teleportation, illusion, curse, or magical concealment.</x:v>
      </x:c>
      <x:c r="H255" s="24" t="str">
        <x:v>Do not assume identical training, social status, powers, or mechanics across settings.</x:v>
      </x:c>
      <x:c r="I255" s="24" t="str">
        <x:v>shadowblade; nightblade; arcane assassin</x:v>
      </x:c>
      <x:c r="J255" s="24" t="str">
        <x:v>Stealth, access, information, precision damage, deception, crime, or social manipulation.</x:v>
      </x:c>
      <x:c r="K255" s="24" t="str">
        <x:v>shadowblade; nightblade; arcane assassin</x:v>
      </x:c>
      <x:c r="L255" s="24" t="str">
        <x:v>Preserve each source's ontology, culture, history, and terminology when making comparisons.</x:v>
      </x:c>
      <x:c r="M255" s="24" t="str">
        <x:v>Core Family</x:v>
      </x:c>
    </x:row>
    <x:row r="256" ht="44" customHeight="1">
      <x:c r="A256" s="24" t="str">
        <x:v>ROL-220</x:v>
      </x:c>
      <x:c r="B256" s="24" t="str">
        <x:v>Pirate Rogue</x:v>
      </x:c>
      <x:c r="C256" s="24" t="str">
        <x:v>Roles &amp; Vocations</x:v>
      </x:c>
      <x:c r="D256" s="24" t="str">
        <x:v>ROL-200</x:v>
      </x:c>
      <x:c r="E256" s="24" t="str">
        <x:f>IF(D256="","",IFERROR(VLOOKUP(D256,$A$2:$B$1656,2,FALSE),""))</x:f>
        <x:v>Rogue and Underworld Roles</x:v>
      </x:c>
      <x:c r="F256" s="24" t="n">
        <x:v>3</x:v>
      </x:c>
      <x:c r="G256" s="24" t="str">
        <x:v>Maritime outlaw emphasizing boarding, trickery, pistols, knives, treasure, and charismatic command.</x:v>
      </x:c>
      <x:c r="H256" s="24" t="str">
        <x:v>Do not assume identical training, social status, powers, or mechanics across settings.</x:v>
      </x:c>
      <x:c r="I256" s="24" t="str">
        <x:v>pirate rogue; swashbuckler</x:v>
      </x:c>
      <x:c r="J256" s="24" t="str">
        <x:v>Stealth, access, information, precision damage, deception, crime, or social manipulation.</x:v>
      </x:c>
      <x:c r="K256" s="24" t="str">
        <x:v>pirate rogue; swashbuckler</x:v>
      </x:c>
      <x:c r="L256" s="24" t="str">
        <x:v>Preserve each source's ontology, culture, history, and terminology when making comparisons.</x:v>
      </x:c>
      <x:c r="M256" s="24" t="str">
        <x:v>Core Family</x:v>
      </x:c>
    </x:row>
    <x:row r="257" ht="44" customHeight="1">
      <x:c r="A257" s="24" t="str">
        <x:v>ROL-221</x:v>
      </x:c>
      <x:c r="B257" s="24" t="str">
        <x:v>Information Broker</x:v>
      </x:c>
      <x:c r="C257" s="24" t="str">
        <x:v>Roles &amp; Vocations</x:v>
      </x:c>
      <x:c r="D257" s="24" t="str">
        <x:v>ROL-200</x:v>
      </x:c>
      <x:c r="E257" s="24" t="str">
        <x:f>IF(D257="","",IFERROR(VLOOKUP(D257,$A$2:$B$1656,2,FALSE),""))</x:f>
        <x:v>Rogue and Underworld Roles</x:v>
      </x:c>
      <x:c r="F257" s="24" t="n">
        <x:v>3</x:v>
      </x:c>
      <x:c r="G257" s="24" t="str">
        <x:v>Underworld professional who trades secrets, rumors, identities, and access.</x:v>
      </x:c>
      <x:c r="H257" s="24" t="str">
        <x:v>Do not assume identical training, social status, powers, or mechanics across settings.</x:v>
      </x:c>
      <x:c r="I257" s="24" t="str">
        <x:v>information broker; fixer; whisper merchant</x:v>
      </x:c>
      <x:c r="J257" s="24" t="str">
        <x:v>Stealth, access, information, precision damage, deception, crime, or social manipulation.</x:v>
      </x:c>
      <x:c r="K257" s="24" t="str">
        <x:v>information broker; fixer; whisper merchant</x:v>
      </x:c>
      <x:c r="L257" s="24" t="str">
        <x:v>Preserve each source's ontology, culture, history, and terminology when making comparisons.</x:v>
      </x:c>
      <x:c r="M257" s="24" t="str">
        <x:v>Core Family</x:v>
      </x:c>
    </x:row>
    <x:row r="258" ht="44" customHeight="1">
      <x:c r="A258" s="24" t="str">
        <x:v>ROL-222</x:v>
      </x:c>
      <x:c r="B258" s="24" t="str">
        <x:v>Mastermind</x:v>
      </x:c>
      <x:c r="C258" s="24" t="str">
        <x:v>Roles &amp; Vocations</x:v>
      </x:c>
      <x:c r="D258" s="24" t="str">
        <x:v>ROL-200</x:v>
      </x:c>
      <x:c r="E258" s="24" t="str">
        <x:f>IF(D258="","",IFERROR(VLOOKUP(D258,$A$2:$B$1656,2,FALSE),""))</x:f>
        <x:v>Rogue and Underworld Roles</x:v>
      </x:c>
      <x:c r="F258" s="24" t="n">
        <x:v>3</x:v>
      </x:c>
      <x:c r="G258" s="24" t="str">
        <x:v>Planner who coordinates crimes, manipulations, agents, and contingencies from a strategic position.</x:v>
      </x:c>
      <x:c r="H258" s="24" t="str">
        <x:v>Do not assume identical training, social status, powers, or mechanics across settings.</x:v>
      </x:c>
      <x:c r="I258" s="24" t="str">
        <x:v>mastermind; criminal planner</x:v>
      </x:c>
      <x:c r="J258" s="24" t="str">
        <x:v>Stealth, access, information, precision damage, deception, crime, or social manipulation.</x:v>
      </x:c>
      <x:c r="K258" s="24" t="str">
        <x:v>mastermind; criminal planner</x:v>
      </x:c>
      <x:c r="L258" s="24" t="str">
        <x:v>Preserve each source's ontology, culture, history, and terminology when making comparisons.</x:v>
      </x:c>
      <x:c r="M258" s="24" t="str">
        <x:v>Core Family</x:v>
      </x:c>
    </x:row>
    <x:row r="259" ht="44" customHeight="1">
      <x:c r="A259" s="24" t="str">
        <x:v>ROL-223</x:v>
      </x:c>
      <x:c r="B259" s="24" t="str">
        <x:v>Noble Rogue</x:v>
      </x:c>
      <x:c r="C259" s="24" t="str">
        <x:v>Roles &amp; Vocations</x:v>
      </x:c>
      <x:c r="D259" s="24" t="str">
        <x:v>ROL-200</x:v>
      </x:c>
      <x:c r="E259" s="24" t="str">
        <x:f>IF(D259="","",IFERROR(VLOOKUP(D259,$A$2:$B$1656,2,FALSE),""))</x:f>
        <x:v>Rogue and Underworld Roles</x:v>
      </x:c>
      <x:c r="F259" s="24" t="n">
        <x:v>3</x:v>
      </x:c>
      <x:c r="G259" s="24" t="str">
        <x:v>Privileged or courtly figure who uses charm, fencing, scandal, and covert action rather than conventional rule.</x:v>
      </x:c>
      <x:c r="H259" s="24" t="str">
        <x:v>Do not assume identical training, social status, powers, or mechanics across settings.</x:v>
      </x:c>
      <x:c r="I259" s="24" t="str">
        <x:v>gentleman thief; court rogue; masked avenger</x:v>
      </x:c>
      <x:c r="J259" s="24" t="str">
        <x:v>Stealth, access, information, precision damage, deception, crime, or social manipulation.</x:v>
      </x:c>
      <x:c r="K259" s="24" t="str">
        <x:v>gentleman thief; court rogue; masked avenger</x:v>
      </x:c>
      <x:c r="L259" s="24" t="str">
        <x:v>Preserve each source's ontology, culture, history, and terminology when making comparisons.</x:v>
      </x:c>
      <x:c r="M259" s="24" t="str">
        <x:v>Core Family</x:v>
      </x:c>
    </x:row>
    <x:row r="260" ht="44" customHeight="1">
      <x:c r="A260" s="24" t="str">
        <x:v>ROL-301</x:v>
      </x:c>
      <x:c r="B260" s="24" t="str">
        <x:v>Mage and Wizard</x:v>
      </x:c>
      <x:c r="C260" s="24" t="str">
        <x:v>Roles &amp; Vocations</x:v>
      </x:c>
      <x:c r="D260" s="24" t="str">
        <x:v>ROL-300</x:v>
      </x:c>
      <x:c r="E260" s="24" t="str">
        <x:f>IF(D260="","",IFERROR(VLOOKUP(D260,$A$2:$B$1656,2,FALSE),""))</x:f>
        <x:v>Arcane and Scholarly Magic Roles</x:v>
      </x:c>
      <x:c r="F260" s="24" t="n">
        <x:v>3</x:v>
      </x:c>
      <x:c r="G260" s="24" t="str">
        <x:v>Broad practitioner of magic through study, training, formulae, language, or disciplined technique.</x:v>
      </x:c>
      <x:c r="H260" s="24" t="str">
        <x:v>Do not assume identical training, social status, powers, or mechanics across settings.</x:v>
      </x:c>
      <x:c r="I260" s="24" t="str">
        <x:v>mage; wizard; magic-user</x:v>
      </x:c>
      <x:c r="J260" s="24" t="str">
        <x:v>Spellcasting, magical research, battlefield control, transformation, summoning, or supernatural problem solving.</x:v>
      </x:c>
      <x:c r="K260" s="24" t="str">
        <x:v>mage; wizard; magic-user</x:v>
      </x:c>
      <x:c r="L260" s="24" t="str">
        <x:v>Preserve each source's ontology, culture, history, and terminology when making comparisons.</x:v>
      </x:c>
      <x:c r="M260" s="24" t="str">
        <x:v>Core Family</x:v>
      </x:c>
    </x:row>
    <x:row r="261" ht="44" customHeight="1">
      <x:c r="A261" s="24" t="str">
        <x:v>ROL-302</x:v>
      </x:c>
      <x:c r="B261" s="24" t="str">
        <x:v>Sorcerer</x:v>
      </x:c>
      <x:c r="C261" s="24" t="str">
        <x:v>Roles &amp; Vocations</x:v>
      </x:c>
      <x:c r="D261" s="24" t="str">
        <x:v>ROL-300</x:v>
      </x:c>
      <x:c r="E261" s="24" t="str">
        <x:f>IF(D261="","",IFERROR(VLOOKUP(D261,$A$2:$B$1656,2,FALSE),""))</x:f>
        <x:v>Arcane and Scholarly Magic Roles</x:v>
      </x:c>
      <x:c r="F261" s="24" t="n">
        <x:v>3</x:v>
      </x:c>
      <x:c r="G261" s="24" t="str">
        <x:v>Magic user whose power is innate, inherited, bodily, emotional, or spontaneously expressed.</x:v>
      </x:c>
      <x:c r="H261" s="24" t="str">
        <x:v>Do not assume identical training, social status, powers, or mechanics across settings.</x:v>
      </x:c>
      <x:c r="I261" s="24" t="str">
        <x:v>sorcerer; sorceress; innate caster</x:v>
      </x:c>
      <x:c r="J261" s="24" t="str">
        <x:v>Spellcasting, magical research, battlefield control, transformation, summoning, or supernatural problem solving.</x:v>
      </x:c>
      <x:c r="K261" s="24" t="str">
        <x:v>sorcerer; sorceress; innate caster</x:v>
      </x:c>
      <x:c r="L261" s="24" t="str">
        <x:v>Preserve each source's ontology, culture, history, and terminology when making comparisons.</x:v>
      </x:c>
      <x:c r="M261" s="24" t="str">
        <x:v>Core Family</x:v>
      </x:c>
    </x:row>
    <x:row r="262" ht="44" customHeight="1">
      <x:c r="A262" s="24" t="str">
        <x:v>ROL-303</x:v>
      </x:c>
      <x:c r="B262" s="24" t="str">
        <x:v>Witch</x:v>
      </x:c>
      <x:c r="C262" s="24" t="str">
        <x:v>Roles &amp; Vocations</x:v>
      </x:c>
      <x:c r="D262" s="24" t="str">
        <x:v>ROL-300</x:v>
      </x:c>
      <x:c r="E262" s="24" t="str">
        <x:f>IF(D262="","",IFERROR(VLOOKUP(D262,$A$2:$B$1656,2,FALSE),""))</x:f>
        <x:v>Arcane and Scholarly Magic Roles</x:v>
      </x:c>
      <x:c r="F262" s="24" t="n">
        <x:v>3</x:v>
      </x:c>
      <x:c r="G262" s="24" t="str">
        <x:v>Magic practitioner associated with folk knowledge, taboo power, curses, healing, covens, spirits, gendered persecution, or ambiguous social status.</x:v>
      </x:c>
      <x:c r="H262" s="24" t="str">
        <x:v>Do not assume identical training, social status, powers, or mechanics across settings.</x:v>
      </x:c>
      <x:c r="I262" s="24" t="str">
        <x:v>witch; hedge witch; wise woman</x:v>
      </x:c>
      <x:c r="J262" s="24" t="str">
        <x:v>Spellcasting, magical research, battlefield control, transformation, summoning, or supernatural problem solving.</x:v>
      </x:c>
      <x:c r="K262" s="24" t="str">
        <x:v>witch; hedge witch; wise woman</x:v>
      </x:c>
      <x:c r="L262" s="24" t="str">
        <x:v>The term spans historical accusation, folk practitioner, religious identity, and fantasy class; record source context.</x:v>
      </x:c>
      <x:c r="M262" s="24" t="str">
        <x:v>Core Family</x:v>
      </x:c>
    </x:row>
    <x:row r="263" ht="44" customHeight="1">
      <x:c r="A263" s="24" t="str">
        <x:v>ROL-304</x:v>
      </x:c>
      <x:c r="B263" s="24" t="str">
        <x:v>Warlock</x:v>
      </x:c>
      <x:c r="C263" s="24" t="str">
        <x:v>Roles &amp; Vocations</x:v>
      </x:c>
      <x:c r="D263" s="24" t="str">
        <x:v>ROL-300</x:v>
      </x:c>
      <x:c r="E263" s="24" t="str">
        <x:f>IF(D263="","",IFERROR(VLOOKUP(D263,$A$2:$B$1656,2,FALSE),""))</x:f>
        <x:v>Arcane and Scholarly Magic Roles</x:v>
      </x:c>
      <x:c r="F263" s="24" t="n">
        <x:v>3</x:v>
      </x:c>
      <x:c r="G263" s="24" t="str">
        <x:v>Magic user whose identity often involves pacts, forbidden study, male witchcraft, or socially suspect power.</x:v>
      </x:c>
      <x:c r="H263" s="24" t="str">
        <x:v>Do not assume identical training, social status, powers, or mechanics across settings.</x:v>
      </x:c>
      <x:c r="I263" s="24" t="str">
        <x:v>warlock; pact mage; forbidden caster</x:v>
      </x:c>
      <x:c r="J263" s="24" t="str">
        <x:v>Spellcasting, magical research, battlefield control, transformation, summoning, or supernatural problem solving.</x:v>
      </x:c>
      <x:c r="K263" s="24" t="str">
        <x:v>warlock; pact mage; forbidden caster</x:v>
      </x:c>
      <x:c r="L263" s="24" t="str">
        <x:v>Preserve each source's ontology, culture, history, and terminology when making comparisons.</x:v>
      </x:c>
      <x:c r="M263" s="24" t="str">
        <x:v>Core Family</x:v>
      </x:c>
    </x:row>
    <x:row r="264" ht="44" customHeight="1">
      <x:c r="A264" s="24" t="str">
        <x:v>ROL-305</x:v>
      </x:c>
      <x:c r="B264" s="24" t="str">
        <x:v>Arcanist</x:v>
      </x:c>
      <x:c r="C264" s="24" t="str">
        <x:v>Roles &amp; Vocations</x:v>
      </x:c>
      <x:c r="D264" s="24" t="str">
        <x:v>ROL-300</x:v>
      </x:c>
      <x:c r="E264" s="24" t="str">
        <x:f>IF(D264="","",IFERROR(VLOOKUP(D264,$A$2:$B$1656,2,FALSE),""))</x:f>
        <x:v>Arcane and Scholarly Magic Roles</x:v>
      </x:c>
      <x:c r="F264" s="24" t="n">
        <x:v>3</x:v>
      </x:c>
      <x:c r="G264" s="24" t="str">
        <x:v>Technical specialist in abstract magical theory, formulae, and controlled application.</x:v>
      </x:c>
      <x:c r="H264" s="24" t="str">
        <x:v>Do not assume identical training, social status, powers, or mechanics across settings.</x:v>
      </x:c>
      <x:c r="I264" s="24" t="str">
        <x:v>arcanist; arcane scholar</x:v>
      </x:c>
      <x:c r="J264" s="24" t="str">
        <x:v>Spellcasting, magical research, battlefield control, transformation, summoning, or supernatural problem solving.</x:v>
      </x:c>
      <x:c r="K264" s="24" t="str">
        <x:v>arcanist; arcane scholar</x:v>
      </x:c>
      <x:c r="L264" s="24" t="str">
        <x:v>Preserve each source's ontology, culture, history, and terminology when making comparisons.</x:v>
      </x:c>
      <x:c r="M264" s="24" t="str">
        <x:v>Core Family</x:v>
      </x:c>
    </x:row>
    <x:row r="265" ht="44" customHeight="1">
      <x:c r="A265" s="24" t="str">
        <x:v>ROL-306</x:v>
      </x:c>
      <x:c r="B265" s="24" t="str">
        <x:v>Magical Scholar</x:v>
      </x:c>
      <x:c r="C265" s="24" t="str">
        <x:v>Roles &amp; Vocations</x:v>
      </x:c>
      <x:c r="D265" s="24" t="str">
        <x:v>ROL-300</x:v>
      </x:c>
      <x:c r="E265" s="24" t="str">
        <x:f>IF(D265="","",IFERROR(VLOOKUP(D265,$A$2:$B$1656,2,FALSE),""))</x:f>
        <x:v>Arcane and Scholarly Magic Roles</x:v>
      </x:c>
      <x:c r="F265" s="24" t="n">
        <x:v>3</x:v>
      </x:c>
      <x:c r="G265" s="24" t="str">
        <x:v>Researcher who studies magic historically, experimentally, or philologically without necessarily serving as a combat caster.</x:v>
      </x:c>
      <x:c r="H265" s="24" t="str">
        <x:v>Do not assume identical training, social status, powers, or mechanics across settings.</x:v>
      </x:c>
      <x:c r="I265" s="24" t="str">
        <x:v>magic scholar; researcher; occult academic</x:v>
      </x:c>
      <x:c r="J265" s="24" t="str">
        <x:v>Spellcasting, magical research, battlefield control, transformation, summoning, or supernatural problem solving.</x:v>
      </x:c>
      <x:c r="K265" s="24" t="str">
        <x:v>magic scholar; researcher; occult academic</x:v>
      </x:c>
      <x:c r="L265" s="24" t="str">
        <x:v>Preserve each source's ontology, culture, history, and terminology when making comparisons.</x:v>
      </x:c>
      <x:c r="M265" s="24" t="str">
        <x:v>Core Family</x:v>
      </x:c>
    </x:row>
    <x:row r="266" ht="44" customHeight="1">
      <x:c r="A266" s="24" t="str">
        <x:v>ROL-307</x:v>
      </x:c>
      <x:c r="B266" s="24" t="str">
        <x:v>Sage</x:v>
      </x:c>
      <x:c r="C266" s="24" t="str">
        <x:v>Roles &amp; Vocations</x:v>
      </x:c>
      <x:c r="D266" s="24" t="str">
        <x:v>ROL-300</x:v>
      </x:c>
      <x:c r="E266" s="24" t="str">
        <x:f>IF(D266="","",IFERROR(VLOOKUP(D266,$A$2:$B$1656,2,FALSE),""))</x:f>
        <x:v>Arcane and Scholarly Magic Roles</x:v>
      </x:c>
      <x:c r="F266" s="24" t="n">
        <x:v>3</x:v>
      </x:c>
      <x:c r="G266" s="24" t="str">
        <x:v>High-level learned figure combining broad magical, historical, philosophical, and advisory expertise.</x:v>
      </x:c>
      <x:c r="H266" s="24" t="str">
        <x:v>Do not assume identical training, social status, powers, or mechanics across settings.</x:v>
      </x:c>
      <x:c r="I266" s="24" t="str">
        <x:v>sage; loremaster; wise one</x:v>
      </x:c>
      <x:c r="J266" s="24" t="str">
        <x:v>Spellcasting, magical research, battlefield control, transformation, summoning, or supernatural problem solving.</x:v>
      </x:c>
      <x:c r="K266" s="24" t="str">
        <x:v>sage; loremaster; wise one</x:v>
      </x:c>
      <x:c r="L266" s="24" t="str">
        <x:v>Preserve each source's ontology, culture, history, and terminology when making comparisons.</x:v>
      </x:c>
      <x:c r="M266" s="24" t="str">
        <x:v>Core Family</x:v>
      </x:c>
    </x:row>
    <x:row r="267" ht="44" customHeight="1">
      <x:c r="A267" s="24" t="str">
        <x:v>ROL-308</x:v>
      </x:c>
      <x:c r="B267" s="24" t="str">
        <x:v>Ritualist</x:v>
      </x:c>
      <x:c r="C267" s="24" t="str">
        <x:v>Roles &amp; Vocations</x:v>
      </x:c>
      <x:c r="D267" s="24" t="str">
        <x:v>ROL-300</x:v>
      </x:c>
      <x:c r="E267" s="24" t="str">
        <x:f>IF(D267="","",IFERROR(VLOOKUP(D267,$A$2:$B$1656,2,FALSE),""))</x:f>
        <x:v>Arcane and Scholarly Magic Roles</x:v>
      </x:c>
      <x:c r="F267" s="24" t="n">
        <x:v>3</x:v>
      </x:c>
      <x:c r="G267" s="24" t="str">
        <x:v>Practitioner whose power depends on prepared ceremonies, symbols, participants, timing, and material components.</x:v>
      </x:c>
      <x:c r="H267" s="24" t="str">
        <x:v>Do not assume identical training, social status, powers, or mechanics across settings.</x:v>
      </x:c>
      <x:c r="I267" s="24" t="str">
        <x:v>ritualist; ceremonial magician</x:v>
      </x:c>
      <x:c r="J267" s="24" t="str">
        <x:v>Spellcasting, magical research, battlefield control, transformation, summoning, or supernatural problem solving.</x:v>
      </x:c>
      <x:c r="K267" s="24" t="str">
        <x:v>ritualist; ceremonial magician</x:v>
      </x:c>
      <x:c r="L267" s="24" t="str">
        <x:v>Preserve each source's ontology, culture, history, and terminology when making comparisons.</x:v>
      </x:c>
      <x:c r="M267" s="24" t="str">
        <x:v>Core Family</x:v>
      </x:c>
    </x:row>
    <x:row r="268" ht="44" customHeight="1">
      <x:c r="A268" s="24" t="str">
        <x:v>ROL-309</x:v>
      </x:c>
      <x:c r="B268" s="24" t="str">
        <x:v>Hedge Mage</x:v>
      </x:c>
      <x:c r="C268" s="24" t="str">
        <x:v>Roles &amp; Vocations</x:v>
      </x:c>
      <x:c r="D268" s="24" t="str">
        <x:v>ROL-300</x:v>
      </x:c>
      <x:c r="E268" s="24" t="str">
        <x:f>IF(D268="","",IFERROR(VLOOKUP(D268,$A$2:$B$1656,2,FALSE),""))</x:f>
        <x:v>Arcane and Scholarly Magic Roles</x:v>
      </x:c>
      <x:c r="F268" s="24" t="n">
        <x:v>3</x:v>
      </x:c>
      <x:c r="G268" s="24" t="str">
        <x:v>Locally trained or self-taught practitioner working outside elite institutions.</x:v>
      </x:c>
      <x:c r="H268" s="24" t="str">
        <x:v>Do not assume identical training, social status, powers, or mechanics across settings.</x:v>
      </x:c>
      <x:c r="I268" s="24" t="str">
        <x:v>hedge mage; village magician; hedge wizard</x:v>
      </x:c>
      <x:c r="J268" s="24" t="str">
        <x:v>Spellcasting, magical research, battlefield control, transformation, summoning, or supernatural problem solving.</x:v>
      </x:c>
      <x:c r="K268" s="24" t="str">
        <x:v>hedge mage; village magician; hedge wizard</x:v>
      </x:c>
      <x:c r="L268" s="24" t="str">
        <x:v>Preserve each source's ontology, culture, history, and terminology when making comparisons.</x:v>
      </x:c>
      <x:c r="M268" s="24" t="str">
        <x:v>Core Family</x:v>
      </x:c>
    </x:row>
    <x:row r="269" ht="44" customHeight="1">
      <x:c r="A269" s="24" t="str">
        <x:v>ROL-310</x:v>
      </x:c>
      <x:c r="B269" s="24" t="str">
        <x:v>Wild Mage</x:v>
      </x:c>
      <x:c r="C269" s="24" t="str">
        <x:v>Roles &amp; Vocations</x:v>
      </x:c>
      <x:c r="D269" s="24" t="str">
        <x:v>ROL-300</x:v>
      </x:c>
      <x:c r="E269" s="24" t="str">
        <x:f>IF(D269="","",IFERROR(VLOOKUP(D269,$A$2:$B$1656,2,FALSE),""))</x:f>
        <x:v>Arcane and Scholarly Magic Roles</x:v>
      </x:c>
      <x:c r="F269" s="24" t="n">
        <x:v>3</x:v>
      </x:c>
      <x:c r="G269" s="24" t="str">
        <x:v>Caster whose power is unstable, improvisational, chaotic, emotionally volatile, or probabilistic.</x:v>
      </x:c>
      <x:c r="H269" s="24" t="str">
        <x:v>Do not assume identical training, social status, powers, or mechanics across settings.</x:v>
      </x:c>
      <x:c r="I269" s="24" t="str">
        <x:v>wild mage; chaos caster</x:v>
      </x:c>
      <x:c r="J269" s="24" t="str">
        <x:v>Spellcasting, magical research, battlefield control, transformation, summoning, or supernatural problem solving.</x:v>
      </x:c>
      <x:c r="K269" s="24" t="str">
        <x:v>wild mage; chaos caster</x:v>
      </x:c>
      <x:c r="L269" s="24" t="str">
        <x:v>Preserve each source's ontology, culture, history, and terminology when making comparisons.</x:v>
      </x:c>
      <x:c r="M269" s="24" t="str">
        <x:v>Core Family</x:v>
      </x:c>
    </x:row>
    <x:row r="270" ht="44" customHeight="1">
      <x:c r="A270" s="24" t="str">
        <x:v>ROL-311</x:v>
      </x:c>
      <x:c r="B270" s="24" t="str">
        <x:v>Enchanter</x:v>
      </x:c>
      <x:c r="C270" s="24" t="str">
        <x:v>Roles &amp; Vocations</x:v>
      </x:c>
      <x:c r="D270" s="24" t="str">
        <x:v>ROL-300</x:v>
      </x:c>
      <x:c r="E270" s="24" t="str">
        <x:f>IF(D270="","",IFERROR(VLOOKUP(D270,$A$2:$B$1656,2,FALSE),""))</x:f>
        <x:v>Arcane and Scholarly Magic Roles</x:v>
      </x:c>
      <x:c r="F270" s="24" t="n">
        <x:v>3</x:v>
      </x:c>
      <x:c r="G270" s="24" t="str">
        <x:v>Magic user who alters minds, emotions, objects, qualities, or persistent magical properties.</x:v>
      </x:c>
      <x:c r="H270" s="24" t="str">
        <x:v>Do not assume identical training, social status, powers, or mechanics across settings.</x:v>
      </x:c>
      <x:c r="I270" s="24" t="str">
        <x:v>enchanter; charm mage; item enchanter</x:v>
      </x:c>
      <x:c r="J270" s="24" t="str">
        <x:v>Spellcasting, magical research, battlefield control, transformation, summoning, or supernatural problem solving.</x:v>
      </x:c>
      <x:c r="K270" s="24" t="str">
        <x:v>enchanter; charm mage; item enchanter</x:v>
      </x:c>
      <x:c r="L270" s="24" t="str">
        <x:v>Preserve each source's ontology, culture, history, and terminology when making comparisons.</x:v>
      </x:c>
      <x:c r="M270" s="24" t="str">
        <x:v>Core Family</x:v>
      </x:c>
    </x:row>
    <x:row r="271" ht="44" customHeight="1">
      <x:c r="A271" s="24" t="str">
        <x:v>ROL-312</x:v>
      </x:c>
      <x:c r="B271" s="24" t="str">
        <x:v>Illusionist</x:v>
      </x:c>
      <x:c r="C271" s="24" t="str">
        <x:v>Roles &amp; Vocations</x:v>
      </x:c>
      <x:c r="D271" s="24" t="str">
        <x:v>ROL-300</x:v>
      </x:c>
      <x:c r="E271" s="24" t="str">
        <x:f>IF(D271="","",IFERROR(VLOOKUP(D271,$A$2:$B$1656,2,FALSE),""))</x:f>
        <x:v>Arcane and Scholarly Magic Roles</x:v>
      </x:c>
      <x:c r="F271" s="24" t="n">
        <x:v>3</x:v>
      </x:c>
      <x:c r="G271" s="24" t="str">
        <x:v>Specialist in false perception, sensory construction, concealment, phantasm, and manipulated belief.</x:v>
      </x:c>
      <x:c r="H271" s="24" t="str">
        <x:v>Do not assume identical training, social status, powers, or mechanics across settings.</x:v>
      </x:c>
      <x:c r="I271" s="24" t="str">
        <x:v>illusionist; glamor mage</x:v>
      </x:c>
      <x:c r="J271" s="24" t="str">
        <x:v>Spellcasting, magical research, battlefield control, transformation, summoning, or supernatural problem solving.</x:v>
      </x:c>
      <x:c r="K271" s="24" t="str">
        <x:v>illusionist; glamor mage</x:v>
      </x:c>
      <x:c r="L271" s="24" t="str">
        <x:v>Preserve each source's ontology, culture, history, and terminology when making comparisons.</x:v>
      </x:c>
      <x:c r="M271" s="24" t="str">
        <x:v>Core Family</x:v>
      </x:c>
    </x:row>
    <x:row r="272" ht="44" customHeight="1">
      <x:c r="A272" s="24" t="str">
        <x:v>ROL-313</x:v>
      </x:c>
      <x:c r="B272" s="24" t="str">
        <x:v>Conjurer</x:v>
      </x:c>
      <x:c r="C272" s="24" t="str">
        <x:v>Roles &amp; Vocations</x:v>
      </x:c>
      <x:c r="D272" s="24" t="str">
        <x:v>ROL-300</x:v>
      </x:c>
      <x:c r="E272" s="24" t="str">
        <x:f>IF(D272="","",IFERROR(VLOOKUP(D272,$A$2:$B$1656,2,FALSE),""))</x:f>
        <x:v>Arcane and Scholarly Magic Roles</x:v>
      </x:c>
      <x:c r="F272" s="24" t="n">
        <x:v>3</x:v>
      </x:c>
      <x:c r="G272" s="24" t="str">
        <x:v>Caster who creates, transports, or calls creatures, objects, and phenomena into a location.</x:v>
      </x:c>
      <x:c r="H272" s="24" t="str">
        <x:v>Do not assume identical training, social status, powers, or mechanics across settings.</x:v>
      </x:c>
      <x:c r="I272" s="24" t="str">
        <x:v>conjurer; conjuration mage</x:v>
      </x:c>
      <x:c r="J272" s="24" t="str">
        <x:v>Spellcasting, magical research, battlefield control, transformation, summoning, or supernatural problem solving.</x:v>
      </x:c>
      <x:c r="K272" s="24" t="str">
        <x:v>conjurer; conjuration mage</x:v>
      </x:c>
      <x:c r="L272" s="24" t="str">
        <x:v>Preserve each source's ontology, culture, history, and terminology when making comparisons.</x:v>
      </x:c>
      <x:c r="M272" s="24" t="str">
        <x:v>Core Family</x:v>
      </x:c>
    </x:row>
    <x:row r="273" ht="44" customHeight="1">
      <x:c r="A273" s="24" t="str">
        <x:v>ROL-314</x:v>
      </x:c>
      <x:c r="B273" s="24" t="str">
        <x:v>Summoner</x:v>
      </x:c>
      <x:c r="C273" s="24" t="str">
        <x:v>Roles &amp; Vocations</x:v>
      </x:c>
      <x:c r="D273" s="24" t="str">
        <x:v>ROL-300</x:v>
      </x:c>
      <x:c r="E273" s="24" t="str">
        <x:f>IF(D273="","",IFERROR(VLOOKUP(D273,$A$2:$B$1656,2,FALSE),""))</x:f>
        <x:v>Arcane and Scholarly Magic Roles</x:v>
      </x:c>
      <x:c r="F273" s="24" t="n">
        <x:v>3</x:v>
      </x:c>
      <x:c r="G273" s="24" t="str">
        <x:v>Caster whose primary power comes from calling and directing spirits, monsters, eidolons, demons, or divine beings.</x:v>
      </x:c>
      <x:c r="H273" s="24" t="str">
        <x:v>Do not assume identical training, social status, powers, or mechanics across settings.</x:v>
      </x:c>
      <x:c r="I273" s="24" t="str">
        <x:v>summoner; caller; evoker</x:v>
      </x:c>
      <x:c r="J273" s="24" t="str">
        <x:v>Spellcasting, magical research, battlefield control, transformation, summoning, or supernatural problem solving.</x:v>
      </x:c>
      <x:c r="K273" s="24" t="str">
        <x:v>summoner; caller; evoker</x:v>
      </x:c>
      <x:c r="L273" s="24" t="str">
        <x:v>Preserve each source's ontology, culture, history, and terminology when making comparisons.</x:v>
      </x:c>
      <x:c r="M273" s="24" t="str">
        <x:v>Core Family</x:v>
      </x:c>
    </x:row>
    <x:row r="274" ht="44" customHeight="1">
      <x:c r="A274" s="24" t="str">
        <x:v>ROL-315</x:v>
      </x:c>
      <x:c r="B274" s="24" t="str">
        <x:v>Necromancer</x:v>
      </x:c>
      <x:c r="C274" s="24" t="str">
        <x:v>Roles &amp; Vocations</x:v>
      </x:c>
      <x:c r="D274" s="24" t="str">
        <x:v>ROL-300</x:v>
      </x:c>
      <x:c r="E274" s="24" t="str">
        <x:f>IF(D274="","",IFERROR(VLOOKUP(D274,$A$2:$B$1656,2,FALSE),""))</x:f>
        <x:v>Arcane and Scholarly Magic Roles</x:v>
      </x:c>
      <x:c r="F274" s="24" t="n">
        <x:v>3</x:v>
      </x:c>
      <x:c r="G274" s="24" t="str">
        <x:v>Practitioner who manipulates death, corpses, souls, ghosts, entropy, or communication with the dead.</x:v>
      </x:c>
      <x:c r="H274" s="24" t="str">
        <x:v>Do not assume identical training, social status, powers, or mechanics across settings.</x:v>
      </x:c>
      <x:c r="I274" s="24" t="str">
        <x:v>necromancer; death mage; corpse wizard</x:v>
      </x:c>
      <x:c r="J274" s="24" t="str">
        <x:v>Spellcasting, magical research, battlefield control, transformation, summoning, or supernatural problem solving.</x:v>
      </x:c>
      <x:c r="K274" s="24" t="str">
        <x:v>necromancer; death mage; corpse wizard</x:v>
      </x:c>
      <x:c r="L274" s="24" t="str">
        <x:v>Preserve each source's ontology, culture, history, and terminology when making comparisons.</x:v>
      </x:c>
      <x:c r="M274" s="24" t="str">
        <x:v>Core Family</x:v>
      </x:c>
    </x:row>
    <x:row r="275" ht="44" customHeight="1">
      <x:c r="A275" s="24" t="str">
        <x:v>ROL-316</x:v>
      </x:c>
      <x:c r="B275" s="24" t="str">
        <x:v>Diviner and Seer</x:v>
      </x:c>
      <x:c r="C275" s="24" t="str">
        <x:v>Roles &amp; Vocations</x:v>
      </x:c>
      <x:c r="D275" s="24" t="str">
        <x:v>ROL-300</x:v>
      </x:c>
      <x:c r="E275" s="24" t="str">
        <x:f>IF(D275="","",IFERROR(VLOOKUP(D275,$A$2:$B$1656,2,FALSE),""))</x:f>
        <x:v>Arcane and Scholarly Magic Roles</x:v>
      </x:c>
      <x:c r="F275" s="24" t="n">
        <x:v>3</x:v>
      </x:c>
      <x:c r="G275" s="24" t="str">
        <x:v>Practitioner who reveals hidden information, possible futures, distant events, or supernatural truth.</x:v>
      </x:c>
      <x:c r="H275" s="24" t="str">
        <x:v>Do not assume identical training, social status, powers, or mechanics across settings.</x:v>
      </x:c>
      <x:c r="I275" s="24" t="str">
        <x:v>diviner; seer; augur; clairvoyant</x:v>
      </x:c>
      <x:c r="J275" s="24" t="str">
        <x:v>Spellcasting, magical research, battlefield control, transformation, summoning, or supernatural problem solving.</x:v>
      </x:c>
      <x:c r="K275" s="24" t="str">
        <x:v>diviner; seer; augur; clairvoyant</x:v>
      </x:c>
      <x:c r="L275" s="24" t="str">
        <x:v>Preserve each source's ontology, culture, history, and terminology when making comparisons.</x:v>
      </x:c>
      <x:c r="M275" s="24" t="str">
        <x:v>Core Family</x:v>
      </x:c>
    </x:row>
    <x:row r="276" ht="44" customHeight="1">
      <x:c r="A276" s="24" t="str">
        <x:v>ROL-317</x:v>
      </x:c>
      <x:c r="B276" s="24" t="str">
        <x:v>Astrologer and Astrologian</x:v>
      </x:c>
      <x:c r="C276" s="24" t="str">
        <x:v>Roles &amp; Vocations</x:v>
      </x:c>
      <x:c r="D276" s="24" t="str">
        <x:v>ROL-300</x:v>
      </x:c>
      <x:c r="E276" s="24" t="str">
        <x:f>IF(D276="","",IFERROR(VLOOKUP(D276,$A$2:$B$1656,2,FALSE),""))</x:f>
        <x:v>Arcane and Scholarly Magic Roles</x:v>
      </x:c>
      <x:c r="F276" s="24" t="n">
        <x:v>3</x:v>
      </x:c>
      <x:c r="G276" s="24" t="str">
        <x:v>Practitioner who reads or channels celestial patterns, fate, time, or cosmic correspondences.</x:v>
      </x:c>
      <x:c r="H276" s="24" t="str">
        <x:v>Do not assume identical training, social status, powers, or mechanics across settings.</x:v>
      </x:c>
      <x:c r="I276" s="24" t="str">
        <x:v>astrologer; astrologian; star mage</x:v>
      </x:c>
      <x:c r="J276" s="24" t="str">
        <x:v>Spellcasting, magical research, battlefield control, transformation, summoning, or supernatural problem solving.</x:v>
      </x:c>
      <x:c r="K276" s="24" t="str">
        <x:v>astrologer; astrologian; star mage</x:v>
      </x:c>
      <x:c r="L276" s="24" t="str">
        <x:v>Preserve each source's ontology, culture, history, and terminology when making comparisons.</x:v>
      </x:c>
      <x:c r="M276" s="24" t="str">
        <x:v>Core Family</x:v>
      </x:c>
    </x:row>
    <x:row r="277" ht="44" customHeight="1">
      <x:c r="A277" s="24" t="str">
        <x:v>ROL-318</x:v>
      </x:c>
      <x:c r="B277" s="24" t="str">
        <x:v>Chronomancer</x:v>
      </x:c>
      <x:c r="C277" s="24" t="str">
        <x:v>Roles &amp; Vocations</x:v>
      </x:c>
      <x:c r="D277" s="24" t="str">
        <x:v>ROL-300</x:v>
      </x:c>
      <x:c r="E277" s="24" t="str">
        <x:f>IF(D277="","",IFERROR(VLOOKUP(D277,$A$2:$B$1656,2,FALSE),""))</x:f>
        <x:v>Arcane and Scholarly Magic Roles</x:v>
      </x:c>
      <x:c r="F277" s="24" t="n">
        <x:v>3</x:v>
      </x:c>
      <x:c r="G277" s="24" t="str">
        <x:v>Caster who alters time, duration, aging, sequence, causality, or temporal perception.</x:v>
      </x:c>
      <x:c r="H277" s="24" t="str">
        <x:v>Do not assume identical training, social status, powers, or mechanics across settings.</x:v>
      </x:c>
      <x:c r="I277" s="24" t="str">
        <x:v>chronomancer; time mage</x:v>
      </x:c>
      <x:c r="J277" s="24" t="str">
        <x:v>Spellcasting, magical research, battlefield control, transformation, summoning, or supernatural problem solving.</x:v>
      </x:c>
      <x:c r="K277" s="24" t="str">
        <x:v>chronomancer; time mage</x:v>
      </x:c>
      <x:c r="L277" s="24" t="str">
        <x:v>Preserve each source's ontology, culture, history, and terminology when making comparisons.</x:v>
      </x:c>
      <x:c r="M277" s="24" t="str">
        <x:v>Core Family</x:v>
      </x:c>
    </x:row>
    <x:row r="278" ht="44" customHeight="1">
      <x:c r="A278" s="24" t="str">
        <x:v>ROL-319</x:v>
      </x:c>
      <x:c r="B278" s="24" t="str">
        <x:v>Spatial Mage</x:v>
      </x:c>
      <x:c r="C278" s="24" t="str">
        <x:v>Roles &amp; Vocations</x:v>
      </x:c>
      <x:c r="D278" s="24" t="str">
        <x:v>ROL-300</x:v>
      </x:c>
      <x:c r="E278" s="24" t="str">
        <x:f>IF(D278="","",IFERROR(VLOOKUP(D278,$A$2:$B$1656,2,FALSE),""))</x:f>
        <x:v>Arcane and Scholarly Magic Roles</x:v>
      </x:c>
      <x:c r="F278" s="24" t="n">
        <x:v>3</x:v>
      </x:c>
      <x:c r="G278" s="24" t="str">
        <x:v>Caster who manipulates distance, portals, dimensions, position, containment, or teleportation.</x:v>
      </x:c>
      <x:c r="H278" s="24" t="str">
        <x:v>Do not assume identical training, social status, powers, or mechanics across settings.</x:v>
      </x:c>
      <x:c r="I278" s="24" t="str">
        <x:v>spatial mage; portal mage; teleporter</x:v>
      </x:c>
      <x:c r="J278" s="24" t="str">
        <x:v>Spellcasting, magical research, battlefield control, transformation, summoning, or supernatural problem solving.</x:v>
      </x:c>
      <x:c r="K278" s="24" t="str">
        <x:v>spatial mage; portal mage; teleporter</x:v>
      </x:c>
      <x:c r="L278" s="24" t="str">
        <x:v>Preserve each source's ontology, culture, history, and terminology when making comparisons.</x:v>
      </x:c>
      <x:c r="M278" s="24" t="str">
        <x:v>Core Family</x:v>
      </x:c>
    </x:row>
    <x:row r="279" ht="44" customHeight="1">
      <x:c r="A279" s="24" t="str">
        <x:v>ROL-320</x:v>
      </x:c>
      <x:c r="B279" s="24" t="str">
        <x:v>Elementalist</x:v>
      </x:c>
      <x:c r="C279" s="24" t="str">
        <x:v>Roles &amp; Vocations</x:v>
      </x:c>
      <x:c r="D279" s="24" t="str">
        <x:v>ROL-300</x:v>
      </x:c>
      <x:c r="E279" s="24" t="str">
        <x:f>IF(D279="","",IFERROR(VLOOKUP(D279,$A$2:$B$1656,2,FALSE),""))</x:f>
        <x:v>Arcane and Scholarly Magic Roles</x:v>
      </x:c>
      <x:c r="F279" s="24" t="n">
        <x:v>3</x:v>
      </x:c>
      <x:c r="G279" s="24" t="str">
        <x:v>Caster who commands multiple classical or setting-specific elements as a coherent magical discipline.</x:v>
      </x:c>
      <x:c r="H279" s="24" t="str">
        <x:v>Do not assume identical training, social status, powers, or mechanics across settings.</x:v>
      </x:c>
      <x:c r="I279" s="24" t="str">
        <x:v>elementalist; elemental mage</x:v>
      </x:c>
      <x:c r="J279" s="24" t="str">
        <x:v>Spellcasting, magical research, battlefield control, transformation, summoning, or supernatural problem solving.</x:v>
      </x:c>
      <x:c r="K279" s="24" t="str">
        <x:v>elementalist; elemental mage</x:v>
      </x:c>
      <x:c r="L279" s="24" t="str">
        <x:v>Preserve each source's ontology, culture, history, and terminology when making comparisons.</x:v>
      </x:c>
      <x:c r="M279" s="24" t="str">
        <x:v>Core Family</x:v>
      </x:c>
    </x:row>
    <x:row r="280" ht="44" customHeight="1">
      <x:c r="A280" s="24" t="str">
        <x:v>ROL-321</x:v>
      </x:c>
      <x:c r="B280" s="24" t="str">
        <x:v>Pyromancer</x:v>
      </x:c>
      <x:c r="C280" s="24" t="str">
        <x:v>Roles &amp; Vocations</x:v>
      </x:c>
      <x:c r="D280" s="24" t="str">
        <x:v>ROL-300</x:v>
      </x:c>
      <x:c r="E280" s="24" t="str">
        <x:f>IF(D280="","",IFERROR(VLOOKUP(D280,$A$2:$B$1656,2,FALSE),""))</x:f>
        <x:v>Arcane and Scholarly Magic Roles</x:v>
      </x:c>
      <x:c r="F280" s="24" t="n">
        <x:v>3</x:v>
      </x:c>
      <x:c r="G280" s="24" t="str">
        <x:v>Specialist in fire, heat, combustion, ash, or volcanic force.</x:v>
      </x:c>
      <x:c r="H280" s="24" t="str">
        <x:v>Do not assume identical training, social status, powers, or mechanics across settings.</x:v>
      </x:c>
      <x:c r="I280" s="24" t="str">
        <x:v>pyromancer; fire mage</x:v>
      </x:c>
      <x:c r="J280" s="24" t="str">
        <x:v>Spellcasting, magical research, battlefield control, transformation, summoning, or supernatural problem solving.</x:v>
      </x:c>
      <x:c r="K280" s="24" t="str">
        <x:v>pyromancer; fire mage</x:v>
      </x:c>
      <x:c r="L280" s="24" t="str">
        <x:v>Preserve each source's ontology, culture, history, and terminology when making comparisons.</x:v>
      </x:c>
      <x:c r="M280" s="24" t="str">
        <x:v>Core Family</x:v>
      </x:c>
    </x:row>
    <x:row r="281" ht="44" customHeight="1">
      <x:c r="A281" s="24" t="str">
        <x:v>ROL-322</x:v>
      </x:c>
      <x:c r="B281" s="24" t="str">
        <x:v>Cryomancer</x:v>
      </x:c>
      <x:c r="C281" s="24" t="str">
        <x:v>Roles &amp; Vocations</x:v>
      </x:c>
      <x:c r="D281" s="24" t="str">
        <x:v>ROL-300</x:v>
      </x:c>
      <x:c r="E281" s="24" t="str">
        <x:f>IF(D281="","",IFERROR(VLOOKUP(D281,$A$2:$B$1656,2,FALSE),""))</x:f>
        <x:v>Arcane and Scholarly Magic Roles</x:v>
      </x:c>
      <x:c r="F281" s="24" t="n">
        <x:v>3</x:v>
      </x:c>
      <x:c r="G281" s="24" t="str">
        <x:v>Specialist in ice, cold, snow, freezing, and thermal extraction.</x:v>
      </x:c>
      <x:c r="H281" s="24" t="str">
        <x:v>Do not assume identical training, social status, powers, or mechanics across settings.</x:v>
      </x:c>
      <x:c r="I281" s="24" t="str">
        <x:v>cryomancer; ice mage</x:v>
      </x:c>
      <x:c r="J281" s="24" t="str">
        <x:v>Spellcasting, magical research, battlefield control, transformation, summoning, or supernatural problem solving.</x:v>
      </x:c>
      <x:c r="K281" s="24" t="str">
        <x:v>cryomancer; ice mage</x:v>
      </x:c>
      <x:c r="L281" s="24" t="str">
        <x:v>Preserve each source's ontology, culture, history, and terminology when making comparisons.</x:v>
      </x:c>
      <x:c r="M281" s="24" t="str">
        <x:v>Core Family</x:v>
      </x:c>
    </x:row>
    <x:row r="282" ht="44" customHeight="1">
      <x:c r="A282" s="24" t="str">
        <x:v>ROL-323</x:v>
      </x:c>
      <x:c r="B282" s="24" t="str">
        <x:v>Aeromancer</x:v>
      </x:c>
      <x:c r="C282" s="24" t="str">
        <x:v>Roles &amp; Vocations</x:v>
      </x:c>
      <x:c r="D282" s="24" t="str">
        <x:v>ROL-300</x:v>
      </x:c>
      <x:c r="E282" s="24" t="str">
        <x:f>IF(D282="","",IFERROR(VLOOKUP(D282,$A$2:$B$1656,2,FALSE),""))</x:f>
        <x:v>Arcane and Scholarly Magic Roles</x:v>
      </x:c>
      <x:c r="F282" s="24" t="n">
        <x:v>3</x:v>
      </x:c>
      <x:c r="G282" s="24" t="str">
        <x:v>Specialist in air, wind, pressure, flight, and sometimes sound.</x:v>
      </x:c>
      <x:c r="H282" s="24" t="str">
        <x:v>Do not assume identical training, social status, powers, or mechanics across settings.</x:v>
      </x:c>
      <x:c r="I282" s="24" t="str">
        <x:v>aeromancer; wind mage</x:v>
      </x:c>
      <x:c r="J282" s="24" t="str">
        <x:v>Spellcasting, magical research, battlefield control, transformation, summoning, or supernatural problem solving.</x:v>
      </x:c>
      <x:c r="K282" s="24" t="str">
        <x:v>aeromancer; wind mage</x:v>
      </x:c>
      <x:c r="L282" s="24" t="str">
        <x:v>Preserve each source's ontology, culture, history, and terminology when making comparisons.</x:v>
      </x:c>
      <x:c r="M282" s="24" t="str">
        <x:v>Core Family</x:v>
      </x:c>
    </x:row>
    <x:row r="283" ht="44" customHeight="1">
      <x:c r="A283" s="24" t="str">
        <x:v>ROL-324</x:v>
      </x:c>
      <x:c r="B283" s="24" t="str">
        <x:v>Geomancer</x:v>
      </x:c>
      <x:c r="C283" s="24" t="str">
        <x:v>Roles &amp; Vocations</x:v>
      </x:c>
      <x:c r="D283" s="24" t="str">
        <x:v>ROL-300</x:v>
      </x:c>
      <x:c r="E283" s="24" t="str">
        <x:f>IF(D283="","",IFERROR(VLOOKUP(D283,$A$2:$B$1656,2,FALSE),""))</x:f>
        <x:v>Arcane and Scholarly Magic Roles</x:v>
      </x:c>
      <x:c r="F283" s="24" t="n">
        <x:v>3</x:v>
      </x:c>
      <x:c r="G283" s="24" t="str">
        <x:v>Specialist in earth, stone, terrain, minerals, geomancy, or place-derived power.</x:v>
      </x:c>
      <x:c r="H283" s="24" t="str">
        <x:v>Do not assume identical training, social status, powers, or mechanics across settings.</x:v>
      </x:c>
      <x:c r="I283" s="24" t="str">
        <x:v>geomancer; earth mage</x:v>
      </x:c>
      <x:c r="J283" s="24" t="str">
        <x:v>Spellcasting, magical research, battlefield control, transformation, summoning, or supernatural problem solving.</x:v>
      </x:c>
      <x:c r="K283" s="24" t="str">
        <x:v>geomancer; earth mage</x:v>
      </x:c>
      <x:c r="L283" s="24" t="str">
        <x:v>Historical East Asian geomancy and fantasy earth magic are not synonymous.</x:v>
      </x:c>
      <x:c r="M283" s="24" t="str">
        <x:v>Core Family</x:v>
      </x:c>
    </x:row>
    <x:row r="284" ht="44" customHeight="1">
      <x:c r="A284" s="24" t="str">
        <x:v>ROL-325</x:v>
      </x:c>
      <x:c r="B284" s="24" t="str">
        <x:v>Hydromancer</x:v>
      </x:c>
      <x:c r="C284" s="24" t="str">
        <x:v>Roles &amp; Vocations</x:v>
      </x:c>
      <x:c r="D284" s="24" t="str">
        <x:v>ROL-300</x:v>
      </x:c>
      <x:c r="E284" s="24" t="str">
        <x:f>IF(D284="","",IFERROR(VLOOKUP(D284,$A$2:$B$1656,2,FALSE),""))</x:f>
        <x:v>Arcane and Scholarly Magic Roles</x:v>
      </x:c>
      <x:c r="F284" s="24" t="n">
        <x:v>3</x:v>
      </x:c>
      <x:c r="G284" s="24" t="str">
        <x:v>Specialist in water, currents, moisture, tides, and fluid manipulation.</x:v>
      </x:c>
      <x:c r="H284" s="24" t="str">
        <x:v>Do not assume identical training, social status, powers, or mechanics across settings.</x:v>
      </x:c>
      <x:c r="I284" s="24" t="str">
        <x:v>hydromancer; water mage</x:v>
      </x:c>
      <x:c r="J284" s="24" t="str">
        <x:v>Spellcasting, magical research, battlefield control, transformation, summoning, or supernatural problem solving.</x:v>
      </x:c>
      <x:c r="K284" s="24" t="str">
        <x:v>hydromancer; water mage</x:v>
      </x:c>
      <x:c r="L284" s="24" t="str">
        <x:v>Preserve each source's ontology, culture, history, and terminology when making comparisons.</x:v>
      </x:c>
      <x:c r="M284" s="24" t="str">
        <x:v>Core Family</x:v>
      </x:c>
    </x:row>
    <x:row r="285" ht="44" customHeight="1">
      <x:c r="A285" s="24" t="str">
        <x:v>ROL-326</x:v>
      </x:c>
      <x:c r="B285" s="24" t="str">
        <x:v>Storm Mage</x:v>
      </x:c>
      <x:c r="C285" s="24" t="str">
        <x:v>Roles &amp; Vocations</x:v>
      </x:c>
      <x:c r="D285" s="24" t="str">
        <x:v>ROL-300</x:v>
      </x:c>
      <x:c r="E285" s="24" t="str">
        <x:f>IF(D285="","",IFERROR(VLOOKUP(D285,$A$2:$B$1656,2,FALSE),""))</x:f>
        <x:v>Arcane and Scholarly Magic Roles</x:v>
      </x:c>
      <x:c r="F285" s="24" t="n">
        <x:v>3</x:v>
      </x:c>
      <x:c r="G285" s="24" t="str">
        <x:v>Specialist in lightning, thunder, wind, rain, and violent weather systems.</x:v>
      </x:c>
      <x:c r="H285" s="24" t="str">
        <x:v>Do not assume identical training, social status, powers, or mechanics across settings.</x:v>
      </x:c>
      <x:c r="I285" s="24" t="str">
        <x:v>storm mage; tempest mage</x:v>
      </x:c>
      <x:c r="J285" s="24" t="str">
        <x:v>Spellcasting, magical research, battlefield control, transformation, summoning, or supernatural problem solving.</x:v>
      </x:c>
      <x:c r="K285" s="24" t="str">
        <x:v>storm mage; tempest mage</x:v>
      </x:c>
      <x:c r="L285" s="24" t="str">
        <x:v>Preserve each source's ontology, culture, history, and terminology when making comparisons.</x:v>
      </x:c>
      <x:c r="M285" s="24" t="str">
        <x:v>Core Family</x:v>
      </x:c>
    </x:row>
    <x:row r="286" ht="44" customHeight="1">
      <x:c r="A286" s="24" t="str">
        <x:v>ROL-327</x:v>
      </x:c>
      <x:c r="B286" s="24" t="str">
        <x:v>Light Mage</x:v>
      </x:c>
      <x:c r="C286" s="24" t="str">
        <x:v>Roles &amp; Vocations</x:v>
      </x:c>
      <x:c r="D286" s="24" t="str">
        <x:v>ROL-300</x:v>
      </x:c>
      <x:c r="E286" s="24" t="str">
        <x:f>IF(D286="","",IFERROR(VLOOKUP(D286,$A$2:$B$1656,2,FALSE),""))</x:f>
        <x:v>Arcane and Scholarly Magic Roles</x:v>
      </x:c>
      <x:c r="F286" s="24" t="n">
        <x:v>3</x:v>
      </x:c>
      <x:c r="G286" s="24" t="str">
        <x:v>Caster who manipulates light, radiance, revelation, lasers, purity, or celestial energy without necessarily being religious.</x:v>
      </x:c>
      <x:c r="H286" s="24" t="str">
        <x:v>Do not assume identical training, social status, powers, or mechanics across settings.</x:v>
      </x:c>
      <x:c r="I286" s="24" t="str">
        <x:v>light mage; radiant caster</x:v>
      </x:c>
      <x:c r="J286" s="24" t="str">
        <x:v>Spellcasting, magical research, battlefield control, transformation, summoning, or supernatural problem solving.</x:v>
      </x:c>
      <x:c r="K286" s="24" t="str">
        <x:v>light mage; radiant caster</x:v>
      </x:c>
      <x:c r="L286" s="24" t="str">
        <x:v>Preserve each source's ontology, culture, history, and terminology when making comparisons.</x:v>
      </x:c>
      <x:c r="M286" s="24" t="str">
        <x:v>Core Family</x:v>
      </x:c>
    </x:row>
    <x:row r="287" ht="44" customHeight="1">
      <x:c r="A287" s="24" t="str">
        <x:v>ROL-328</x:v>
      </x:c>
      <x:c r="B287" s="24" t="str">
        <x:v>Shadow Mage</x:v>
      </x:c>
      <x:c r="C287" s="24" t="str">
        <x:v>Roles &amp; Vocations</x:v>
      </x:c>
      <x:c r="D287" s="24" t="str">
        <x:v>ROL-300</x:v>
      </x:c>
      <x:c r="E287" s="24" t="str">
        <x:f>IF(D287="","",IFERROR(VLOOKUP(D287,$A$2:$B$1656,2,FALSE),""))</x:f>
        <x:v>Arcane and Scholarly Magic Roles</x:v>
      </x:c>
      <x:c r="F287" s="24" t="n">
        <x:v>3</x:v>
      </x:c>
      <x:c r="G287" s="24" t="str">
        <x:v>Caster who manipulates darkness, shadow, concealment, fear, absence, or negative space.</x:v>
      </x:c>
      <x:c r="H287" s="24" t="str">
        <x:v>Do not assume identical training, social status, powers, or mechanics across settings.</x:v>
      </x:c>
      <x:c r="I287" s="24" t="str">
        <x:v>shadow mage; umbral caster</x:v>
      </x:c>
      <x:c r="J287" s="24" t="str">
        <x:v>Spellcasting, magical research, battlefield control, transformation, summoning, or supernatural problem solving.</x:v>
      </x:c>
      <x:c r="K287" s="24" t="str">
        <x:v>shadow mage; umbral caster</x:v>
      </x:c>
      <x:c r="L287" s="24" t="str">
        <x:v>Preserve each source's ontology, culture, history, and terminology when making comparisons.</x:v>
      </x:c>
      <x:c r="M287" s="24" t="str">
        <x:v>Core Family</x:v>
      </x:c>
    </x:row>
    <x:row r="288" ht="44" customHeight="1">
      <x:c r="A288" s="24" t="str">
        <x:v>ROL-329</x:v>
      </x:c>
      <x:c r="B288" s="24" t="str">
        <x:v>Blood Mage</x:v>
      </x:c>
      <x:c r="C288" s="24" t="str">
        <x:v>Roles &amp; Vocations</x:v>
      </x:c>
      <x:c r="D288" s="24" t="str">
        <x:v>ROL-300</x:v>
      </x:c>
      <x:c r="E288" s="24" t="str">
        <x:f>IF(D288="","",IFERROR(VLOOKUP(D288,$A$2:$B$1656,2,FALSE),""))</x:f>
        <x:v>Arcane and Scholarly Magic Roles</x:v>
      </x:c>
      <x:c r="F288" s="24" t="n">
        <x:v>3</x:v>
      </x:c>
      <x:c r="G288" s="24" t="str">
        <x:v>Practitioner who uses blood, lineage, bodily sacrifice, vitality, or kinship as magical medium and cost.</x:v>
      </x:c>
      <x:c r="H288" s="24" t="str">
        <x:v>Do not assume identical training, social status, powers, or mechanics across settings.</x:v>
      </x:c>
      <x:c r="I288" s="24" t="str">
        <x:v>blood mage; hemomancer</x:v>
      </x:c>
      <x:c r="J288" s="24" t="str">
        <x:v>Spellcasting, magical research, battlefield control, transformation, summoning, or supernatural problem solving.</x:v>
      </x:c>
      <x:c r="K288" s="24" t="str">
        <x:v>blood mage; hemomancer</x:v>
      </x:c>
      <x:c r="L288" s="24" t="str">
        <x:v>Preserve each source's ontology, culture, history, and terminology when making comparisons.</x:v>
      </x:c>
      <x:c r="M288" s="24" t="str">
        <x:v>Core Family</x:v>
      </x:c>
    </x:row>
    <x:row r="289" ht="44" customHeight="1">
      <x:c r="A289" s="24" t="str">
        <x:v>ROL-330</x:v>
      </x:c>
      <x:c r="B289" s="24" t="str">
        <x:v>Bone Mage</x:v>
      </x:c>
      <x:c r="C289" s="24" t="str">
        <x:v>Roles &amp; Vocations</x:v>
      </x:c>
      <x:c r="D289" s="24" t="str">
        <x:v>ROL-300</x:v>
      </x:c>
      <x:c r="E289" s="24" t="str">
        <x:f>IF(D289="","",IFERROR(VLOOKUP(D289,$A$2:$B$1656,2,FALSE),""))</x:f>
        <x:v>Arcane and Scholarly Magic Roles</x:v>
      </x:c>
      <x:c r="F289" s="24" t="n">
        <x:v>3</x:v>
      </x:c>
      <x:c r="G289" s="24" t="str">
        <x:v>Specialist in bones as weapons, armor, divination media, remains, or structural magic.</x:v>
      </x:c>
      <x:c r="H289" s="24" t="str">
        <x:v>Do not assume identical training, social status, powers, or mechanics across settings.</x:v>
      </x:c>
      <x:c r="I289" s="24" t="str">
        <x:v>bone mage; osteomancer</x:v>
      </x:c>
      <x:c r="J289" s="24" t="str">
        <x:v>Spellcasting, magical research, battlefield control, transformation, summoning, or supernatural problem solving.</x:v>
      </x:c>
      <x:c r="K289" s="24" t="str">
        <x:v>bone mage; osteomancer</x:v>
      </x:c>
      <x:c r="L289" s="24" t="str">
        <x:v>Preserve each source's ontology, culture, history, and terminology when making comparisons.</x:v>
      </x:c>
      <x:c r="M289" s="24" t="str">
        <x:v>Core Family</x:v>
      </x:c>
    </x:row>
    <x:row r="290" ht="44" customHeight="1">
      <x:c r="A290" s="24" t="str">
        <x:v>ROL-331</x:v>
      </x:c>
      <x:c r="B290" s="24" t="str">
        <x:v>Flesh Mage and Biomancer</x:v>
      </x:c>
      <x:c r="C290" s="24" t="str">
        <x:v>Roles &amp; Vocations</x:v>
      </x:c>
      <x:c r="D290" s="24" t="str">
        <x:v>ROL-300</x:v>
      </x:c>
      <x:c r="E290" s="24" t="str">
        <x:f>IF(D290="","",IFERROR(VLOOKUP(D290,$A$2:$B$1656,2,FALSE),""))</x:f>
        <x:v>Arcane and Scholarly Magic Roles</x:v>
      </x:c>
      <x:c r="F290" s="24" t="n">
        <x:v>3</x:v>
      </x:c>
      <x:c r="G290" s="24" t="str">
        <x:v>Practitioner who alters living tissue, anatomy, growth, disease, heredity, or bodies.</x:v>
      </x:c>
      <x:c r="H290" s="24" t="str">
        <x:v>Do not assume identical training, social status, powers, or mechanics across settings.</x:v>
      </x:c>
      <x:c r="I290" s="24" t="str">
        <x:v>flesh mage; biomancer; body sorcerer</x:v>
      </x:c>
      <x:c r="J290" s="24" t="str">
        <x:v>Spellcasting, magical research, battlefield control, transformation, summoning, or supernatural problem solving.</x:v>
      </x:c>
      <x:c r="K290" s="24" t="str">
        <x:v>flesh mage; biomancer; body sorcerer</x:v>
      </x:c>
      <x:c r="L290" s="24" t="str">
        <x:v>Preserve each source's ontology, culture, history, and terminology when making comparisons.</x:v>
      </x:c>
      <x:c r="M290" s="24" t="str">
        <x:v>Core Family</x:v>
      </x:c>
    </x:row>
    <x:row r="291" ht="44" customHeight="1">
      <x:c r="A291" s="24" t="str">
        <x:v>ROL-332</x:v>
      </x:c>
      <x:c r="B291" s="24" t="str">
        <x:v>Rune Mage</x:v>
      </x:c>
      <x:c r="C291" s="24" t="str">
        <x:v>Roles &amp; Vocations</x:v>
      </x:c>
      <x:c r="D291" s="24" t="str">
        <x:v>ROL-300</x:v>
      </x:c>
      <x:c r="E291" s="24" t="str">
        <x:f>IF(D291="","",IFERROR(VLOOKUP(D291,$A$2:$B$1656,2,FALSE),""))</x:f>
        <x:v>Arcane and Scholarly Magic Roles</x:v>
      </x:c>
      <x:c r="F291" s="24" t="n">
        <x:v>3</x:v>
      </x:c>
      <x:c r="G291" s="24" t="str">
        <x:v>Caster who encodes power in runes, inscriptions, carved signs, or persistent written structures.</x:v>
      </x:c>
      <x:c r="H291" s="24" t="str">
        <x:v>Do not assume identical training, social status, powers, or mechanics across settings.</x:v>
      </x:c>
      <x:c r="I291" s="24" t="str">
        <x:v>rune mage; runesmith; rune caster</x:v>
      </x:c>
      <x:c r="J291" s="24" t="str">
        <x:v>Spellcasting, magical research, battlefield control, transformation, summoning, or supernatural problem solving.</x:v>
      </x:c>
      <x:c r="K291" s="24" t="str">
        <x:v>rune mage; runesmith; rune caster</x:v>
      </x:c>
      <x:c r="L291" s="24" t="str">
        <x:v>Preserve each source's ontology, culture, history, and terminology when making comparisons.</x:v>
      </x:c>
      <x:c r="M291" s="24" t="str">
        <x:v>Core Family</x:v>
      </x:c>
    </x:row>
    <x:row r="292" ht="44" customHeight="1">
      <x:c r="A292" s="24" t="str">
        <x:v>ROL-333</x:v>
      </x:c>
      <x:c r="B292" s="24" t="str">
        <x:v>Sigil and Seal Mage</x:v>
      </x:c>
      <x:c r="C292" s="24" t="str">
        <x:v>Roles &amp; Vocations</x:v>
      </x:c>
      <x:c r="D292" s="24" t="str">
        <x:v>ROL-300</x:v>
      </x:c>
      <x:c r="E292" s="24" t="str">
        <x:f>IF(D292="","",IFERROR(VLOOKUP(D292,$A$2:$B$1656,2,FALSE),""))</x:f>
        <x:v>Arcane and Scholarly Magic Roles</x:v>
      </x:c>
      <x:c r="F292" s="24" t="n">
        <x:v>3</x:v>
      </x:c>
      <x:c r="G292" s="24" t="str">
        <x:v>Specialist in abstract symbols, circles, seals, wards, and bounded magical diagrams.</x:v>
      </x:c>
      <x:c r="H292" s="24" t="str">
        <x:v>Do not assume identical training, social status, powers, or mechanics across settings.</x:v>
      </x:c>
      <x:c r="I292" s="24" t="str">
        <x:v>sigil mage; seal master; warder</x:v>
      </x:c>
      <x:c r="J292" s="24" t="str">
        <x:v>Spellcasting, magical research, battlefield control, transformation, summoning, or supernatural problem solving.</x:v>
      </x:c>
      <x:c r="K292" s="24" t="str">
        <x:v>sigil mage; seal master; warder</x:v>
      </x:c>
      <x:c r="L292" s="24" t="str">
        <x:v>Preserve each source's ontology, culture, history, and terminology when making comparisons.</x:v>
      </x:c>
      <x:c r="M292" s="24" t="str">
        <x:v>Core Family</x:v>
      </x:c>
    </x:row>
    <x:row r="293" ht="44" customHeight="1">
      <x:c r="A293" s="24" t="str">
        <x:v>ROL-334</x:v>
      </x:c>
      <x:c r="B293" s="24" t="str">
        <x:v>Word and True-Name Mage</x:v>
      </x:c>
      <x:c r="C293" s="24" t="str">
        <x:v>Roles &amp; Vocations</x:v>
      </x:c>
      <x:c r="D293" s="24" t="str">
        <x:v>ROL-300</x:v>
      </x:c>
      <x:c r="E293" s="24" t="str">
        <x:f>IF(D293="","",IFERROR(VLOOKUP(D293,$A$2:$B$1656,2,FALSE),""))</x:f>
        <x:v>Arcane and Scholarly Magic Roles</x:v>
      </x:c>
      <x:c r="F293" s="24" t="n">
        <x:v>3</x:v>
      </x:c>
      <x:c r="G293" s="24" t="str">
        <x:v>Practitioner who alters reality through names, spoken commands, grammar, stories, or primordial language.</x:v>
      </x:c>
      <x:c r="H293" s="24" t="str">
        <x:v>Do not assume identical training, social status, powers, or mechanics across settings.</x:v>
      </x:c>
      <x:c r="I293" s="24" t="str">
        <x:v>name mage; word mage; logomancer</x:v>
      </x:c>
      <x:c r="J293" s="24" t="str">
        <x:v>Spellcasting, magical research, battlefield control, transformation, summoning, or supernatural problem solving.</x:v>
      </x:c>
      <x:c r="K293" s="24" t="str">
        <x:v>name mage; word mage; logomancer</x:v>
      </x:c>
      <x:c r="L293" s="24" t="str">
        <x:v>Preserve each source's ontology, culture, history, and terminology when making comparisons.</x:v>
      </x:c>
      <x:c r="M293" s="24" t="str">
        <x:v>Core Family</x:v>
      </x:c>
    </x:row>
    <x:row r="294" ht="44" customHeight="1">
      <x:c r="A294" s="24" t="str">
        <x:v>ROL-335</x:v>
      </x:c>
      <x:c r="B294" s="24" t="str">
        <x:v>Dream Mage</x:v>
      </x:c>
      <x:c r="C294" s="24" t="str">
        <x:v>Roles &amp; Vocations</x:v>
      </x:c>
      <x:c r="D294" s="24" t="str">
        <x:v>ROL-300</x:v>
      </x:c>
      <x:c r="E294" s="24" t="str">
        <x:f>IF(D294="","",IFERROR(VLOOKUP(D294,$A$2:$B$1656,2,FALSE),""))</x:f>
        <x:v>Arcane and Scholarly Magic Roles</x:v>
      </x:c>
      <x:c r="F294" s="24" t="n">
        <x:v>3</x:v>
      </x:c>
      <x:c r="G294" s="24" t="str">
        <x:v>Caster who enters, shapes, weaponizes, interprets, or travels through dreams and nightmares.</x:v>
      </x:c>
      <x:c r="H294" s="24" t="str">
        <x:v>Do not assume identical training, social status, powers, or mechanics across settings.</x:v>
      </x:c>
      <x:c r="I294" s="24" t="str">
        <x:v>dream mage; oneiromancer</x:v>
      </x:c>
      <x:c r="J294" s="24" t="str">
        <x:v>Spellcasting, magical research, battlefield control, transformation, summoning, or supernatural problem solving.</x:v>
      </x:c>
      <x:c r="K294" s="24" t="str">
        <x:v>dream mage; oneiromancer</x:v>
      </x:c>
      <x:c r="L294" s="24" t="str">
        <x:v>Preserve each source's ontology, culture, history, and terminology when making comparisons.</x:v>
      </x:c>
      <x:c r="M294" s="24" t="str">
        <x:v>Core Family</x:v>
      </x:c>
    </x:row>
    <x:row r="295" ht="44" customHeight="1">
      <x:c r="A295" s="24" t="str">
        <x:v>ROL-336</x:v>
      </x:c>
      <x:c r="B295" s="24" t="str">
        <x:v>Mind Mage and Psion</x:v>
      </x:c>
      <x:c r="C295" s="24" t="str">
        <x:v>Roles &amp; Vocations</x:v>
      </x:c>
      <x:c r="D295" s="24" t="str">
        <x:v>ROL-300</x:v>
      </x:c>
      <x:c r="E295" s="24" t="str">
        <x:f>IF(D295="","",IFERROR(VLOOKUP(D295,$A$2:$B$1656,2,FALSE),""))</x:f>
        <x:v>Arcane and Scholarly Magic Roles</x:v>
      </x:c>
      <x:c r="F295" s="24" t="n">
        <x:v>3</x:v>
      </x:c>
      <x:c r="G295" s="24" t="str">
        <x:v>Practitioner who uses telepathy, telekinesis, memory, emotion, domination, or disciplined psychic power.</x:v>
      </x:c>
      <x:c r="H295" s="24" t="str">
        <x:v>Do not assume identical training, social status, powers, or mechanics across settings.</x:v>
      </x:c>
      <x:c r="I295" s="24" t="str">
        <x:v>mind mage; psion; psychic</x:v>
      </x:c>
      <x:c r="J295" s="24" t="str">
        <x:v>Spellcasting, magical research, battlefield control, transformation, summoning, or supernatural problem solving.</x:v>
      </x:c>
      <x:c r="K295" s="24" t="str">
        <x:v>mind mage; psion; psychic</x:v>
      </x:c>
      <x:c r="L295" s="24" t="str">
        <x:v>Preserve each source's ontology, culture, history, and terminology when making comparisons.</x:v>
      </x:c>
      <x:c r="M295" s="24" t="str">
        <x:v>Core Family</x:v>
      </x:c>
    </x:row>
    <x:row r="296" ht="44" customHeight="1">
      <x:c r="A296" s="24" t="str">
        <x:v>ROL-337</x:v>
      </x:c>
      <x:c r="B296" s="24" t="str">
        <x:v>Transmuter</x:v>
      </x:c>
      <x:c r="C296" s="24" t="str">
        <x:v>Roles &amp; Vocations</x:v>
      </x:c>
      <x:c r="D296" s="24" t="str">
        <x:v>ROL-300</x:v>
      </x:c>
      <x:c r="E296" s="24" t="str">
        <x:f>IF(D296="","",IFERROR(VLOOKUP(D296,$A$2:$B$1656,2,FALSE),""))</x:f>
        <x:v>Arcane and Scholarly Magic Roles</x:v>
      </x:c>
      <x:c r="F296" s="24" t="n">
        <x:v>3</x:v>
      </x:c>
      <x:c r="G296" s="24" t="str">
        <x:v>Caster who changes substances, properties, bodies, or forms into other states.</x:v>
      </x:c>
      <x:c r="H296" s="24" t="str">
        <x:v>Do not assume identical training, social status, powers, or mechanics across settings.</x:v>
      </x:c>
      <x:c r="I296" s="24" t="str">
        <x:v>transmuter; alteration mage</x:v>
      </x:c>
      <x:c r="J296" s="24" t="str">
        <x:v>Spellcasting, magical research, battlefield control, transformation, summoning, or supernatural problem solving.</x:v>
      </x:c>
      <x:c r="K296" s="24" t="str">
        <x:v>transmuter; alteration mage</x:v>
      </x:c>
      <x:c r="L296" s="24" t="str">
        <x:v>Preserve each source's ontology, culture, history, and terminology when making comparisons.</x:v>
      </x:c>
      <x:c r="M296" s="24" t="str">
        <x:v>Core Family</x:v>
      </x:c>
    </x:row>
    <x:row r="297" ht="44" customHeight="1">
      <x:c r="A297" s="24" t="str">
        <x:v>ROL-338</x:v>
      </x:c>
      <x:c r="B297" s="24" t="str">
        <x:v>Alchemist</x:v>
      </x:c>
      <x:c r="C297" s="24" t="str">
        <x:v>Roles &amp; Vocations</x:v>
      </x:c>
      <x:c r="D297" s="24" t="str">
        <x:v>ROL-300</x:v>
      </x:c>
      <x:c r="E297" s="24" t="str">
        <x:f>IF(D297="","",IFERROR(VLOOKUP(D297,$A$2:$B$1656,2,FALSE),""))</x:f>
        <x:v>Arcane and Scholarly Magic Roles</x:v>
      </x:c>
      <x:c r="F297" s="24" t="n">
        <x:v>3</x:v>
      </x:c>
      <x:c r="G297" s="24" t="str">
        <x:v>Practitioner who transforms matter and life through compounds, reactions, symbols, essences, and laboratory craft.</x:v>
      </x:c>
      <x:c r="H297" s="24" t="str">
        <x:v>Do not assume identical training, social status, powers, or mechanics across settings.</x:v>
      </x:c>
      <x:c r="I297" s="24" t="str">
        <x:v>alchemist; potion maker; transmutation scholar</x:v>
      </x:c>
      <x:c r="J297" s="24" t="str">
        <x:v>Spellcasting, magical research, battlefield control, transformation, summoning, or supernatural problem solving.</x:v>
      </x:c>
      <x:c r="K297" s="24" t="str">
        <x:v>alchemist; potion maker; transmutation scholar</x:v>
      </x:c>
      <x:c r="L297" s="24" t="str">
        <x:v>Preserve each source's ontology, culture, history, and terminology when making comparisons.</x:v>
      </x:c>
      <x:c r="M297" s="24" t="str">
        <x:v>Core Family</x:v>
      </x:c>
    </x:row>
    <x:row r="298" ht="44" customHeight="1">
      <x:c r="A298" s="24" t="str">
        <x:v>ROL-339</x:v>
      </x:c>
      <x:c r="B298" s="24" t="str">
        <x:v>Artificer</x:v>
      </x:c>
      <x:c r="C298" s="24" t="str">
        <x:v>Roles &amp; Vocations</x:v>
      </x:c>
      <x:c r="D298" s="24" t="str">
        <x:v>ROL-300</x:v>
      </x:c>
      <x:c r="E298" s="24" t="str">
        <x:f>IF(D298="","",IFERROR(VLOOKUP(D298,$A$2:$B$1656,2,FALSE),""))</x:f>
        <x:v>Arcane and Scholarly Magic Roles</x:v>
      </x:c>
      <x:c r="F298" s="24" t="n">
        <x:v>3</x:v>
      </x:c>
      <x:c r="G298" s="24" t="str">
        <x:v>Creator and user of magical devices, constructs, infused tools, and engineered spell systems.</x:v>
      </x:c>
      <x:c r="H298" s="24" t="str">
        <x:v>Do not assume identical training, social status, powers, or mechanics across settings.</x:v>
      </x:c>
      <x:c r="I298" s="24" t="str">
        <x:v>artificer; magitech engineer; magic inventor</x:v>
      </x:c>
      <x:c r="J298" s="24" t="str">
        <x:v>Spellcasting, magical research, battlefield control, transformation, summoning, or supernatural problem solving.</x:v>
      </x:c>
      <x:c r="K298" s="24" t="str">
        <x:v>artificer; magitech engineer; magic inventor</x:v>
      </x:c>
      <x:c r="L298" s="24" t="str">
        <x:v>Preserve each source's ontology, culture, history, and terminology when making comparisons.</x:v>
      </x:c>
      <x:c r="M298" s="24" t="str">
        <x:v>Core Family</x:v>
      </x:c>
    </x:row>
    <x:row r="299" ht="44" customHeight="1">
      <x:c r="A299" s="24" t="str">
        <x:v>ROL-340</x:v>
      </x:c>
      <x:c r="B299" s="24" t="str">
        <x:v>Technomancer</x:v>
      </x:c>
      <x:c r="C299" s="24" t="str">
        <x:v>Roles &amp; Vocations</x:v>
      </x:c>
      <x:c r="D299" s="24" t="str">
        <x:v>ROL-300</x:v>
      </x:c>
      <x:c r="E299" s="24" t="str">
        <x:f>IF(D299="","",IFERROR(VLOOKUP(D299,$A$2:$B$1656,2,FALSE),""))</x:f>
        <x:v>Arcane and Scholarly Magic Roles</x:v>
      </x:c>
      <x:c r="F299" s="24" t="n">
        <x:v>3</x:v>
      </x:c>
      <x:c r="G299" s="24" t="str">
        <x:v>Practitioner who interfaces magic with advanced machinery, code, networks, or technological systems.</x:v>
      </x:c>
      <x:c r="H299" s="24" t="str">
        <x:v>Do not assume identical training, social status, powers, or mechanics across settings.</x:v>
      </x:c>
      <x:c r="I299" s="24" t="str">
        <x:v>technomancer; cybermage; machine sorcerer</x:v>
      </x:c>
      <x:c r="J299" s="24" t="str">
        <x:v>Spellcasting, magical research, battlefield control, transformation, summoning, or supernatural problem solving.</x:v>
      </x:c>
      <x:c r="K299" s="24" t="str">
        <x:v>technomancer; cybermage; machine sorcerer</x:v>
      </x:c>
      <x:c r="L299" s="24" t="str">
        <x:v>Preserve each source's ontology, culture, history, and terminology when making comparisons.</x:v>
      </x:c>
      <x:c r="M299" s="24" t="str">
        <x:v>Core Family</x:v>
      </x:c>
    </x:row>
    <x:row r="300" ht="44" customHeight="1">
      <x:c r="A300" s="24" t="str">
        <x:v>ROL-341</x:v>
      </x:c>
      <x:c r="B300" s="24" t="str">
        <x:v>Blue Mage and Mimic Caster</x:v>
      </x:c>
      <x:c r="C300" s="24" t="str">
        <x:v>Roles &amp; Vocations</x:v>
      </x:c>
      <x:c r="D300" s="24" t="str">
        <x:v>ROL-300</x:v>
      </x:c>
      <x:c r="E300" s="24" t="str">
        <x:f>IF(D300="","",IFERROR(VLOOKUP(D300,$A$2:$B$1656,2,FALSE),""))</x:f>
        <x:v>Arcane and Scholarly Magic Roles</x:v>
      </x:c>
      <x:c r="F300" s="24" t="n">
        <x:v>3</x:v>
      </x:c>
      <x:c r="G300" s="24" t="str">
        <x:v>Caster who learns abilities by observing, surviving, consuming, or copying monsters and enemies.</x:v>
      </x:c>
      <x:c r="H300" s="24" t="str">
        <x:v>Do not assume identical training, social status, powers, or mechanics across settings.</x:v>
      </x:c>
      <x:c r="I300" s="24" t="str">
        <x:v>blue mage; mimic mage; spell thief</x:v>
      </x:c>
      <x:c r="J300" s="24" t="str">
        <x:v>Spellcasting, magical research, battlefield control, transformation, summoning, or supernatural problem solving.</x:v>
      </x:c>
      <x:c r="K300" s="24" t="str">
        <x:v>blue mage; mimic mage; spell thief</x:v>
      </x:c>
      <x:c r="L300" s="24" t="str">
        <x:v>Preserve each source's ontology, culture, history, and terminology when making comparisons.</x:v>
      </x:c>
      <x:c r="M300" s="24" t="str">
        <x:v>Core Family</x:v>
      </x:c>
    </x:row>
    <x:row r="301" ht="44" customHeight="1">
      <x:c r="A301" s="24" t="str">
        <x:v>ROL-342</x:v>
      </x:c>
      <x:c r="B301" s="24" t="str">
        <x:v>Red Mage and Versatile Battlemage</x:v>
      </x:c>
      <x:c r="C301" s="24" t="str">
        <x:v>Roles &amp; Vocations</x:v>
      </x:c>
      <x:c r="D301" s="24" t="str">
        <x:v>ROL-300</x:v>
      </x:c>
      <x:c r="E301" s="24" t="str">
        <x:f>IF(D301="","",IFERROR(VLOOKUP(D301,$A$2:$B$1656,2,FALSE),""))</x:f>
        <x:v>Arcane and Scholarly Magic Roles</x:v>
      </x:c>
      <x:c r="F301" s="24" t="n">
        <x:v>3</x:v>
      </x:c>
      <x:c r="G301" s="24" t="str">
        <x:v>Hybrid caster combining offensive magic, healing or support, and competent weapon use.</x:v>
      </x:c>
      <x:c r="H301" s="24" t="str">
        <x:v>Do not assume identical training, social status, powers, or mechanics across settings.</x:v>
      </x:c>
      <x:c r="I301" s="24" t="str">
        <x:v>red mage; versatile mage; jack-of-all-magics</x:v>
      </x:c>
      <x:c r="J301" s="24" t="str">
        <x:v>Spellcasting, magical research, battlefield control, transformation, summoning, or supernatural problem solving.</x:v>
      </x:c>
      <x:c r="K301" s="24" t="str">
        <x:v>red mage; versatile mage; jack-of-all-magics</x:v>
      </x:c>
      <x:c r="L301" s="24" t="str">
        <x:v>Preserve each source's ontology, culture, history, and terminology when making comparisons.</x:v>
      </x:c>
      <x:c r="M301" s="24" t="str">
        <x:v>Core Family</x:v>
      </x:c>
    </x:row>
    <x:row r="302" ht="44" customHeight="1">
      <x:c r="A302" s="24" t="str">
        <x:v>ROL-343</x:v>
      </x:c>
      <x:c r="B302" s="24" t="str">
        <x:v>Black Mage and Destructive Caster</x:v>
      </x:c>
      <x:c r="C302" s="24" t="str">
        <x:v>Roles &amp; Vocations</x:v>
      </x:c>
      <x:c r="D302" s="24" t="str">
        <x:v>ROL-300</x:v>
      </x:c>
      <x:c r="E302" s="24" t="str">
        <x:f>IF(D302="","",IFERROR(VLOOKUP(D302,$A$2:$B$1656,2,FALSE),""))</x:f>
        <x:v>Arcane and Scholarly Magic Roles</x:v>
      </x:c>
      <x:c r="F302" s="24" t="n">
        <x:v>3</x:v>
      </x:c>
      <x:c r="G302" s="24" t="str">
        <x:v>Game-coded offensive specialist emphasizing elemental or high-damage magic.</x:v>
      </x:c>
      <x:c r="H302" s="24" t="str">
        <x:v>Do not assume identical training, social status, powers, or mechanics across settings.</x:v>
      </x:c>
      <x:c r="I302" s="24" t="str">
        <x:v>black mage; nuker mage; destructive wizard</x:v>
      </x:c>
      <x:c r="J302" s="24" t="str">
        <x:v>Spellcasting, magical research, battlefield control, transformation, summoning, or supernatural problem solving.</x:v>
      </x:c>
      <x:c r="K302" s="24" t="str">
        <x:v>black mage; nuker mage; destructive wizard</x:v>
      </x:c>
      <x:c r="L302" s="24" t="str">
        <x:v>Preserve each source's ontology, culture, history, and terminology when making comparisons.</x:v>
      </x:c>
      <x:c r="M302" s="24" t="str">
        <x:v>Core Family</x:v>
      </x:c>
    </x:row>
    <x:row r="303" ht="44" customHeight="1">
      <x:c r="A303" s="24" t="str">
        <x:v>ROL-344</x:v>
      </x:c>
      <x:c r="B303" s="24" t="str">
        <x:v>White Mage and Restorative Caster</x:v>
      </x:c>
      <x:c r="C303" s="24" t="str">
        <x:v>Roles &amp; Vocations</x:v>
      </x:c>
      <x:c r="D303" s="24" t="str">
        <x:v>ROL-300</x:v>
      </x:c>
      <x:c r="E303" s="24" t="str">
        <x:f>IF(D303="","",IFERROR(VLOOKUP(D303,$A$2:$B$1656,2,FALSE),""))</x:f>
        <x:v>Arcane and Scholarly Magic Roles</x:v>
      </x:c>
      <x:c r="F303" s="24" t="n">
        <x:v>3</x:v>
      </x:c>
      <x:c r="G303" s="24" t="str">
        <x:v>Game-coded healer emphasizing restoration, cleansing, protection, and sacred or light magic.</x:v>
      </x:c>
      <x:c r="H303" s="24" t="str">
        <x:v>Do not assume identical training, social status, powers, or mechanics across settings.</x:v>
      </x:c>
      <x:c r="I303" s="24" t="str">
        <x:v>white mage; healer mage; restorative caster</x:v>
      </x:c>
      <x:c r="J303" s="24" t="str">
        <x:v>Spellcasting, magical research, battlefield control, transformation, summoning, or supernatural problem solving.</x:v>
      </x:c>
      <x:c r="K303" s="24" t="str">
        <x:v>white mage; healer mage; restorative caster</x:v>
      </x:c>
      <x:c r="L303" s="24" t="str">
        <x:v>Preserve each source's ontology, culture, history, and terminology when making comparisons.</x:v>
      </x:c>
      <x:c r="M303" s="24" t="str">
        <x:v>Core Family</x:v>
      </x:c>
    </x:row>
    <x:row r="304" ht="44" customHeight="1">
      <x:c r="A304" s="24" t="str">
        <x:v>ROL-345</x:v>
      </x:c>
      <x:c r="B304" s="24" t="str">
        <x:v>Green Mage and Support Caster</x:v>
      </x:c>
      <x:c r="C304" s="24" t="str">
        <x:v>Roles &amp; Vocations</x:v>
      </x:c>
      <x:c r="D304" s="24" t="str">
        <x:v>ROL-300</x:v>
      </x:c>
      <x:c r="E304" s="24" t="str">
        <x:f>IF(D304="","",IFERROR(VLOOKUP(D304,$A$2:$B$1656,2,FALSE),""))</x:f>
        <x:v>Arcane and Scholarly Magic Roles</x:v>
      </x:c>
      <x:c r="F304" s="24" t="n">
        <x:v>3</x:v>
      </x:c>
      <x:c r="G304" s="24" t="str">
        <x:v>Game-coded support specialist emphasizing buffs, debuffs, status magic, nature, or tactical utility.</x:v>
      </x:c>
      <x:c r="H304" s="24" t="str">
        <x:v>Do not assume identical training, social status, powers, or mechanics across settings.</x:v>
      </x:c>
      <x:c r="I304" s="24" t="str">
        <x:v>green mage; support mage</x:v>
      </x:c>
      <x:c r="J304" s="24" t="str">
        <x:v>Spellcasting, magical research, battlefield control, transformation, summoning, or supernatural problem solving.</x:v>
      </x:c>
      <x:c r="K304" s="24" t="str">
        <x:v>green mage; support mage</x:v>
      </x:c>
      <x:c r="L304" s="24" t="str">
        <x:v>Preserve each source's ontology, culture, history, and terminology when making comparisons.</x:v>
      </x:c>
      <x:c r="M304" s="24" t="str">
        <x:v>Core Family</x:v>
      </x:c>
    </x:row>
    <x:row r="305" ht="44" customHeight="1">
      <x:c r="A305" s="24" t="str">
        <x:v>ROL-346</x:v>
      </x:c>
      <x:c r="B305" s="24" t="str">
        <x:v>Time Mage</x:v>
      </x:c>
      <x:c r="C305" s="24" t="str">
        <x:v>Roles &amp; Vocations</x:v>
      </x:c>
      <x:c r="D305" s="24" t="str">
        <x:v>ROL-300</x:v>
      </x:c>
      <x:c r="E305" s="24" t="str">
        <x:f>IF(D305="","",IFERROR(VLOOKUP(D305,$A$2:$B$1656,2,FALSE),""))</x:f>
        <x:v>Arcane and Scholarly Magic Roles</x:v>
      </x:c>
      <x:c r="F305" s="24" t="n">
        <x:v>3</x:v>
      </x:c>
      <x:c r="G305" s="24" t="str">
        <x:v>Game-class form of temporal specialist using haste, slow, stop, gravity, and related battlefield control.</x:v>
      </x:c>
      <x:c r="H305" s="24" t="str">
        <x:v>Do not assume identical training, social status, powers, or mechanics across settings.</x:v>
      </x:c>
      <x:c r="I305" s="24" t="str">
        <x:v>time mage; chronomancer</x:v>
      </x:c>
      <x:c r="J305" s="24" t="str">
        <x:v>Spellcasting, magical research, battlefield control, transformation, summoning, or supernatural problem solving.</x:v>
      </x:c>
      <x:c r="K305" s="24" t="str">
        <x:v>time mage; chronomancer</x:v>
      </x:c>
      <x:c r="L305" s="24" t="str">
        <x:v>Preserve each source's ontology, culture, history, and terminology when making comparisons.</x:v>
      </x:c>
      <x:c r="M305" s="24" t="str">
        <x:v>Core Family</x:v>
      </x:c>
    </x:row>
    <x:row r="306" ht="44" customHeight="1">
      <x:c r="A306" s="24" t="str">
        <x:v>ROL-347</x:v>
      </x:c>
      <x:c r="B306" s="24" t="str">
        <x:v>Calculator and Arithmetician</x:v>
      </x:c>
      <x:c r="C306" s="24" t="str">
        <x:v>Roles &amp; Vocations</x:v>
      </x:c>
      <x:c r="D306" s="24" t="str">
        <x:v>ROL-300</x:v>
      </x:c>
      <x:c r="E306" s="24" t="str">
        <x:f>IF(D306="","",IFERROR(VLOOKUP(D306,$A$2:$B$1656,2,FALSE),""))</x:f>
        <x:v>Arcane and Scholarly Magic Roles</x:v>
      </x:c>
      <x:c r="F306" s="24" t="n">
        <x:v>3</x:v>
      </x:c>
      <x:c r="G306" s="24" t="str">
        <x:v>Caster who applies numerical, geometric, conditional, or formula-based rules to target and amplify magic.</x:v>
      </x:c>
      <x:c r="H306" s="24" t="str">
        <x:v>Do not assume identical training, social status, powers, or mechanics across settings.</x:v>
      </x:c>
      <x:c r="I306" s="24" t="str">
        <x:v>calculator; arithmetician; mathemagician</x:v>
      </x:c>
      <x:c r="J306" s="24" t="str">
        <x:v>Spellcasting, magical research, battlefield control, transformation, summoning, or supernatural problem solving.</x:v>
      </x:c>
      <x:c r="K306" s="24" t="str">
        <x:v>calculator; arithmetician; mathemagician</x:v>
      </x:c>
      <x:c r="L306" s="24" t="str">
        <x:v>Preserve each source's ontology, culture, history, and terminology when making comparisons.</x:v>
      </x:c>
      <x:c r="M306" s="24" t="str">
        <x:v>Core Family</x:v>
      </x:c>
    </x:row>
    <x:row r="307" ht="44" customHeight="1">
      <x:c r="A307" s="24" t="str">
        <x:v>ROL-348</x:v>
      </x:c>
      <x:c r="B307" s="24" t="str">
        <x:v>Oracle and Fate Caster</x:v>
      </x:c>
      <x:c r="C307" s="24" t="str">
        <x:v>Roles &amp; Vocations</x:v>
      </x:c>
      <x:c r="D307" s="24" t="str">
        <x:v>ROL-300</x:v>
      </x:c>
      <x:c r="E307" s="24" t="str">
        <x:f>IF(D307="","",IFERROR(VLOOKUP(D307,$A$2:$B$1656,2,FALSE),""))</x:f>
        <x:v>Arcane and Scholarly Magic Roles</x:v>
      </x:c>
      <x:c r="F307" s="24" t="n">
        <x:v>3</x:v>
      </x:c>
      <x:c r="G307" s="24" t="str">
        <x:v>Magic user who channels prophecy, fate, omens, curses, or probabilistic outcomes without necessarily holding a religious office.</x:v>
      </x:c>
      <x:c r="H307" s="24" t="str">
        <x:v>Do not assume identical training, social status, powers, or mechanics across settings.</x:v>
      </x:c>
      <x:c r="I307" s="24" t="str">
        <x:v>oracle; fate mage; mystic</x:v>
      </x:c>
      <x:c r="J307" s="24" t="str">
        <x:v>Spellcasting, magical research, battlefield control, transformation, summoning, or supernatural problem solving.</x:v>
      </x:c>
      <x:c r="K307" s="24" t="str">
        <x:v>oracle; fate mage; mystic</x:v>
      </x:c>
      <x:c r="L307" s="24" t="str">
        <x:v>Preserve each source's ontology, culture, history, and terminology when making comparisons.</x:v>
      </x:c>
      <x:c r="M307" s="24" t="str">
        <x:v>Core Family</x:v>
      </x:c>
    </x:row>
    <x:row r="308" ht="44" customHeight="1">
      <x:c r="A308" s="24" t="str">
        <x:v>ROL-349</x:v>
      </x:c>
      <x:c r="B308" s="24" t="str">
        <x:v>Spirit Binder</x:v>
      </x:c>
      <x:c r="C308" s="24" t="str">
        <x:v>Roles &amp; Vocations</x:v>
      </x:c>
      <x:c r="D308" s="24" t="str">
        <x:v>ROL-300</x:v>
      </x:c>
      <x:c r="E308" s="24" t="str">
        <x:f>IF(D308="","",IFERROR(VLOOKUP(D308,$A$2:$B$1656,2,FALSE),""))</x:f>
        <x:v>Arcane and Scholarly Magic Roles</x:v>
      </x:c>
      <x:c r="F308" s="24" t="n">
        <x:v>3</x:v>
      </x:c>
      <x:c r="G308" s="24" t="str">
        <x:v>Caster who captures, contracts, seals, equips, or commands spirits as discrete power sources.</x:v>
      </x:c>
      <x:c r="H308" s="24" t="str">
        <x:v>Do not assume identical training, social status, powers, or mechanics across settings.</x:v>
      </x:c>
      <x:c r="I308" s="24" t="str">
        <x:v>spirit binder; seal master; soul tamer</x:v>
      </x:c>
      <x:c r="J308" s="24" t="str">
        <x:v>Spellcasting, magical research, battlefield control, transformation, summoning, or supernatural problem solving.</x:v>
      </x:c>
      <x:c r="K308" s="24" t="str">
        <x:v>spirit binder; seal master; soul tamer</x:v>
      </x:c>
      <x:c r="L308" s="24" t="str">
        <x:v>Preserve each source's ontology, culture, history, and terminology when making comparisons.</x:v>
      </x:c>
      <x:c r="M308" s="24" t="str">
        <x:v>Core Family</x:v>
      </x:c>
    </x:row>
    <x:row r="309" ht="44" customHeight="1">
      <x:c r="A309" s="24" t="str">
        <x:v>ROL-350</x:v>
      </x:c>
      <x:c r="B309" s="24" t="str">
        <x:v>Demonologist</x:v>
      </x:c>
      <x:c r="C309" s="24" t="str">
        <x:v>Roles &amp; Vocations</x:v>
      </x:c>
      <x:c r="D309" s="24" t="str">
        <x:v>ROL-300</x:v>
      </x:c>
      <x:c r="E309" s="24" t="str">
        <x:f>IF(D309="","",IFERROR(VLOOKUP(D309,$A$2:$B$1656,2,FALSE),""))</x:f>
        <x:v>Arcane and Scholarly Magic Roles</x:v>
      </x:c>
      <x:c r="F309" s="24" t="n">
        <x:v>3</x:v>
      </x:c>
      <x:c r="G309" s="24" t="str">
        <x:v>Scholar or caster specializing in demons, infernal names, summoning, binding, banishment, and corruption.</x:v>
      </x:c>
      <x:c r="H309" s="24" t="str">
        <x:v>Do not assume identical training, social status, powers, or mechanics across settings.</x:v>
      </x:c>
      <x:c r="I309" s="24" t="str">
        <x:v>demonologist; diabolist</x:v>
      </x:c>
      <x:c r="J309" s="24" t="str">
        <x:v>Spellcasting, magical research, battlefield control, transformation, summoning, or supernatural problem solving.</x:v>
      </x:c>
      <x:c r="K309" s="24" t="str">
        <x:v>demonologist; diabolist</x:v>
      </x:c>
      <x:c r="L309" s="24" t="str">
        <x:v>Preserve each source's ontology, culture, history, and terminology when making comparisons.</x:v>
      </x:c>
      <x:c r="M309" s="24" t="str">
        <x:v>Core Family</x:v>
      </x:c>
    </x:row>
    <x:row r="310" ht="44" customHeight="1">
      <x:c r="A310" s="24" t="str">
        <x:v>ROL-351</x:v>
      </x:c>
      <x:c r="B310" s="24" t="str">
        <x:v>Extradimensional Mage</x:v>
      </x:c>
      <x:c r="C310" s="24" t="str">
        <x:v>Roles &amp; Vocations</x:v>
      </x:c>
      <x:c r="D310" s="24" t="str">
        <x:v>ROL-300</x:v>
      </x:c>
      <x:c r="E310" s="24" t="str">
        <x:f>IF(D310="","",IFERROR(VLOOKUP(D310,$A$2:$B$1656,2,FALSE),""))</x:f>
        <x:v>Arcane and Scholarly Magic Roles</x:v>
      </x:c>
      <x:c r="F310" s="24" t="n">
        <x:v>3</x:v>
      </x:c>
      <x:c r="G310" s="24" t="str">
        <x:v>Caster whose discipline centers on planes, pocket worlds, extradimensional storage, or reality boundaries.</x:v>
      </x:c>
      <x:c r="H310" s="24" t="str">
        <x:v>Do not assume identical training, social status, powers, or mechanics across settings.</x:v>
      </x:c>
      <x:c r="I310" s="24" t="str">
        <x:v>planar mage; dimensionalist</x:v>
      </x:c>
      <x:c r="J310" s="24" t="str">
        <x:v>Spellcasting, magical research, battlefield control, transformation, summoning, or supernatural problem solving.</x:v>
      </x:c>
      <x:c r="K310" s="24" t="str">
        <x:v>planar mage; dimensionalist</x:v>
      </x:c>
      <x:c r="L310" s="24" t="str">
        <x:v>Preserve each source's ontology, culture, history, and terminology when making comparisons.</x:v>
      </x:c>
      <x:c r="M310" s="24" t="str">
        <x:v>Core Family</x:v>
      </x:c>
    </x:row>
    <x:row r="311" ht="44" customHeight="1">
      <x:c r="A311" s="24" t="str">
        <x:v>ROL-352</x:v>
      </x:c>
      <x:c r="B311" s="24" t="str">
        <x:v>Anti-Mage and Nullifier</x:v>
      </x:c>
      <x:c r="C311" s="24" t="str">
        <x:v>Roles &amp; Vocations</x:v>
      </x:c>
      <x:c r="D311" s="24" t="str">
        <x:v>ROL-300</x:v>
      </x:c>
      <x:c r="E311" s="24" t="str">
        <x:f>IF(D311="","",IFERROR(VLOOKUP(D311,$A$2:$B$1656,2,FALSE),""))</x:f>
        <x:v>Arcane and Scholarly Magic Roles</x:v>
      </x:c>
      <x:c r="F311" s="24" t="n">
        <x:v>3</x:v>
      </x:c>
      <x:c r="G311" s="24" t="str">
        <x:v>Specialist who suppresses, drains, reflects, dispels, or renders magic unusable.</x:v>
      </x:c>
      <x:c r="H311" s="24" t="str">
        <x:v>Do not assume identical training, social status, powers, or mechanics across settings.</x:v>
      </x:c>
      <x:c r="I311" s="24" t="str">
        <x:v>anti-mage; nullifier; dispeller</x:v>
      </x:c>
      <x:c r="J311" s="24" t="str">
        <x:v>Spellcasting, magical research, battlefield control, transformation, summoning, or supernatural problem solving.</x:v>
      </x:c>
      <x:c r="K311" s="24" t="str">
        <x:v>anti-mage; nullifier; dispeller</x:v>
      </x:c>
      <x:c r="L311" s="24" t="str">
        <x:v>Preserve each source's ontology, culture, history, and terminology when making comparisons.</x:v>
      </x:c>
      <x:c r="M311" s="24" t="str">
        <x:v>Core Family</x:v>
      </x:c>
    </x:row>
    <x:row r="312" ht="44" customHeight="1">
      <x:c r="A312" s="24" t="str">
        <x:v>ROL-353</x:v>
      </x:c>
      <x:c r="B312" s="24" t="str">
        <x:v>Curse Mage</x:v>
      </x:c>
      <x:c r="C312" s="24" t="str">
        <x:v>Roles &amp; Vocations</x:v>
      </x:c>
      <x:c r="D312" s="24" t="str">
        <x:v>ROL-300</x:v>
      </x:c>
      <x:c r="E312" s="24" t="str">
        <x:f>IF(D312="","",IFERROR(VLOOKUP(D312,$A$2:$B$1656,2,FALSE),""))</x:f>
        <x:v>Arcane and Scholarly Magic Roles</x:v>
      </x:c>
      <x:c r="F312" s="24" t="n">
        <x:v>3</x:v>
      </x:c>
      <x:c r="G312" s="24" t="str">
        <x:v>Practitioner specializing in persistent afflictions, taboo conditions, doom, geasa, and hostile transformations.</x:v>
      </x:c>
      <x:c r="H312" s="24" t="str">
        <x:v>Do not assume identical training, social status, powers, or mechanics across settings.</x:v>
      </x:c>
      <x:c r="I312" s="24" t="str">
        <x:v>curse mage; hexer; maledictor</x:v>
      </x:c>
      <x:c r="J312" s="24" t="str">
        <x:v>Spellcasting, magical research, battlefield control, transformation, summoning, or supernatural problem solving.</x:v>
      </x:c>
      <x:c r="K312" s="24" t="str">
        <x:v>curse mage; hexer; maledictor</x:v>
      </x:c>
      <x:c r="L312" s="24" t="str">
        <x:v>Preserve each source's ontology, culture, history, and terminology when making comparisons.</x:v>
      </x:c>
      <x:c r="M312" s="24" t="str">
        <x:v>Core Family</x:v>
      </x:c>
    </x:row>
    <x:row r="313" ht="44" customHeight="1">
      <x:c r="A313" s="24" t="str">
        <x:v>ROL-354</x:v>
      </x:c>
      <x:c r="B313" s="24" t="str">
        <x:v>Charm and Emotion Mage</x:v>
      </x:c>
      <x:c r="C313" s="24" t="str">
        <x:v>Roles &amp; Vocations</x:v>
      </x:c>
      <x:c r="D313" s="24" t="str">
        <x:v>ROL-300</x:v>
      </x:c>
      <x:c r="E313" s="24" t="str">
        <x:f>IF(D313="","",IFERROR(VLOOKUP(D313,$A$2:$B$1656,2,FALSE),""))</x:f>
        <x:v>Arcane and Scholarly Magic Roles</x:v>
      </x:c>
      <x:c r="F313" s="24" t="n">
        <x:v>3</x:v>
      </x:c>
      <x:c r="G313" s="24" t="str">
        <x:v>Caster who alters desire, loyalty, fear, courage, empathy, or emotional states.</x:v>
      </x:c>
      <x:c r="H313" s="24" t="str">
        <x:v>Do not assume identical training, social status, powers, or mechanics across settings.</x:v>
      </x:c>
      <x:c r="I313" s="24" t="str">
        <x:v>empath; charm mage; emotion weaver</x:v>
      </x:c>
      <x:c r="J313" s="24" t="str">
        <x:v>Spellcasting, magical research, battlefield control, transformation, summoning, or supernatural problem solving.</x:v>
      </x:c>
      <x:c r="K313" s="24" t="str">
        <x:v>empath; charm mage; emotion weaver</x:v>
      </x:c>
      <x:c r="L313" s="24" t="str">
        <x:v>Preserve each source's ontology, culture, history, and terminology when making comparisons.</x:v>
      </x:c>
      <x:c r="M313" s="24" t="str">
        <x:v>Core Family</x:v>
      </x:c>
    </x:row>
    <x:row r="314" ht="44" customHeight="1">
      <x:c r="A314" s="24" t="str">
        <x:v>ROL-401</x:v>
      </x:c>
      <x:c r="B314" s="24" t="str">
        <x:v>Priest</x:v>
      </x:c>
      <x:c r="C314" s="24" t="str">
        <x:v>Roles &amp; Vocations</x:v>
      </x:c>
      <x:c r="D314" s="24" t="str">
        <x:v>ROL-400</x:v>
      </x:c>
      <x:c r="E314" s="24" t="str">
        <x:f>IF(D314="","",IFERROR(VLOOKUP(D314,$A$2:$B$1656,2,FALSE),""))</x:f>
        <x:v>Divine and Religious Roles</x:v>
      </x:c>
      <x:c r="F314" s="24" t="n">
        <x:v>3</x:v>
      </x:c>
      <x:c r="G314" s="24" t="str">
        <x:v>Religious specialist who performs worship, sacrifice, liturgy, pastoral care, and mediation between community and sacred power.</x:v>
      </x:c>
      <x:c r="H314" s="24" t="str">
        <x:v>Do not assume identical training, social status, powers, or mechanics across settings.</x:v>
      </x:c>
      <x:c r="I314" s="24" t="str">
        <x:v>priest; priestess; cleric</x:v>
      </x:c>
      <x:c r="J314" s="24" t="str">
        <x:v>Worship, healing, sacred authority, prophecy, purification, doctrine, or combat against spiritual threats.</x:v>
      </x:c>
      <x:c r="K314" s="24" t="str">
        <x:v>priest; priestess; cleric</x:v>
      </x:c>
      <x:c r="L314" s="24" t="str">
        <x:v>Preserve each source's ontology, culture, history, and terminology when making comparisons.</x:v>
      </x:c>
      <x:c r="M314" s="24" t="str">
        <x:v>Core Family</x:v>
      </x:c>
    </x:row>
    <x:row r="315" ht="44" customHeight="1">
      <x:c r="A315" s="24" t="str">
        <x:v>ROL-402</x:v>
      </x:c>
      <x:c r="B315" s="24" t="str">
        <x:v>Cleric</x:v>
      </x:c>
      <x:c r="C315" s="24" t="str">
        <x:v>Roles &amp; Vocations</x:v>
      </x:c>
      <x:c r="D315" s="24" t="str">
        <x:v>ROL-400</x:v>
      </x:c>
      <x:c r="E315" s="24" t="str">
        <x:f>IF(D315="","",IFERROR(VLOOKUP(D315,$A$2:$B$1656,2,FALSE),""))</x:f>
        <x:v>Divine and Religious Roles</x:v>
      </x:c>
      <x:c r="F315" s="24" t="n">
        <x:v>3</x:v>
      </x:c>
      <x:c r="G315" s="24" t="str">
        <x:v>Game-coded or institutional priest combining sacred magic, healing, protection, and combat utility.</x:v>
      </x:c>
      <x:c r="H315" s="24" t="str">
        <x:v>Do not assume identical training, social status, powers, or mechanics across settings.</x:v>
      </x:c>
      <x:c r="I315" s="24" t="str">
        <x:v>cleric; battle priest</x:v>
      </x:c>
      <x:c r="J315" s="24" t="str">
        <x:v>Worship, healing, sacred authority, prophecy, purification, doctrine, or combat against spiritual threats.</x:v>
      </x:c>
      <x:c r="K315" s="24" t="str">
        <x:v>cleric; battle priest</x:v>
      </x:c>
      <x:c r="L315" s="24" t="str">
        <x:v>Preserve each source's ontology, culture, history, and terminology when making comparisons.</x:v>
      </x:c>
      <x:c r="M315" s="24" t="str">
        <x:v>Core Family</x:v>
      </x:c>
    </x:row>
    <x:row r="316" ht="44" customHeight="1">
      <x:c r="A316" s="24" t="str">
        <x:v>ROL-403</x:v>
      </x:c>
      <x:c r="B316" s="24" t="str">
        <x:v>Acolyte and Novice</x:v>
      </x:c>
      <x:c r="C316" s="24" t="str">
        <x:v>Roles &amp; Vocations</x:v>
      </x:c>
      <x:c r="D316" s="24" t="str">
        <x:v>ROL-400</x:v>
      </x:c>
      <x:c r="E316" s="24" t="str">
        <x:f>IF(D316="","",IFERROR(VLOOKUP(D316,$A$2:$B$1656,2,FALSE),""))</x:f>
        <x:v>Divine and Religious Roles</x:v>
      </x:c>
      <x:c r="F316" s="24" t="n">
        <x:v>3</x:v>
      </x:c>
      <x:c r="G316" s="24" t="str">
        <x:v>Junior initiate serving and learning within a temple, cult, monastery, or sacred order.</x:v>
      </x:c>
      <x:c r="H316" s="24" t="str">
        <x:v>Do not assume identical training, social status, powers, or mechanics across settings.</x:v>
      </x:c>
      <x:c r="I316" s="24" t="str">
        <x:v>acolyte; novice; initiate</x:v>
      </x:c>
      <x:c r="J316" s="24" t="str">
        <x:v>Worship, healing, sacred authority, prophecy, purification, doctrine, or combat against spiritual threats.</x:v>
      </x:c>
      <x:c r="K316" s="24" t="str">
        <x:v>acolyte; novice; initiate</x:v>
      </x:c>
      <x:c r="L316" s="24" t="str">
        <x:v>Preserve each source's ontology, culture, history, and terminology when making comparisons.</x:v>
      </x:c>
      <x:c r="M316" s="24" t="str">
        <x:v>Core Family</x:v>
      </x:c>
    </x:row>
    <x:row r="317" ht="44" customHeight="1">
      <x:c r="A317" s="24" t="str">
        <x:v>ROL-404</x:v>
      </x:c>
      <x:c r="B317" s="24" t="str">
        <x:v>Monastic Religious</x:v>
      </x:c>
      <x:c r="C317" s="24" t="str">
        <x:v>Roles &amp; Vocations</x:v>
      </x:c>
      <x:c r="D317" s="24" t="str">
        <x:v>ROL-400</x:v>
      </x:c>
      <x:c r="E317" s="24" t="str">
        <x:f>IF(D317="","",IFERROR(VLOOKUP(D317,$A$2:$B$1656,2,FALSE),""))</x:f>
        <x:v>Divine and Religious Roles</x:v>
      </x:c>
      <x:c r="F317" s="24" t="n">
        <x:v>3</x:v>
      </x:c>
      <x:c r="G317" s="24" t="str">
        <x:v>Member of a disciplined religious community organized around vows, contemplation, service, or sacred practice.</x:v>
      </x:c>
      <x:c r="H317" s="24" t="str">
        <x:v>Do not assume identical training, social status, powers, or mechanics across settings.</x:v>
      </x:c>
      <x:c r="I317" s="24" t="str">
        <x:v>monk; nun; brother; sister</x:v>
      </x:c>
      <x:c r="J317" s="24" t="str">
        <x:v>Worship, healing, sacred authority, prophecy, purification, doctrine, or combat against spiritual threats.</x:v>
      </x:c>
      <x:c r="K317" s="24" t="str">
        <x:v>monk; nun; brother; sister</x:v>
      </x:c>
      <x:c r="L317" s="24" t="str">
        <x:v>Preserve each source's ontology, culture, history, and terminology when making comparisons.</x:v>
      </x:c>
      <x:c r="M317" s="24" t="str">
        <x:v>Core Family</x:v>
      </x:c>
    </x:row>
    <x:row r="318" ht="44" customHeight="1">
      <x:c r="A318" s="24" t="str">
        <x:v>ROL-405</x:v>
      </x:c>
      <x:c r="B318" s="24" t="str">
        <x:v>Templar</x:v>
      </x:c>
      <x:c r="C318" s="24" t="str">
        <x:v>Roles &amp; Vocations</x:v>
      </x:c>
      <x:c r="D318" s="24" t="str">
        <x:v>ROL-400</x:v>
      </x:c>
      <x:c r="E318" s="24" t="str">
        <x:f>IF(D318="","",IFERROR(VLOOKUP(D318,$A$2:$B$1656,2,FALSE),""))</x:f>
        <x:v>Divine and Religious Roles</x:v>
      </x:c>
      <x:c r="F318" s="24" t="n">
        <x:v>3</x:v>
      </x:c>
      <x:c r="G318" s="24" t="str">
        <x:v>Armed member of a religious order charged with protection, conquest, policing, or defense of sacred institutions.</x:v>
      </x:c>
      <x:c r="H318" s="24" t="str">
        <x:v>Do not assume identical training, social status, powers, or mechanics across settings.</x:v>
      </x:c>
      <x:c r="I318" s="24" t="str">
        <x:v>templar; temple knight</x:v>
      </x:c>
      <x:c r="J318" s="24" t="str">
        <x:v>Worship, healing, sacred authority, prophecy, purification, doctrine, or combat against spiritual threats.</x:v>
      </x:c>
      <x:c r="K318" s="24" t="str">
        <x:v>templar; temple knight</x:v>
      </x:c>
      <x:c r="L318" s="24" t="str">
        <x:v>Preserve each source's ontology, culture, history, and terminology when making comparisons.</x:v>
      </x:c>
      <x:c r="M318" s="24" t="str">
        <x:v>Core Family</x:v>
      </x:c>
    </x:row>
    <x:row r="319" ht="44" customHeight="1">
      <x:c r="A319" s="24" t="str">
        <x:v>ROL-406</x:v>
      </x:c>
      <x:c r="B319" s="24" t="str">
        <x:v>Inquisitor</x:v>
      </x:c>
      <x:c r="C319" s="24" t="str">
        <x:v>Roles &amp; Vocations</x:v>
      </x:c>
      <x:c r="D319" s="24" t="str">
        <x:v>ROL-400</x:v>
      </x:c>
      <x:c r="E319" s="24" t="str">
        <x:f>IF(D319="","",IFERROR(VLOOKUP(D319,$A$2:$B$1656,2,FALSE),""))</x:f>
        <x:v>Divine and Religious Roles</x:v>
      </x:c>
      <x:c r="F319" s="24" t="n">
        <x:v>3</x:v>
      </x:c>
      <x:c r="G319" s="24" t="str">
        <x:v>Religious or ideological investigator empowered to identify heresy, corruption, possession, or forbidden magic.</x:v>
      </x:c>
      <x:c r="H319" s="24" t="str">
        <x:v>Do not assume identical training, social status, powers, or mechanics across settings.</x:v>
      </x:c>
      <x:c r="I319" s="24" t="str">
        <x:v>inquisitor; witchfinder; heresy hunter</x:v>
      </x:c>
      <x:c r="J319" s="24" t="str">
        <x:v>Worship, healing, sacred authority, prophecy, purification, doctrine, or combat against spiritual threats.</x:v>
      </x:c>
      <x:c r="K319" s="24" t="str">
        <x:v>inquisitor; witchfinder; heresy hunter</x:v>
      </x:c>
      <x:c r="L319" s="24" t="str">
        <x:v>Preserve each source's ontology, culture, history, and terminology when making comparisons.</x:v>
      </x:c>
      <x:c r="M319" s="24" t="str">
        <x:v>Core Family</x:v>
      </x:c>
    </x:row>
    <x:row r="320" ht="44" customHeight="1">
      <x:c r="A320" s="24" t="str">
        <x:v>ROL-407</x:v>
      </x:c>
      <x:c r="B320" s="24" t="str">
        <x:v>Exorcist</x:v>
      </x:c>
      <x:c r="C320" s="24" t="str">
        <x:v>Roles &amp; Vocations</x:v>
      </x:c>
      <x:c r="D320" s="24" t="str">
        <x:v>ROL-400</x:v>
      </x:c>
      <x:c r="E320" s="24" t="str">
        <x:f>IF(D320="","",IFERROR(VLOOKUP(D320,$A$2:$B$1656,2,FALSE),""))</x:f>
        <x:v>Divine and Religious Roles</x:v>
      </x:c>
      <x:c r="F320" s="24" t="n">
        <x:v>3</x:v>
      </x:c>
      <x:c r="G320" s="24" t="str">
        <x:v>Specialist who removes, repels, seals, or destroys possessing spirits, demons, curses, and hauntings.</x:v>
      </x:c>
      <x:c r="H320" s="24" t="str">
        <x:v>Do not assume identical training, social status, powers, or mechanics across settings.</x:v>
      </x:c>
      <x:c r="I320" s="24" t="str">
        <x:v>exorcist; banisher; spirit cleanser</x:v>
      </x:c>
      <x:c r="J320" s="24" t="str">
        <x:v>Worship, healing, sacred authority, prophecy, purification, doctrine, or combat against spiritual threats.</x:v>
      </x:c>
      <x:c r="K320" s="24" t="str">
        <x:v>exorcist; banisher; spirit cleanser</x:v>
      </x:c>
      <x:c r="L320" s="24" t="str">
        <x:v>Preserve each source's ontology, culture, history, and terminology when making comparisons.</x:v>
      </x:c>
      <x:c r="M320" s="24" t="str">
        <x:v>Core Family</x:v>
      </x:c>
    </x:row>
    <x:row r="321" ht="44" customHeight="1">
      <x:c r="A321" s="24" t="str">
        <x:v>ROL-408</x:v>
      </x:c>
      <x:c r="B321" s="24" t="str">
        <x:v>Oracle</x:v>
      </x:c>
      <x:c r="C321" s="24" t="str">
        <x:v>Roles &amp; Vocations</x:v>
      </x:c>
      <x:c r="D321" s="24" t="str">
        <x:v>ROL-400</x:v>
      </x:c>
      <x:c r="E321" s="24" t="str">
        <x:f>IF(D321="","",IFERROR(VLOOKUP(D321,$A$2:$B$1656,2,FALSE),""))</x:f>
        <x:v>Divine and Religious Roles</x:v>
      </x:c>
      <x:c r="F321" s="24" t="n">
        <x:v>3</x:v>
      </x:c>
      <x:c r="G321" s="24" t="str">
        <x:v>Person who receives authoritative messages, visions, or judgments from gods, spirits, fate, or sacred sites.</x:v>
      </x:c>
      <x:c r="H321" s="24" t="str">
        <x:v>Do not assume identical training, social status, powers, or mechanics across settings.</x:v>
      </x:c>
      <x:c r="I321" s="24" t="str">
        <x:v>oracle; mouthpiece; sibyl</x:v>
      </x:c>
      <x:c r="J321" s="24" t="str">
        <x:v>Worship, healing, sacred authority, prophecy, purification, doctrine, or combat against spiritual threats.</x:v>
      </x:c>
      <x:c r="K321" s="24" t="str">
        <x:v>oracle; mouthpiece; sibyl</x:v>
      </x:c>
      <x:c r="L321" s="24" t="str">
        <x:v>Preserve each source's ontology, culture, history, and terminology when making comparisons.</x:v>
      </x:c>
      <x:c r="M321" s="24" t="str">
        <x:v>Core Family</x:v>
      </x:c>
    </x:row>
    <x:row r="322" ht="44" customHeight="1">
      <x:c r="A322" s="24" t="str">
        <x:v>ROL-409</x:v>
      </x:c>
      <x:c r="B322" s="24" t="str">
        <x:v>Prophet</x:v>
      </x:c>
      <x:c r="C322" s="24" t="str">
        <x:v>Roles &amp; Vocations</x:v>
      </x:c>
      <x:c r="D322" s="24" t="str">
        <x:v>ROL-400</x:v>
      </x:c>
      <x:c r="E322" s="24" t="str">
        <x:f>IF(D322="","",IFERROR(VLOOKUP(D322,$A$2:$B$1656,2,FALSE),""))</x:f>
        <x:v>Divine and Religious Roles</x:v>
      </x:c>
      <x:c r="F322" s="24" t="n">
        <x:v>3</x:v>
      </x:c>
      <x:c r="G322" s="24" t="str">
        <x:v>Religious figure who proclaims revelation, warning, reform, or a future divinely guaranteed event.</x:v>
      </x:c>
      <x:c r="H322" s="24" t="str">
        <x:v>Do not assume identical training, social status, powers, or mechanics across settings.</x:v>
      </x:c>
      <x:c r="I322" s="24" t="str">
        <x:v>prophet; seer-prophet; messiah</x:v>
      </x:c>
      <x:c r="J322" s="24" t="str">
        <x:v>Worship, healing, sacred authority, prophecy, purification, doctrine, or combat against spiritual threats.</x:v>
      </x:c>
      <x:c r="K322" s="24" t="str">
        <x:v>prophet; seer-prophet; messiah</x:v>
      </x:c>
      <x:c r="L322" s="24" t="str">
        <x:v>Preserve each source's ontology, culture, history, and terminology when making comparisons.</x:v>
      </x:c>
      <x:c r="M322" s="24" t="str">
        <x:v>Core Family</x:v>
      </x:c>
    </x:row>
    <x:row r="323" ht="44" customHeight="1">
      <x:c r="A323" s="24" t="str">
        <x:v>ROL-410</x:v>
      </x:c>
      <x:c r="B323" s="24" t="str">
        <x:v>Saint and Miracle Worker</x:v>
      </x:c>
      <x:c r="C323" s="24" t="str">
        <x:v>Roles &amp; Vocations</x:v>
      </x:c>
      <x:c r="D323" s="24" t="str">
        <x:v>ROL-400</x:v>
      </x:c>
      <x:c r="E323" s="24" t="str">
        <x:f>IF(D323="","",IFERROR(VLOOKUP(D323,$A$2:$B$1656,2,FALSE),""))</x:f>
        <x:v>Divine and Religious Roles</x:v>
      </x:c>
      <x:c r="F323" s="24" t="n">
        <x:v>3</x:v>
      </x:c>
      <x:c r="G323" s="24" t="str">
        <x:v>Holy exemplar whose body, relics, presence, or faith produces recognized miracles.</x:v>
      </x:c>
      <x:c r="H323" s="24" t="str">
        <x:v>Do not assume identical training, social status, powers, or mechanics across settings.</x:v>
      </x:c>
      <x:c r="I323" s="24" t="str">
        <x:v>saint; wonder-worker; holy person</x:v>
      </x:c>
      <x:c r="J323" s="24" t="str">
        <x:v>Worship, healing, sacred authority, prophecy, purification, doctrine, or combat against spiritual threats.</x:v>
      </x:c>
      <x:c r="K323" s="24" t="str">
        <x:v>saint; wonder-worker; holy person</x:v>
      </x:c>
      <x:c r="L323" s="24" t="str">
        <x:v>Preserve each source's ontology, culture, history, and terminology when making comparisons.</x:v>
      </x:c>
      <x:c r="M323" s="24" t="str">
        <x:v>Core Family</x:v>
      </x:c>
    </x:row>
    <x:row r="324" ht="44" customHeight="1">
      <x:c r="A324" s="24" t="str">
        <x:v>ROL-411</x:v>
      </x:c>
      <x:c r="B324" s="24" t="str">
        <x:v>Shrine Maiden and Miko-Derived Role</x:v>
      </x:c>
      <x:c r="C324" s="24" t="str">
        <x:v>Roles &amp; Vocations</x:v>
      </x:c>
      <x:c r="D324" s="24" t="str">
        <x:v>ROL-400</x:v>
      </x:c>
      <x:c r="E324" s="24" t="str">
        <x:f>IF(D324="","",IFERROR(VLOOKUP(D324,$A$2:$B$1656,2,FALSE),""))</x:f>
        <x:v>Divine and Religious Roles</x:v>
      </x:c>
      <x:c r="F324" s="24" t="n">
        <x:v>3</x:v>
      </x:c>
      <x:c r="G324" s="24" t="str">
        <x:v>Japanese shrine attendant or fantasy adaptation associated with purification, ritual dance, archery, wards, and spirit mediation.</x:v>
      </x:c>
      <x:c r="H324" s="24" t="str">
        <x:v>Do not assume identical training, social status, powers, or mechanics across settings.</x:v>
      </x:c>
      <x:c r="I324" s="24" t="str">
        <x:v>miko; shrine maiden</x:v>
      </x:c>
      <x:c r="J324" s="24" t="str">
        <x:v>Worship, healing, sacred authority, prophecy, purification, doctrine, or combat against spiritual threats.</x:v>
      </x:c>
      <x:c r="K324" s="24" t="str">
        <x:v>miko; shrine maiden</x:v>
      </x:c>
      <x:c r="L324" s="24" t="str">
        <x:v>Miko are real religious roles; distinguish historical practice from fantasy combat classes.</x:v>
      </x:c>
      <x:c r="M324" s="24" t="str">
        <x:v>Core Family</x:v>
      </x:c>
    </x:row>
    <x:row r="325" ht="44" customHeight="1">
      <x:c r="A325" s="24" t="str">
        <x:v>ROL-412</x:v>
      </x:c>
      <x:c r="B325" s="24" t="str">
        <x:v>Onmyoji-Derived Practitioner</x:v>
      </x:c>
      <x:c r="C325" s="24" t="str">
        <x:v>Roles &amp; Vocations</x:v>
      </x:c>
      <x:c r="D325" s="24" t="str">
        <x:v>ROL-400</x:v>
      </x:c>
      <x:c r="E325" s="24" t="str">
        <x:f>IF(D325="","",IFERROR(VLOOKUP(D325,$A$2:$B$1656,2,FALSE),""))</x:f>
        <x:v>Divine and Religious Roles</x:v>
      </x:c>
      <x:c r="F325" s="24" t="n">
        <x:v>3</x:v>
      </x:c>
      <x:c r="G325" s="24" t="str">
        <x:v>Fantasy role based on Japanese onmyōdō, combining calendrics, divination, ritual, talismans, spirits, and cosmology.</x:v>
      </x:c>
      <x:c r="H325" s="24" t="str">
        <x:v>Do not assume identical training, social status, powers, or mechanics across settings.</x:v>
      </x:c>
      <x:c r="I325" s="24" t="str">
        <x:v>onmyoji; yin-yang master</x:v>
      </x:c>
      <x:c r="J325" s="24" t="str">
        <x:v>Worship, healing, sacred authority, prophecy, purification, doctrine, or combat against spiritual threats.</x:v>
      </x:c>
      <x:c r="K325" s="24" t="str">
        <x:v>onmyoji; yin-yang master</x:v>
      </x:c>
      <x:c r="L325" s="24" t="str">
        <x:v>Onmyōdō is a specific Japanese historical tradition, not a generic exorcist class.</x:v>
      </x:c>
      <x:c r="M325" s="24" t="str">
        <x:v>Core Family</x:v>
      </x:c>
    </x:row>
    <x:row r="326" ht="44" customHeight="1">
      <x:c r="A326" s="24" t="str">
        <x:v>ROL-413</x:v>
      </x:c>
      <x:c r="B326" s="24" t="str">
        <x:v>Cantor and Sacred Singer</x:v>
      </x:c>
      <x:c r="C326" s="24" t="str">
        <x:v>Roles &amp; Vocations</x:v>
      </x:c>
      <x:c r="D326" s="24" t="str">
        <x:v>ROL-400</x:v>
      </x:c>
      <x:c r="E326" s="24" t="str">
        <x:f>IF(D326="","",IFERROR(VLOOKUP(D326,$A$2:$B$1656,2,FALSE),""))</x:f>
        <x:v>Divine and Religious Roles</x:v>
      </x:c>
      <x:c r="F326" s="24" t="n">
        <x:v>3</x:v>
      </x:c>
      <x:c r="G326" s="24" t="str">
        <x:v>Religious specialist whose voice, chant, music, or recitation performs ritual and channels power.</x:v>
      </x:c>
      <x:c r="H326" s="24" t="str">
        <x:v>Do not assume identical training, social status, powers, or mechanics across settings.</x:v>
      </x:c>
      <x:c r="I326" s="24" t="str">
        <x:v>cantor; chanter; sacred bard</x:v>
      </x:c>
      <x:c r="J326" s="24" t="str">
        <x:v>Worship, healing, sacred authority, prophecy, purification, doctrine, or combat against spiritual threats.</x:v>
      </x:c>
      <x:c r="K326" s="24" t="str">
        <x:v>cantor; chanter; sacred bard</x:v>
      </x:c>
      <x:c r="L326" s="24" t="str">
        <x:v>Preserve each source's ontology, culture, history, and terminology when making comparisons.</x:v>
      </x:c>
      <x:c r="M326" s="24" t="str">
        <x:v>Core Family</x:v>
      </x:c>
    </x:row>
    <x:row r="327" ht="44" customHeight="1">
      <x:c r="A327" s="24" t="str">
        <x:v>ROL-414</x:v>
      </x:c>
      <x:c r="B327" s="24" t="str">
        <x:v>Cultist</x:v>
      </x:c>
      <x:c r="C327" s="24" t="str">
        <x:v>Roles &amp; Vocations</x:v>
      </x:c>
      <x:c r="D327" s="24" t="str">
        <x:v>ROL-400</x:v>
      </x:c>
      <x:c r="E327" s="24" t="str">
        <x:f>IF(D327="","",IFERROR(VLOOKUP(D327,$A$2:$B$1656,2,FALSE),""))</x:f>
        <x:v>Divine and Religious Roles</x:v>
      </x:c>
      <x:c r="F327" s="24" t="n">
        <x:v>3</x:v>
      </x:c>
      <x:c r="G327" s="24" t="str">
        <x:v>Devotee of a marginal, secret, forbidden, or antagonistic sacred power, often organized through initiation and sacrifice.</x:v>
      </x:c>
      <x:c r="H327" s="24" t="str">
        <x:v>Do not assume identical training, social status, powers, or mechanics across settings.</x:v>
      </x:c>
      <x:c r="I327" s="24" t="str">
        <x:v>cultist; zealot; dark worshiper</x:v>
      </x:c>
      <x:c r="J327" s="24" t="str">
        <x:v>Worship, healing, sacred authority, prophecy, purification, doctrine, or combat against spiritual threats.</x:v>
      </x:c>
      <x:c r="K327" s="24" t="str">
        <x:v>cultist; zealot; dark worshiper</x:v>
      </x:c>
      <x:c r="L327" s="24" t="str">
        <x:v>Preserve each source's ontology, culture, history, and terminology when making comparisons.</x:v>
      </x:c>
      <x:c r="M327" s="24" t="str">
        <x:v>Core Family</x:v>
      </x:c>
    </x:row>
    <x:row r="328" ht="44" customHeight="1">
      <x:c r="A328" s="24" t="str">
        <x:v>ROL-415</x:v>
      </x:c>
      <x:c r="B328" s="24" t="str">
        <x:v>Death Priest</x:v>
      </x:c>
      <x:c r="C328" s="24" t="str">
        <x:v>Roles &amp; Vocations</x:v>
      </x:c>
      <x:c r="D328" s="24" t="str">
        <x:v>ROL-400</x:v>
      </x:c>
      <x:c r="E328" s="24" t="str">
        <x:f>IF(D328="","",IFERROR(VLOOKUP(D328,$A$2:$B$1656,2,FALSE),""))</x:f>
        <x:v>Divine and Religious Roles</x:v>
      </x:c>
      <x:c r="F328" s="24" t="n">
        <x:v>3</x:v>
      </x:c>
      <x:c r="G328" s="24" t="str">
        <x:v>Religious specialist serving death, funerary rites, ancestors, psychopomps, or gods of the dead.</x:v>
      </x:c>
      <x:c r="H328" s="24" t="str">
        <x:v>Do not assume identical training, social status, powers, or mechanics across settings.</x:v>
      </x:c>
      <x:c r="I328" s="24" t="str">
        <x:v>death priest; mortuary priest; grave cleric</x:v>
      </x:c>
      <x:c r="J328" s="24" t="str">
        <x:v>Worship, healing, sacred authority, prophecy, purification, doctrine, or combat against spiritual threats.</x:v>
      </x:c>
      <x:c r="K328" s="24" t="str">
        <x:v>death priest; mortuary priest; grave cleric</x:v>
      </x:c>
      <x:c r="L328" s="24" t="str">
        <x:v>Preserve each source's ontology, culture, history, and terminology when making comparisons.</x:v>
      </x:c>
      <x:c r="M328" s="24" t="str">
        <x:v>Core Family</x:v>
      </x:c>
    </x:row>
    <x:row r="329" ht="44" customHeight="1">
      <x:c r="A329" s="24" t="str">
        <x:v>ROL-416</x:v>
      </x:c>
      <x:c r="B329" s="24" t="str">
        <x:v>Sun Priest</x:v>
      </x:c>
      <x:c r="C329" s="24" t="str">
        <x:v>Roles &amp; Vocations</x:v>
      </x:c>
      <x:c r="D329" s="24" t="str">
        <x:v>ROL-400</x:v>
      </x:c>
      <x:c r="E329" s="24" t="str">
        <x:f>IF(D329="","",IFERROR(VLOOKUP(D329,$A$2:$B$1656,2,FALSE),""))</x:f>
        <x:v>Divine and Religious Roles</x:v>
      </x:c>
      <x:c r="F329" s="24" t="n">
        <x:v>3</x:v>
      </x:c>
      <x:c r="G329" s="24" t="str">
        <x:v>Religious specialist associated with solar divinity, radiance, law, renewal, or kingship.</x:v>
      </x:c>
      <x:c r="H329" s="24" t="str">
        <x:v>Do not assume identical training, social status, powers, or mechanics across settings.</x:v>
      </x:c>
      <x:c r="I329" s="24" t="str">
        <x:v>sun priest; solar cleric</x:v>
      </x:c>
      <x:c r="J329" s="24" t="str">
        <x:v>Worship, healing, sacred authority, prophecy, purification, doctrine, or combat against spiritual threats.</x:v>
      </x:c>
      <x:c r="K329" s="24" t="str">
        <x:v>sun priest; solar cleric</x:v>
      </x:c>
      <x:c r="L329" s="24" t="str">
        <x:v>Preserve each source's ontology, culture, history, and terminology when making comparisons.</x:v>
      </x:c>
      <x:c r="M329" s="24" t="str">
        <x:v>Core Family</x:v>
      </x:c>
    </x:row>
    <x:row r="330" ht="44" customHeight="1">
      <x:c r="A330" s="24" t="str">
        <x:v>ROL-417</x:v>
      </x:c>
      <x:c r="B330" s="24" t="str">
        <x:v>Moon Priest</x:v>
      </x:c>
      <x:c r="C330" s="24" t="str">
        <x:v>Roles &amp; Vocations</x:v>
      </x:c>
      <x:c r="D330" s="24" t="str">
        <x:v>ROL-400</x:v>
      </x:c>
      <x:c r="E330" s="24" t="str">
        <x:f>IF(D330="","",IFERROR(VLOOKUP(D330,$A$2:$B$1656,2,FALSE),""))</x:f>
        <x:v>Divine and Religious Roles</x:v>
      </x:c>
      <x:c r="F330" s="24" t="n">
        <x:v>3</x:v>
      </x:c>
      <x:c r="G330" s="24" t="str">
        <x:v>Religious specialist associated with lunar cycles, night, prophecy, tides, dreams, or transformation.</x:v>
      </x:c>
      <x:c r="H330" s="24" t="str">
        <x:v>Do not assume identical training, social status, powers, or mechanics across settings.</x:v>
      </x:c>
      <x:c r="I330" s="24" t="str">
        <x:v>moon priest; lunar cleric</x:v>
      </x:c>
      <x:c r="J330" s="24" t="str">
        <x:v>Worship, healing, sacred authority, prophecy, purification, doctrine, or combat against spiritual threats.</x:v>
      </x:c>
      <x:c r="K330" s="24" t="str">
        <x:v>moon priest; lunar cleric</x:v>
      </x:c>
      <x:c r="L330" s="24" t="str">
        <x:v>Preserve each source's ontology, culture, history, and terminology when making comparisons.</x:v>
      </x:c>
      <x:c r="M330" s="24" t="str">
        <x:v>Core Family</x:v>
      </x:c>
    </x:row>
    <x:row r="331" ht="44" customHeight="1">
      <x:c r="A331" s="24" t="str">
        <x:v>ROL-418</x:v>
      </x:c>
      <x:c r="B331" s="24" t="str">
        <x:v>Sacred Champion</x:v>
      </x:c>
      <x:c r="C331" s="24" t="str">
        <x:v>Roles &amp; Vocations</x:v>
      </x:c>
      <x:c r="D331" s="24" t="str">
        <x:v>ROL-400</x:v>
      </x:c>
      <x:c r="E331" s="24" t="str">
        <x:f>IF(D331="","",IFERROR(VLOOKUP(D331,$A$2:$B$1656,2,FALSE),""))</x:f>
        <x:v>Divine and Religious Roles</x:v>
      </x:c>
      <x:c r="F331" s="24" t="n">
        <x:v>3</x:v>
      </x:c>
      <x:c r="G331" s="24" t="str">
        <x:v>Chosen combatant or agent empowered to act for a deity without necessarily belonging to a formal priesthood.</x:v>
      </x:c>
      <x:c r="H331" s="24" t="str">
        <x:v>Do not assume identical training, social status, powers, or mechanics across settings.</x:v>
      </x:c>
      <x:c r="I331" s="24" t="str">
        <x:v>divine champion; godsworn; chosen</x:v>
      </x:c>
      <x:c r="J331" s="24" t="str">
        <x:v>Worship, healing, sacred authority, prophecy, purification, doctrine, or combat against spiritual threats.</x:v>
      </x:c>
      <x:c r="K331" s="24" t="str">
        <x:v>divine champion; godsworn; chosen</x:v>
      </x:c>
      <x:c r="L331" s="24" t="str">
        <x:v>Preserve each source's ontology, culture, history, and terminology when making comparisons.</x:v>
      </x:c>
      <x:c r="M331" s="24" t="str">
        <x:v>Core Family</x:v>
      </x:c>
    </x:row>
    <x:row r="332" ht="44" customHeight="1">
      <x:c r="A332" s="24" t="str">
        <x:v>ROL-419</x:v>
      </x:c>
      <x:c r="B332" s="24" t="str">
        <x:v>Relic Keeper</x:v>
      </x:c>
      <x:c r="C332" s="24" t="str">
        <x:v>Roles &amp; Vocations</x:v>
      </x:c>
      <x:c r="D332" s="24" t="str">
        <x:v>ROL-400</x:v>
      </x:c>
      <x:c r="E332" s="24" t="str">
        <x:f>IF(D332="","",IFERROR(VLOOKUP(D332,$A$2:$B$1656,2,FALSE),""))</x:f>
        <x:v>Divine and Religious Roles</x:v>
      </x:c>
      <x:c r="F332" s="24" t="n">
        <x:v>3</x:v>
      </x:c>
      <x:c r="G332" s="24" t="str">
        <x:v>Custodian of sacred objects, tombs, archives, shrines, or dangerous holy power.</x:v>
      </x:c>
      <x:c r="H332" s="24" t="str">
        <x:v>Do not assume identical training, social status, powers, or mechanics across settings.</x:v>
      </x:c>
      <x:c r="I332" s="24" t="str">
        <x:v>relic keeper; temple guardian</x:v>
      </x:c>
      <x:c r="J332" s="24" t="str">
        <x:v>Worship, healing, sacred authority, prophecy, purification, doctrine, or combat against spiritual threats.</x:v>
      </x:c>
      <x:c r="K332" s="24" t="str">
        <x:v>relic keeper; temple guardian</x:v>
      </x:c>
      <x:c r="L332" s="24" t="str">
        <x:v>Preserve each source's ontology, culture, history, and terminology when making comparisons.</x:v>
      </x:c>
      <x:c r="M332" s="24" t="str">
        <x:v>Core Family</x:v>
      </x:c>
    </x:row>
    <x:row r="333" ht="44" customHeight="1">
      <x:c r="A333" s="24" t="str">
        <x:v>ROL-420</x:v>
      </x:c>
      <x:c r="B333" s="24" t="str">
        <x:v>Pilgrim and Holy Wanderer</x:v>
      </x:c>
      <x:c r="C333" s="24" t="str">
        <x:v>Roles &amp; Vocations</x:v>
      </x:c>
      <x:c r="D333" s="24" t="str">
        <x:v>ROL-400</x:v>
      </x:c>
      <x:c r="E333" s="24" t="str">
        <x:f>IF(D333="","",IFERROR(VLOOKUP(D333,$A$2:$B$1656,2,FALSE),""))</x:f>
        <x:v>Divine and Religious Roles</x:v>
      </x:c>
      <x:c r="F333" s="24" t="n">
        <x:v>3</x:v>
      </x:c>
      <x:c r="G333" s="24" t="str">
        <x:v>Traveler whose journey itself is sacred, penitential, initiatory, or cosmologically necessary.</x:v>
      </x:c>
      <x:c r="H333" s="24" t="str">
        <x:v>Do not assume identical training, social status, powers, or mechanics across settings.</x:v>
      </x:c>
      <x:c r="I333" s="24" t="str">
        <x:v>pilgrim; mendicant; holy wanderer</x:v>
      </x:c>
      <x:c r="J333" s="24" t="str">
        <x:v>Worship, healing, sacred authority, prophecy, purification, doctrine, or combat against spiritual threats.</x:v>
      </x:c>
      <x:c r="K333" s="24" t="str">
        <x:v>pilgrim; mendicant; holy wanderer</x:v>
      </x:c>
      <x:c r="L333" s="24" t="str">
        <x:v>Preserve each source's ontology, culture, history, and terminology when making comparisons.</x:v>
      </x:c>
      <x:c r="M333" s="24" t="str">
        <x:v>Core Family</x:v>
      </x:c>
    </x:row>
    <x:row r="334" ht="44" customHeight="1">
      <x:c r="A334" s="24" t="str">
        <x:v>ROL-421</x:v>
      </x:c>
      <x:c r="B334" s="24" t="str">
        <x:v>Heresy Reformer</x:v>
      </x:c>
      <x:c r="C334" s="24" t="str">
        <x:v>Roles &amp; Vocations</x:v>
      </x:c>
      <x:c r="D334" s="24" t="str">
        <x:v>ROL-400</x:v>
      </x:c>
      <x:c r="E334" s="24" t="str">
        <x:f>IF(D334="","",IFERROR(VLOOKUP(D334,$A$2:$B$1656,2,FALSE),""))</x:f>
        <x:v>Divine and Religious Roles</x:v>
      </x:c>
      <x:c r="F334" s="24" t="n">
        <x:v>3</x:v>
      </x:c>
      <x:c r="G334" s="24" t="str">
        <x:v>Religious figure who challenges institutional orthodoxy in the name of earlier revelation, conscience, or new divine truth.</x:v>
      </x:c>
      <x:c r="H334" s="24" t="str">
        <x:v>Do not assume identical training, social status, powers, or mechanics across settings.</x:v>
      </x:c>
      <x:c r="I334" s="24" t="str">
        <x:v>reformer; heretic saint; dissident priest</x:v>
      </x:c>
      <x:c r="J334" s="24" t="str">
        <x:v>Worship, healing, sacred authority, prophecy, purification, doctrine, or combat against spiritual threats.</x:v>
      </x:c>
      <x:c r="K334" s="24" t="str">
        <x:v>reformer; heretic saint; dissident priest</x:v>
      </x:c>
      <x:c r="L334" s="24" t="str">
        <x:v>Preserve each source's ontology, culture, history, and terminology when making comparisons.</x:v>
      </x:c>
      <x:c r="M334" s="24" t="str">
        <x:v>Core Family</x:v>
      </x:c>
    </x:row>
    <x:row r="335" ht="44" customHeight="1">
      <x:c r="A335" s="24" t="str">
        <x:v>ROL-422</x:v>
      </x:c>
      <x:c r="B335" s="24" t="str">
        <x:v>Sacrificial Priest</x:v>
      </x:c>
      <x:c r="C335" s="24" t="str">
        <x:v>Roles &amp; Vocations</x:v>
      </x:c>
      <x:c r="D335" s="24" t="str">
        <x:v>ROL-400</x:v>
      </x:c>
      <x:c r="E335" s="24" t="str">
        <x:f>IF(D335="","",IFERROR(VLOOKUP(D335,$A$2:$B$1656,2,FALSE),""))</x:f>
        <x:v>Divine and Religious Roles</x:v>
      </x:c>
      <x:c r="F335" s="24" t="n">
        <x:v>3</x:v>
      </x:c>
      <x:c r="G335" s="24" t="str">
        <x:v>Ritual specialist whose authority centers on offerings, blood, substitution, or costly exchange with sacred powers.</x:v>
      </x:c>
      <x:c r="H335" s="24" t="str">
        <x:v>Do not assume identical training, social status, powers, or mechanics across settings.</x:v>
      </x:c>
      <x:c r="I335" s="24" t="str">
        <x:v>sacrificer; blood priest; offering priest</x:v>
      </x:c>
      <x:c r="J335" s="24" t="str">
        <x:v>Worship, healing, sacred authority, prophecy, purification, doctrine, or combat against spiritual threats.</x:v>
      </x:c>
      <x:c r="K335" s="24" t="str">
        <x:v>sacrificer; blood priest; offering priest</x:v>
      </x:c>
      <x:c r="L335" s="24" t="str">
        <x:v>Preserve each source's ontology, culture, history, and terminology when making comparisons.</x:v>
      </x:c>
      <x:c r="M335" s="24" t="str">
        <x:v>Core Family</x:v>
      </x:c>
    </x:row>
    <x:row r="336" ht="44" customHeight="1">
      <x:c r="A336" s="24" t="str">
        <x:v>ROL-423</x:v>
      </x:c>
      <x:c r="B336" s="24" t="str">
        <x:v>Divine Healer</x:v>
      </x:c>
      <x:c r="C336" s="24" t="str">
        <x:v>Roles &amp; Vocations</x:v>
      </x:c>
      <x:c r="D336" s="24" t="str">
        <x:v>ROL-400</x:v>
      </x:c>
      <x:c r="E336" s="24" t="str">
        <x:f>IF(D336="","",IFERROR(VLOOKUP(D336,$A$2:$B$1656,2,FALSE),""))</x:f>
        <x:v>Divine and Religious Roles</x:v>
      </x:c>
      <x:c r="F336" s="24" t="n">
        <x:v>3</x:v>
      </x:c>
      <x:c r="G336" s="24" t="str">
        <x:v>Religious practitioner whose primary vocation is miraculous healing, purification, and restoration.</x:v>
      </x:c>
      <x:c r="H336" s="24" t="str">
        <x:v>Do not assume identical training, social status, powers, or mechanics across settings.</x:v>
      </x:c>
      <x:c r="I336" s="24" t="str">
        <x:v>faith healer; healing cleric</x:v>
      </x:c>
      <x:c r="J336" s="24" t="str">
        <x:v>Worship, healing, sacred authority, prophecy, purification, doctrine, or combat against spiritual threats.</x:v>
      </x:c>
      <x:c r="K336" s="24" t="str">
        <x:v>faith healer; healing cleric</x:v>
      </x:c>
      <x:c r="L336" s="24" t="str">
        <x:v>Preserve each source's ontology, culture, history, and terminology when making comparisons.</x:v>
      </x:c>
      <x:c r="M336" s="24" t="str">
        <x:v>Core Family</x:v>
      </x:c>
    </x:row>
    <x:row r="337" ht="44" customHeight="1">
      <x:c r="A337" s="24" t="str">
        <x:v>ROL-424</x:v>
      </x:c>
      <x:c r="B337" s="24" t="str">
        <x:v>Psychopomp Priest</x:v>
      </x:c>
      <x:c r="C337" s="24" t="str">
        <x:v>Roles &amp; Vocations</x:v>
      </x:c>
      <x:c r="D337" s="24" t="str">
        <x:v>ROL-400</x:v>
      </x:c>
      <x:c r="E337" s="24" t="str">
        <x:f>IF(D337="","",IFERROR(VLOOKUP(D337,$A$2:$B$1656,2,FALSE),""))</x:f>
        <x:v>Divine and Religious Roles</x:v>
      </x:c>
      <x:c r="F337" s="24" t="n">
        <x:v>3</x:v>
      </x:c>
      <x:c r="G337" s="24" t="str">
        <x:v>Mortuary specialist who guides souls and maintains boundaries between the living and dead.</x:v>
      </x:c>
      <x:c r="H337" s="24" t="str">
        <x:v>Do not assume identical training, social status, powers, or mechanics across settings.</x:v>
      </x:c>
      <x:c r="I337" s="24" t="str">
        <x:v>funerary guide; soul priest</x:v>
      </x:c>
      <x:c r="J337" s="24" t="str">
        <x:v>Worship, healing, sacred authority, prophecy, purification, doctrine, or combat against spiritual threats.</x:v>
      </x:c>
      <x:c r="K337" s="24" t="str">
        <x:v>funerary guide; soul priest</x:v>
      </x:c>
      <x:c r="L337" s="24" t="str">
        <x:v>Preserve each source's ontology, culture, history, and terminology when making comparisons.</x:v>
      </x:c>
      <x:c r="M337" s="24" t="str">
        <x:v>Core Family</x:v>
      </x:c>
    </x:row>
    <x:row r="338" ht="44" customHeight="1">
      <x:c r="A338" s="24" t="str">
        <x:v>ROL-425</x:v>
      </x:c>
      <x:c r="B338" s="24" t="str">
        <x:v>Oathkeeper</x:v>
      </x:c>
      <x:c r="C338" s="24" t="str">
        <x:v>Roles &amp; Vocations</x:v>
      </x:c>
      <x:c r="D338" s="24" t="str">
        <x:v>ROL-400</x:v>
      </x:c>
      <x:c r="E338" s="24" t="str">
        <x:f>IF(D338="","",IFERROR(VLOOKUP(D338,$A$2:$B$1656,2,FALSE),""))</x:f>
        <x:v>Divine and Religious Roles</x:v>
      </x:c>
      <x:c r="F338" s="24" t="n">
        <x:v>3</x:v>
      </x:c>
      <x:c r="G338" s="24" t="str">
        <x:v>Religious or sacred official whose power rests on witnessing, enforcing, or embodying vows.</x:v>
      </x:c>
      <x:c r="H338" s="24" t="str">
        <x:v>Do not assume identical training, social status, powers, or mechanics across settings.</x:v>
      </x:c>
      <x:c r="I338" s="24" t="str">
        <x:v>oath priest; vow keeper</x:v>
      </x:c>
      <x:c r="J338" s="24" t="str">
        <x:v>Worship, healing, sacred authority, prophecy, purification, doctrine, or combat against spiritual threats.</x:v>
      </x:c>
      <x:c r="K338" s="24" t="str">
        <x:v>oath priest; vow keeper</x:v>
      </x:c>
      <x:c r="L338" s="24" t="str">
        <x:v>Preserve each source's ontology, culture, history, and terminology when making comparisons.</x:v>
      </x:c>
      <x:c r="M338" s="24" t="str">
        <x:v>Core Family</x:v>
      </x:c>
    </x:row>
    <x:row r="339" ht="44" customHeight="1">
      <x:c r="A339" s="24" t="str">
        <x:v>ROL-501</x:v>
      </x:c>
      <x:c r="B339" s="24" t="str">
        <x:v>Druid</x:v>
      </x:c>
      <x:c r="C339" s="24" t="str">
        <x:v>Roles &amp; Vocations</x:v>
      </x:c>
      <x:c r="D339" s="24" t="str">
        <x:v>ROL-500</x:v>
      </x:c>
      <x:c r="E339" s="24" t="str">
        <x:f>IF(D339="","",IFERROR(VLOOKUP(D339,$A$2:$B$1656,2,FALSE),""))</x:f>
        <x:v>Nature and Spirit Roles</x:v>
      </x:c>
      <x:c r="F339" s="24" t="n">
        <x:v>3</x:v>
      </x:c>
      <x:c r="G339" s="24" t="str">
        <x:v>Practitioner or religious role centered on land, seasons, animals, plants, natural cycles, and often shapeshifting.</x:v>
      </x:c>
      <x:c r="H339" s="24" t="str">
        <x:v>Do not assume identical training, social status, powers, or mechanics across settings.</x:v>
      </x:c>
      <x:c r="I339" s="24" t="str">
        <x:v>druid; grove keeper; circle mage</x:v>
      </x:c>
      <x:c r="J339" s="24" t="str">
        <x:v>Ecological guardianship, spirit mediation, animal partnership, survival, healing, and place-based magic.</x:v>
      </x:c>
      <x:c r="K339" s="24" t="str">
        <x:v>druid; grove keeper; circle mage</x:v>
      </x:c>
      <x:c r="L339" s="24" t="str">
        <x:v>Historical Celtic druids and modern fantasy druids are not equivalent.</x:v>
      </x:c>
      <x:c r="M339" s="24" t="str">
        <x:v>Core Family</x:v>
      </x:c>
    </x:row>
    <x:row r="340" ht="44" customHeight="1">
      <x:c r="A340" s="24" t="str">
        <x:v>ROL-502</x:v>
      </x:c>
      <x:c r="B340" s="24" t="str">
        <x:v>Shaman</x:v>
      </x:c>
      <x:c r="C340" s="24" t="str">
        <x:v>Roles &amp; Vocations</x:v>
      </x:c>
      <x:c r="D340" s="24" t="str">
        <x:v>ROL-500</x:v>
      </x:c>
      <x:c r="E340" s="24" t="str">
        <x:f>IF(D340="","",IFERROR(VLOOKUP(D340,$A$2:$B$1656,2,FALSE),""))</x:f>
        <x:v>Nature and Spirit Roles</x:v>
      </x:c>
      <x:c r="F340" s="24" t="n">
        <x:v>3</x:v>
      </x:c>
      <x:c r="G340" s="24" t="str">
        <x:v>Spirit mediator who heals, divines, travels spiritually, bargains with beings, or serves a community through altered states.</x:v>
      </x:c>
      <x:c r="H340" s="24" t="str">
        <x:v>Do not assume identical training, social status, powers, or mechanics across settings.</x:v>
      </x:c>
      <x:c r="I340" s="24" t="str">
        <x:v>shaman; spirit walker; medicine person</x:v>
      </x:c>
      <x:c r="J340" s="24" t="str">
        <x:v>Ecological guardianship, spirit mediation, animal partnership, survival, healing, and place-based magic.</x:v>
      </x:c>
      <x:c r="K340" s="24" t="str">
        <x:v>shaman; spirit walker; medicine person</x:v>
      </x:c>
      <x:c r="L340" s="24" t="str">
        <x:v>Use cautiously: 'shaman' derives from specific Siberian traditions and is often overgeneralized.</x:v>
      </x:c>
      <x:c r="M340" s="24" t="str">
        <x:v>Core Family</x:v>
      </x:c>
    </x:row>
    <x:row r="341" ht="44" customHeight="1">
      <x:c r="A341" s="24" t="str">
        <x:v>ROL-503</x:v>
      </x:c>
      <x:c r="B341" s="24" t="str">
        <x:v>Animist</x:v>
      </x:c>
      <x:c r="C341" s="24" t="str">
        <x:v>Roles &amp; Vocations</x:v>
      </x:c>
      <x:c r="D341" s="24" t="str">
        <x:v>ROL-500</x:v>
      </x:c>
      <x:c r="E341" s="24" t="str">
        <x:f>IF(D341="","",IFERROR(VLOOKUP(D341,$A$2:$B$1656,2,FALSE),""))</x:f>
        <x:v>Nature and Spirit Roles</x:v>
      </x:c>
      <x:c r="F341" s="24" t="n">
        <x:v>3</x:v>
      </x:c>
      <x:c r="G341" s="24" t="str">
        <x:v>Practitioner who relates to a world populated by persons or agencies in animals, places, weather, objects, and ancestors.</x:v>
      </x:c>
      <x:c r="H341" s="24" t="str">
        <x:v>Do not assume identical training, social status, powers, or mechanics across settings.</x:v>
      </x:c>
      <x:c r="I341" s="24" t="str">
        <x:v>animist; spirit mediator</x:v>
      </x:c>
      <x:c r="J341" s="24" t="str">
        <x:v>Ecological guardianship, spirit mediation, animal partnership, survival, healing, and place-based magic.</x:v>
      </x:c>
      <x:c r="K341" s="24" t="str">
        <x:v>animist; spirit mediator</x:v>
      </x:c>
      <x:c r="L341" s="24" t="str">
        <x:v>Preserve each source's ontology, culture, history, and terminology when making comparisons.</x:v>
      </x:c>
      <x:c r="M341" s="24" t="str">
        <x:v>Core Family</x:v>
      </x:c>
    </x:row>
    <x:row r="342" ht="44" customHeight="1">
      <x:c r="A342" s="24" t="str">
        <x:v>ROL-504</x:v>
      </x:c>
      <x:c r="B342" s="24" t="str">
        <x:v>Spirit Caller</x:v>
      </x:c>
      <x:c r="C342" s="24" t="str">
        <x:v>Roles &amp; Vocations</x:v>
      </x:c>
      <x:c r="D342" s="24" t="str">
        <x:v>ROL-500</x:v>
      </x:c>
      <x:c r="E342" s="24" t="str">
        <x:f>IF(D342="","",IFERROR(VLOOKUP(D342,$A$2:$B$1656,2,FALSE),""))</x:f>
        <x:v>Nature and Spirit Roles</x:v>
      </x:c>
      <x:c r="F342" s="24" t="n">
        <x:v>3</x:v>
      </x:c>
      <x:c r="G342" s="24" t="str">
        <x:v>Specialist who invokes, negotiates with, or channels discrete spirits without necessarily commanding them.</x:v>
      </x:c>
      <x:c r="H342" s="24" t="str">
        <x:v>Do not assume identical training, social status, powers, or mechanics across settings.</x:v>
      </x:c>
      <x:c r="I342" s="24" t="str">
        <x:v>spirit caller; medium; caller</x:v>
      </x:c>
      <x:c r="J342" s="24" t="str">
        <x:v>Ecological guardianship, spirit mediation, animal partnership, survival, healing, and place-based magic.</x:v>
      </x:c>
      <x:c r="K342" s="24" t="str">
        <x:v>spirit caller; medium; caller</x:v>
      </x:c>
      <x:c r="L342" s="24" t="str">
        <x:v>Preserve each source's ontology, culture, history, and terminology when making comparisons.</x:v>
      </x:c>
      <x:c r="M342" s="24" t="str">
        <x:v>Core Family</x:v>
      </x:c>
    </x:row>
    <x:row r="343" ht="44" customHeight="1">
      <x:c r="A343" s="24" t="str">
        <x:v>ROL-505</x:v>
      </x:c>
      <x:c r="B343" s="24" t="str">
        <x:v>Medium</x:v>
      </x:c>
      <x:c r="C343" s="24" t="str">
        <x:v>Roles &amp; Vocations</x:v>
      </x:c>
      <x:c r="D343" s="24" t="str">
        <x:v>ROL-500</x:v>
      </x:c>
      <x:c r="E343" s="24" t="str">
        <x:f>IF(D343="","",IFERROR(VLOOKUP(D343,$A$2:$B$1656,2,FALSE),""))</x:f>
        <x:v>Nature and Spirit Roles</x:v>
      </x:c>
      <x:c r="F343" s="24" t="n">
        <x:v>3</x:v>
      </x:c>
      <x:c r="G343" s="24" t="str">
        <x:v>Person through whom spirits communicate, manifest, possess, or offer information.</x:v>
      </x:c>
      <x:c r="H343" s="24" t="str">
        <x:v>Do not assume identical training, social status, powers, or mechanics across settings.</x:v>
      </x:c>
      <x:c r="I343" s="24" t="str">
        <x:v>medium; channeler; spirit vessel</x:v>
      </x:c>
      <x:c r="J343" s="24" t="str">
        <x:v>Ecological guardianship, spirit mediation, animal partnership, survival, healing, and place-based magic.</x:v>
      </x:c>
      <x:c r="K343" s="24" t="str">
        <x:v>medium; channeler; spirit vessel</x:v>
      </x:c>
      <x:c r="L343" s="24" t="str">
        <x:v>Preserve each source's ontology, culture, history, and terminology when making comparisons.</x:v>
      </x:c>
      <x:c r="M343" s="24" t="str">
        <x:v>Core Family</x:v>
      </x:c>
    </x:row>
    <x:row r="344" ht="44" customHeight="1">
      <x:c r="A344" s="24" t="str">
        <x:v>ROL-506</x:v>
      </x:c>
      <x:c r="B344" s="24" t="str">
        <x:v>Witch Doctor and Folk Spirit Healer</x:v>
      </x:c>
      <x:c r="C344" s="24" t="str">
        <x:v>Roles &amp; Vocations</x:v>
      </x:c>
      <x:c r="D344" s="24" t="str">
        <x:v>ROL-500</x:v>
      </x:c>
      <x:c r="E344" s="24" t="str">
        <x:f>IF(D344="","",IFERROR(VLOOKUP(D344,$A$2:$B$1656,2,FALSE),""))</x:f>
        <x:v>Nature and Spirit Roles</x:v>
      </x:c>
      <x:c r="F344" s="24" t="n">
        <x:v>3</x:v>
      </x:c>
      <x:c r="G344" s="24" t="str">
        <x:v>Community practitioner combining herbs, divination, protection, spirit work, and healing outside formal institutions.</x:v>
      </x:c>
      <x:c r="H344" s="24" t="str">
        <x:v>Do not assume identical training, social status, powers, or mechanics across settings.</x:v>
      </x:c>
      <x:c r="I344" s="24" t="str">
        <x:v>witch doctor; folk healer; spirit doctor</x:v>
      </x:c>
      <x:c r="J344" s="24" t="str">
        <x:v>Ecological guardianship, spirit mediation, animal partnership, survival, healing, and place-based magic.</x:v>
      </x:c>
      <x:c r="K344" s="24" t="str">
        <x:v>witch doctor; folk healer; spirit doctor</x:v>
      </x:c>
      <x:c r="L344" s="24" t="str">
        <x:v>The label can be colonial and imprecise; prefer the source culture's own term.</x:v>
      </x:c>
      <x:c r="M344" s="24" t="str">
        <x:v>Core Family</x:v>
      </x:c>
    </x:row>
    <x:row r="345" ht="44" customHeight="1">
      <x:c r="A345" s="24" t="str">
        <x:v>ROL-507</x:v>
      </x:c>
      <x:c r="B345" s="24" t="str">
        <x:v>Beastmaster and Beast Tamer</x:v>
      </x:c>
      <x:c r="C345" s="24" t="str">
        <x:v>Roles &amp; Vocations</x:v>
      </x:c>
      <x:c r="D345" s="24" t="str">
        <x:v>ROL-500</x:v>
      </x:c>
      <x:c r="E345" s="24" t="str">
        <x:f>IF(D345="","",IFERROR(VLOOKUP(D345,$A$2:$B$1656,2,FALSE),""))</x:f>
        <x:v>Nature and Spirit Roles</x:v>
      </x:c>
      <x:c r="F345" s="24" t="n">
        <x:v>3</x:v>
      </x:c>
      <x:c r="G345" s="24" t="str">
        <x:v>Specialist who trains, bonds with, commands, rides, or fights alongside animals and monsters.</x:v>
      </x:c>
      <x:c r="H345" s="24" t="str">
        <x:v>Do not assume identical training, social status, powers, or mechanics across settings.</x:v>
      </x:c>
      <x:c r="I345" s="24" t="str">
        <x:v>beastmaster; beast tamer; monster tamer</x:v>
      </x:c>
      <x:c r="J345" s="24" t="str">
        <x:v>Ecological guardianship, spirit mediation, animal partnership, survival, healing, and place-based magic.</x:v>
      </x:c>
      <x:c r="K345" s="24" t="str">
        <x:v>beastmaster; beast tamer; monster tamer</x:v>
      </x:c>
      <x:c r="L345" s="24" t="str">
        <x:v>Preserve each source's ontology, culture, history, and terminology when making comparisons.</x:v>
      </x:c>
      <x:c r="M345" s="24" t="str">
        <x:v>Core Family</x:v>
      </x:c>
    </x:row>
    <x:row r="346" ht="44" customHeight="1">
      <x:c r="A346" s="24" t="str">
        <x:v>ROL-508</x:v>
      </x:c>
      <x:c r="B346" s="24" t="str">
        <x:v>Herbalist</x:v>
      </x:c>
      <x:c r="C346" s="24" t="str">
        <x:v>Roles &amp; Vocations</x:v>
      </x:c>
      <x:c r="D346" s="24" t="str">
        <x:v>ROL-500</x:v>
      </x:c>
      <x:c r="E346" s="24" t="str">
        <x:f>IF(D346="","",IFERROR(VLOOKUP(D346,$A$2:$B$1656,2,FALSE),""))</x:f>
        <x:v>Nature and Spirit Roles</x:v>
      </x:c>
      <x:c r="F346" s="24" t="n">
        <x:v>3</x:v>
      </x:c>
      <x:c r="G346" s="24" t="str">
        <x:v>Practitioner whose knowledge of plants supports medicine, poison, ritual, food, and survival.</x:v>
      </x:c>
      <x:c r="H346" s="24" t="str">
        <x:v>Do not assume identical training, social status, powers, or mechanics across settings.</x:v>
      </x:c>
      <x:c r="I346" s="24" t="str">
        <x:v>herbalist; plant healer</x:v>
      </x:c>
      <x:c r="J346" s="24" t="str">
        <x:v>Ecological guardianship, spirit mediation, animal partnership, survival, healing, and place-based magic.</x:v>
      </x:c>
      <x:c r="K346" s="24" t="str">
        <x:v>herbalist; plant healer</x:v>
      </x:c>
      <x:c r="L346" s="24" t="str">
        <x:v>Preserve each source's ontology, culture, history, and terminology when making comparisons.</x:v>
      </x:c>
      <x:c r="M346" s="24" t="str">
        <x:v>Core Family</x:v>
      </x:c>
    </x:row>
    <x:row r="347" ht="44" customHeight="1">
      <x:c r="A347" s="24" t="str">
        <x:v>ROL-509</x:v>
      </x:c>
      <x:c r="B347" s="24" t="str">
        <x:v>Totemist</x:v>
      </x:c>
      <x:c r="C347" s="24" t="str">
        <x:v>Roles &amp; Vocations</x:v>
      </x:c>
      <x:c r="D347" s="24" t="str">
        <x:v>ROL-500</x:v>
      </x:c>
      <x:c r="E347" s="24" t="str">
        <x:f>IF(D347="","",IFERROR(VLOOKUP(D347,$A$2:$B$1656,2,FALSE),""))</x:f>
        <x:v>Nature and Spirit Roles</x:v>
      </x:c>
      <x:c r="F347" s="24" t="n">
        <x:v>3</x:v>
      </x:c>
      <x:c r="G347" s="24" t="str">
        <x:v>Practitioner who channels animal, ancestral, or symbolic spirits through masks, emblems, transformations, or bonds.</x:v>
      </x:c>
      <x:c r="H347" s="24" t="str">
        <x:v>Do not assume identical training, social status, powers, or mechanics across settings.</x:v>
      </x:c>
      <x:c r="I347" s="24" t="str">
        <x:v>totemist; animal spirit warrior</x:v>
      </x:c>
      <x:c r="J347" s="24" t="str">
        <x:v>Ecological guardianship, spirit mediation, animal partnership, survival, healing, and place-based magic.</x:v>
      </x:c>
      <x:c r="K347" s="24" t="str">
        <x:v>totemist; animal spirit warrior</x:v>
      </x:c>
      <x:c r="L347" s="24" t="str">
        <x:v>Preserve each source's ontology, culture, history, and terminology when making comparisons.</x:v>
      </x:c>
      <x:c r="M347" s="24" t="str">
        <x:v>Core Family</x:v>
      </x:c>
    </x:row>
    <x:row r="348" ht="44" customHeight="1">
      <x:c r="A348" s="24" t="str">
        <x:v>ROL-510</x:v>
      </x:c>
      <x:c r="B348" s="24" t="str">
        <x:v>Elemental Channeler</x:v>
      </x:c>
      <x:c r="C348" s="24" t="str">
        <x:v>Roles &amp; Vocations</x:v>
      </x:c>
      <x:c r="D348" s="24" t="str">
        <x:v>ROL-500</x:v>
      </x:c>
      <x:c r="E348" s="24" t="str">
        <x:f>IF(D348="","",IFERROR(VLOOKUP(D348,$A$2:$B$1656,2,FALSE),""))</x:f>
        <x:v>Nature and Spirit Roles</x:v>
      </x:c>
      <x:c r="F348" s="24" t="n">
        <x:v>3</x:v>
      </x:c>
      <x:c r="G348" s="24" t="str">
        <x:v>Practitioner who negotiates with or embodies elemental spirits rather than treating elements as impersonal spells.</x:v>
      </x:c>
      <x:c r="H348" s="24" t="str">
        <x:v>Do not assume identical training, social status, powers, or mechanics across settings.</x:v>
      </x:c>
      <x:c r="I348" s="24" t="str">
        <x:v>elemental shaman; primalist</x:v>
      </x:c>
      <x:c r="J348" s="24" t="str">
        <x:v>Ecological guardianship, spirit mediation, animal partnership, survival, healing, and place-based magic.</x:v>
      </x:c>
      <x:c r="K348" s="24" t="str">
        <x:v>elemental shaman; primalist</x:v>
      </x:c>
      <x:c r="L348" s="24" t="str">
        <x:v>Preserve each source's ontology, culture, history, and terminology when making comparisons.</x:v>
      </x:c>
      <x:c r="M348" s="24" t="str">
        <x:v>Core Family</x:v>
      </x:c>
    </x:row>
    <x:row r="349" ht="44" customHeight="1">
      <x:c r="A349" s="24" t="str">
        <x:v>ROL-511</x:v>
      </x:c>
      <x:c r="B349" s="24" t="str">
        <x:v>Shapeshifting Warden</x:v>
      </x:c>
      <x:c r="C349" s="24" t="str">
        <x:v>Roles &amp; Vocations</x:v>
      </x:c>
      <x:c r="D349" s="24" t="str">
        <x:v>ROL-500</x:v>
      </x:c>
      <x:c r="E349" s="24" t="str">
        <x:f>IF(D349="","",IFERROR(VLOOKUP(D349,$A$2:$B$1656,2,FALSE),""))</x:f>
        <x:v>Nature and Spirit Roles</x:v>
      </x:c>
      <x:c r="F349" s="24" t="n">
        <x:v>3</x:v>
      </x:c>
      <x:c r="G349" s="24" t="str">
        <x:v>Guardian who assumes animal or plant forms to protect wilderness, people, or sacred boundaries.</x:v>
      </x:c>
      <x:c r="H349" s="24" t="str">
        <x:v>Do not assume identical training, social status, powers, or mechanics across settings.</x:v>
      </x:c>
      <x:c r="I349" s="24" t="str">
        <x:v>shapeshifter; wildshape druid; skinchanger</x:v>
      </x:c>
      <x:c r="J349" s="24" t="str">
        <x:v>Ecological guardianship, spirit mediation, animal partnership, survival, healing, and place-based magic.</x:v>
      </x:c>
      <x:c r="K349" s="24" t="str">
        <x:v>shapeshifter; wildshape druid; skinchanger</x:v>
      </x:c>
      <x:c r="L349" s="24" t="str">
        <x:v>Preserve each source's ontology, culture, history, and terminology when making comparisons.</x:v>
      </x:c>
      <x:c r="M349" s="24" t="str">
        <x:v>Core Family</x:v>
      </x:c>
    </x:row>
    <x:row r="350" ht="44" customHeight="1">
      <x:c r="A350" s="24" t="str">
        <x:v>ROL-512</x:v>
      </x:c>
      <x:c r="B350" s="24" t="str">
        <x:v>Forest Warden</x:v>
      </x:c>
      <x:c r="C350" s="24" t="str">
        <x:v>Roles &amp; Vocations</x:v>
      </x:c>
      <x:c r="D350" s="24" t="str">
        <x:v>ROL-500</x:v>
      </x:c>
      <x:c r="E350" s="24" t="str">
        <x:f>IF(D350="","",IFERROR(VLOOKUP(D350,$A$2:$B$1656,2,FALSE),""))</x:f>
        <x:v>Nature and Spirit Roles</x:v>
      </x:c>
      <x:c r="F350" s="24" t="n">
        <x:v>3</x:v>
      </x:c>
      <x:c r="G350" s="24" t="str">
        <x:v>Martial or magical guardian of forests, groves, sacred beasts, and ecological law.</x:v>
      </x:c>
      <x:c r="H350" s="24" t="str">
        <x:v>Do not assume identical training, social status, powers, or mechanics across settings.</x:v>
      </x:c>
      <x:c r="I350" s="24" t="str">
        <x:v>warden; grove guardian; green knight</x:v>
      </x:c>
      <x:c r="J350" s="24" t="str">
        <x:v>Ecological guardianship, spirit mediation, animal partnership, survival, healing, and place-based magic.</x:v>
      </x:c>
      <x:c r="K350" s="24" t="str">
        <x:v>warden; grove guardian; green knight</x:v>
      </x:c>
      <x:c r="L350" s="24" t="str">
        <x:v>Preserve each source's ontology, culture, history, and terminology when making comparisons.</x:v>
      </x:c>
      <x:c r="M350" s="24" t="str">
        <x:v>Core Family</x:v>
      </x:c>
    </x:row>
    <x:row r="351" ht="44" customHeight="1">
      <x:c r="A351" s="24" t="str">
        <x:v>ROL-513</x:v>
      </x:c>
      <x:c r="B351" s="24" t="str">
        <x:v>Weather Worker</x:v>
      </x:c>
      <x:c r="C351" s="24" t="str">
        <x:v>Roles &amp; Vocations</x:v>
      </x:c>
      <x:c r="D351" s="24" t="str">
        <x:v>ROL-500</x:v>
      </x:c>
      <x:c r="E351" s="24" t="str">
        <x:f>IF(D351="","",IFERROR(VLOOKUP(D351,$A$2:$B$1656,2,FALSE),""))</x:f>
        <x:v>Nature and Spirit Roles</x:v>
      </x:c>
      <x:c r="F351" s="24" t="n">
        <x:v>3</x:v>
      </x:c>
      <x:c r="G351" s="24" t="str">
        <x:v>Practitioner who influences rain, storms, drought, wind, or seasonal conditions through ritual or magic.</x:v>
      </x:c>
      <x:c r="H351" s="24" t="str">
        <x:v>Do not assume identical training, social status, powers, or mechanics across settings.</x:v>
      </x:c>
      <x:c r="I351" s="24" t="str">
        <x:v>rainmaker; storm caller; weather witch</x:v>
      </x:c>
      <x:c r="J351" s="24" t="str">
        <x:v>Ecological guardianship, spirit mediation, animal partnership, survival, healing, and place-based magic.</x:v>
      </x:c>
      <x:c r="K351" s="24" t="str">
        <x:v>rainmaker; storm caller; weather witch</x:v>
      </x:c>
      <x:c r="L351" s="24" t="str">
        <x:v>Preserve each source's ontology, culture, history, and terminology when making comparisons.</x:v>
      </x:c>
      <x:c r="M351" s="24" t="str">
        <x:v>Core Family</x:v>
      </x:c>
    </x:row>
    <x:row r="352" ht="44" customHeight="1">
      <x:c r="A352" s="24" t="str">
        <x:v>ROL-514</x:v>
      </x:c>
      <x:c r="B352" s="24" t="str">
        <x:v>Fisher-Shaman and Sea Speaker</x:v>
      </x:c>
      <x:c r="C352" s="24" t="str">
        <x:v>Roles &amp; Vocations</x:v>
      </x:c>
      <x:c r="D352" s="24" t="str">
        <x:v>ROL-500</x:v>
      </x:c>
      <x:c r="E352" s="24" t="str">
        <x:f>IF(D352="","",IFERROR(VLOOKUP(D352,$A$2:$B$1656,2,FALSE),""))</x:f>
        <x:v>Nature and Spirit Roles</x:v>
      </x:c>
      <x:c r="F352" s="24" t="n">
        <x:v>3</x:v>
      </x:c>
      <x:c r="G352" s="24" t="str">
        <x:v>Specialist in marine spirits, tides, whales, storms, navigation, and coastal survival.</x:v>
      </x:c>
      <x:c r="H352" s="24" t="str">
        <x:v>Do not assume identical training, social status, powers, or mechanics across settings.</x:v>
      </x:c>
      <x:c r="I352" s="24" t="str">
        <x:v>sea shaman; tide speaker; wave caller</x:v>
      </x:c>
      <x:c r="J352" s="24" t="str">
        <x:v>Ecological guardianship, spirit mediation, animal partnership, survival, healing, and place-based magic.</x:v>
      </x:c>
      <x:c r="K352" s="24" t="str">
        <x:v>sea shaman; tide speaker; wave caller</x:v>
      </x:c>
      <x:c r="L352" s="24" t="str">
        <x:v>Preserve each source's ontology, culture, history, and terminology when making comparisons.</x:v>
      </x:c>
      <x:c r="M352" s="24" t="str">
        <x:v>Core Family</x:v>
      </x:c>
    </x:row>
    <x:row r="353" ht="44" customHeight="1">
      <x:c r="A353" s="24" t="str">
        <x:v>ROL-515</x:v>
      </x:c>
      <x:c r="B353" s="24" t="str">
        <x:v>Plant Speaker</x:v>
      </x:c>
      <x:c r="C353" s="24" t="str">
        <x:v>Roles &amp; Vocations</x:v>
      </x:c>
      <x:c r="D353" s="24" t="str">
        <x:v>ROL-500</x:v>
      </x:c>
      <x:c r="E353" s="24" t="str">
        <x:f>IF(D353="","",IFERROR(VLOOKUP(D353,$A$2:$B$1656,2,FALSE),""))</x:f>
        <x:v>Nature and Spirit Roles</x:v>
      </x:c>
      <x:c r="F353" s="24" t="n">
        <x:v>3</x:v>
      </x:c>
      <x:c r="G353" s="24" t="str">
        <x:v>Practitioner who communicates with, awakens, heals, or commands plant life.</x:v>
      </x:c>
      <x:c r="H353" s="24" t="str">
        <x:v>Do not assume identical training, social status, powers, or mechanics across settings.</x:v>
      </x:c>
      <x:c r="I353" s="24" t="str">
        <x:v>plant mage; green speaker; botanomancer</x:v>
      </x:c>
      <x:c r="J353" s="24" t="str">
        <x:v>Ecological guardianship, spirit mediation, animal partnership, survival, healing, and place-based magic.</x:v>
      </x:c>
      <x:c r="K353" s="24" t="str">
        <x:v>plant mage; green speaker; botanomancer</x:v>
      </x:c>
      <x:c r="L353" s="24" t="str">
        <x:v>Preserve each source's ontology, culture, history, and terminology when making comparisons.</x:v>
      </x:c>
      <x:c r="M353" s="24" t="str">
        <x:v>Core Family</x:v>
      </x:c>
    </x:row>
    <x:row r="354" ht="44" customHeight="1">
      <x:c r="A354" s="24" t="str">
        <x:v>ROL-516</x:v>
      </x:c>
      <x:c r="B354" s="24" t="str">
        <x:v>Animal Speaker</x:v>
      </x:c>
      <x:c r="C354" s="24" t="str">
        <x:v>Roles &amp; Vocations</x:v>
      </x:c>
      <x:c r="D354" s="24" t="str">
        <x:v>ROL-500</x:v>
      </x:c>
      <x:c r="E354" s="24" t="str">
        <x:f>IF(D354="","",IFERROR(VLOOKUP(D354,$A$2:$B$1656,2,FALSE),""))</x:f>
        <x:v>Nature and Spirit Roles</x:v>
      </x:c>
      <x:c r="F354" s="24" t="n">
        <x:v>3</x:v>
      </x:c>
      <x:c r="G354" s="24" t="str">
        <x:v>Practitioner who communicates with animals and mediates between human and nonhuman communities.</x:v>
      </x:c>
      <x:c r="H354" s="24" t="str">
        <x:v>Do not assume identical training, social status, powers, or mechanics across settings.</x:v>
      </x:c>
      <x:c r="I354" s="24" t="str">
        <x:v>beast speaker; animal friend; zoopath</x:v>
      </x:c>
      <x:c r="J354" s="24" t="str">
        <x:v>Ecological guardianship, spirit mediation, animal partnership, survival, healing, and place-based magic.</x:v>
      </x:c>
      <x:c r="K354" s="24" t="str">
        <x:v>beast speaker; animal friend; zoopath</x:v>
      </x:c>
      <x:c r="L354" s="24" t="str">
        <x:v>Preserve each source's ontology, culture, history, and terminology when making comparisons.</x:v>
      </x:c>
      <x:c r="M354" s="24" t="str">
        <x:v>Core Family</x:v>
      </x:c>
    </x:row>
    <x:row r="355" ht="44" customHeight="1">
      <x:c r="A355" s="24" t="str">
        <x:v>ROL-517</x:v>
      </x:c>
      <x:c r="B355" s="24" t="str">
        <x:v>Geomantic Warden</x:v>
      </x:c>
      <x:c r="C355" s="24" t="str">
        <x:v>Roles &amp; Vocations</x:v>
      </x:c>
      <x:c r="D355" s="24" t="str">
        <x:v>ROL-500</x:v>
      </x:c>
      <x:c r="E355" s="24" t="str">
        <x:f>IF(D355="","",IFERROR(VLOOKUP(D355,$A$2:$B$1656,2,FALSE),""))</x:f>
        <x:v>Nature and Spirit Roles</x:v>
      </x:c>
      <x:c r="F355" s="24" t="n">
        <x:v>3</x:v>
      </x:c>
      <x:c r="G355" s="24" t="str">
        <x:v>Protector who reads terrain, sacred geography, ley lines, and place-based imbalances.</x:v>
      </x:c>
      <x:c r="H355" s="24" t="str">
        <x:v>Do not assume identical training, social status, powers, or mechanics across settings.</x:v>
      </x:c>
      <x:c r="I355" s="24" t="str">
        <x:v>land reader; geomancer; ley warden</x:v>
      </x:c>
      <x:c r="J355" s="24" t="str">
        <x:v>Ecological guardianship, spirit mediation, animal partnership, survival, healing, and place-based magic.</x:v>
      </x:c>
      <x:c r="K355" s="24" t="str">
        <x:v>land reader; geomancer; ley warden</x:v>
      </x:c>
      <x:c r="L355" s="24" t="str">
        <x:v>Preserve each source's ontology, culture, history, and terminology when making comparisons.</x:v>
      </x:c>
      <x:c r="M355" s="24" t="str">
        <x:v>Core Family</x:v>
      </x:c>
    </x:row>
    <x:row r="356" ht="44" customHeight="1">
      <x:c r="A356" s="24" t="str">
        <x:v>ROL-518</x:v>
      </x:c>
      <x:c r="B356" s="24" t="str">
        <x:v>Ancestor Keeper</x:v>
      </x:c>
      <x:c r="C356" s="24" t="str">
        <x:v>Roles &amp; Vocations</x:v>
      </x:c>
      <x:c r="D356" s="24" t="str">
        <x:v>ROL-500</x:v>
      </x:c>
      <x:c r="E356" s="24" t="str">
        <x:f>IF(D356="","",IFERROR(VLOOKUP(D356,$A$2:$B$1656,2,FALSE),""))</x:f>
        <x:v>Nature and Spirit Roles</x:v>
      </x:c>
      <x:c r="F356" s="24" t="n">
        <x:v>3</x:v>
      </x:c>
      <x:c r="G356" s="24" t="str">
        <x:v>Community specialist responsible for ancestral rites, memory, genealogies, and reciprocal obligations with the dead.</x:v>
      </x:c>
      <x:c r="H356" s="24" t="str">
        <x:v>Do not assume identical training, social status, powers, or mechanics across settings.</x:v>
      </x:c>
      <x:c r="I356" s="24" t="str">
        <x:v>ancestor priest; lineage keeper</x:v>
      </x:c>
      <x:c r="J356" s="24" t="str">
        <x:v>Ecological guardianship, spirit mediation, animal partnership, survival, healing, and place-based magic.</x:v>
      </x:c>
      <x:c r="K356" s="24" t="str">
        <x:v>ancestor priest; lineage keeper</x:v>
      </x:c>
      <x:c r="L356" s="24" t="str">
        <x:v>Preserve each source's ontology, culture, history, and terminology when making comparisons.</x:v>
      </x:c>
      <x:c r="M356" s="24" t="str">
        <x:v>Core Family</x:v>
      </x:c>
    </x:row>
    <x:row r="357" ht="44" customHeight="1">
      <x:c r="A357" s="24" t="str">
        <x:v>ROL-601</x:v>
      </x:c>
      <x:c r="B357" s="24" t="str">
        <x:v>Healer</x:v>
      </x:c>
      <x:c r="C357" s="24" t="str">
        <x:v>Roles &amp; Vocations</x:v>
      </x:c>
      <x:c r="D357" s="24" t="str">
        <x:v>ROL-600</x:v>
      </x:c>
      <x:c r="E357" s="24" t="str">
        <x:f>IF(D357="","",IFERROR(VLOOKUP(D357,$A$2:$B$1656,2,FALSE),""))</x:f>
        <x:v>Healing, Craft, and Knowledge Roles</x:v>
      </x:c>
      <x:c r="F357" s="24" t="n">
        <x:v>3</x:v>
      </x:c>
      <x:c r="G357" s="24" t="str">
        <x:v>Broad role devoted to restoring health, removing conditions, stabilizing allies, and sustaining a group.</x:v>
      </x:c>
      <x:c r="H357" s="24" t="str">
        <x:v>Do not assume identical training, social status, powers, or mechanics across settings.</x:v>
      </x:c>
      <x:c r="I357" s="24" t="str">
        <x:v>healer; medic; restorative support</x:v>
      </x:c>
      <x:c r="J357" s="24" t="str">
        <x:v>Healing, production, knowledge, logistics, performance, economy, and noncombat problem solving.</x:v>
      </x:c>
      <x:c r="K357" s="24" t="str">
        <x:v>healer; medic; restorative support</x:v>
      </x:c>
      <x:c r="L357" s="24" t="str">
        <x:v>Preserve each source's ontology, culture, history, and terminology when making comparisons.</x:v>
      </x:c>
      <x:c r="M357" s="24" t="str">
        <x:v>Core Family</x:v>
      </x:c>
    </x:row>
    <x:row r="358" ht="44" customHeight="1">
      <x:c r="A358" s="24" t="str">
        <x:v>ROL-602</x:v>
      </x:c>
      <x:c r="B358" s="24" t="str">
        <x:v>Physician</x:v>
      </x:c>
      <x:c r="C358" s="24" t="str">
        <x:v>Roles &amp; Vocations</x:v>
      </x:c>
      <x:c r="D358" s="24" t="str">
        <x:v>ROL-600</x:v>
      </x:c>
      <x:c r="E358" s="24" t="str">
        <x:f>IF(D358="","",IFERROR(VLOOKUP(D358,$A$2:$B$1656,2,FALSE),""))</x:f>
        <x:v>Healing, Craft, and Knowledge Roles</x:v>
      </x:c>
      <x:c r="F358" s="24" t="n">
        <x:v>3</x:v>
      </x:c>
      <x:c r="G358" s="24" t="str">
        <x:v>Practitioner of systematic bodily diagnosis and treatment without requiring supernatural power.</x:v>
      </x:c>
      <x:c r="H358" s="24" t="str">
        <x:v>Do not assume identical training, social status, powers, or mechanics across settings.</x:v>
      </x:c>
      <x:c r="I358" s="24" t="str">
        <x:v>physician; doctor; chirurgeon</x:v>
      </x:c>
      <x:c r="J358" s="24" t="str">
        <x:v>Healing, production, knowledge, logistics, performance, economy, and noncombat problem solving.</x:v>
      </x:c>
      <x:c r="K358" s="24" t="str">
        <x:v>physician; doctor; chirurgeon</x:v>
      </x:c>
      <x:c r="L358" s="24" t="str">
        <x:v>Preserve each source's ontology, culture, history, and terminology when making comparisons.</x:v>
      </x:c>
      <x:c r="M358" s="24" t="str">
        <x:v>Core Family</x:v>
      </x:c>
    </x:row>
    <x:row r="359" ht="44" customHeight="1">
      <x:c r="A359" s="24" t="str">
        <x:v>ROL-603</x:v>
      </x:c>
      <x:c r="B359" s="24" t="str">
        <x:v>Surgeon</x:v>
      </x:c>
      <x:c r="C359" s="24" t="str">
        <x:v>Roles &amp; Vocations</x:v>
      </x:c>
      <x:c r="D359" s="24" t="str">
        <x:v>ROL-600</x:v>
      </x:c>
      <x:c r="E359" s="24" t="str">
        <x:f>IF(D359="","",IFERROR(VLOOKUP(D359,$A$2:$B$1656,2,FALSE),""))</x:f>
        <x:v>Healing, Craft, and Knowledge Roles</x:v>
      </x:c>
      <x:c r="F359" s="24" t="n">
        <x:v>3</x:v>
      </x:c>
      <x:c r="G359" s="24" t="str">
        <x:v>Specialist in invasive bodily repair, amputation, battlefield medicine, or anatomical intervention.</x:v>
      </x:c>
      <x:c r="H359" s="24" t="str">
        <x:v>Do not assume identical training, social status, powers, or mechanics across settings.</x:v>
      </x:c>
      <x:c r="I359" s="24" t="str">
        <x:v>surgeon; chirurgeon</x:v>
      </x:c>
      <x:c r="J359" s="24" t="str">
        <x:v>Healing, production, knowledge, logistics, performance, economy, and noncombat problem solving.</x:v>
      </x:c>
      <x:c r="K359" s="24" t="str">
        <x:v>surgeon; chirurgeon</x:v>
      </x:c>
      <x:c r="L359" s="24" t="str">
        <x:v>Preserve each source's ontology, culture, history, and terminology when making comparisons.</x:v>
      </x:c>
      <x:c r="M359" s="24" t="str">
        <x:v>Core Family</x:v>
      </x:c>
    </x:row>
    <x:row r="360" ht="44" customHeight="1">
      <x:c r="A360" s="24" t="str">
        <x:v>ROL-604</x:v>
      </x:c>
      <x:c r="B360" s="24" t="str">
        <x:v>Apothecary</x:v>
      </x:c>
      <x:c r="C360" s="24" t="str">
        <x:v>Roles &amp; Vocations</x:v>
      </x:c>
      <x:c r="D360" s="24" t="str">
        <x:v>ROL-600</x:v>
      </x:c>
      <x:c r="E360" s="24" t="str">
        <x:f>IF(D360="","",IFERROR(VLOOKUP(D360,$A$2:$B$1656,2,FALSE),""))</x:f>
        <x:v>Healing, Craft, and Knowledge Roles</x:v>
      </x:c>
      <x:c r="F360" s="24" t="n">
        <x:v>3</x:v>
      </x:c>
      <x:c r="G360" s="24" t="str">
        <x:v>Preparer and seller of medicines, poisons, powders, salves, and compounds.</x:v>
      </x:c>
      <x:c r="H360" s="24" t="str">
        <x:v>Do not assume identical training, social status, powers, or mechanics across settings.</x:v>
      </x:c>
      <x:c r="I360" s="24" t="str">
        <x:v>apothecary; pharmacist; potion seller</x:v>
      </x:c>
      <x:c r="J360" s="24" t="str">
        <x:v>Healing, production, knowledge, logistics, performance, economy, and noncombat problem solving.</x:v>
      </x:c>
      <x:c r="K360" s="24" t="str">
        <x:v>apothecary; pharmacist; potion seller</x:v>
      </x:c>
      <x:c r="L360" s="24" t="str">
        <x:v>Preserve each source's ontology, culture, history, and terminology when making comparisons.</x:v>
      </x:c>
      <x:c r="M360" s="24" t="str">
        <x:v>Core Family</x:v>
      </x:c>
    </x:row>
    <x:row r="361" ht="44" customHeight="1">
      <x:c r="A361" s="24" t="str">
        <x:v>ROL-605</x:v>
      </x:c>
      <x:c r="B361" s="24" t="str">
        <x:v>Cook and Culinarian</x:v>
      </x:c>
      <x:c r="C361" s="24" t="str">
        <x:v>Roles &amp; Vocations</x:v>
      </x:c>
      <x:c r="D361" s="24" t="str">
        <x:v>ROL-600</x:v>
      </x:c>
      <x:c r="E361" s="24" t="str">
        <x:f>IF(D361="","",IFERROR(VLOOKUP(D361,$A$2:$B$1656,2,FALSE),""))</x:f>
        <x:v>Healing, Craft, and Knowledge Roles</x:v>
      </x:c>
      <x:c r="F361" s="24" t="n">
        <x:v>3</x:v>
      </x:c>
      <x:c r="G361" s="24" t="str">
        <x:v>Provider whose food restores, buffs, symbolizes culture, or functions as alchemical craft.</x:v>
      </x:c>
      <x:c r="H361" s="24" t="str">
        <x:v>Do not assume identical training, social status, powers, or mechanics across settings.</x:v>
      </x:c>
      <x:c r="I361" s="24" t="str">
        <x:v>cook; chef; culinarian</x:v>
      </x:c>
      <x:c r="J361" s="24" t="str">
        <x:v>Healing, production, knowledge, logistics, performance, economy, and noncombat problem solving.</x:v>
      </x:c>
      <x:c r="K361" s="24" t="str">
        <x:v>cook; chef; culinarian</x:v>
      </x:c>
      <x:c r="L361" s="24" t="str">
        <x:v>Preserve each source's ontology, culture, history, and terminology when making comparisons.</x:v>
      </x:c>
      <x:c r="M361" s="24" t="str">
        <x:v>Core Family</x:v>
      </x:c>
    </x:row>
    <x:row r="362" ht="44" customHeight="1">
      <x:c r="A362" s="24" t="str">
        <x:v>ROL-606</x:v>
      </x:c>
      <x:c r="B362" s="24" t="str">
        <x:v>Bard</x:v>
      </x:c>
      <x:c r="C362" s="24" t="str">
        <x:v>Roles &amp; Vocations</x:v>
      </x:c>
      <x:c r="D362" s="24" t="str">
        <x:v>ROL-600</x:v>
      </x:c>
      <x:c r="E362" s="24" t="str">
        <x:f>IF(D362="","",IFERROR(VLOOKUP(D362,$A$2:$B$1656,2,FALSE),""))</x:f>
        <x:v>Healing, Craft, and Knowledge Roles</x:v>
      </x:c>
      <x:c r="F362" s="24" t="n">
        <x:v>3</x:v>
      </x:c>
      <x:c r="G362" s="24" t="str">
        <x:v>Performer whose song, story, reputation, memory, or magic influences emotion, morale, identity, and action.</x:v>
      </x:c>
      <x:c r="H362" s="24" t="str">
        <x:v>Do not assume identical training, social status, powers, or mechanics across settings.</x:v>
      </x:c>
      <x:c r="I362" s="24" t="str">
        <x:v>bard; minstrel; troubadour</x:v>
      </x:c>
      <x:c r="J362" s="24" t="str">
        <x:v>Healing, production, knowledge, logistics, performance, economy, and noncombat problem solving.</x:v>
      </x:c>
      <x:c r="K362" s="24" t="str">
        <x:v>bard; minstrel; troubadour</x:v>
      </x:c>
      <x:c r="L362" s="24" t="str">
        <x:v>Preserve each source's ontology, culture, history, and terminology when making comparisons.</x:v>
      </x:c>
      <x:c r="M362" s="24" t="str">
        <x:v>Core Family</x:v>
      </x:c>
    </x:row>
    <x:row r="363" ht="44" customHeight="1">
      <x:c r="A363" s="24" t="str">
        <x:v>ROL-607</x:v>
      </x:c>
      <x:c r="B363" s="24" t="str">
        <x:v>Skald and Warrior-Poet</x:v>
      </x:c>
      <x:c r="C363" s="24" t="str">
        <x:v>Roles &amp; Vocations</x:v>
      </x:c>
      <x:c r="D363" s="24" t="str">
        <x:v>ROL-600</x:v>
      </x:c>
      <x:c r="E363" s="24" t="str">
        <x:f>IF(D363="","",IFERROR(VLOOKUP(D363,$A$2:$B$1656,2,FALSE),""))</x:f>
        <x:v>Healing, Craft, and Knowledge Roles</x:v>
      </x:c>
      <x:c r="F363" s="24" t="n">
        <x:v>3</x:v>
      </x:c>
      <x:c r="G363" s="24" t="str">
        <x:v>Poet-performer associated with heroic memory, praise, insult, genealogy, and martial culture.</x:v>
      </x:c>
      <x:c r="H363" s="24" t="str">
        <x:v>Do not assume identical training, social status, powers, or mechanics across settings.</x:v>
      </x:c>
      <x:c r="I363" s="24" t="str">
        <x:v>skald; warrior poet</x:v>
      </x:c>
      <x:c r="J363" s="24" t="str">
        <x:v>Healing, production, knowledge, logistics, performance, economy, and noncombat problem solving.</x:v>
      </x:c>
      <x:c r="K363" s="24" t="str">
        <x:v>skald; warrior poet</x:v>
      </x:c>
      <x:c r="L363" s="24" t="str">
        <x:v>Preserve each source's ontology, culture, history, and terminology when making comparisons.</x:v>
      </x:c>
      <x:c r="M363" s="24" t="str">
        <x:v>Core Family</x:v>
      </x:c>
    </x:row>
    <x:row r="364" ht="44" customHeight="1">
      <x:c r="A364" s="24" t="str">
        <x:v>ROL-608</x:v>
      </x:c>
      <x:c r="B364" s="24" t="str">
        <x:v>Dancer</x:v>
      </x:c>
      <x:c r="C364" s="24" t="str">
        <x:v>Roles &amp; Vocations</x:v>
      </x:c>
      <x:c r="D364" s="24" t="str">
        <x:v>ROL-600</x:v>
      </x:c>
      <x:c r="E364" s="24" t="str">
        <x:f>IF(D364="","",IFERROR(VLOOKUP(D364,$A$2:$B$1656,2,FALSE),""))</x:f>
        <x:v>Healing, Craft, and Knowledge Roles</x:v>
      </x:c>
      <x:c r="F364" s="24" t="n">
        <x:v>3</x:v>
      </x:c>
      <x:c r="G364" s="24" t="str">
        <x:v>Performer whose movement produces social, ritual, magical, healing, or combat effects.</x:v>
      </x:c>
      <x:c r="H364" s="24" t="str">
        <x:v>Do not assume identical training, social status, powers, or mechanics across settings.</x:v>
      </x:c>
      <x:c r="I364" s="24" t="str">
        <x:v>dancer; ritual dancer; battle dancer</x:v>
      </x:c>
      <x:c r="J364" s="24" t="str">
        <x:v>Healing, production, knowledge, logistics, performance, economy, and noncombat problem solving.</x:v>
      </x:c>
      <x:c r="K364" s="24" t="str">
        <x:v>dancer; ritual dancer; battle dancer</x:v>
      </x:c>
      <x:c r="L364" s="24" t="str">
        <x:v>Preserve each source's ontology, culture, history, and terminology when making comparisons.</x:v>
      </x:c>
      <x:c r="M364" s="24" t="str">
        <x:v>Core Family</x:v>
      </x:c>
    </x:row>
    <x:row r="365" ht="44" customHeight="1">
      <x:c r="A365" s="24" t="str">
        <x:v>ROL-609</x:v>
      </x:c>
      <x:c r="B365" s="24" t="str">
        <x:v>Storyteller and Lorekeeper</x:v>
      </x:c>
      <x:c r="C365" s="24" t="str">
        <x:v>Roles &amp; Vocations</x:v>
      </x:c>
      <x:c r="D365" s="24" t="str">
        <x:v>ROL-600</x:v>
      </x:c>
      <x:c r="E365" s="24" t="str">
        <x:f>IF(D365="","",IFERROR(VLOOKUP(D365,$A$2:$B$1656,2,FALSE),""))</x:f>
        <x:v>Healing, Craft, and Knowledge Roles</x:v>
      </x:c>
      <x:c r="F365" s="24" t="n">
        <x:v>3</x:v>
      </x:c>
      <x:c r="G365" s="24" t="str">
        <x:v>Custodian of oral history, myth, genealogy, law, and communal identity.</x:v>
      </x:c>
      <x:c r="H365" s="24" t="str">
        <x:v>Do not assume identical training, social status, powers, or mechanics across settings.</x:v>
      </x:c>
      <x:c r="I365" s="24" t="str">
        <x:v>storyteller; griot-like role; lorekeeper</x:v>
      </x:c>
      <x:c r="J365" s="24" t="str">
        <x:v>Healing, production, knowledge, logistics, performance, economy, and noncombat problem solving.</x:v>
      </x:c>
      <x:c r="K365" s="24" t="str">
        <x:v>storyteller; griot-like role; lorekeeper</x:v>
      </x:c>
      <x:c r="L365" s="24" t="str">
        <x:v>Do not use 'griot' generically without West African cultural context.</x:v>
      </x:c>
      <x:c r="M365" s="24" t="str">
        <x:v>Core Family</x:v>
      </x:c>
    </x:row>
    <x:row r="366" ht="44" customHeight="1">
      <x:c r="A366" s="24" t="str">
        <x:v>ROL-610</x:v>
      </x:c>
      <x:c r="B366" s="24" t="str">
        <x:v>Blacksmith</x:v>
      </x:c>
      <x:c r="C366" s="24" t="str">
        <x:v>Roles &amp; Vocations</x:v>
      </x:c>
      <x:c r="D366" s="24" t="str">
        <x:v>ROL-600</x:v>
      </x:c>
      <x:c r="E366" s="24" t="str">
        <x:f>IF(D366="","",IFERROR(VLOOKUP(D366,$A$2:$B$1656,2,FALSE),""))</x:f>
        <x:v>Healing, Craft, and Knowledge Roles</x:v>
      </x:c>
      <x:c r="F366" s="24" t="n">
        <x:v>3</x:v>
      </x:c>
      <x:c r="G366" s="24" t="str">
        <x:v>Craftsperson who forges tools, weapons, armor, and culturally significant metalwork.</x:v>
      </x:c>
      <x:c r="H366" s="24" t="str">
        <x:v>Do not assume identical training, social status, powers, or mechanics across settings.</x:v>
      </x:c>
      <x:c r="I366" s="24" t="str">
        <x:v>blacksmith; smith; forge master</x:v>
      </x:c>
      <x:c r="J366" s="24" t="str">
        <x:v>Healing, production, knowledge, logistics, performance, economy, and noncombat problem solving.</x:v>
      </x:c>
      <x:c r="K366" s="24" t="str">
        <x:v>blacksmith; smith; forge master</x:v>
      </x:c>
      <x:c r="L366" s="24" t="str">
        <x:v>Preserve each source's ontology, culture, history, and terminology when making comparisons.</x:v>
      </x:c>
      <x:c r="M366" s="24" t="str">
        <x:v>Core Family</x:v>
      </x:c>
    </x:row>
    <x:row r="367" ht="44" customHeight="1">
      <x:c r="A367" s="24" t="str">
        <x:v>ROL-611</x:v>
      </x:c>
      <x:c r="B367" s="24" t="str">
        <x:v>Armorer</x:v>
      </x:c>
      <x:c r="C367" s="24" t="str">
        <x:v>Roles &amp; Vocations</x:v>
      </x:c>
      <x:c r="D367" s="24" t="str">
        <x:v>ROL-600</x:v>
      </x:c>
      <x:c r="E367" s="24" t="str">
        <x:f>IF(D367="","",IFERROR(VLOOKUP(D367,$A$2:$B$1656,2,FALSE),""))</x:f>
        <x:v>Healing, Craft, and Knowledge Roles</x:v>
      </x:c>
      <x:c r="F367" s="24" t="n">
        <x:v>3</x:v>
      </x:c>
      <x:c r="G367" s="24" t="str">
        <x:v>Specialist in making, fitting, maintaining, and improving armor and shields.</x:v>
      </x:c>
      <x:c r="H367" s="24" t="str">
        <x:v>Do not assume identical training, social status, powers, or mechanics across settings.</x:v>
      </x:c>
      <x:c r="I367" s="24" t="str">
        <x:v>armorer; armourer</x:v>
      </x:c>
      <x:c r="J367" s="24" t="str">
        <x:v>Healing, production, knowledge, logistics, performance, economy, and noncombat problem solving.</x:v>
      </x:c>
      <x:c r="K367" s="24" t="str">
        <x:v>armorer; armourer</x:v>
      </x:c>
      <x:c r="L367" s="24" t="str">
        <x:v>Preserve each source's ontology, culture, history, and terminology when making comparisons.</x:v>
      </x:c>
      <x:c r="M367" s="24" t="str">
        <x:v>Core Family</x:v>
      </x:c>
    </x:row>
    <x:row r="368" ht="44" customHeight="1">
      <x:c r="A368" s="24" t="str">
        <x:v>ROL-612</x:v>
      </x:c>
      <x:c r="B368" s="24" t="str">
        <x:v>Weaponsmith</x:v>
      </x:c>
      <x:c r="C368" s="24" t="str">
        <x:v>Roles &amp; Vocations</x:v>
      </x:c>
      <x:c r="D368" s="24" t="str">
        <x:v>ROL-600</x:v>
      </x:c>
      <x:c r="E368" s="24" t="str">
        <x:f>IF(D368="","",IFERROR(VLOOKUP(D368,$A$2:$B$1656,2,FALSE),""))</x:f>
        <x:v>Healing, Craft, and Knowledge Roles</x:v>
      </x:c>
      <x:c r="F368" s="24" t="n">
        <x:v>3</x:v>
      </x:c>
      <x:c r="G368" s="24" t="str">
        <x:v>Specialist in creating and refining weapons, often including legendary or magical arms.</x:v>
      </x:c>
      <x:c r="H368" s="24" t="str">
        <x:v>Do not assume identical training, social status, powers, or mechanics across settings.</x:v>
      </x:c>
      <x:c r="I368" s="24" t="str">
        <x:v>weaponsmith; swordsmith; bowyer</x:v>
      </x:c>
      <x:c r="J368" s="24" t="str">
        <x:v>Healing, production, knowledge, logistics, performance, economy, and noncombat problem solving.</x:v>
      </x:c>
      <x:c r="K368" s="24" t="str">
        <x:v>weaponsmith; swordsmith; bowyer</x:v>
      </x:c>
      <x:c r="L368" s="24" t="str">
        <x:v>Preserve each source's ontology, culture, history, and terminology when making comparisons.</x:v>
      </x:c>
      <x:c r="M368" s="24" t="str">
        <x:v>Core Family</x:v>
      </x:c>
    </x:row>
    <x:row r="369" ht="44" customHeight="1">
      <x:c r="A369" s="24" t="str">
        <x:v>ROL-613</x:v>
      </x:c>
      <x:c r="B369" s="24" t="str">
        <x:v>Jeweler and Gemworker</x:v>
      </x:c>
      <x:c r="C369" s="24" t="str">
        <x:v>Roles &amp; Vocations</x:v>
      </x:c>
      <x:c r="D369" s="24" t="str">
        <x:v>ROL-600</x:v>
      </x:c>
      <x:c r="E369" s="24" t="str">
        <x:f>IF(D369="","",IFERROR(VLOOKUP(D369,$A$2:$B$1656,2,FALSE),""))</x:f>
        <x:v>Healing, Craft, and Knowledge Roles</x:v>
      </x:c>
      <x:c r="F369" s="24" t="n">
        <x:v>3</x:v>
      </x:c>
      <x:c r="G369" s="24" t="str">
        <x:v>Craftsperson who cuts gems, creates jewelry, embeds magical foci, or manages symbolic wealth.</x:v>
      </x:c>
      <x:c r="H369" s="24" t="str">
        <x:v>Do not assume identical training, social status, powers, or mechanics across settings.</x:v>
      </x:c>
      <x:c r="I369" s="24" t="str">
        <x:v>jeweler; gemcutter; goldsmith</x:v>
      </x:c>
      <x:c r="J369" s="24" t="str">
        <x:v>Healing, production, knowledge, logistics, performance, economy, and noncombat problem solving.</x:v>
      </x:c>
      <x:c r="K369" s="24" t="str">
        <x:v>jeweler; gemcutter; goldsmith</x:v>
      </x:c>
      <x:c r="L369" s="24" t="str">
        <x:v>Preserve each source's ontology, culture, history, and terminology when making comparisons.</x:v>
      </x:c>
      <x:c r="M369" s="24" t="str">
        <x:v>Core Family</x:v>
      </x:c>
    </x:row>
    <x:row r="370" ht="44" customHeight="1">
      <x:c r="A370" s="24" t="str">
        <x:v>ROL-614</x:v>
      </x:c>
      <x:c r="B370" s="24" t="str">
        <x:v>Runesmith and Enchanting Artisan</x:v>
      </x:c>
      <x:c r="C370" s="24" t="str">
        <x:v>Roles &amp; Vocations</x:v>
      </x:c>
      <x:c r="D370" s="24" t="str">
        <x:v>ROL-600</x:v>
      </x:c>
      <x:c r="E370" s="24" t="str">
        <x:f>IF(D370="","",IFERROR(VLOOKUP(D370,$A$2:$B$1656,2,FALSE),""))</x:f>
        <x:v>Healing, Craft, and Knowledge Roles</x:v>
      </x:c>
      <x:c r="F370" s="24" t="n">
        <x:v>3</x:v>
      </x:c>
      <x:c r="G370" s="24" t="str">
        <x:v>Craft specialist who permanently encodes magic into objects through runes, inscriptions, or enchantment.</x:v>
      </x:c>
      <x:c r="H370" s="24" t="str">
        <x:v>Do not assume identical training, social status, powers, or mechanics across settings.</x:v>
      </x:c>
      <x:c r="I370" s="24" t="str">
        <x:v>runesmith; enchanter-smith; artificer</x:v>
      </x:c>
      <x:c r="J370" s="24" t="str">
        <x:v>Healing, production, knowledge, logistics, performance, economy, and noncombat problem solving.</x:v>
      </x:c>
      <x:c r="K370" s="24" t="str">
        <x:v>runesmith; enchanter-smith; artificer</x:v>
      </x:c>
      <x:c r="L370" s="24" t="str">
        <x:v>Preserve each source's ontology, culture, history, and terminology when making comparisons.</x:v>
      </x:c>
      <x:c r="M370" s="24" t="str">
        <x:v>Core Family</x:v>
      </x:c>
    </x:row>
    <x:row r="371" ht="44" customHeight="1">
      <x:c r="A371" s="24" t="str">
        <x:v>ROL-615</x:v>
      </x:c>
      <x:c r="B371" s="24" t="str">
        <x:v>Engineer</x:v>
      </x:c>
      <x:c r="C371" s="24" t="str">
        <x:v>Roles &amp; Vocations</x:v>
      </x:c>
      <x:c r="D371" s="24" t="str">
        <x:v>ROL-600</x:v>
      </x:c>
      <x:c r="E371" s="24" t="str">
        <x:f>IF(D371="","",IFERROR(VLOOKUP(D371,$A$2:$B$1656,2,FALSE),""))</x:f>
        <x:v>Healing, Craft, and Knowledge Roles</x:v>
      </x:c>
      <x:c r="F371" s="24" t="n">
        <x:v>3</x:v>
      </x:c>
      <x:c r="G371" s="24" t="str">
        <x:v>Designer and operator of machines, fortifications, vehicles, infrastructure, and technical systems.</x:v>
      </x:c>
      <x:c r="H371" s="24" t="str">
        <x:v>Do not assume identical training, social status, powers, or mechanics across settings.</x:v>
      </x:c>
      <x:c r="I371" s="24" t="str">
        <x:v>engineer; mechanic; inventor</x:v>
      </x:c>
      <x:c r="J371" s="24" t="str">
        <x:v>Healing, production, knowledge, logistics, performance, economy, and noncombat problem solving.</x:v>
      </x:c>
      <x:c r="K371" s="24" t="str">
        <x:v>engineer; mechanic; inventor</x:v>
      </x:c>
      <x:c r="L371" s="24" t="str">
        <x:v>Preserve each source's ontology, culture, history, and terminology when making comparisons.</x:v>
      </x:c>
      <x:c r="M371" s="24" t="str">
        <x:v>Core Family</x:v>
      </x:c>
    </x:row>
    <x:row r="372" ht="44" customHeight="1">
      <x:c r="A372" s="24" t="str">
        <x:v>ROL-616</x:v>
      </x:c>
      <x:c r="B372" s="24" t="str">
        <x:v>Architect and Builder</x:v>
      </x:c>
      <x:c r="C372" s="24" t="str">
        <x:v>Roles &amp; Vocations</x:v>
      </x:c>
      <x:c r="D372" s="24" t="str">
        <x:v>ROL-600</x:v>
      </x:c>
      <x:c r="E372" s="24" t="str">
        <x:f>IF(D372="","",IFERROR(VLOOKUP(D372,$A$2:$B$1656,2,FALSE),""))</x:f>
        <x:v>Healing, Craft, and Knowledge Roles</x:v>
      </x:c>
      <x:c r="F372" s="24" t="n">
        <x:v>3</x:v>
      </x:c>
      <x:c r="G372" s="24" t="str">
        <x:v>Planner and constructor of buildings, cities, fortresses, temples, and magical structures.</x:v>
      </x:c>
      <x:c r="H372" s="24" t="str">
        <x:v>Do not assume identical training, social status, powers, or mechanics across settings.</x:v>
      </x:c>
      <x:c r="I372" s="24" t="str">
        <x:v>architect; builder; mason</x:v>
      </x:c>
      <x:c r="J372" s="24" t="str">
        <x:v>Healing, production, knowledge, logistics, performance, economy, and noncombat problem solving.</x:v>
      </x:c>
      <x:c r="K372" s="24" t="str">
        <x:v>architect; builder; mason</x:v>
      </x:c>
      <x:c r="L372" s="24" t="str">
        <x:v>Preserve each source's ontology, culture, history, and terminology when making comparisons.</x:v>
      </x:c>
      <x:c r="M372" s="24" t="str">
        <x:v>Core Family</x:v>
      </x:c>
    </x:row>
    <x:row r="373" ht="44" customHeight="1">
      <x:c r="A373" s="24" t="str">
        <x:v>ROL-617</x:v>
      </x:c>
      <x:c r="B373" s="24" t="str">
        <x:v>Miner and Prospector</x:v>
      </x:c>
      <x:c r="C373" s="24" t="str">
        <x:v>Roles &amp; Vocations</x:v>
      </x:c>
      <x:c r="D373" s="24" t="str">
        <x:v>ROL-600</x:v>
      </x:c>
      <x:c r="E373" s="24" t="str">
        <x:f>IF(D373="","",IFERROR(VLOOKUP(D373,$A$2:$B$1656,2,FALSE),""))</x:f>
        <x:v>Healing, Craft, and Knowledge Roles</x:v>
      </x:c>
      <x:c r="F373" s="24" t="n">
        <x:v>3</x:v>
      </x:c>
      <x:c r="G373" s="24" t="str">
        <x:v>Worker who extracts ore, gems, magical minerals, fossils, or subterranean resources.</x:v>
      </x:c>
      <x:c r="H373" s="24" t="str">
        <x:v>Do not assume identical training, social status, powers, or mechanics across settings.</x:v>
      </x:c>
      <x:c r="I373" s="24" t="str">
        <x:v>miner; prospector; delver</x:v>
      </x:c>
      <x:c r="J373" s="24" t="str">
        <x:v>Healing, production, knowledge, logistics, performance, economy, and noncombat problem solving.</x:v>
      </x:c>
      <x:c r="K373" s="24" t="str">
        <x:v>miner; prospector; delver</x:v>
      </x:c>
      <x:c r="L373" s="24" t="str">
        <x:v>Preserve each source's ontology, culture, history, and terminology when making comparisons.</x:v>
      </x:c>
      <x:c r="M373" s="24" t="str">
        <x:v>Core Family</x:v>
      </x:c>
    </x:row>
    <x:row r="374" ht="44" customHeight="1">
      <x:c r="A374" s="24" t="str">
        <x:v>ROL-618</x:v>
      </x:c>
      <x:c r="B374" s="24" t="str">
        <x:v>Farmer and Gardener</x:v>
      </x:c>
      <x:c r="C374" s="24" t="str">
        <x:v>Roles &amp; Vocations</x:v>
      </x:c>
      <x:c r="D374" s="24" t="str">
        <x:v>ROL-600</x:v>
      </x:c>
      <x:c r="E374" s="24" t="str">
        <x:f>IF(D374="","",IFERROR(VLOOKUP(D374,$A$2:$B$1656,2,FALSE),""))</x:f>
        <x:v>Healing, Craft, and Knowledge Roles</x:v>
      </x:c>
      <x:c r="F374" s="24" t="n">
        <x:v>3</x:v>
      </x:c>
      <x:c r="G374" s="24" t="str">
        <x:v>Producer who cultivates food, herbs, magical crops, or domesticated landscapes.</x:v>
      </x:c>
      <x:c r="H374" s="24" t="str">
        <x:v>Do not assume identical training, social status, powers, or mechanics across settings.</x:v>
      </x:c>
      <x:c r="I374" s="24" t="str">
        <x:v>farmer; gardener; planter</x:v>
      </x:c>
      <x:c r="J374" s="24" t="str">
        <x:v>Healing, production, knowledge, logistics, performance, economy, and noncombat problem solving.</x:v>
      </x:c>
      <x:c r="K374" s="24" t="str">
        <x:v>farmer; gardener; planter</x:v>
      </x:c>
      <x:c r="L374" s="24" t="str">
        <x:v>Preserve each source's ontology, culture, history, and terminology when making comparisons.</x:v>
      </x:c>
      <x:c r="M374" s="24" t="str">
        <x:v>Core Family</x:v>
      </x:c>
    </x:row>
    <x:row r="375" ht="44" customHeight="1">
      <x:c r="A375" s="24" t="str">
        <x:v>ROL-619</x:v>
      </x:c>
      <x:c r="B375" s="24" t="str">
        <x:v>Shepherd and Herdsman</x:v>
      </x:c>
      <x:c r="C375" s="24" t="str">
        <x:v>Roles &amp; Vocations</x:v>
      </x:c>
      <x:c r="D375" s="24" t="str">
        <x:v>ROL-600</x:v>
      </x:c>
      <x:c r="E375" s="24" t="str">
        <x:f>IF(D375="","",IFERROR(VLOOKUP(D375,$A$2:$B$1656,2,FALSE),""))</x:f>
        <x:v>Healing, Craft, and Knowledge Roles</x:v>
      </x:c>
      <x:c r="F375" s="24" t="n">
        <x:v>3</x:v>
      </x:c>
      <x:c r="G375" s="24" t="str">
        <x:v>Caretaker of domesticated animals, migratory herds, or magical livestock.</x:v>
      </x:c>
      <x:c r="H375" s="24" t="str">
        <x:v>Do not assume identical training, social status, powers, or mechanics across settings.</x:v>
      </x:c>
      <x:c r="I375" s="24" t="str">
        <x:v>shepherd; herdsman; drover</x:v>
      </x:c>
      <x:c r="J375" s="24" t="str">
        <x:v>Healing, production, knowledge, logistics, performance, economy, and noncombat problem solving.</x:v>
      </x:c>
      <x:c r="K375" s="24" t="str">
        <x:v>shepherd; herdsman; drover</x:v>
      </x:c>
      <x:c r="L375" s="24" t="str">
        <x:v>Preserve each source's ontology, culture, history, and terminology when making comparisons.</x:v>
      </x:c>
      <x:c r="M375" s="24" t="str">
        <x:v>Core Family</x:v>
      </x:c>
    </x:row>
    <x:row r="376" ht="44" customHeight="1">
      <x:c r="A376" s="24" t="str">
        <x:v>ROL-620</x:v>
      </x:c>
      <x:c r="B376" s="24" t="str">
        <x:v>Fisher and Whaler</x:v>
      </x:c>
      <x:c r="C376" s="24" t="str">
        <x:v>Roles &amp; Vocations</x:v>
      </x:c>
      <x:c r="D376" s="24" t="str">
        <x:v>ROL-600</x:v>
      </x:c>
      <x:c r="E376" s="24" t="str">
        <x:f>IF(D376="","",IFERROR(VLOOKUP(D376,$A$2:$B$1656,2,FALSE),""))</x:f>
        <x:v>Healing, Craft, and Knowledge Roles</x:v>
      </x:c>
      <x:c r="F376" s="24" t="n">
        <x:v>3</x:v>
      </x:c>
      <x:c r="G376" s="24" t="str">
        <x:v>Maritime food-gatherer whose role may also involve navigation, monster hunting, or coastal culture.</x:v>
      </x:c>
      <x:c r="H376" s="24" t="str">
        <x:v>Do not assume identical training, social status, powers, or mechanics across settings.</x:v>
      </x:c>
      <x:c r="I376" s="24" t="str">
        <x:v>fisher; whaler; netter</x:v>
      </x:c>
      <x:c r="J376" s="24" t="str">
        <x:v>Healing, production, knowledge, logistics, performance, economy, and noncombat problem solving.</x:v>
      </x:c>
      <x:c r="K376" s="24" t="str">
        <x:v>fisher; whaler; netter</x:v>
      </x:c>
      <x:c r="L376" s="24" t="str">
        <x:v>Preserve each source's ontology, culture, history, and terminology when making comparisons.</x:v>
      </x:c>
      <x:c r="M376" s="24" t="str">
        <x:v>Core Family</x:v>
      </x:c>
    </x:row>
    <x:row r="377" ht="44" customHeight="1">
      <x:c r="A377" s="24" t="str">
        <x:v>ROL-621</x:v>
      </x:c>
      <x:c r="B377" s="24" t="str">
        <x:v>Sailor</x:v>
      </x:c>
      <x:c r="C377" s="24" t="str">
        <x:v>Roles &amp; Vocations</x:v>
      </x:c>
      <x:c r="D377" s="24" t="str">
        <x:v>ROL-600</x:v>
      </x:c>
      <x:c r="E377" s="24" t="str">
        <x:f>IF(D377="","",IFERROR(VLOOKUP(D377,$A$2:$B$1656,2,FALSE),""))</x:f>
        <x:v>Healing, Craft, and Knowledge Roles</x:v>
      </x:c>
      <x:c r="F377" s="24" t="n">
        <x:v>3</x:v>
      </x:c>
      <x:c r="G377" s="24" t="str">
        <x:v>Professional seafarer responsible for ship operation, rigging, navigation support, and survival at sea.</x:v>
      </x:c>
      <x:c r="H377" s="24" t="str">
        <x:v>Do not assume identical training, social status, powers, or mechanics across settings.</x:v>
      </x:c>
      <x:c r="I377" s="24" t="str">
        <x:v>sailor; mariner; deckhand</x:v>
      </x:c>
      <x:c r="J377" s="24" t="str">
        <x:v>Healing, production, knowledge, logistics, performance, economy, and noncombat problem solving.</x:v>
      </x:c>
      <x:c r="K377" s="24" t="str">
        <x:v>sailor; mariner; deckhand</x:v>
      </x:c>
      <x:c r="L377" s="24" t="str">
        <x:v>Preserve each source's ontology, culture, history, and terminology when making comparisons.</x:v>
      </x:c>
      <x:c r="M377" s="24" t="str">
        <x:v>Core Family</x:v>
      </x:c>
    </x:row>
    <x:row r="378" ht="44" customHeight="1">
      <x:c r="A378" s="24" t="str">
        <x:v>ROL-622</x:v>
      </x:c>
      <x:c r="B378" s="24" t="str">
        <x:v>Navigator</x:v>
      </x:c>
      <x:c r="C378" s="24" t="str">
        <x:v>Roles &amp; Vocations</x:v>
      </x:c>
      <x:c r="D378" s="24" t="str">
        <x:v>ROL-600</x:v>
      </x:c>
      <x:c r="E378" s="24" t="str">
        <x:f>IF(D378="","",IFERROR(VLOOKUP(D378,$A$2:$B$1656,2,FALSE),""))</x:f>
        <x:v>Healing, Craft, and Knowledge Roles</x:v>
      </x:c>
      <x:c r="F378" s="24" t="n">
        <x:v>3</x:v>
      </x:c>
      <x:c r="G378" s="24" t="str">
        <x:v>Specialist in routes, stars, currents, planes, portals, or dimensional travel.</x:v>
      </x:c>
      <x:c r="H378" s="24" t="str">
        <x:v>Do not assume identical training, social status, powers, or mechanics across settings.</x:v>
      </x:c>
      <x:c r="I378" s="24" t="str">
        <x:v>navigator; pilot; wayfinder</x:v>
      </x:c>
      <x:c r="J378" s="24" t="str">
        <x:v>Healing, production, knowledge, logistics, performance, economy, and noncombat problem solving.</x:v>
      </x:c>
      <x:c r="K378" s="24" t="str">
        <x:v>navigator; pilot; wayfinder</x:v>
      </x:c>
      <x:c r="L378" s="24" t="str">
        <x:v>Preserve each source's ontology, culture, history, and terminology when making comparisons.</x:v>
      </x:c>
      <x:c r="M378" s="24" t="str">
        <x:v>Core Family</x:v>
      </x:c>
    </x:row>
    <x:row r="379" ht="44" customHeight="1">
      <x:c r="A379" s="24" t="str">
        <x:v>ROL-623</x:v>
      </x:c>
      <x:c r="B379" s="24" t="str">
        <x:v>Cartographer</x:v>
      </x:c>
      <x:c r="C379" s="24" t="str">
        <x:v>Roles &amp; Vocations</x:v>
      </x:c>
      <x:c r="D379" s="24" t="str">
        <x:v>ROL-600</x:v>
      </x:c>
      <x:c r="E379" s="24" t="str">
        <x:f>IF(D379="","",IFERROR(VLOOKUP(D379,$A$2:$B$1656,2,FALSE),""))</x:f>
        <x:v>Healing, Craft, and Knowledge Roles</x:v>
      </x:c>
      <x:c r="F379" s="24" t="n">
        <x:v>3</x:v>
      </x:c>
      <x:c r="G379" s="24" t="str">
        <x:v>Maker and interpreter of maps, including magical, planar, political, and dungeon maps.</x:v>
      </x:c>
      <x:c r="H379" s="24" t="str">
        <x:v>Do not assume identical training, social status, powers, or mechanics across settings.</x:v>
      </x:c>
      <x:c r="I379" s="24" t="str">
        <x:v>cartographer; mapmaker</x:v>
      </x:c>
      <x:c r="J379" s="24" t="str">
        <x:v>Healing, production, knowledge, logistics, performance, economy, and noncombat problem solving.</x:v>
      </x:c>
      <x:c r="K379" s="24" t="str">
        <x:v>cartographer; mapmaker</x:v>
      </x:c>
      <x:c r="L379" s="24" t="str">
        <x:v>Preserve each source's ontology, culture, history, and terminology when making comparisons.</x:v>
      </x:c>
      <x:c r="M379" s="24" t="str">
        <x:v>Core Family</x:v>
      </x:c>
    </x:row>
    <x:row r="380" ht="44" customHeight="1">
      <x:c r="A380" s="24" t="str">
        <x:v>ROL-624</x:v>
      </x:c>
      <x:c r="B380" s="24" t="str">
        <x:v>Scholar</x:v>
      </x:c>
      <x:c r="C380" s="24" t="str">
        <x:v>Roles &amp; Vocations</x:v>
      </x:c>
      <x:c r="D380" s="24" t="str">
        <x:v>ROL-600</x:v>
      </x:c>
      <x:c r="E380" s="24" t="str">
        <x:f>IF(D380="","",IFERROR(VLOOKUP(D380,$A$2:$B$1656,2,FALSE),""))</x:f>
        <x:v>Healing, Craft, and Knowledge Roles</x:v>
      </x:c>
      <x:c r="F380" s="24" t="n">
        <x:v>3</x:v>
      </x:c>
      <x:c r="G380" s="24" t="str">
        <x:v>General researcher or learned professional whose authority rests on education and preserved knowledge.</x:v>
      </x:c>
      <x:c r="H380" s="24" t="str">
        <x:v>Do not assume identical training, social status, powers, or mechanics across settings.</x:v>
      </x:c>
      <x:c r="I380" s="24" t="str">
        <x:v>scholar; academic; learned person</x:v>
      </x:c>
      <x:c r="J380" s="24" t="str">
        <x:v>Healing, production, knowledge, logistics, performance, economy, and noncombat problem solving.</x:v>
      </x:c>
      <x:c r="K380" s="24" t="str">
        <x:v>scholar; academic; learned person</x:v>
      </x:c>
      <x:c r="L380" s="24" t="str">
        <x:v>Preserve each source's ontology, culture, history, and terminology when making comparisons.</x:v>
      </x:c>
      <x:c r="M380" s="24" t="str">
        <x:v>Core Family</x:v>
      </x:c>
    </x:row>
    <x:row r="381" ht="44" customHeight="1">
      <x:c r="A381" s="24" t="str">
        <x:v>ROL-625</x:v>
      </x:c>
      <x:c r="B381" s="24" t="str">
        <x:v>Historian</x:v>
      </x:c>
      <x:c r="C381" s="24" t="str">
        <x:v>Roles &amp; Vocations</x:v>
      </x:c>
      <x:c r="D381" s="24" t="str">
        <x:v>ROL-600</x:v>
      </x:c>
      <x:c r="E381" s="24" t="str">
        <x:f>IF(D381="","",IFERROR(VLOOKUP(D381,$A$2:$B$1656,2,FALSE),""))</x:f>
        <x:v>Healing, Craft, and Knowledge Roles</x:v>
      </x:c>
      <x:c r="F381" s="24" t="n">
        <x:v>3</x:v>
      </x:c>
      <x:c r="G381" s="24" t="str">
        <x:v>Specialist in past events, sources, chronology, institutions, and contested memory.</x:v>
      </x:c>
      <x:c r="H381" s="24" t="str">
        <x:v>Do not assume identical training, social status, powers, or mechanics across settings.</x:v>
      </x:c>
      <x:c r="I381" s="24" t="str">
        <x:v>historian; chronicler</x:v>
      </x:c>
      <x:c r="J381" s="24" t="str">
        <x:v>Healing, production, knowledge, logistics, performance, economy, and noncombat problem solving.</x:v>
      </x:c>
      <x:c r="K381" s="24" t="str">
        <x:v>historian; chronicler</x:v>
      </x:c>
      <x:c r="L381" s="24" t="str">
        <x:v>Preserve each source's ontology, culture, history, and terminology when making comparisons.</x:v>
      </x:c>
      <x:c r="M381" s="24" t="str">
        <x:v>Core Family</x:v>
      </x:c>
    </x:row>
    <x:row r="382" ht="44" customHeight="1">
      <x:c r="A382" s="24" t="str">
        <x:v>ROL-626</x:v>
      </x:c>
      <x:c r="B382" s="24" t="str">
        <x:v>Librarian and Archivist</x:v>
      </x:c>
      <x:c r="C382" s="24" t="str">
        <x:v>Roles &amp; Vocations</x:v>
      </x:c>
      <x:c r="D382" s="24" t="str">
        <x:v>ROL-600</x:v>
      </x:c>
      <x:c r="E382" s="24" t="str">
        <x:f>IF(D382="","",IFERROR(VLOOKUP(D382,$A$2:$B$1656,2,FALSE),""))</x:f>
        <x:v>Healing, Craft, and Knowledge Roles</x:v>
      </x:c>
      <x:c r="F382" s="24" t="n">
        <x:v>3</x:v>
      </x:c>
      <x:c r="G382" s="24" t="str">
        <x:v>Custodian of books, records, magical texts, memories, and restricted knowledge.</x:v>
      </x:c>
      <x:c r="H382" s="24" t="str">
        <x:v>Do not assume identical training, social status, powers, or mechanics across settings.</x:v>
      </x:c>
      <x:c r="I382" s="24" t="str">
        <x:v>librarian; archivist; keeper of tomes</x:v>
      </x:c>
      <x:c r="J382" s="24" t="str">
        <x:v>Healing, production, knowledge, logistics, performance, economy, and noncombat problem solving.</x:v>
      </x:c>
      <x:c r="K382" s="24" t="str">
        <x:v>librarian; archivist; keeper of tomes</x:v>
      </x:c>
      <x:c r="L382" s="24" t="str">
        <x:v>Preserve each source's ontology, culture, history, and terminology when making comparisons.</x:v>
      </x:c>
      <x:c r="M382" s="24" t="str">
        <x:v>Core Family</x:v>
      </x:c>
    </x:row>
    <x:row r="383" ht="44" customHeight="1">
      <x:c r="A383" s="24" t="str">
        <x:v>ROL-627</x:v>
      </x:c>
      <x:c r="B383" s="24" t="str">
        <x:v>Scribe</x:v>
      </x:c>
      <x:c r="C383" s="24" t="str">
        <x:v>Roles &amp; Vocations</x:v>
      </x:c>
      <x:c r="D383" s="24" t="str">
        <x:v>ROL-600</x:v>
      </x:c>
      <x:c r="E383" s="24" t="str">
        <x:f>IF(D383="","",IFERROR(VLOOKUP(D383,$A$2:$B$1656,2,FALSE),""))</x:f>
        <x:v>Healing, Craft, and Knowledge Roles</x:v>
      </x:c>
      <x:c r="F383" s="24" t="n">
        <x:v>3</x:v>
      </x:c>
      <x:c r="G383" s="24" t="str">
        <x:v>Professional writer, copyist, recorder, clerk, or producer of magical texts.</x:v>
      </x:c>
      <x:c r="H383" s="24" t="str">
        <x:v>Do not assume identical training, social status, powers, or mechanics across settings.</x:v>
      </x:c>
      <x:c r="I383" s="24" t="str">
        <x:v>scribe; copyist; clerk</x:v>
      </x:c>
      <x:c r="J383" s="24" t="str">
        <x:v>Healing, production, knowledge, logistics, performance, economy, and noncombat problem solving.</x:v>
      </x:c>
      <x:c r="K383" s="24" t="str">
        <x:v>scribe; copyist; clerk</x:v>
      </x:c>
      <x:c r="L383" s="24" t="str">
        <x:v>Preserve each source's ontology, culture, history, and terminology when making comparisons.</x:v>
      </x:c>
      <x:c r="M383" s="24" t="str">
        <x:v>Core Family</x:v>
      </x:c>
    </x:row>
    <x:row r="384" ht="44" customHeight="1">
      <x:c r="A384" s="24" t="str">
        <x:v>ROL-628</x:v>
      </x:c>
      <x:c r="B384" s="24" t="str">
        <x:v>Teacher and Mentor</x:v>
      </x:c>
      <x:c r="C384" s="24" t="str">
        <x:v>Roles &amp; Vocations</x:v>
      </x:c>
      <x:c r="D384" s="24" t="str">
        <x:v>ROL-600</x:v>
      </x:c>
      <x:c r="E384" s="24" t="str">
        <x:f>IF(D384="","",IFERROR(VLOOKUP(D384,$A$2:$B$1656,2,FALSE),""))</x:f>
        <x:v>Healing, Craft, and Knowledge Roles</x:v>
      </x:c>
      <x:c r="F384" s="24" t="n">
        <x:v>3</x:v>
      </x:c>
      <x:c r="G384" s="24" t="str">
        <x:v>Professional or institutional educator who transfers skill, knowledge, tradition, or magical discipline.</x:v>
      </x:c>
      <x:c r="H384" s="24" t="str">
        <x:v>Do not assume identical training, social status, powers, or mechanics across settings.</x:v>
      </x:c>
      <x:c r="I384" s="24" t="str">
        <x:v>teacher; tutor; instructor</x:v>
      </x:c>
      <x:c r="J384" s="24" t="str">
        <x:v>Healing, production, knowledge, logistics, performance, economy, and noncombat problem solving.</x:v>
      </x:c>
      <x:c r="K384" s="24" t="str">
        <x:v>teacher; tutor; instructor</x:v>
      </x:c>
      <x:c r="L384" s="24" t="str">
        <x:v>Preserve each source's ontology, culture, history, and terminology when making comparisons.</x:v>
      </x:c>
      <x:c r="M384" s="24" t="str">
        <x:v>Core Family</x:v>
      </x:c>
    </x:row>
    <x:row r="385" ht="44" customHeight="1">
      <x:c r="A385" s="24" t="str">
        <x:v>ROL-629</x:v>
      </x:c>
      <x:c r="B385" s="24" t="str">
        <x:v>Translator and Linguist</x:v>
      </x:c>
      <x:c r="C385" s="24" t="str">
        <x:v>Roles &amp; Vocations</x:v>
      </x:c>
      <x:c r="D385" s="24" t="str">
        <x:v>ROL-600</x:v>
      </x:c>
      <x:c r="E385" s="24" t="str">
        <x:f>IF(D385="","",IFERROR(VLOOKUP(D385,$A$2:$B$1656,2,FALSE),""))</x:f>
        <x:v>Healing, Craft, and Knowledge Roles</x:v>
      </x:c>
      <x:c r="F385" s="24" t="n">
        <x:v>3</x:v>
      </x:c>
      <x:c r="G385" s="24" t="str">
        <x:v>Specialist in languages, scripts, codes, ancient speech, and cross-cultural interpretation.</x:v>
      </x:c>
      <x:c r="H385" s="24" t="str">
        <x:v>Do not assume identical training, social status, powers, or mechanics across settings.</x:v>
      </x:c>
      <x:c r="I385" s="24" t="str">
        <x:v>translator; linguist; philologist</x:v>
      </x:c>
      <x:c r="J385" s="24" t="str">
        <x:v>Healing, production, knowledge, logistics, performance, economy, and noncombat problem solving.</x:v>
      </x:c>
      <x:c r="K385" s="24" t="str">
        <x:v>translator; linguist; philologist</x:v>
      </x:c>
      <x:c r="L385" s="24" t="str">
        <x:v>Preserve each source's ontology, culture, history, and terminology when making comparisons.</x:v>
      </x:c>
      <x:c r="M385" s="24" t="str">
        <x:v>Core Family</x:v>
      </x:c>
    </x:row>
    <x:row r="386" ht="44" customHeight="1">
      <x:c r="A386" s="24" t="str">
        <x:v>ROL-630</x:v>
      </x:c>
      <x:c r="B386" s="24" t="str">
        <x:v>Archaeologist and Relic Scholar</x:v>
      </x:c>
      <x:c r="C386" s="24" t="str">
        <x:v>Roles &amp; Vocations</x:v>
      </x:c>
      <x:c r="D386" s="24" t="str">
        <x:v>ROL-600</x:v>
      </x:c>
      <x:c r="E386" s="24" t="str">
        <x:f>IF(D386="","",IFERROR(VLOOKUP(D386,$A$2:$B$1656,2,FALSE),""))</x:f>
        <x:v>Healing, Craft, and Knowledge Roles</x:v>
      </x:c>
      <x:c r="F386" s="24" t="n">
        <x:v>3</x:v>
      </x:c>
      <x:c r="G386" s="24" t="str">
        <x:v>Investigator of ruins, material remains, lost civilizations, and dangerous artifacts.</x:v>
      </x:c>
      <x:c r="H386" s="24" t="str">
        <x:v>Do not assume identical training, social status, powers, or mechanics across settings.</x:v>
      </x:c>
      <x:c r="I386" s="24" t="str">
        <x:v>archaeologist; antiquarian; ruin scholar</x:v>
      </x:c>
      <x:c r="J386" s="24" t="str">
        <x:v>Healing, production, knowledge, logistics, performance, economy, and noncombat problem solving.</x:v>
      </x:c>
      <x:c r="K386" s="24" t="str">
        <x:v>archaeologist; antiquarian; ruin scholar</x:v>
      </x:c>
      <x:c r="L386" s="24" t="str">
        <x:v>Preserve each source's ontology, culture, history, and terminology when making comparisons.</x:v>
      </x:c>
      <x:c r="M386" s="24" t="str">
        <x:v>Core Family</x:v>
      </x:c>
    </x:row>
    <x:row r="387" ht="44" customHeight="1">
      <x:c r="A387" s="24" t="str">
        <x:v>ROL-631</x:v>
      </x:c>
      <x:c r="B387" s="24" t="str">
        <x:v>Merchant and Trader</x:v>
      </x:c>
      <x:c r="C387" s="24" t="str">
        <x:v>Roles &amp; Vocations</x:v>
      </x:c>
      <x:c r="D387" s="24" t="str">
        <x:v>ROL-600</x:v>
      </x:c>
      <x:c r="E387" s="24" t="str">
        <x:f>IF(D387="","",IFERROR(VLOOKUP(D387,$A$2:$B$1656,2,FALSE),""))</x:f>
        <x:v>Healing, Craft, and Knowledge Roles</x:v>
      </x:c>
      <x:c r="F387" s="24" t="n">
        <x:v>3</x:v>
      </x:c>
      <x:c r="G387" s="24" t="str">
        <x:v>Professional who exchanges goods, credit, information, transport, and social access.</x:v>
      </x:c>
      <x:c r="H387" s="24" t="str">
        <x:v>Do not assume identical training, social status, powers, or mechanics across settings.</x:v>
      </x:c>
      <x:c r="I387" s="24" t="str">
        <x:v>merchant; trader; factor</x:v>
      </x:c>
      <x:c r="J387" s="24" t="str">
        <x:v>Healing, production, knowledge, logistics, performance, economy, and noncombat problem solving.</x:v>
      </x:c>
      <x:c r="K387" s="24" t="str">
        <x:v>merchant; trader; factor</x:v>
      </x:c>
      <x:c r="L387" s="24" t="str">
        <x:v>Preserve each source's ontology, culture, history, and terminology when making comparisons.</x:v>
      </x:c>
      <x:c r="M387" s="24" t="str">
        <x:v>Core Family</x:v>
      </x:c>
    </x:row>
    <x:row r="388" ht="44" customHeight="1">
      <x:c r="A388" s="24" t="str">
        <x:v>ROL-632</x:v>
      </x:c>
      <x:c r="B388" s="24" t="str">
        <x:v>Caravaner</x:v>
      </x:c>
      <x:c r="C388" s="24" t="str">
        <x:v>Roles &amp; Vocations</x:v>
      </x:c>
      <x:c r="D388" s="24" t="str">
        <x:v>ROL-600</x:v>
      </x:c>
      <x:c r="E388" s="24" t="str">
        <x:f>IF(D388="","",IFERROR(VLOOKUP(D388,$A$2:$B$1656,2,FALSE),""))</x:f>
        <x:v>Healing, Craft, and Knowledge Roles</x:v>
      </x:c>
      <x:c r="F388" s="24" t="n">
        <x:v>3</x:v>
      </x:c>
      <x:c r="G388" s="24" t="str">
        <x:v>Merchant-traveler responsible for long-distance overland trade, security, animals, and route knowledge.</x:v>
      </x:c>
      <x:c r="H388" s="24" t="str">
        <x:v>Do not assume identical training, social status, powers, or mechanics across settings.</x:v>
      </x:c>
      <x:c r="I388" s="24" t="str">
        <x:v>caravaner; caravan master</x:v>
      </x:c>
      <x:c r="J388" s="24" t="str">
        <x:v>Healing, production, knowledge, logistics, performance, economy, and noncombat problem solving.</x:v>
      </x:c>
      <x:c r="K388" s="24" t="str">
        <x:v>caravaner; caravan master</x:v>
      </x:c>
      <x:c r="L388" s="24" t="str">
        <x:v>Preserve each source's ontology, culture, history, and terminology when making comparisons.</x:v>
      </x:c>
      <x:c r="M388" s="24" t="str">
        <x:v>Core Family</x:v>
      </x:c>
    </x:row>
    <x:row r="389" ht="44" customHeight="1">
      <x:c r="A389" s="24" t="str">
        <x:v>ROL-633</x:v>
      </x:c>
      <x:c r="B389" s="24" t="str">
        <x:v>Innkeeper and Host</x:v>
      </x:c>
      <x:c r="C389" s="24" t="str">
        <x:v>Roles &amp; Vocations</x:v>
      </x:c>
      <x:c r="D389" s="24" t="str">
        <x:v>ROL-600</x:v>
      </x:c>
      <x:c r="E389" s="24" t="str">
        <x:f>IF(D389="","",IFERROR(VLOOKUP(D389,$A$2:$B$1656,2,FALSE),""))</x:f>
        <x:v>Healing, Craft, and Knowledge Roles</x:v>
      </x:c>
      <x:c r="F389" s="24" t="n">
        <x:v>3</x:v>
      </x:c>
      <x:c r="G389" s="24" t="str">
        <x:v>Provider of lodging, food, rumors, social space, and logistical support for travelers.</x:v>
      </x:c>
      <x:c r="H389" s="24" t="str">
        <x:v>Do not assume identical training, social status, powers, or mechanics across settings.</x:v>
      </x:c>
      <x:c r="I389" s="24" t="str">
        <x:v>innkeeper; tavernkeeper; host</x:v>
      </x:c>
      <x:c r="J389" s="24" t="str">
        <x:v>Healing, production, knowledge, logistics, performance, economy, and noncombat problem solving.</x:v>
      </x:c>
      <x:c r="K389" s="24" t="str">
        <x:v>innkeeper; tavernkeeper; host</x:v>
      </x:c>
      <x:c r="L389" s="24" t="str">
        <x:v>Preserve each source's ontology, culture, history, and terminology when making comparisons.</x:v>
      </x:c>
      <x:c r="M389" s="24" t="str">
        <x:v>Core Family</x:v>
      </x:c>
    </x:row>
    <x:row r="390" ht="44" customHeight="1">
      <x:c r="A390" s="24" t="str">
        <x:v>ROL-634</x:v>
      </x:c>
      <x:c r="B390" s="24" t="str">
        <x:v>Diplomat and Ambassador</x:v>
      </x:c>
      <x:c r="C390" s="24" t="str">
        <x:v>Roles &amp; Vocations</x:v>
      </x:c>
      <x:c r="D390" s="24" t="str">
        <x:v>ROL-600</x:v>
      </x:c>
      <x:c r="E390" s="24" t="str">
        <x:f>IF(D390="","",IFERROR(VLOOKUP(D390,$A$2:$B$1656,2,FALSE),""))</x:f>
        <x:v>Healing, Craft, and Knowledge Roles</x:v>
      </x:c>
      <x:c r="F390" s="24" t="n">
        <x:v>3</x:v>
      </x:c>
      <x:c r="G390" s="24" t="str">
        <x:v>Representative who negotiates between polities, peoples, factions, or supernatural powers.</x:v>
      </x:c>
      <x:c r="H390" s="24" t="str">
        <x:v>Do not assume identical training, social status, powers, or mechanics across settings.</x:v>
      </x:c>
      <x:c r="I390" s="24" t="str">
        <x:v>diplomat; ambassador; envoy</x:v>
      </x:c>
      <x:c r="J390" s="24" t="str">
        <x:v>Healing, production, knowledge, logistics, performance, economy, and noncombat problem solving.</x:v>
      </x:c>
      <x:c r="K390" s="24" t="str">
        <x:v>diplomat; ambassador; envoy</x:v>
      </x:c>
      <x:c r="L390" s="24" t="str">
        <x:v>Preserve each source's ontology, culture, history, and terminology when making comparisons.</x:v>
      </x:c>
      <x:c r="M390" s="24" t="str">
        <x:v>Core Family</x:v>
      </x:c>
    </x:row>
    <x:row r="391" ht="44" customHeight="1">
      <x:c r="A391" s="24" t="str">
        <x:v>ROL-635</x:v>
      </x:c>
      <x:c r="B391" s="24" t="str">
        <x:v>Judge and Magistrate</x:v>
      </x:c>
      <x:c r="C391" s="24" t="str">
        <x:v>Roles &amp; Vocations</x:v>
      </x:c>
      <x:c r="D391" s="24" t="str">
        <x:v>ROL-600</x:v>
      </x:c>
      <x:c r="E391" s="24" t="str">
        <x:f>IF(D391="","",IFERROR(VLOOKUP(D391,$A$2:$B$1656,2,FALSE),""))</x:f>
        <x:v>Healing, Craft, and Knowledge Roles</x:v>
      </x:c>
      <x:c r="F391" s="24" t="n">
        <x:v>3</x:v>
      </x:c>
      <x:c r="G391" s="24" t="str">
        <x:v>Official who interprets law, resolves disputes, imposes sentences, and embodies institutional justice.</x:v>
      </x:c>
      <x:c r="H391" s="24" t="str">
        <x:v>Do not assume identical training, social status, powers, or mechanics across settings.</x:v>
      </x:c>
      <x:c r="I391" s="24" t="str">
        <x:v>judge; magistrate; arbiter</x:v>
      </x:c>
      <x:c r="J391" s="24" t="str">
        <x:v>Healing, production, knowledge, logistics, performance, economy, and noncombat problem solving.</x:v>
      </x:c>
      <x:c r="K391" s="24" t="str">
        <x:v>judge; magistrate; arbiter</x:v>
      </x:c>
      <x:c r="L391" s="24" t="str">
        <x:v>Preserve each source's ontology, culture, history, and terminology when making comparisons.</x:v>
      </x:c>
      <x:c r="M391" s="24" t="str">
        <x:v>Core Family</x:v>
      </x:c>
    </x:row>
    <x:row r="392" ht="44" customHeight="1">
      <x:c r="A392" s="24" t="str">
        <x:v>ROL-636</x:v>
      </x:c>
      <x:c r="B392" s="24" t="str">
        <x:v>Bureaucrat and Administrator</x:v>
      </x:c>
      <x:c r="C392" s="24" t="str">
        <x:v>Roles &amp; Vocations</x:v>
      </x:c>
      <x:c r="D392" s="24" t="str">
        <x:v>ROL-600</x:v>
      </x:c>
      <x:c r="E392" s="24" t="str">
        <x:f>IF(D392="","",IFERROR(VLOOKUP(D392,$A$2:$B$1656,2,FALSE),""))</x:f>
        <x:v>Healing, Craft, and Knowledge Roles</x:v>
      </x:c>
      <x:c r="F392" s="24" t="n">
        <x:v>3</x:v>
      </x:c>
      <x:c r="G392" s="24" t="str">
        <x:v>Official who manages records, taxes, permissions, logistics, and institutional continuity.</x:v>
      </x:c>
      <x:c r="H392" s="24" t="str">
        <x:v>Do not assume identical training, social status, powers, or mechanics across settings.</x:v>
      </x:c>
      <x:c r="I392" s="24" t="str">
        <x:v>bureaucrat; administrator; clerk</x:v>
      </x:c>
      <x:c r="J392" s="24" t="str">
        <x:v>Healing, production, knowledge, logistics, performance, economy, and noncombat problem solving.</x:v>
      </x:c>
      <x:c r="K392" s="24" t="str">
        <x:v>bureaucrat; administrator; clerk</x:v>
      </x:c>
      <x:c r="L392" s="24" t="str">
        <x:v>Preserve each source's ontology, culture, history, and terminology when making comparisons.</x:v>
      </x:c>
      <x:c r="M392" s="24" t="str">
        <x:v>Core Family</x:v>
      </x:c>
    </x:row>
    <x:row r="393" ht="44" customHeight="1">
      <x:c r="A393" s="24" t="str">
        <x:v>ROL-637</x:v>
      </x:c>
      <x:c r="B393" s="24" t="str">
        <x:v>Herald and Messenger</x:v>
      </x:c>
      <x:c r="C393" s="24" t="str">
        <x:v>Roles &amp; Vocations</x:v>
      </x:c>
      <x:c r="D393" s="24" t="str">
        <x:v>ROL-600</x:v>
      </x:c>
      <x:c r="E393" s="24" t="str">
        <x:f>IF(D393="","",IFERROR(VLOOKUP(D393,$A$2:$B$1656,2,FALSE),""))</x:f>
        <x:v>Healing, Craft, and Knowledge Roles</x:v>
      </x:c>
      <x:c r="F393" s="24" t="n">
        <x:v>3</x:v>
      </x:c>
      <x:c r="G393" s="24" t="str">
        <x:v>Official communicator who carries news, declarations, challenges, identity, and diplomatic status.</x:v>
      </x:c>
      <x:c r="H393" s="24" t="str">
        <x:v>Do not assume identical training, social status, powers, or mechanics across settings.</x:v>
      </x:c>
      <x:c r="I393" s="24" t="str">
        <x:v>herald; courier; messenger</x:v>
      </x:c>
      <x:c r="J393" s="24" t="str">
        <x:v>Healing, production, knowledge, logistics, performance, economy, and noncombat problem solving.</x:v>
      </x:c>
      <x:c r="K393" s="24" t="str">
        <x:v>herald; courier; messenger</x:v>
      </x:c>
      <x:c r="L393" s="24" t="str">
        <x:v>Preserve each source's ontology, culture, history, and terminology when making comparisons.</x:v>
      </x:c>
      <x:c r="M393" s="24" t="str">
        <x:v>Core Family</x:v>
      </x:c>
    </x:row>
    <x:row r="394" ht="44" customHeight="1">
      <x:c r="A394" s="24" t="str">
        <x:v>ROL-638</x:v>
      </x:c>
      <x:c r="B394" s="24" t="str">
        <x:v>Entertainer and Jester</x:v>
      </x:c>
      <x:c r="C394" s="24" t="str">
        <x:v>Roles &amp; Vocations</x:v>
      </x:c>
      <x:c r="D394" s="24" t="str">
        <x:v>ROL-600</x:v>
      </x:c>
      <x:c r="E394" s="24" t="str">
        <x:f>IF(D394="","",IFERROR(VLOOKUP(D394,$A$2:$B$1656,2,FALSE),""))</x:f>
        <x:v>Healing, Craft, and Knowledge Roles</x:v>
      </x:c>
      <x:c r="F394" s="24" t="n">
        <x:v>3</x:v>
      </x:c>
      <x:c r="G394" s="24" t="str">
        <x:v>Performer who provides amusement, satire, social commentary, disguise, or courtly license.</x:v>
      </x:c>
      <x:c r="H394" s="24" t="str">
        <x:v>Do not assume identical training, social status, powers, or mechanics across settings.</x:v>
      </x:c>
      <x:c r="I394" s="24" t="str">
        <x:v>jester; entertainer; fool</x:v>
      </x:c>
      <x:c r="J394" s="24" t="str">
        <x:v>Healing, production, knowledge, logistics, performance, economy, and noncombat problem solving.</x:v>
      </x:c>
      <x:c r="K394" s="24" t="str">
        <x:v>jester; entertainer; fool</x:v>
      </x:c>
      <x:c r="L394" s="24" t="str">
        <x:v>Preserve each source's ontology, culture, history, and terminology when making comparisons.</x:v>
      </x:c>
      <x:c r="M394" s="24" t="str">
        <x:v>Core Family</x:v>
      </x:c>
    </x:row>
    <x:row r="395" ht="44" customHeight="1">
      <x:c r="A395" s="24" t="str">
        <x:v>ROL-639</x:v>
      </x:c>
      <x:c r="B395" s="24" t="str">
        <x:v>Crafting Generalist</x:v>
      </x:c>
      <x:c r="C395" s="24" t="str">
        <x:v>Roles &amp; Vocations</x:v>
      </x:c>
      <x:c r="D395" s="24" t="str">
        <x:v>ROL-600</x:v>
      </x:c>
      <x:c r="E395" s="24" t="str">
        <x:f>IF(D395="","",IFERROR(VLOOKUP(D395,$A$2:$B$1656,2,FALSE),""))</x:f>
        <x:v>Healing, Craft, and Knowledge Roles</x:v>
      </x:c>
      <x:c r="F395" s="24" t="n">
        <x:v>3</x:v>
      </x:c>
      <x:c r="G395" s="24" t="str">
        <x:v>Game or setting role that combines multiple production skills rather than a single trade.</x:v>
      </x:c>
      <x:c r="H395" s="24" t="str">
        <x:v>Do not assume identical training, social status, powers, or mechanics across settings.</x:v>
      </x:c>
      <x:c r="I395" s="24" t="str">
        <x:v>crafter; artisan; maker</x:v>
      </x:c>
      <x:c r="J395" s="24" t="str">
        <x:v>Healing, production, knowledge, logistics, performance, economy, and noncombat problem solving.</x:v>
      </x:c>
      <x:c r="K395" s="24" t="str">
        <x:v>crafter; artisan; maker</x:v>
      </x:c>
      <x:c r="L395" s="24" t="str">
        <x:v>Preserve each source's ontology, culture, history, and terminology when making comparisons.</x:v>
      </x:c>
      <x:c r="M395" s="24" t="str">
        <x:v>Core Family</x:v>
      </x:c>
    </x:row>
    <x:row r="396" ht="44" customHeight="1">
      <x:c r="A396" s="24" t="str">
        <x:v>ROL-640</x:v>
      </x:c>
      <x:c r="B396" s="24" t="str">
        <x:v>Gatherer and Prospector</x:v>
      </x:c>
      <x:c r="C396" s="24" t="str">
        <x:v>Roles &amp; Vocations</x:v>
      </x:c>
      <x:c r="D396" s="24" t="str">
        <x:v>ROL-600</x:v>
      </x:c>
      <x:c r="E396" s="24" t="str">
        <x:f>IF(D396="","",IFERROR(VLOOKUP(D396,$A$2:$B$1656,2,FALSE),""))</x:f>
        <x:v>Healing, Craft, and Knowledge Roles</x:v>
      </x:c>
      <x:c r="F396" s="24" t="n">
        <x:v>3</x:v>
      </x:c>
      <x:c r="G396" s="24" t="str">
        <x:v>Game-coded noncombat role focused on collecting raw resources from the environment.</x:v>
      </x:c>
      <x:c r="H396" s="24" t="str">
        <x:v>Do not assume identical training, social status, powers, or mechanics across settings.</x:v>
      </x:c>
      <x:c r="I396" s="24" t="str">
        <x:v>gatherer; miner; botanist; fisher</x:v>
      </x:c>
      <x:c r="J396" s="24" t="str">
        <x:v>Healing, production, knowledge, logistics, performance, economy, and noncombat problem solving.</x:v>
      </x:c>
      <x:c r="K396" s="24" t="str">
        <x:v>gatherer; miner; botanist; fisher</x:v>
      </x:c>
      <x:c r="L396" s="24" t="str">
        <x:v>Preserve each source's ontology, culture, history, and terminology when making comparisons.</x:v>
      </x:c>
      <x:c r="M396" s="24" t="str">
        <x:v>Core Family</x:v>
      </x:c>
    </x:row>
    <x:row r="397" ht="44" customHeight="1">
      <x:c r="A397" s="24" t="str">
        <x:v>ROL-701</x:v>
      </x:c>
      <x:c r="B397" s="24" t="str">
        <x:v>Monarch</x:v>
      </x:c>
      <x:c r="C397" s="24" t="str">
        <x:v>Roles &amp; Vocations</x:v>
      </x:c>
      <x:c r="D397" s="24" t="str">
        <x:v>ROL-700</x:v>
      </x:c>
      <x:c r="E397" s="24" t="str">
        <x:f>IF(D397="","",IFERROR(VLOOKUP(D397,$A$2:$B$1656,2,FALSE),""))</x:f>
        <x:v>Leadership and Social Office Roles</x:v>
      </x:c>
      <x:c r="F397" s="24" t="n">
        <x:v>3</x:v>
      </x:c>
      <x:c r="G397" s="24" t="str">
        <x:v>Sovereign ruler whose authority derives from dynasty, conquest, divine sanction, law, or symbolic unity.</x:v>
      </x:c>
      <x:c r="H397" s="24" t="str">
        <x:v>Do not assume identical training, social status, powers, or mechanics across settings.</x:v>
      </x:c>
      <x:c r="I397" s="24" t="str">
        <x:v>king; queen; emperor; empress</x:v>
      </x:c>
      <x:c r="J397" s="24" t="str">
        <x:v>Governance, succession, command, legitimacy, diplomacy, administration, and patronage.</x:v>
      </x:c>
      <x:c r="K397" s="24" t="str">
        <x:v>king; queen; emperor; empress</x:v>
      </x:c>
      <x:c r="L397" s="24" t="str">
        <x:v>Preserve each source's ontology, culture, history, and terminology when making comparisons.</x:v>
      </x:c>
      <x:c r="M397" s="24" t="str">
        <x:v>Core Family</x:v>
      </x:c>
    </x:row>
    <x:row r="398" ht="44" customHeight="1">
      <x:c r="A398" s="24" t="str">
        <x:v>ROL-702</x:v>
      </x:c>
      <x:c r="B398" s="24" t="str">
        <x:v>Prince, Princess, and Royal Heir</x:v>
      </x:c>
      <x:c r="C398" s="24" t="str">
        <x:v>Roles &amp; Vocations</x:v>
      </x:c>
      <x:c r="D398" s="24" t="str">
        <x:v>ROL-700</x:v>
      </x:c>
      <x:c r="E398" s="24" t="str">
        <x:f>IF(D398="","",IFERROR(VLOOKUP(D398,$A$2:$B$1656,2,FALSE),""))</x:f>
        <x:v>Leadership and Social Office Roles</x:v>
      </x:c>
      <x:c r="F398" s="24" t="n">
        <x:v>3</x:v>
      </x:c>
      <x:c r="G398" s="24" t="str">
        <x:v>Dynastic figure defined by succession, bloodline, court politics, and potential sovereignty.</x:v>
      </x:c>
      <x:c r="H398" s="24" t="str">
        <x:v>Do not assume identical training, social status, powers, or mechanics across settings.</x:v>
      </x:c>
      <x:c r="I398" s="24" t="str">
        <x:v>prince; princess; heir; crown prince</x:v>
      </x:c>
      <x:c r="J398" s="24" t="str">
        <x:v>Governance, succession, command, legitimacy, diplomacy, administration, and patronage.</x:v>
      </x:c>
      <x:c r="K398" s="24" t="str">
        <x:v>prince; princess; heir; crown prince</x:v>
      </x:c>
      <x:c r="L398" s="24" t="str">
        <x:v>Preserve each source's ontology, culture, history, and terminology when making comparisons.</x:v>
      </x:c>
      <x:c r="M398" s="24" t="str">
        <x:v>Core Family</x:v>
      </x:c>
    </x:row>
    <x:row r="399" ht="44" customHeight="1">
      <x:c r="A399" s="24" t="str">
        <x:v>ROL-703</x:v>
      </x:c>
      <x:c r="B399" s="24" t="str">
        <x:v>Noble</x:v>
      </x:c>
      <x:c r="C399" s="24" t="str">
        <x:v>Roles &amp; Vocations</x:v>
      </x:c>
      <x:c r="D399" s="24" t="str">
        <x:v>ROL-700</x:v>
      </x:c>
      <x:c r="E399" s="24" t="str">
        <x:f>IF(D399="","",IFERROR(VLOOKUP(D399,$A$2:$B$1656,2,FALSE),""))</x:f>
        <x:v>Leadership and Social Office Roles</x:v>
      </x:c>
      <x:c r="F399" s="24" t="n">
        <x:v>3</x:v>
      </x:c>
      <x:c r="G399" s="24" t="str">
        <x:v>Member of a privileged hereditary or granted status group with land, office, retainers, or legal distinction.</x:v>
      </x:c>
      <x:c r="H399" s="24" t="str">
        <x:v>Do not assume identical training, social status, powers, or mechanics across settings.</x:v>
      </x:c>
      <x:c r="I399" s="24" t="str">
        <x:v>lord; lady; aristocrat; peer</x:v>
      </x:c>
      <x:c r="J399" s="24" t="str">
        <x:v>Governance, succession, command, legitimacy, diplomacy, administration, and patronage.</x:v>
      </x:c>
      <x:c r="K399" s="24" t="str">
        <x:v>lord; lady; aristocrat; peer</x:v>
      </x:c>
      <x:c r="L399" s="24" t="str">
        <x:v>Preserve each source's ontology, culture, history, and terminology when making comparisons.</x:v>
      </x:c>
      <x:c r="M399" s="24" t="str">
        <x:v>Core Family</x:v>
      </x:c>
    </x:row>
    <x:row r="400" ht="44" customHeight="1">
      <x:c r="A400" s="24" t="str">
        <x:v>ROL-704</x:v>
      </x:c>
      <x:c r="B400" s="24" t="str">
        <x:v>Chieftain</x:v>
      </x:c>
      <x:c r="C400" s="24" t="str">
        <x:v>Roles &amp; Vocations</x:v>
      </x:c>
      <x:c r="D400" s="24" t="str">
        <x:v>ROL-700</x:v>
      </x:c>
      <x:c r="E400" s="24" t="str">
        <x:f>IF(D400="","",IFERROR(VLOOKUP(D400,$A$2:$B$1656,2,FALSE),""))</x:f>
        <x:v>Leadership and Social Office Roles</x:v>
      </x:c>
      <x:c r="F400" s="24" t="n">
        <x:v>3</x:v>
      </x:c>
      <x:c r="G400" s="24" t="str">
        <x:v>Leader of a tribe, clan, warband, or kin group whose authority rests on lineage, consensus, prowess, or custom.</x:v>
      </x:c>
      <x:c r="H400" s="24" t="str">
        <x:v>Do not assume identical training, social status, powers, or mechanics across settings.</x:v>
      </x:c>
      <x:c r="I400" s="24" t="str">
        <x:v>chieftain; chief; war chief</x:v>
      </x:c>
      <x:c r="J400" s="24" t="str">
        <x:v>Governance, succession, command, legitimacy, diplomacy, administration, and patronage.</x:v>
      </x:c>
      <x:c r="K400" s="24" t="str">
        <x:v>chieftain; chief; war chief</x:v>
      </x:c>
      <x:c r="L400" s="24" t="str">
        <x:v>Preserve each source's ontology, culture, history, and terminology when making comparisons.</x:v>
      </x:c>
      <x:c r="M400" s="24" t="str">
        <x:v>Core Family</x:v>
      </x:c>
    </x:row>
    <x:row r="401" ht="44" customHeight="1">
      <x:c r="A401" s="24" t="str">
        <x:v>ROL-705</x:v>
      </x:c>
      <x:c r="B401" s="24" t="str">
        <x:v>Clan Leader</x:v>
      </x:c>
      <x:c r="C401" s="24" t="str">
        <x:v>Roles &amp; Vocations</x:v>
      </x:c>
      <x:c r="D401" s="24" t="str">
        <x:v>ROL-700</x:v>
      </x:c>
      <x:c r="E401" s="24" t="str">
        <x:f>IF(D401="","",IFERROR(VLOOKUP(D401,$A$2:$B$1656,2,FALSE),""))</x:f>
        <x:v>Leadership and Social Office Roles</x:v>
      </x:c>
      <x:c r="F401" s="24" t="n">
        <x:v>3</x:v>
      </x:c>
      <x:c r="G401" s="24" t="str">
        <x:v>Head of an extended kinship group, house, lineage, or martial family.</x:v>
      </x:c>
      <x:c r="H401" s="24" t="str">
        <x:v>Do not assume identical training, social status, powers, or mechanics across settings.</x:v>
      </x:c>
      <x:c r="I401" s="24" t="str">
        <x:v>clan head; patriarch; matriarch</x:v>
      </x:c>
      <x:c r="J401" s="24" t="str">
        <x:v>Governance, succession, command, legitimacy, diplomacy, administration, and patronage.</x:v>
      </x:c>
      <x:c r="K401" s="24" t="str">
        <x:v>clan head; patriarch; matriarch</x:v>
      </x:c>
      <x:c r="L401" s="24" t="str">
        <x:v>Preserve each source's ontology, culture, history, and terminology when making comparisons.</x:v>
      </x:c>
      <x:c r="M401" s="24" t="str">
        <x:v>Core Family</x:v>
      </x:c>
    </x:row>
    <x:row r="402" ht="44" customHeight="1">
      <x:c r="A402" s="24" t="str">
        <x:v>ROL-706</x:v>
      </x:c>
      <x:c r="B402" s="24" t="str">
        <x:v>Guildmaster</x:v>
      </x:c>
      <x:c r="C402" s="24" t="str">
        <x:v>Roles &amp; Vocations</x:v>
      </x:c>
      <x:c r="D402" s="24" t="str">
        <x:v>ROL-700</x:v>
      </x:c>
      <x:c r="E402" s="24" t="str">
        <x:f>IF(D402="","",IFERROR(VLOOKUP(D402,$A$2:$B$1656,2,FALSE),""))</x:f>
        <x:v>Leadership and Social Office Roles</x:v>
      </x:c>
      <x:c r="F402" s="24" t="n">
        <x:v>3</x:v>
      </x:c>
      <x:c r="G402" s="24" t="str">
        <x:v>Leader or senior officer of a professional, criminal, magical, mercantile, or adventuring guild.</x:v>
      </x:c>
      <x:c r="H402" s="24" t="str">
        <x:v>Do not assume identical training, social status, powers, or mechanics across settings.</x:v>
      </x:c>
      <x:c r="I402" s="24" t="str">
        <x:v>guildmaster; guild leader</x:v>
      </x:c>
      <x:c r="J402" s="24" t="str">
        <x:v>Governance, succession, command, legitimacy, diplomacy, administration, and patronage.</x:v>
      </x:c>
      <x:c r="K402" s="24" t="str">
        <x:v>guildmaster; guild leader</x:v>
      </x:c>
      <x:c r="L402" s="24" t="str">
        <x:v>Preserve each source's ontology, culture, history, and terminology when making comparisons.</x:v>
      </x:c>
      <x:c r="M402" s="24" t="str">
        <x:v>Core Family</x:v>
      </x:c>
    </x:row>
    <x:row r="403" ht="44" customHeight="1">
      <x:c r="A403" s="24" t="str">
        <x:v>ROL-707</x:v>
      </x:c>
      <x:c r="B403" s="24" t="str">
        <x:v>Steward</x:v>
      </x:c>
      <x:c r="C403" s="24" t="str">
        <x:v>Roles &amp; Vocations</x:v>
      </x:c>
      <x:c r="D403" s="24" t="str">
        <x:v>ROL-700</x:v>
      </x:c>
      <x:c r="E403" s="24" t="str">
        <x:f>IF(D403="","",IFERROR(VLOOKUP(D403,$A$2:$B$1656,2,FALSE),""))</x:f>
        <x:v>Leadership and Social Office Roles</x:v>
      </x:c>
      <x:c r="F403" s="24" t="n">
        <x:v>3</x:v>
      </x:c>
      <x:c r="G403" s="24" t="str">
        <x:v>Administrator who governs property, household, city, or realm on behalf of another authority.</x:v>
      </x:c>
      <x:c r="H403" s="24" t="str">
        <x:v>Do not assume identical training, social status, powers, or mechanics across settings.</x:v>
      </x:c>
      <x:c r="I403" s="24" t="str">
        <x:v>steward; seneschal; castellan</x:v>
      </x:c>
      <x:c r="J403" s="24" t="str">
        <x:v>Governance, succession, command, legitimacy, diplomacy, administration, and patronage.</x:v>
      </x:c>
      <x:c r="K403" s="24" t="str">
        <x:v>steward; seneschal; castellan</x:v>
      </x:c>
      <x:c r="L403" s="24" t="str">
        <x:v>Preserve each source's ontology, culture, history, and terminology when making comparisons.</x:v>
      </x:c>
      <x:c r="M403" s="24" t="str">
        <x:v>Core Family</x:v>
      </x:c>
    </x:row>
    <x:row r="404" ht="44" customHeight="1">
      <x:c r="A404" s="24" t="str">
        <x:v>ROL-708</x:v>
      </x:c>
      <x:c r="B404" s="24" t="str">
        <x:v>Regent</x:v>
      </x:c>
      <x:c r="C404" s="24" t="str">
        <x:v>Roles &amp; Vocations</x:v>
      </x:c>
      <x:c r="D404" s="24" t="str">
        <x:v>ROL-700</x:v>
      </x:c>
      <x:c r="E404" s="24" t="str">
        <x:f>IF(D404="","",IFERROR(VLOOKUP(D404,$A$2:$B$1656,2,FALSE),""))</x:f>
        <x:v>Leadership and Social Office Roles</x:v>
      </x:c>
      <x:c r="F404" s="24" t="n">
        <x:v>3</x:v>
      </x:c>
      <x:c r="G404" s="24" t="str">
        <x:v>Temporary ruler acting for an absent, underage, incapacitated, or disputed sovereign.</x:v>
      </x:c>
      <x:c r="H404" s="24" t="str">
        <x:v>Do not assume identical training, social status, powers, or mechanics across settings.</x:v>
      </x:c>
      <x:c r="I404" s="24" t="str">
        <x:v>regent; protector</x:v>
      </x:c>
      <x:c r="J404" s="24" t="str">
        <x:v>Governance, succession, command, legitimacy, diplomacy, administration, and patronage.</x:v>
      </x:c>
      <x:c r="K404" s="24" t="str">
        <x:v>regent; protector</x:v>
      </x:c>
      <x:c r="L404" s="24" t="str">
        <x:v>Preserve each source's ontology, culture, history, and terminology when making comparisons.</x:v>
      </x:c>
      <x:c r="M404" s="24" t="str">
        <x:v>Core Family</x:v>
      </x:c>
    </x:row>
    <x:row r="405" ht="44" customHeight="1">
      <x:c r="A405" s="24" t="str">
        <x:v>ROL-709</x:v>
      </x:c>
      <x:c r="B405" s="24" t="str">
        <x:v>Captain</x:v>
      </x:c>
      <x:c r="C405" s="24" t="str">
        <x:v>Roles &amp; Vocations</x:v>
      </x:c>
      <x:c r="D405" s="24" t="str">
        <x:v>ROL-700</x:v>
      </x:c>
      <x:c r="E405" s="24" t="str">
        <x:f>IF(D405="","",IFERROR(VLOOKUP(D405,$A$2:$B$1656,2,FALSE),""))</x:f>
        <x:v>Leadership and Social Office Roles</x:v>
      </x:c>
      <x:c r="F405" s="24" t="n">
        <x:v>3</x:v>
      </x:c>
      <x:c r="G405" s="24" t="str">
        <x:v>Mid-level leader of a ship, guard unit, mercenary band, adventuring group, or military company.</x:v>
      </x:c>
      <x:c r="H405" s="24" t="str">
        <x:v>Do not assume identical training, social status, powers, or mechanics across settings.</x:v>
      </x:c>
      <x:c r="I405" s="24" t="str">
        <x:v>captain; company commander</x:v>
      </x:c>
      <x:c r="J405" s="24" t="str">
        <x:v>Governance, succession, command, legitimacy, diplomacy, administration, and patronage.</x:v>
      </x:c>
      <x:c r="K405" s="24" t="str">
        <x:v>captain; company commander</x:v>
      </x:c>
      <x:c r="L405" s="24" t="str">
        <x:v>Preserve each source's ontology, culture, history, and terminology when making comparisons.</x:v>
      </x:c>
      <x:c r="M405" s="24" t="str">
        <x:v>Core Family</x:v>
      </x:c>
    </x:row>
    <x:row r="406" ht="44" customHeight="1">
      <x:c r="A406" s="24" t="str">
        <x:v>ROL-710</x:v>
      </x:c>
      <x:c r="B406" s="24" t="str">
        <x:v>General and Marshal</x:v>
      </x:c>
      <x:c r="C406" s="24" t="str">
        <x:v>Roles &amp; Vocations</x:v>
      </x:c>
      <x:c r="D406" s="24" t="str">
        <x:v>ROL-700</x:v>
      </x:c>
      <x:c r="E406" s="24" t="str">
        <x:f>IF(D406="","",IFERROR(VLOOKUP(D406,$A$2:$B$1656,2,FALSE),""))</x:f>
        <x:v>Leadership and Social Office Roles</x:v>
      </x:c>
      <x:c r="F406" s="24" t="n">
        <x:v>3</x:v>
      </x:c>
      <x:c r="G406" s="24" t="str">
        <x:v>Senior military commander responsible for armies, theaters, strategy, and political-military coordination.</x:v>
      </x:c>
      <x:c r="H406" s="24" t="str">
        <x:v>Do not assume identical training, social status, powers, or mechanics across settings.</x:v>
      </x:c>
      <x:c r="I406" s="24" t="str">
        <x:v>general; marshal; war leader</x:v>
      </x:c>
      <x:c r="J406" s="24" t="str">
        <x:v>Governance, succession, command, legitimacy, diplomacy, administration, and patronage.</x:v>
      </x:c>
      <x:c r="K406" s="24" t="str">
        <x:v>general; marshal; war leader</x:v>
      </x:c>
      <x:c r="L406" s="24" t="str">
        <x:v>Preserve each source's ontology, culture, history, and terminology when making comparisons.</x:v>
      </x:c>
      <x:c r="M406" s="24" t="str">
        <x:v>Core Family</x:v>
      </x:c>
    </x:row>
    <x:row r="407" ht="44" customHeight="1">
      <x:c r="A407" s="24" t="str">
        <x:v>ROL-711</x:v>
      </x:c>
      <x:c r="B407" s="24" t="str">
        <x:v>Courtier</x:v>
      </x:c>
      <x:c r="C407" s="24" t="str">
        <x:v>Roles &amp; Vocations</x:v>
      </x:c>
      <x:c r="D407" s="24" t="str">
        <x:v>ROL-700</x:v>
      </x:c>
      <x:c r="E407" s="24" t="str">
        <x:f>IF(D407="","",IFERROR(VLOOKUP(D407,$A$2:$B$1656,2,FALSE),""))</x:f>
        <x:v>Leadership and Social Office Roles</x:v>
      </x:c>
      <x:c r="F407" s="24" t="n">
        <x:v>3</x:v>
      </x:c>
      <x:c r="G407" s="24" t="str">
        <x:v>Participant in elite court society whose influence depends on etiquette, patronage, access, and reputation.</x:v>
      </x:c>
      <x:c r="H407" s="24" t="str">
        <x:v>Do not assume identical training, social status, powers, or mechanics across settings.</x:v>
      </x:c>
      <x:c r="I407" s="24" t="str">
        <x:v>courtier; favorite; chamberlain</x:v>
      </x:c>
      <x:c r="J407" s="24" t="str">
        <x:v>Governance, succession, command, legitimacy, diplomacy, administration, and patronage.</x:v>
      </x:c>
      <x:c r="K407" s="24" t="str">
        <x:v>courtier; favorite; chamberlain</x:v>
      </x:c>
      <x:c r="L407" s="24" t="str">
        <x:v>Preserve each source's ontology, culture, history, and terminology when making comparisons.</x:v>
      </x:c>
      <x:c r="M407" s="24" t="str">
        <x:v>Core Family</x:v>
      </x:c>
    </x:row>
    <x:row r="408" ht="44" customHeight="1">
      <x:c r="A408" s="24" t="str">
        <x:v>ROL-712</x:v>
      </x:c>
      <x:c r="B408" s="24" t="str">
        <x:v>Adviser and Counselor</x:v>
      </x:c>
      <x:c r="C408" s="24" t="str">
        <x:v>Roles &amp; Vocations</x:v>
      </x:c>
      <x:c r="D408" s="24" t="str">
        <x:v>ROL-700</x:v>
      </x:c>
      <x:c r="E408" s="24" t="str">
        <x:f>IF(D408="","",IFERROR(VLOOKUP(D408,$A$2:$B$1656,2,FALSE),""))</x:f>
        <x:v>Leadership and Social Office Roles</x:v>
      </x:c>
      <x:c r="F408" s="24" t="n">
        <x:v>3</x:v>
      </x:c>
      <x:c r="G408" s="24" t="str">
        <x:v>Trusted specialist who shapes decisions through knowledge, strategy, morality, prophecy, or political judgment.</x:v>
      </x:c>
      <x:c r="H408" s="24" t="str">
        <x:v>Do not assume identical training, social status, powers, or mechanics across settings.</x:v>
      </x:c>
      <x:c r="I408" s="24" t="str">
        <x:v>adviser; counselor; vizier</x:v>
      </x:c>
      <x:c r="J408" s="24" t="str">
        <x:v>Governance, succession, command, legitimacy, diplomacy, administration, and patronage.</x:v>
      </x:c>
      <x:c r="K408" s="24" t="str">
        <x:v>adviser; counselor; vizier</x:v>
      </x:c>
      <x:c r="L408" s="24" t="str">
        <x:v>Preserve each source's ontology, culture, history, and terminology when making comparisons.</x:v>
      </x:c>
      <x:c r="M408" s="24" t="str">
        <x:v>Core Family</x:v>
      </x:c>
    </x:row>
    <x:row r="409" ht="44" customHeight="1">
      <x:c r="A409" s="24" t="str">
        <x:v>ROL-713</x:v>
      </x:c>
      <x:c r="B409" s="24" t="str">
        <x:v>Spymaster</x:v>
      </x:c>
      <x:c r="C409" s="24" t="str">
        <x:v>Roles &amp; Vocations</x:v>
      </x:c>
      <x:c r="D409" s="24" t="str">
        <x:v>ROL-700</x:v>
      </x:c>
      <x:c r="E409" s="24" t="str">
        <x:f>IF(D409="","",IFERROR(VLOOKUP(D409,$A$2:$B$1656,2,FALSE),""))</x:f>
        <x:v>Leadership and Social Office Roles</x:v>
      </x:c>
      <x:c r="F409" s="24" t="n">
        <x:v>3</x:v>
      </x:c>
      <x:c r="G409" s="24" t="str">
        <x:v>Leader of intelligence networks, covert agents, counterintelligence, and secret policy.</x:v>
      </x:c>
      <x:c r="H409" s="24" t="str">
        <x:v>Do not assume identical training, social status, powers, or mechanics across settings.</x:v>
      </x:c>
      <x:c r="I409" s="24" t="str">
        <x:v>spymaster; master of whispers</x:v>
      </x:c>
      <x:c r="J409" s="24" t="str">
        <x:v>Governance, succession, command, legitimacy, diplomacy, administration, and patronage.</x:v>
      </x:c>
      <x:c r="K409" s="24" t="str">
        <x:v>spymaster; master of whispers</x:v>
      </x:c>
      <x:c r="L409" s="24" t="str">
        <x:v>Preserve each source's ontology, culture, history, and terminology when making comparisons.</x:v>
      </x:c>
      <x:c r="M409" s="24" t="str">
        <x:v>Core Family</x:v>
      </x:c>
    </x:row>
    <x:row r="410" ht="44" customHeight="1">
      <x:c r="A410" s="24" t="str">
        <x:v>ROL-714</x:v>
      </x:c>
      <x:c r="B410" s="24" t="str">
        <x:v>Priest-King</x:v>
      </x:c>
      <x:c r="C410" s="24" t="str">
        <x:v>Roles &amp; Vocations</x:v>
      </x:c>
      <x:c r="D410" s="24" t="str">
        <x:v>ROL-700</x:v>
      </x:c>
      <x:c r="E410" s="24" t="str">
        <x:f>IF(D410="","",IFERROR(VLOOKUP(D410,$A$2:$B$1656,2,FALSE),""))</x:f>
        <x:v>Leadership and Social Office Roles</x:v>
      </x:c>
      <x:c r="F410" s="24" t="n">
        <x:v>3</x:v>
      </x:c>
      <x:c r="G410" s="24" t="str">
        <x:v>Sovereign who combines political rule with supreme sacred office or divine identity.</x:v>
      </x:c>
      <x:c r="H410" s="24" t="str">
        <x:v>Do not assume identical training, social status, powers, or mechanics across settings.</x:v>
      </x:c>
      <x:c r="I410" s="24" t="str">
        <x:v>priest-king; sacred ruler; god-king</x:v>
      </x:c>
      <x:c r="J410" s="24" t="str">
        <x:v>Governance, succession, command, legitimacy, diplomacy, administration, and patronage.</x:v>
      </x:c>
      <x:c r="K410" s="24" t="str">
        <x:v>priest-king; sacred ruler; god-king</x:v>
      </x:c>
      <x:c r="L410" s="24" t="str">
        <x:v>Preserve each source's ontology, culture, history, and terminology when making comparisons.</x:v>
      </x:c>
      <x:c r="M410" s="24" t="str">
        <x:v>Core Family</x:v>
      </x:c>
    </x:row>
    <x:row r="411" ht="44" customHeight="1">
      <x:c r="A411" s="24" t="str">
        <x:v>ROL-715</x:v>
      </x:c>
      <x:c r="B411" s="24" t="str">
        <x:v>Mage-King</x:v>
      </x:c>
      <x:c r="C411" s="24" t="str">
        <x:v>Roles &amp; Vocations</x:v>
      </x:c>
      <x:c r="D411" s="24" t="str">
        <x:v>ROL-700</x:v>
      </x:c>
      <x:c r="E411" s="24" t="str">
        <x:f>IF(D411="","",IFERROR(VLOOKUP(D411,$A$2:$B$1656,2,FALSE),""))</x:f>
        <x:v>Leadership and Social Office Roles</x:v>
      </x:c>
      <x:c r="F411" s="24" t="n">
        <x:v>3</x:v>
      </x:c>
      <x:c r="G411" s="24" t="str">
        <x:v>Ruler whose legitimacy and coercive power rest primarily on magical mastery.</x:v>
      </x:c>
      <x:c r="H411" s="24" t="str">
        <x:v>Do not assume identical training, social status, powers, or mechanics across settings.</x:v>
      </x:c>
      <x:c r="I411" s="24" t="str">
        <x:v>mage-king; sorcerer-queen; wizard emperor</x:v>
      </x:c>
      <x:c r="J411" s="24" t="str">
        <x:v>Governance, succession, command, legitimacy, diplomacy, administration, and patronage.</x:v>
      </x:c>
      <x:c r="K411" s="24" t="str">
        <x:v>mage-king; sorcerer-queen; wizard emperor</x:v>
      </x:c>
      <x:c r="L411" s="24" t="str">
        <x:v>Preserve each source's ontology, culture, history, and terminology when making comparisons.</x:v>
      </x:c>
      <x:c r="M411" s="24" t="str">
        <x:v>Core Family</x:v>
      </x:c>
    </x:row>
    <x:row r="412" ht="44" customHeight="1">
      <x:c r="A412" s="24" t="str">
        <x:v>ROL-716</x:v>
      </x:c>
      <x:c r="B412" s="24" t="str">
        <x:v>Warlord Ruler</x:v>
      </x:c>
      <x:c r="C412" s="24" t="str">
        <x:v>Roles &amp; Vocations</x:v>
      </x:c>
      <x:c r="D412" s="24" t="str">
        <x:v>ROL-700</x:v>
      </x:c>
      <x:c r="E412" s="24" t="str">
        <x:f>IF(D412="","",IFERROR(VLOOKUP(D412,$A$2:$B$1656,2,FALSE),""))</x:f>
        <x:v>Leadership and Social Office Roles</x:v>
      </x:c>
      <x:c r="F412" s="24" t="n">
        <x:v>3</x:v>
      </x:c>
      <x:c r="G412" s="24" t="str">
        <x:v>Political leader whose authority is personal, military, and conquest-based rather than bureaucratically institutionalized.</x:v>
      </x:c>
      <x:c r="H412" s="24" t="str">
        <x:v>Do not assume identical training, social status, powers, or mechanics across settings.</x:v>
      </x:c>
      <x:c r="I412" s="24" t="str">
        <x:v>warlord; conqueror; khan-like</x:v>
      </x:c>
      <x:c r="J412" s="24" t="str">
        <x:v>Governance, succession, command, legitimacy, diplomacy, administration, and patronage.</x:v>
      </x:c>
      <x:c r="K412" s="24" t="str">
        <x:v>warlord; conqueror; khan-like</x:v>
      </x:c>
      <x:c r="L412" s="24" t="str">
        <x:v>Preserve each source's ontology, culture, history, and terminology when making comparisons.</x:v>
      </x:c>
      <x:c r="M412" s="24" t="str">
        <x:v>Core Family</x:v>
      </x:c>
    </x:row>
    <x:row r="413" ht="44" customHeight="1">
      <x:c r="A413" s="24" t="str">
        <x:v>ROL-717</x:v>
      </x:c>
      <x:c r="B413" s="24" t="str">
        <x:v>Councilor and Conclave Member</x:v>
      </x:c>
      <x:c r="C413" s="24" t="str">
        <x:v>Roles &amp; Vocations</x:v>
      </x:c>
      <x:c r="D413" s="24" t="str">
        <x:v>ROL-700</x:v>
      </x:c>
      <x:c r="E413" s="24" t="str">
        <x:f>IF(D413="","",IFERROR(VLOOKUP(D413,$A$2:$B$1656,2,FALSE),""))</x:f>
        <x:v>Leadership and Social Office Roles</x:v>
      </x:c>
      <x:c r="F413" s="24" t="n">
        <x:v>3</x:v>
      </x:c>
      <x:c r="G413" s="24" t="str">
        <x:v>Collective ruler or senior decision-maker within a council, senate, elder body, or magical conclave.</x:v>
      </x:c>
      <x:c r="H413" s="24" t="str">
        <x:v>Do not assume identical training, social status, powers, or mechanics across settings.</x:v>
      </x:c>
      <x:c r="I413" s="24" t="str">
        <x:v>councilor; elder; senator</x:v>
      </x:c>
      <x:c r="J413" s="24" t="str">
        <x:v>Governance, succession, command, legitimacy, diplomacy, administration, and patronage.</x:v>
      </x:c>
      <x:c r="K413" s="24" t="str">
        <x:v>councilor; elder; senator</x:v>
      </x:c>
      <x:c r="L413" s="24" t="str">
        <x:v>Preserve each source's ontology, culture, history, and terminology when making comparisons.</x:v>
      </x:c>
      <x:c r="M413" s="24" t="str">
        <x:v>Core Family</x:v>
      </x:c>
    </x:row>
    <x:row r="414" ht="44" customHeight="1">
      <x:c r="A414" s="24" t="str">
        <x:v>ROL-718</x:v>
      </x:c>
      <x:c r="B414" s="24" t="str">
        <x:v>Elected Leader</x:v>
      </x:c>
      <x:c r="C414" s="24" t="str">
        <x:v>Roles &amp; Vocations</x:v>
      </x:c>
      <x:c r="D414" s="24" t="str">
        <x:v>ROL-700</x:v>
      </x:c>
      <x:c r="E414" s="24" t="str">
        <x:f>IF(D414="","",IFERROR(VLOOKUP(D414,$A$2:$B$1656,2,FALSE),""))</x:f>
        <x:v>Leadership and Social Office Roles</x:v>
      </x:c>
      <x:c r="F414" s="24" t="n">
        <x:v>3</x:v>
      </x:c>
      <x:c r="G414" s="24" t="str">
        <x:v>Ruler chosen through vote, acclamation, guild decision, military selection, or temporary mandate.</x:v>
      </x:c>
      <x:c r="H414" s="24" t="str">
        <x:v>Do not assume identical training, social status, powers, or mechanics across settings.</x:v>
      </x:c>
      <x:c r="I414" s="24" t="str">
        <x:v>mayor; consul; elected chief</x:v>
      </x:c>
      <x:c r="J414" s="24" t="str">
        <x:v>Governance, succession, command, legitimacy, diplomacy, administration, and patronage.</x:v>
      </x:c>
      <x:c r="K414" s="24" t="str">
        <x:v>mayor; consul; elected chief</x:v>
      </x:c>
      <x:c r="L414" s="24" t="str">
        <x:v>Preserve each source's ontology, culture, history, and terminology when making comparisons.</x:v>
      </x:c>
      <x:c r="M414" s="24" t="str">
        <x:v>Core Family</x:v>
      </x:c>
    </x:row>
    <x:row r="415" ht="44" customHeight="1">
      <x:c r="A415" s="24" t="str">
        <x:v>ROL-719</x:v>
      </x:c>
      <x:c r="B415" s="24" t="str">
        <x:v>Rebel Leader</x:v>
      </x:c>
      <x:c r="C415" s="24" t="str">
        <x:v>Roles &amp; Vocations</x:v>
      </x:c>
      <x:c r="D415" s="24" t="str">
        <x:v>ROL-700</x:v>
      </x:c>
      <x:c r="E415" s="24" t="str">
        <x:f>IF(D415="","",IFERROR(VLOOKUP(D415,$A$2:$B$1656,2,FALSE),""))</x:f>
        <x:v>Leadership and Social Office Roles</x:v>
      </x:c>
      <x:c r="F415" s="24" t="n">
        <x:v>3</x:v>
      </x:c>
      <x:c r="G415" s="24" t="str">
        <x:v>Organizer of resistance against an empire, tyrant, occupier, caste, or established order.</x:v>
      </x:c>
      <x:c r="H415" s="24" t="str">
        <x:v>Do not assume identical training, social status, powers, or mechanics across settings.</x:v>
      </x:c>
      <x:c r="I415" s="24" t="str">
        <x:v>rebel leader; resistance commander</x:v>
      </x:c>
      <x:c r="J415" s="24" t="str">
        <x:v>Governance, succession, command, legitimacy, diplomacy, administration, and patronage.</x:v>
      </x:c>
      <x:c r="K415" s="24" t="str">
        <x:v>rebel leader; resistance commander</x:v>
      </x:c>
      <x:c r="L415" s="24" t="str">
        <x:v>Preserve each source's ontology, culture, history, and terminology when making comparisons.</x:v>
      </x:c>
      <x:c r="M415" s="24" t="str">
        <x:v>Core Family</x:v>
      </x:c>
    </x:row>
    <x:row r="416" ht="44" customHeight="1">
      <x:c r="A416" s="24" t="str">
        <x:v>ROL-720</x:v>
      </x:c>
      <x:c r="B416" s="24" t="str">
        <x:v>Crime Lord</x:v>
      </x:c>
      <x:c r="C416" s="24" t="str">
        <x:v>Roles &amp; Vocations</x:v>
      </x:c>
      <x:c r="D416" s="24" t="str">
        <x:v>ROL-700</x:v>
      </x:c>
      <x:c r="E416" s="24" t="str">
        <x:f>IF(D416="","",IFERROR(VLOOKUP(D416,$A$2:$B$1656,2,FALSE),""))</x:f>
        <x:v>Leadership and Social Office Roles</x:v>
      </x:c>
      <x:c r="F416" s="24" t="n">
        <x:v>3</x:v>
      </x:c>
      <x:c r="G416" s="24" t="str">
        <x:v>Ruler of an underworld network through wealth, violence, patronage, and illicit governance.</x:v>
      </x:c>
      <x:c r="H416" s="24" t="str">
        <x:v>Do not assume identical training, social status, powers, or mechanics across settings.</x:v>
      </x:c>
      <x:c r="I416" s="24" t="str">
        <x:v>crime lord; underboss; gang leader</x:v>
      </x:c>
      <x:c r="J416" s="24" t="str">
        <x:v>Governance, succession, command, legitimacy, diplomacy, administration, and patronage.</x:v>
      </x:c>
      <x:c r="K416" s="24" t="str">
        <x:v>crime lord; underboss; gang leader</x:v>
      </x:c>
      <x:c r="L416" s="24" t="str">
        <x:v>Preserve each source's ontology, culture, history, and terminology when making comparisons.</x:v>
      </x:c>
      <x:c r="M416" s="24" t="str">
        <x:v>Core Family</x:v>
      </x:c>
    </x:row>
    <x:row r="417" ht="44" customHeight="1">
      <x:c r="A417" s="24" t="str">
        <x:v>ROL-721</x:v>
      </x:c>
      <x:c r="B417" s="24" t="str">
        <x:v>Demon Lord</x:v>
      </x:c>
      <x:c r="C417" s="24" t="str">
        <x:v>Roles &amp; Vocations</x:v>
      </x:c>
      <x:c r="D417" s="24" t="str">
        <x:v>ROL-700</x:v>
      </x:c>
      <x:c r="E417" s="24" t="str">
        <x:f>IF(D417="","",IFERROR(VLOOKUP(D417,$A$2:$B$1656,2,FALSE),""))</x:f>
        <x:v>Leadership and Social Office Roles</x:v>
      </x:c>
      <x:c r="F417" s="24" t="n">
        <x:v>3</x:v>
      </x:c>
      <x:c r="G417" s="24" t="str">
        <x:v>Sovereign antagonist ruling demons, monsters, a dark realm, or a game-coded enemy faction.</x:v>
      </x:c>
      <x:c r="H417" s="24" t="str">
        <x:v>Do not assume identical training, social status, powers, or mechanics across settings.</x:v>
      </x:c>
      <x:c r="I417" s="24" t="str">
        <x:v>demon lord; dark sovereign</x:v>
      </x:c>
      <x:c r="J417" s="24" t="str">
        <x:v>Governance, succession, command, legitimacy, diplomacy, administration, and patronage.</x:v>
      </x:c>
      <x:c r="K417" s="24" t="str">
        <x:v>demon lord; dark sovereign</x:v>
      </x:c>
      <x:c r="L417" s="24" t="str">
        <x:v>Preserve each source's ontology, culture, history, and terminology when making comparisons.</x:v>
      </x:c>
      <x:c r="M417" s="24" t="str">
        <x:v>Core Family</x:v>
      </x:c>
    </x:row>
    <x:row r="418" ht="44" customHeight="1">
      <x:c r="A418" s="24" t="str">
        <x:v>ROL-722</x:v>
      </x:c>
      <x:c r="B418" s="24" t="str">
        <x:v>Dungeon Lord</x:v>
      </x:c>
      <x:c r="C418" s="24" t="str">
        <x:v>Roles &amp; Vocations</x:v>
      </x:c>
      <x:c r="D418" s="24" t="str">
        <x:v>ROL-700</x:v>
      </x:c>
      <x:c r="E418" s="24" t="str">
        <x:f>IF(D418="","",IFERROR(VLOOKUP(D418,$A$2:$B$1656,2,FALSE),""))</x:f>
        <x:v>Leadership and Social Office Roles</x:v>
      </x:c>
      <x:c r="F418" s="24" t="n">
        <x:v>3</x:v>
      </x:c>
      <x:c r="G418" s="24" t="str">
        <x:v>Ruler, owner, or sentient administrator of a dungeon and its monsters, traps, and economy.</x:v>
      </x:c>
      <x:c r="H418" s="24" t="str">
        <x:v>Do not assume identical training, social status, powers, or mechanics across settings.</x:v>
      </x:c>
      <x:c r="I418" s="24" t="str">
        <x:v>dungeon lord; dungeon master; core ruler</x:v>
      </x:c>
      <x:c r="J418" s="24" t="str">
        <x:v>Governance, succession, command, legitimacy, diplomacy, administration, and patronage.</x:v>
      </x:c>
      <x:c r="K418" s="24" t="str">
        <x:v>dungeon lord; dungeon master; core ruler</x:v>
      </x:c>
      <x:c r="L418" s="24" t="str">
        <x:v>Preserve each source's ontology, culture, history, and terminology when making comparisons.</x:v>
      </x:c>
      <x:c r="M418" s="24" t="str">
        <x:v>Core Family</x:v>
      </x:c>
    </x:row>
    <x:row r="419" ht="44" customHeight="1">
      <x:c r="A419" s="24" t="str">
        <x:v>ROL-723</x:v>
      </x:c>
      <x:c r="B419" s="24" t="str">
        <x:v>Party Leader</x:v>
      </x:c>
      <x:c r="C419" s="24" t="str">
        <x:v>Roles &amp; Vocations</x:v>
      </x:c>
      <x:c r="D419" s="24" t="str">
        <x:v>ROL-700</x:v>
      </x:c>
      <x:c r="E419" s="24" t="str">
        <x:f>IF(D419="","",IFERROR(VLOOKUP(D419,$A$2:$B$1656,2,FALSE),""))</x:f>
        <x:v>Leadership and Social Office Roles</x:v>
      </x:c>
      <x:c r="F419" s="24" t="n">
        <x:v>3</x:v>
      </x:c>
      <x:c r="G419" s="24" t="str">
        <x:v>Person who coordinates an adventuring group through trust, tactics, charisma, or formal appointment.</x:v>
      </x:c>
      <x:c r="H419" s="24" t="str">
        <x:v>Do not assume identical training, social status, powers, or mechanics across settings.</x:v>
      </x:c>
      <x:c r="I419" s="24" t="str">
        <x:v>party leader; expedition leader</x:v>
      </x:c>
      <x:c r="J419" s="24" t="str">
        <x:v>Governance, succession, command, legitimacy, diplomacy, administration, and patronage.</x:v>
      </x:c>
      <x:c r="K419" s="24" t="str">
        <x:v>party leader; expedition leader</x:v>
      </x:c>
      <x:c r="L419" s="24" t="str">
        <x:v>Preserve each source's ontology, culture, history, and terminology when making comparisons.</x:v>
      </x:c>
      <x:c r="M419" s="24" t="str">
        <x:v>Core Family</x:v>
      </x:c>
    </x:row>
    <x:row r="420" ht="44" customHeight="1">
      <x:c r="A420" s="24" t="str">
        <x:v>ROL-724</x:v>
      </x:c>
      <x:c r="B420" s="24" t="str">
        <x:v>Quest Giver</x:v>
      </x:c>
      <x:c r="C420" s="24" t="str">
        <x:v>Roles &amp; Vocations</x:v>
      </x:c>
      <x:c r="D420" s="24" t="str">
        <x:v>ROL-700</x:v>
      </x:c>
      <x:c r="E420" s="24" t="str">
        <x:f>IF(D420="","",IFERROR(VLOOKUP(D420,$A$2:$B$1656,2,FALSE),""))</x:f>
        <x:v>Leadership and Social Office Roles</x:v>
      </x:c>
      <x:c r="F420" s="24" t="n">
        <x:v>3</x:v>
      </x:c>
      <x:c r="G420" s="24" t="str">
        <x:v>Authority or patron who defines goals, rewards, and narrative direction for adventurers.</x:v>
      </x:c>
      <x:c r="H420" s="24" t="str">
        <x:v>Do not assume identical training, social status, powers, or mechanics across settings.</x:v>
      </x:c>
      <x:c r="I420" s="24" t="str">
        <x:v>quest giver; patron; commissioner</x:v>
      </x:c>
      <x:c r="J420" s="24" t="str">
        <x:v>Governance, succession, command, legitimacy, diplomacy, administration, and patronage.</x:v>
      </x:c>
      <x:c r="K420" s="24" t="str">
        <x:v>quest giver; patron; commissioner</x:v>
      </x:c>
      <x:c r="L420" s="24" t="str">
        <x:v>Preserve each source's ontology, culture, history, and terminology when making comparisons.</x:v>
      </x:c>
      <x:c r="M420" s="24" t="str">
        <x:v>Core Family</x:v>
      </x:c>
    </x:row>
    <x:row r="421" ht="44" customHeight="1">
      <x:c r="A421" s="24" t="str">
        <x:v>ROL-801</x:v>
      </x:c>
      <x:c r="B421" s="24" t="str">
        <x:v>Spellblade or Gish</x:v>
      </x:c>
      <x:c r="C421" s="24" t="str">
        <x:v>Roles &amp; Vocations</x:v>
      </x:c>
      <x:c r="D421" s="24" t="str">
        <x:v>ROL-800</x:v>
      </x:c>
      <x:c r="E421" s="24" t="str">
        <x:f>IF(D421="","",IFERROR(VLOOKUP(D421,$A$2:$B$1656,2,FALSE),""))</x:f>
        <x:v>Hybrid and Specialist Fantasy Roles</x:v>
      </x:c>
      <x:c r="F421" s="24" t="n">
        <x:v>3</x:v>
      </x:c>
      <x:c r="G421" s="24" t="str">
        <x:v>Combatant who combines competent weapon fighting with active spellcasting in one integrated style.</x:v>
      </x:c>
      <x:c r="H421" s="24" t="str">
        <x:v>Do not assume identical training, social status, powers, or mechanics across settings.</x:v>
      </x:c>
      <x:c r="I421" s="24" t="str">
        <x:v>spellblade; gish; magic swordsman</x:v>
      </x:c>
      <x:c r="J421" s="24" t="str">
        <x:v>Cross-domain builds, iconic setting professions, transformation systems, and specialized fantasy combat identities.</x:v>
      </x:c>
      <x:c r="K421" s="24" t="str">
        <x:v>spellblade; gish; magic swordsman</x:v>
      </x:c>
      <x:c r="L421" s="24" t="str">
        <x:v>Preserve each source's ontology, culture, history, and terminology when making comparisons.</x:v>
      </x:c>
      <x:c r="M421" s="24" t="str">
        <x:v>Core Family</x:v>
      </x:c>
    </x:row>
    <x:row r="422" ht="44" customHeight="1">
      <x:c r="A422" s="24" t="str">
        <x:v>ROL-802</x:v>
      </x:c>
      <x:c r="B422" s="24" t="str">
        <x:v>Battlemage</x:v>
      </x:c>
      <x:c r="C422" s="24" t="str">
        <x:v>Roles &amp; Vocations</x:v>
      </x:c>
      <x:c r="D422" s="24" t="str">
        <x:v>ROL-800</x:v>
      </x:c>
      <x:c r="E422" s="24" t="str">
        <x:f>IF(D422="","",IFERROR(VLOOKUP(D422,$A$2:$B$1656,2,FALSE),""))</x:f>
        <x:v>Hybrid and Specialist Fantasy Roles</x:v>
      </x:c>
      <x:c r="F422" s="24" t="n">
        <x:v>3</x:v>
      </x:c>
      <x:c r="G422" s="24" t="str">
        <x:v>Armored or tactically trained caster optimized for direct battlefield participation.</x:v>
      </x:c>
      <x:c r="H422" s="24" t="str">
        <x:v>Do not assume identical training, social status, powers, or mechanics across settings.</x:v>
      </x:c>
      <x:c r="I422" s="24" t="str">
        <x:v>battlemage; war mage; combat wizard</x:v>
      </x:c>
      <x:c r="J422" s="24" t="str">
        <x:v>Cross-domain builds, iconic setting professions, transformation systems, and specialized fantasy combat identities.</x:v>
      </x:c>
      <x:c r="K422" s="24" t="str">
        <x:v>battlemage; war mage; combat wizard</x:v>
      </x:c>
      <x:c r="L422" s="24" t="str">
        <x:v>Preserve each source's ontology, culture, history, and terminology when making comparisons.</x:v>
      </x:c>
      <x:c r="M422" s="24" t="str">
        <x:v>Core Family</x:v>
      </x:c>
    </x:row>
    <x:row r="423" ht="44" customHeight="1">
      <x:c r="A423" s="24" t="str">
        <x:v>ROL-803</x:v>
      </x:c>
      <x:c r="B423" s="24" t="str">
        <x:v>Rune Knight</x:v>
      </x:c>
      <x:c r="C423" s="24" t="str">
        <x:v>Roles &amp; Vocations</x:v>
      </x:c>
      <x:c r="D423" s="24" t="str">
        <x:v>ROL-800</x:v>
      </x:c>
      <x:c r="E423" s="24" t="str">
        <x:f>IF(D423="","",IFERROR(VLOOKUP(D423,$A$2:$B$1656,2,FALSE),""))</x:f>
        <x:v>Hybrid and Specialist Fantasy Roles</x:v>
      </x:c>
      <x:c r="F423" s="24" t="n">
        <x:v>3</x:v>
      </x:c>
      <x:c r="G423" s="24" t="str">
        <x:v>Martial specialist who augments weapons, armor, body, or tactics through runes and inscriptions.</x:v>
      </x:c>
      <x:c r="H423" s="24" t="str">
        <x:v>Do not assume identical training, social status, powers, or mechanics across settings.</x:v>
      </x:c>
      <x:c r="I423" s="24" t="str">
        <x:v>rune knight; runefencer; rune warrior</x:v>
      </x:c>
      <x:c r="J423" s="24" t="str">
        <x:v>Cross-domain builds, iconic setting professions, transformation systems, and specialized fantasy combat identities.</x:v>
      </x:c>
      <x:c r="K423" s="24" t="str">
        <x:v>rune knight; runefencer; rune warrior</x:v>
      </x:c>
      <x:c r="L423" s="24" t="str">
        <x:v>Preserve each source's ontology, culture, history, and terminology when making comparisons.</x:v>
      </x:c>
      <x:c r="M423" s="24" t="str">
        <x:v>Core Family</x:v>
      </x:c>
    </x:row>
    <x:row r="424" ht="44" customHeight="1">
      <x:c r="A424" s="24" t="str">
        <x:v>ROL-804</x:v>
      </x:c>
      <x:c r="B424" s="24" t="str">
        <x:v>Arcane Archer</x:v>
      </x:c>
      <x:c r="C424" s="24" t="str">
        <x:v>Roles &amp; Vocations</x:v>
      </x:c>
      <x:c r="D424" s="24" t="str">
        <x:v>ROL-800</x:v>
      </x:c>
      <x:c r="E424" s="24" t="str">
        <x:f>IF(D424="","",IFERROR(VLOOKUP(D424,$A$2:$B$1656,2,FALSE),""))</x:f>
        <x:v>Hybrid and Specialist Fantasy Roles</x:v>
      </x:c>
      <x:c r="F424" s="24" t="n">
        <x:v>3</x:v>
      </x:c>
      <x:c r="G424" s="24" t="str">
        <x:v>Ranged weapon specialist who enchants arrows, channels spells through shots, or uses supernatural aim.</x:v>
      </x:c>
      <x:c r="H424" s="24" t="str">
        <x:v>Do not assume identical training, social status, powers, or mechanics across settings.</x:v>
      </x:c>
      <x:c r="I424" s="24" t="str">
        <x:v>arcane archer; magic bowman</x:v>
      </x:c>
      <x:c r="J424" s="24" t="str">
        <x:v>Cross-domain builds, iconic setting professions, transformation systems, and specialized fantasy combat identities.</x:v>
      </x:c>
      <x:c r="K424" s="24" t="str">
        <x:v>arcane archer; magic bowman</x:v>
      </x:c>
      <x:c r="L424" s="24" t="str">
        <x:v>Preserve each source's ontology, culture, history, and terminology when making comparisons.</x:v>
      </x:c>
      <x:c r="M424" s="24" t="str">
        <x:v>Core Family</x:v>
      </x:c>
    </x:row>
    <x:row r="425" ht="44" customHeight="1">
      <x:c r="A425" s="24" t="str">
        <x:v>ROL-805</x:v>
      </x:c>
      <x:c r="B425" s="24" t="str">
        <x:v>Eldritch Knight</x:v>
      </x:c>
      <x:c r="C425" s="24" t="str">
        <x:v>Roles &amp; Vocations</x:v>
      </x:c>
      <x:c r="D425" s="24" t="str">
        <x:v>ROL-800</x:v>
      </x:c>
      <x:c r="E425" s="24" t="str">
        <x:f>IF(D425="","",IFERROR(VLOOKUP(D425,$A$2:$B$1656,2,FALSE),""))</x:f>
        <x:v>Hybrid and Specialist Fantasy Roles</x:v>
      </x:c>
      <x:c r="F425" s="24" t="n">
        <x:v>3</x:v>
      </x:c>
      <x:c r="G425" s="24" t="str">
        <x:v>Formal game archetype combining fighter durability and martial progression with limited arcane spellcasting.</x:v>
      </x:c>
      <x:c r="H425" s="24" t="str">
        <x:v>Do not assume identical training, social status, powers, or mechanics across settings.</x:v>
      </x:c>
      <x:c r="I425" s="24" t="str">
        <x:v>eldritch knight; magic knight</x:v>
      </x:c>
      <x:c r="J425" s="24" t="str">
        <x:v>Cross-domain builds, iconic setting professions, transformation systems, and specialized fantasy combat identities.</x:v>
      </x:c>
      <x:c r="K425" s="24" t="str">
        <x:v>eldritch knight; magic knight</x:v>
      </x:c>
      <x:c r="L425" s="24" t="str">
        <x:v>Preserve each source's ontology, culture, history, and terminology when making comparisons.</x:v>
      </x:c>
      <x:c r="M425" s="24" t="str">
        <x:v>Core Family</x:v>
      </x:c>
    </x:row>
    <x:row r="426" ht="44" customHeight="1">
      <x:c r="A426" s="24" t="str">
        <x:v>ROL-806</x:v>
      </x:c>
      <x:c r="B426" s="24" t="str">
        <x:v>Sword Saint</x:v>
      </x:c>
      <x:c r="C426" s="24" t="str">
        <x:v>Roles &amp; Vocations</x:v>
      </x:c>
      <x:c r="D426" s="24" t="str">
        <x:v>ROL-800</x:v>
      </x:c>
      <x:c r="E426" s="24" t="str">
        <x:f>IF(D426="","",IFERROR(VLOOKUP(D426,$A$2:$B$1656,2,FALSE),""))</x:f>
        <x:v>Hybrid and Specialist Fantasy Roles</x:v>
      </x:c>
      <x:c r="F426" s="24" t="n">
        <x:v>3</x:v>
      </x:c>
      <x:c r="G426" s="24" t="str">
        <x:v>Near-mystical sword master whose technique functions as spiritual, magical, or transcendent power.</x:v>
      </x:c>
      <x:c r="H426" s="24" t="str">
        <x:v>Do not assume identical training, social status, powers, or mechanics across settings.</x:v>
      </x:c>
      <x:c r="I426" s="24" t="str">
        <x:v>sword saint; kensei-like; blade sage</x:v>
      </x:c>
      <x:c r="J426" s="24" t="str">
        <x:v>Cross-domain builds, iconic setting professions, transformation systems, and specialized fantasy combat identities.</x:v>
      </x:c>
      <x:c r="K426" s="24" t="str">
        <x:v>sword saint; kensei-like; blade sage</x:v>
      </x:c>
      <x:c r="L426" s="24" t="str">
        <x:v>Preserve each source's ontology, culture, history, and terminology when making comparisons.</x:v>
      </x:c>
      <x:c r="M426" s="24" t="str">
        <x:v>Core Family</x:v>
      </x:c>
    </x:row>
    <x:row r="427" ht="44" customHeight="1">
      <x:c r="A427" s="24" t="str">
        <x:v>ROL-807</x:v>
      </x:c>
      <x:c r="B427" s="24" t="str">
        <x:v>Gunmage</x:v>
      </x:c>
      <x:c r="C427" s="24" t="str">
        <x:v>Roles &amp; Vocations</x:v>
      </x:c>
      <x:c r="D427" s="24" t="str">
        <x:v>ROL-800</x:v>
      </x:c>
      <x:c r="E427" s="24" t="str">
        <x:f>IF(D427="","",IFERROR(VLOOKUP(D427,$A$2:$B$1656,2,FALSE),""))</x:f>
        <x:v>Hybrid and Specialist Fantasy Roles</x:v>
      </x:c>
      <x:c r="F427" s="24" t="n">
        <x:v>3</x:v>
      </x:c>
      <x:c r="G427" s="24" t="str">
        <x:v>Hybrid combatant who channels spells through firearms or combines gunplay with occult technique.</x:v>
      </x:c>
      <x:c r="H427" s="24" t="str">
        <x:v>Do not assume identical training, social status, powers, or mechanics across settings.</x:v>
      </x:c>
      <x:c r="I427" s="24" t="str">
        <x:v>gunmage; spellshot; hexgunner</x:v>
      </x:c>
      <x:c r="J427" s="24" t="str">
        <x:v>Cross-domain builds, iconic setting professions, transformation systems, and specialized fantasy combat identities.</x:v>
      </x:c>
      <x:c r="K427" s="24" t="str">
        <x:v>gunmage; spellshot; hexgunner</x:v>
      </x:c>
      <x:c r="L427" s="24" t="str">
        <x:v>Preserve each source's ontology, culture, history, and terminology when making comparisons.</x:v>
      </x:c>
      <x:c r="M427" s="24" t="str">
        <x:v>Core Family</x:v>
      </x:c>
    </x:row>
    <x:row r="428" ht="44" customHeight="1">
      <x:c r="A428" s="24" t="str">
        <x:v>ROL-808</x:v>
      </x:c>
      <x:c r="B428" s="24" t="str">
        <x:v>Magitech Knight</x:v>
      </x:c>
      <x:c r="C428" s="24" t="str">
        <x:v>Roles &amp; Vocations</x:v>
      </x:c>
      <x:c r="D428" s="24" t="str">
        <x:v>ROL-800</x:v>
      </x:c>
      <x:c r="E428" s="24" t="str">
        <x:f>IF(D428="","",IFERROR(VLOOKUP(D428,$A$2:$B$1656,2,FALSE),""))</x:f>
        <x:v>Hybrid and Specialist Fantasy Roles</x:v>
      </x:c>
      <x:c r="F428" s="24" t="n">
        <x:v>3</x:v>
      </x:c>
      <x:c r="G428" s="24" t="str">
        <x:v>Armored warrior empowered by magical technology, powered suits, crystals, engines, or artificial cores.</x:v>
      </x:c>
      <x:c r="H428" s="24" t="str">
        <x:v>Do not assume identical training, social status, powers, or mechanics across settings.</x:v>
      </x:c>
      <x:c r="I428" s="24" t="str">
        <x:v>magitech knight; techno-paladin</x:v>
      </x:c>
      <x:c r="J428" s="24" t="str">
        <x:v>Cross-domain builds, iconic setting professions, transformation systems, and specialized fantasy combat identities.</x:v>
      </x:c>
      <x:c r="K428" s="24" t="str">
        <x:v>magitech knight; techno-paladin</x:v>
      </x:c>
      <x:c r="L428" s="24" t="str">
        <x:v>Preserve each source's ontology, culture, history, and terminology when making comparisons.</x:v>
      </x:c>
      <x:c r="M428" s="24" t="str">
        <x:v>Core Family</x:v>
      </x:c>
    </x:row>
    <x:row r="429" ht="44" customHeight="1">
      <x:c r="A429" s="24" t="str">
        <x:v>ROL-809</x:v>
      </x:c>
      <x:c r="B429" s="24" t="str">
        <x:v>Dragon Knight</x:v>
      </x:c>
      <x:c r="C429" s="24" t="str">
        <x:v>Roles &amp; Vocations</x:v>
      </x:c>
      <x:c r="D429" s="24" t="str">
        <x:v>ROL-800</x:v>
      </x:c>
      <x:c r="E429" s="24" t="str">
        <x:f>IF(D429="","",IFERROR(VLOOKUP(D429,$A$2:$B$1656,2,FALSE),""))</x:f>
        <x:v>Hybrid and Specialist Fantasy Roles</x:v>
      </x:c>
      <x:c r="F429" s="24" t="n">
        <x:v>3</x:v>
      </x:c>
      <x:c r="G429" s="24" t="str">
        <x:v>Warrior empowered by draconic blood, armor, pacts, mounts, or anti-dragon specialization.</x:v>
      </x:c>
      <x:c r="H429" s="24" t="str">
        <x:v>Do not assume identical training, social status, powers, or mechanics across settings.</x:v>
      </x:c>
      <x:c r="I429" s="24" t="str">
        <x:v>dragon knight; dragoon; wyrm knight</x:v>
      </x:c>
      <x:c r="J429" s="24" t="str">
        <x:v>Cross-domain builds, iconic setting professions, transformation systems, and specialized fantasy combat identities.</x:v>
      </x:c>
      <x:c r="K429" s="24" t="str">
        <x:v>dragon knight; dragoon; wyrm knight</x:v>
      </x:c>
      <x:c r="L429" s="24" t="str">
        <x:v>Preserve each source's ontology, culture, history, and terminology when making comparisons.</x:v>
      </x:c>
      <x:c r="M429" s="24" t="str">
        <x:v>Core Family</x:v>
      </x:c>
    </x:row>
    <x:row r="430" ht="44" customHeight="1">
      <x:c r="A430" s="24" t="str">
        <x:v>ROL-810</x:v>
      </x:c>
      <x:c r="B430" s="24" t="str">
        <x:v>Witcher and Alchemical Monster Hunter</x:v>
      </x:c>
      <x:c r="C430" s="24" t="str">
        <x:v>Roles &amp; Vocations</x:v>
      </x:c>
      <x:c r="D430" s="24" t="str">
        <x:v>ROL-800</x:v>
      </x:c>
      <x:c r="E430" s="24" t="str">
        <x:f>IF(D430="","",IFERROR(VLOOKUP(D430,$A$2:$B$1656,2,FALSE),""))</x:f>
        <x:v>Hybrid and Specialist Fantasy Roles</x:v>
      </x:c>
      <x:c r="F430" s="24" t="n">
        <x:v>3</x:v>
      </x:c>
      <x:c r="G430" s="24" t="str">
        <x:v>Professionally trained monster hunter transformed or enhanced through alchemy, mutation, ritual, and specialized signs or tools.</x:v>
      </x:c>
      <x:c r="H430" s="24" t="str">
        <x:v>Do not assume identical training, social status, powers, or mechanics across settings.</x:v>
      </x:c>
      <x:c r="I430" s="24" t="str">
        <x:v>witcher; mutant hunter; alchemical slayer</x:v>
      </x:c>
      <x:c r="J430" s="24" t="str">
        <x:v>Cross-domain builds, iconic setting professions, transformation systems, and specialized fantasy combat identities.</x:v>
      </x:c>
      <x:c r="K430" s="24" t="str">
        <x:v>witcher; mutant hunter; alchemical slayer</x:v>
      </x:c>
      <x:c r="L430" s="24" t="str">
        <x:v>Use 'witcher' as a source-specific term for Sapkowski/CD Projekt continuity; other settings are analogues.</x:v>
      </x:c>
      <x:c r="M430" s="24" t="str">
        <x:v>Core Family</x:v>
      </x:c>
    </x:row>
    <x:row r="431" ht="44" customHeight="1">
      <x:c r="A431" s="24" t="str">
        <x:v>ROL-811</x:v>
      </x:c>
      <x:c r="B431" s="24" t="str">
        <x:v>Grey Warden-Type Blight Hunter</x:v>
      </x:c>
      <x:c r="C431" s="24" t="str">
        <x:v>Roles &amp; Vocations</x:v>
      </x:c>
      <x:c r="D431" s="24" t="str">
        <x:v>ROL-800</x:v>
      </x:c>
      <x:c r="E431" s="24" t="str">
        <x:f>IF(D431="","",IFERROR(VLOOKUP(D431,$A$2:$B$1656,2,FALSE),""))</x:f>
        <x:v>Hybrid and Specialist Fantasy Roles</x:v>
      </x:c>
      <x:c r="F431" s="24" t="n">
        <x:v>3</x:v>
      </x:c>
      <x:c r="G431" s="24" t="str">
        <x:v>Order-bound warrior who accepts contamination or transformation to sense and fight a specific existential enemy.</x:v>
      </x:c>
      <x:c r="H431" s="24" t="str">
        <x:v>Do not assume identical training, social status, powers, or mechanics across settings.</x:v>
      </x:c>
      <x:c r="I431" s="24" t="str">
        <x:v>blight hunter; taint-bound warden</x:v>
      </x:c>
      <x:c r="J431" s="24" t="str">
        <x:v>Cross-domain builds, iconic setting professions, transformation systems, and specialized fantasy combat identities.</x:v>
      </x:c>
      <x:c r="K431" s="24" t="str">
        <x:v>blight hunter; taint-bound warden</x:v>
      </x:c>
      <x:c r="L431" s="24" t="str">
        <x:v>Preserve each source's ontology, culture, history, and terminology when making comparisons.</x:v>
      </x:c>
      <x:c r="M431" s="24" t="str">
        <x:v>Core Family</x:v>
      </x:c>
    </x:row>
    <x:row r="432" ht="44" customHeight="1">
      <x:c r="A432" s="24" t="str">
        <x:v>ROL-812</x:v>
      </x:c>
      <x:c r="B432" s="24" t="str">
        <x:v>Vampire Hunter</x:v>
      </x:c>
      <x:c r="C432" s="24" t="str">
        <x:v>Roles &amp; Vocations</x:v>
      </x:c>
      <x:c r="D432" s="24" t="str">
        <x:v>ROL-800</x:v>
      </x:c>
      <x:c r="E432" s="24" t="str">
        <x:f>IF(D432="","",IFERROR(VLOOKUP(D432,$A$2:$B$1656,2,FALSE),""))</x:f>
        <x:v>Hybrid and Specialist Fantasy Roles</x:v>
      </x:c>
      <x:c r="F432" s="24" t="n">
        <x:v>3</x:v>
      </x:c>
      <x:c r="G432" s="24" t="str">
        <x:v>Specialist trained to identify, track, and kill vampires using lore, sacred tools, medicine, or inherited techniques.</x:v>
      </x:c>
      <x:c r="H432" s="24" t="str">
        <x:v>Do not assume identical training, social status, powers, or mechanics across settings.</x:v>
      </x:c>
      <x:c r="I432" s="24" t="str">
        <x:v>vampire hunter; dhampir hunter</x:v>
      </x:c>
      <x:c r="J432" s="24" t="str">
        <x:v>Cross-domain builds, iconic setting professions, transformation systems, and specialized fantasy combat identities.</x:v>
      </x:c>
      <x:c r="K432" s="24" t="str">
        <x:v>vampire hunter; dhampir hunter</x:v>
      </x:c>
      <x:c r="L432" s="24" t="str">
        <x:v>Preserve each source's ontology, culture, history, and terminology when making comparisons.</x:v>
      </x:c>
      <x:c r="M432" s="24" t="str">
        <x:v>Core Family</x:v>
      </x:c>
    </x:row>
    <x:row r="433" ht="44" customHeight="1">
      <x:c r="A433" s="24" t="str">
        <x:v>ROL-813</x:v>
      </x:c>
      <x:c r="B433" s="24" t="str">
        <x:v>Exorcist Warrior</x:v>
      </x:c>
      <x:c r="C433" s="24" t="str">
        <x:v>Roles &amp; Vocations</x:v>
      </x:c>
      <x:c r="D433" s="24" t="str">
        <x:v>ROL-800</x:v>
      </x:c>
      <x:c r="E433" s="24" t="str">
        <x:f>IF(D433="","",IFERROR(VLOOKUP(D433,$A$2:$B$1656,2,FALSE),""))</x:f>
        <x:v>Hybrid and Specialist Fantasy Roles</x:v>
      </x:c>
      <x:c r="F433" s="24" t="n">
        <x:v>3</x:v>
      </x:c>
      <x:c r="G433" s="24" t="str">
        <x:v>Combatant who combines martial skill with seals, prayers, sacred weapons, or spirit banishment.</x:v>
      </x:c>
      <x:c r="H433" s="24" t="str">
        <x:v>Do not assume identical training, social status, powers, or mechanics across settings.</x:v>
      </x:c>
      <x:c r="I433" s="24" t="str">
        <x:v>exorcist fighter; demon-slaying monk</x:v>
      </x:c>
      <x:c r="J433" s="24" t="str">
        <x:v>Cross-domain builds, iconic setting professions, transformation systems, and specialized fantasy combat identities.</x:v>
      </x:c>
      <x:c r="K433" s="24" t="str">
        <x:v>exorcist fighter; demon-slaying monk</x:v>
      </x:c>
      <x:c r="L433" s="24" t="str">
        <x:v>Preserve each source's ontology, culture, history, and terminology when making comparisons.</x:v>
      </x:c>
      <x:c r="M433" s="24" t="str">
        <x:v>Core Family</x:v>
      </x:c>
    </x:row>
    <x:row r="434" ht="44" customHeight="1">
      <x:c r="A434" s="24" t="str">
        <x:v>ROL-814</x:v>
      </x:c>
      <x:c r="B434" s="24" t="str">
        <x:v>Beast Tamer Combatant</x:v>
      </x:c>
      <x:c r="C434" s="24" t="str">
        <x:v>Roles &amp; Vocations</x:v>
      </x:c>
      <x:c r="D434" s="24" t="str">
        <x:v>ROL-800</x:v>
      </x:c>
      <x:c r="E434" s="24" t="str">
        <x:f>IF(D434="","",IFERROR(VLOOKUP(D434,$A$2:$B$1656,2,FALSE),""))</x:f>
        <x:v>Hybrid and Specialist Fantasy Roles</x:v>
      </x:c>
      <x:c r="F434" s="24" t="n">
        <x:v>3</x:v>
      </x:c>
      <x:c r="G434" s="24" t="str">
        <x:v>Fighter whose tactical kit depends on controlled monsters, pets, or mounts.</x:v>
      </x:c>
      <x:c r="H434" s="24" t="str">
        <x:v>Do not assume identical training, social status, powers, or mechanics across settings.</x:v>
      </x:c>
      <x:c r="I434" s="24" t="str">
        <x:v>beast tamer; monster trainer; pet fighter</x:v>
      </x:c>
      <x:c r="J434" s="24" t="str">
        <x:v>Cross-domain builds, iconic setting professions, transformation systems, and specialized fantasy combat identities.</x:v>
      </x:c>
      <x:c r="K434" s="24" t="str">
        <x:v>beast tamer; monster trainer; pet fighter</x:v>
      </x:c>
      <x:c r="L434" s="24" t="str">
        <x:v>Preserve each source's ontology, culture, history, and terminology when making comparisons.</x:v>
      </x:c>
      <x:c r="M434" s="24" t="str">
        <x:v>Core Family</x:v>
      </x:c>
    </x:row>
    <x:row r="435" ht="44" customHeight="1">
      <x:c r="A435" s="24" t="str">
        <x:v>ROL-815</x:v>
      </x:c>
      <x:c r="B435" s="24" t="str">
        <x:v>Puppetmaster</x:v>
      </x:c>
      <x:c r="C435" s="24" t="str">
        <x:v>Roles &amp; Vocations</x:v>
      </x:c>
      <x:c r="D435" s="24" t="str">
        <x:v>ROL-800</x:v>
      </x:c>
      <x:c r="E435" s="24" t="str">
        <x:f>IF(D435="","",IFERROR(VLOOKUP(D435,$A$2:$B$1656,2,FALSE),""))</x:f>
        <x:v>Hybrid and Specialist Fantasy Roles</x:v>
      </x:c>
      <x:c r="F435" s="24" t="n">
        <x:v>3</x:v>
      </x:c>
      <x:c r="G435" s="24" t="str">
        <x:v>Controller who fights through dolls, constructs, corpses, strings, shadows, or remotely directed bodies.</x:v>
      </x:c>
      <x:c r="H435" s="24" t="str">
        <x:v>Do not assume identical training, social status, powers, or mechanics across settings.</x:v>
      </x:c>
      <x:c r="I435" s="24" t="str">
        <x:v>puppetmaster; doll master; marionettist</x:v>
      </x:c>
      <x:c r="J435" s="24" t="str">
        <x:v>Cross-domain builds, iconic setting professions, transformation systems, and specialized fantasy combat identities.</x:v>
      </x:c>
      <x:c r="K435" s="24" t="str">
        <x:v>puppetmaster; doll master; marionettist</x:v>
      </x:c>
      <x:c r="L435" s="24" t="str">
        <x:v>Preserve each source's ontology, culture, history, and terminology when making comparisons.</x:v>
      </x:c>
      <x:c r="M435" s="24" t="str">
        <x:v>Core Family</x:v>
      </x:c>
    </x:row>
    <x:row r="436" ht="44" customHeight="1">
      <x:c r="A436" s="24" t="str">
        <x:v>ROL-816</x:v>
      </x:c>
      <x:c r="B436" s="24" t="str">
        <x:v>Necromantic Commander</x:v>
      </x:c>
      <x:c r="C436" s="24" t="str">
        <x:v>Roles &amp; Vocations</x:v>
      </x:c>
      <x:c r="D436" s="24" t="str">
        <x:v>ROL-800</x:v>
      </x:c>
      <x:c r="E436" s="24" t="str">
        <x:f>IF(D436="","",IFERROR(VLOOKUP(D436,$A$2:$B$1656,2,FALSE),""))</x:f>
        <x:v>Hybrid and Specialist Fantasy Roles</x:v>
      </x:c>
      <x:c r="F436" s="24" t="n">
        <x:v>3</x:v>
      </x:c>
      <x:c r="G436" s="24" t="str">
        <x:v>Leader who raises, buffs, deploys, and replaces undead minions as an army or tactical resource.</x:v>
      </x:c>
      <x:c r="H436" s="24" t="str">
        <x:v>Do not assume identical training, social status, powers, or mechanics across settings.</x:v>
      </x:c>
      <x:c r="I436" s="24" t="str">
        <x:v>necromancer lord; corpse commander</x:v>
      </x:c>
      <x:c r="J436" s="24" t="str">
        <x:v>Cross-domain builds, iconic setting professions, transformation systems, and specialized fantasy combat identities.</x:v>
      </x:c>
      <x:c r="K436" s="24" t="str">
        <x:v>necromancer lord; corpse commander</x:v>
      </x:c>
      <x:c r="L436" s="24" t="str">
        <x:v>Preserve each source's ontology, culture, history, and terminology when making comparisons.</x:v>
      </x:c>
      <x:c r="M436" s="24" t="str">
        <x:v>Core Family</x:v>
      </x:c>
    </x:row>
    <x:row r="437" ht="44" customHeight="1">
      <x:c r="A437" s="24" t="str">
        <x:v>ROL-817</x:v>
      </x:c>
      <x:c r="B437" s="24" t="str">
        <x:v>Summoner-Pet Master</x:v>
      </x:c>
      <x:c r="C437" s="24" t="str">
        <x:v>Roles &amp; Vocations</x:v>
      </x:c>
      <x:c r="D437" s="24" t="str">
        <x:v>ROL-800</x:v>
      </x:c>
      <x:c r="E437" s="24" t="str">
        <x:f>IF(D437="","",IFERROR(VLOOKUP(D437,$A$2:$B$1656,2,FALSE),""))</x:f>
        <x:v>Hybrid and Specialist Fantasy Roles</x:v>
      </x:c>
      <x:c r="F437" s="24" t="n">
        <x:v>3</x:v>
      </x:c>
      <x:c r="G437" s="24" t="str">
        <x:v>Specialist whose primary combat presence is mediated through one or more summoned companions.</x:v>
      </x:c>
      <x:c r="H437" s="24" t="str">
        <x:v>Do not assume identical training, social status, powers, or mechanics across settings.</x:v>
      </x:c>
      <x:c r="I437" s="24" t="str">
        <x:v>summoner; eidolon master; pet class</x:v>
      </x:c>
      <x:c r="J437" s="24" t="str">
        <x:v>Cross-domain builds, iconic setting professions, transformation systems, and specialized fantasy combat identities.</x:v>
      </x:c>
      <x:c r="K437" s="24" t="str">
        <x:v>summoner; eidolon master; pet class</x:v>
      </x:c>
      <x:c r="L437" s="24" t="str">
        <x:v>Preserve each source's ontology, culture, history, and terminology when making comparisons.</x:v>
      </x:c>
      <x:c r="M437" s="24" t="str">
        <x:v>Core Family</x:v>
      </x:c>
    </x:row>
    <x:row r="438" ht="44" customHeight="1">
      <x:c r="A438" s="24" t="str">
        <x:v>ROL-818</x:v>
      </x:c>
      <x:c r="B438" s="24" t="str">
        <x:v>Shapeshifting Combatant</x:v>
      </x:c>
      <x:c r="C438" s="24" t="str">
        <x:v>Roles &amp; Vocations</x:v>
      </x:c>
      <x:c r="D438" s="24" t="str">
        <x:v>ROL-800</x:v>
      </x:c>
      <x:c r="E438" s="24" t="str">
        <x:f>IF(D438="","",IFERROR(VLOOKUP(D438,$A$2:$B$1656,2,FALSE),""))</x:f>
        <x:v>Hybrid and Specialist Fantasy Roles</x:v>
      </x:c>
      <x:c r="F438" s="24" t="n">
        <x:v>3</x:v>
      </x:c>
      <x:c r="G438" s="24" t="str">
        <x:v>Fighter who changes forms, bodies, stances, or species to access different capabilities.</x:v>
      </x:c>
      <x:c r="H438" s="24" t="str">
        <x:v>Do not assume identical training, social status, powers, or mechanics across settings.</x:v>
      </x:c>
      <x:c r="I438" s="24" t="str">
        <x:v>shifter; morph warrior; wildshape fighter</x:v>
      </x:c>
      <x:c r="J438" s="24" t="str">
        <x:v>Cross-domain builds, iconic setting professions, transformation systems, and specialized fantasy combat identities.</x:v>
      </x:c>
      <x:c r="K438" s="24" t="str">
        <x:v>shifter; morph warrior; wildshape fighter</x:v>
      </x:c>
      <x:c r="L438" s="24" t="str">
        <x:v>Preserve each source's ontology, culture, history, and terminology when making comparisons.</x:v>
      </x:c>
      <x:c r="M438" s="24" t="str">
        <x:v>Core Family</x:v>
      </x:c>
    </x:row>
    <x:row r="439" ht="44" customHeight="1">
      <x:c r="A439" s="24" t="str">
        <x:v>ROL-819</x:v>
      </x:c>
      <x:c r="B439" s="24" t="str">
        <x:v>Blue Mage or Ability Mimic</x:v>
      </x:c>
      <x:c r="C439" s="24" t="str">
        <x:v>Roles &amp; Vocations</x:v>
      </x:c>
      <x:c r="D439" s="24" t="str">
        <x:v>ROL-800</x:v>
      </x:c>
      <x:c r="E439" s="24" t="str">
        <x:f>IF(D439="","",IFERROR(VLOOKUP(D439,$A$2:$B$1656,2,FALSE),""))</x:f>
        <x:v>Hybrid and Specialist Fantasy Roles</x:v>
      </x:c>
      <x:c r="F439" s="24" t="n">
        <x:v>3</x:v>
      </x:c>
      <x:c r="G439" s="24" t="str">
        <x:v>Specialist who copies enemy or monster abilities and builds versatility through encounter knowledge.</x:v>
      </x:c>
      <x:c r="H439" s="24" t="str">
        <x:v>Do not assume identical training, social status, powers, or mechanics across settings.</x:v>
      </x:c>
      <x:c r="I439" s="24" t="str">
        <x:v>blue mage; mimic; skill copier</x:v>
      </x:c>
      <x:c r="J439" s="24" t="str">
        <x:v>Cross-domain builds, iconic setting professions, transformation systems, and specialized fantasy combat identities.</x:v>
      </x:c>
      <x:c r="K439" s="24" t="str">
        <x:v>blue mage; mimic; skill copier</x:v>
      </x:c>
      <x:c r="L439" s="24" t="str">
        <x:v>Preserve each source's ontology, culture, history, and terminology when making comparisons.</x:v>
      </x:c>
      <x:c r="M439" s="24" t="str">
        <x:v>Core Family</x:v>
      </x:c>
    </x:row>
    <x:row r="440" ht="44" customHeight="1">
      <x:c r="A440" s="24" t="str">
        <x:v>ROL-820</x:v>
      </x:c>
      <x:c r="B440" s="24" t="str">
        <x:v>Mime</x:v>
      </x:c>
      <x:c r="C440" s="24" t="str">
        <x:v>Roles &amp; Vocations</x:v>
      </x:c>
      <x:c r="D440" s="24" t="str">
        <x:v>ROL-800</x:v>
      </x:c>
      <x:c r="E440" s="24" t="str">
        <x:f>IF(D440="","",IFERROR(VLOOKUP(D440,$A$2:$B$1656,2,FALSE),""))</x:f>
        <x:v>Hybrid and Specialist Fantasy Roles</x:v>
      </x:c>
      <x:c r="F440" s="24" t="n">
        <x:v>3</x:v>
      </x:c>
      <x:c r="G440" s="24" t="str">
        <x:v>Performer or game class that repeats, reflects, imitates, or amplifies actions used by others.</x:v>
      </x:c>
      <x:c r="H440" s="24" t="str">
        <x:v>Do not assume identical training, social status, powers, or mechanics across settings.</x:v>
      </x:c>
      <x:c r="I440" s="24" t="str">
        <x:v>mime; copycat; echo class</x:v>
      </x:c>
      <x:c r="J440" s="24" t="str">
        <x:v>Cross-domain builds, iconic setting professions, transformation systems, and specialized fantasy combat identities.</x:v>
      </x:c>
      <x:c r="K440" s="24" t="str">
        <x:v>mime; copycat; echo class</x:v>
      </x:c>
      <x:c r="L440" s="24" t="str">
        <x:v>Preserve each source's ontology, culture, history, and terminology when making comparisons.</x:v>
      </x:c>
      <x:c r="M440" s="24" t="str">
        <x:v>Core Family</x:v>
      </x:c>
    </x:row>
    <x:row r="441" ht="44" customHeight="1">
      <x:c r="A441" s="24" t="str">
        <x:v>ROL-821</x:v>
      </x:c>
      <x:c r="B441" s="24" t="str">
        <x:v>Freelancer and Job Generalist</x:v>
      </x:c>
      <x:c r="C441" s="24" t="str">
        <x:v>Roles &amp; Vocations</x:v>
      </x:c>
      <x:c r="D441" s="24" t="str">
        <x:v>ROL-800</x:v>
      </x:c>
      <x:c r="E441" s="24" t="str">
        <x:f>IF(D441="","",IFERROR(VLOOKUP(D441,$A$2:$B$1656,2,FALSE),""))</x:f>
        <x:v>Hybrid and Specialist Fantasy Roles</x:v>
      </x:c>
      <x:c r="F441" s="24" t="n">
        <x:v>3</x:v>
      </x:c>
      <x:c r="G441" s="24" t="str">
        <x:v>Class whose identity is unrestricted job access, inherited abilities, or flexible reconfiguration.</x:v>
      </x:c>
      <x:c r="H441" s="24" t="str">
        <x:v>Do not assume identical training, social status, powers, or mechanics across settings.</x:v>
      </x:c>
      <x:c r="I441" s="24" t="str">
        <x:v>freelancer; onion knight; jobless; adventurer</x:v>
      </x:c>
      <x:c r="J441" s="24" t="str">
        <x:v>Cross-domain builds, iconic setting professions, transformation systems, and specialized fantasy combat identities.</x:v>
      </x:c>
      <x:c r="K441" s="24" t="str">
        <x:v>freelancer; onion knight; jobless; adventurer</x:v>
      </x:c>
      <x:c r="L441" s="24" t="str">
        <x:v>Preserve each source's ontology, culture, history, and terminology when making comparisons.</x:v>
      </x:c>
      <x:c r="M441" s="24" t="str">
        <x:v>Core Family</x:v>
      </x:c>
    </x:row>
    <x:row r="442" ht="44" customHeight="1">
      <x:c r="A442" s="24" t="str">
        <x:v>ROL-822</x:v>
      </x:c>
      <x:c r="B442" s="24" t="str">
        <x:v>Dancer-Fighter</x:v>
      </x:c>
      <x:c r="C442" s="24" t="str">
        <x:v>Roles &amp; Vocations</x:v>
      </x:c>
      <x:c r="D442" s="24" t="str">
        <x:v>ROL-800</x:v>
      </x:c>
      <x:c r="E442" s="24" t="str">
        <x:f>IF(D442="","",IFERROR(VLOOKUP(D442,$A$2:$B$1656,2,FALSE),""))</x:f>
        <x:v>Hybrid and Specialist Fantasy Roles</x:v>
      </x:c>
      <x:c r="F442" s="24" t="n">
        <x:v>3</x:v>
      </x:c>
      <x:c r="G442" s="24" t="str">
        <x:v>Mobile support or damage role that channels combat effects through choreographed movement.</x:v>
      </x:c>
      <x:c r="H442" s="24" t="str">
        <x:v>Do not assume identical training, social status, powers, or mechanics across settings.</x:v>
      </x:c>
      <x:c r="I442" s="24" t="str">
        <x:v>battle dancer; blade dancer; dancer</x:v>
      </x:c>
      <x:c r="J442" s="24" t="str">
        <x:v>Cross-domain builds, iconic setting professions, transformation systems, and specialized fantasy combat identities.</x:v>
      </x:c>
      <x:c r="K442" s="24" t="str">
        <x:v>battle dancer; blade dancer; dancer</x:v>
      </x:c>
      <x:c r="L442" s="24" t="str">
        <x:v>Preserve each source's ontology, culture, history, and terminology when making comparisons.</x:v>
      </x:c>
      <x:c r="M442" s="24" t="str">
        <x:v>Core Family</x:v>
      </x:c>
    </x:row>
    <x:row r="443" ht="44" customHeight="1">
      <x:c r="A443" s="24" t="str">
        <x:v>ROL-823</x:v>
      </x:c>
      <x:c r="B443" s="24" t="str">
        <x:v>Bardic Warrior</x:v>
      </x:c>
      <x:c r="C443" s="24" t="str">
        <x:v>Roles &amp; Vocations</x:v>
      </x:c>
      <x:c r="D443" s="24" t="str">
        <x:v>ROL-800</x:v>
      </x:c>
      <x:c r="E443" s="24" t="str">
        <x:f>IF(D443="","",IFERROR(VLOOKUP(D443,$A$2:$B$1656,2,FALSE),""))</x:f>
        <x:v>Hybrid and Specialist Fantasy Roles</x:v>
      </x:c>
      <x:c r="F443" s="24" t="n">
        <x:v>3</x:v>
      </x:c>
      <x:c r="G443" s="24" t="str">
        <x:v>Combatant who uses song, rhythm, poetry, or performance alongside weapons and command.</x:v>
      </x:c>
      <x:c r="H443" s="24" t="str">
        <x:v>Do not assume identical training, social status, powers, or mechanics across settings.</x:v>
      </x:c>
      <x:c r="I443" s="24" t="str">
        <x:v>skald; war bard; songblade</x:v>
      </x:c>
      <x:c r="J443" s="24" t="str">
        <x:v>Cross-domain builds, iconic setting professions, transformation systems, and specialized fantasy combat identities.</x:v>
      </x:c>
      <x:c r="K443" s="24" t="str">
        <x:v>skald; war bard; songblade</x:v>
      </x:c>
      <x:c r="L443" s="24" t="str">
        <x:v>Preserve each source's ontology, culture, history, and terminology when making comparisons.</x:v>
      </x:c>
      <x:c r="M443" s="24" t="str">
        <x:v>Core Family</x:v>
      </x:c>
    </x:row>
    <x:row r="444" ht="44" customHeight="1">
      <x:c r="A444" s="24" t="str">
        <x:v>ROL-824</x:v>
      </x:c>
      <x:c r="B444" s="24" t="str">
        <x:v>Dark Magical Girl or Transformation Warrior</x:v>
      </x:c>
      <x:c r="C444" s="24" t="str">
        <x:v>Roles &amp; Vocations</x:v>
      </x:c>
      <x:c r="D444" s="24" t="str">
        <x:v>ROL-800</x:v>
      </x:c>
      <x:c r="E444" s="24" t="str">
        <x:f>IF(D444="","",IFERROR(VLOOKUP(D444,$A$2:$B$1656,2,FALSE),""))</x:f>
        <x:v>Hybrid and Specialist Fantasy Roles</x:v>
      </x:c>
      <x:c r="F444" s="24" t="n">
        <x:v>3</x:v>
      </x:c>
      <x:c r="G444" s="24" t="str">
        <x:v>Character whose combat identity emerges through ritual transformation, costume, symbolic weapon, and emotionally coded power.</x:v>
      </x:c>
      <x:c r="H444" s="24" t="str">
        <x:v>Do not assume identical training, social status, powers, or mechanics across settings.</x:v>
      </x:c>
      <x:c r="I444" s="24" t="str">
        <x:v>magical girl; transformation hero; dark magical girl</x:v>
      </x:c>
      <x:c r="J444" s="24" t="str">
        <x:v>Cross-domain builds, iconic setting professions, transformation systems, and specialized fantasy combat identities.</x:v>
      </x:c>
      <x:c r="K444" s="24" t="str">
        <x:v>magical girl; transformation hero; dark magical girl</x:v>
      </x:c>
      <x:c r="L444" s="24" t="str">
        <x:v>Preserve each source's ontology, culture, history, and terminology when making comparisons.</x:v>
      </x:c>
      <x:c r="M444" s="24" t="str">
        <x:v>Core Family</x:v>
      </x:c>
    </x:row>
    <x:row r="445" ht="44" customHeight="1">
      <x:c r="A445" s="24" t="str">
        <x:v>ROL-825</x:v>
      </x:c>
      <x:c r="B445" s="24" t="str">
        <x:v>Masked Hero</x:v>
      </x:c>
      <x:c r="C445" s="24" t="str">
        <x:v>Roles &amp; Vocations</x:v>
      </x:c>
      <x:c r="D445" s="24" t="str">
        <x:v>ROL-800</x:v>
      </x:c>
      <x:c r="E445" s="24" t="str">
        <x:f>IF(D445="","",IFERROR(VLOOKUP(D445,$A$2:$B$1656,2,FALSE),""))</x:f>
        <x:v>Hybrid and Specialist Fantasy Roles</x:v>
      </x:c>
      <x:c r="F445" s="24" t="n">
        <x:v>3</x:v>
      </x:c>
      <x:c r="G445" s="24" t="str">
        <x:v>Combatant whose secret identity, magical mask, inherited persona, or transformation separates public and heroic selves.</x:v>
      </x:c>
      <x:c r="H445" s="24" t="str">
        <x:v>Do not assume identical training, social status, powers, or mechanics across settings.</x:v>
      </x:c>
      <x:c r="I445" s="24" t="str">
        <x:v>masked hero; henshin warrior</x:v>
      </x:c>
      <x:c r="J445" s="24" t="str">
        <x:v>Cross-domain builds, iconic setting professions, transformation systems, and specialized fantasy combat identities.</x:v>
      </x:c>
      <x:c r="K445" s="24" t="str">
        <x:v>masked hero; henshin warrior</x:v>
      </x:c>
      <x:c r="L445" s="24" t="str">
        <x:v>Preserve each source's ontology, culture, history, and terminology when making comparisons.</x:v>
      </x:c>
      <x:c r="M445" s="24" t="str">
        <x:v>Core Family</x:v>
      </x:c>
    </x:row>
    <x:row r="446" ht="44" customHeight="1">
      <x:c r="A446" s="24" t="str">
        <x:v>ROL-826</x:v>
      </x:c>
      <x:c r="B446" s="24" t="str">
        <x:v>Cursed Weapon User</x:v>
      </x:c>
      <x:c r="C446" s="24" t="str">
        <x:v>Roles &amp; Vocations</x:v>
      </x:c>
      <x:c r="D446" s="24" t="str">
        <x:v>ROL-800</x:v>
      </x:c>
      <x:c r="E446" s="24" t="str">
        <x:f>IF(D446="","",IFERROR(VLOOKUP(D446,$A$2:$B$1656,2,FALSE),""))</x:f>
        <x:v>Hybrid and Specialist Fantasy Roles</x:v>
      </x:c>
      <x:c r="F446" s="24" t="n">
        <x:v>3</x:v>
      </x:c>
      <x:c r="G446" s="24" t="str">
        <x:v>Fighter whose power depends on a sentient, corrupting, hungry, or dangerous weapon bond.</x:v>
      </x:c>
      <x:c r="H446" s="24" t="str">
        <x:v>Do not assume identical training, social status, powers, or mechanics across settings.</x:v>
      </x:c>
      <x:c r="I446" s="24" t="str">
        <x:v>cursed swordsman; weapon bearer</x:v>
      </x:c>
      <x:c r="J446" s="24" t="str">
        <x:v>Cross-domain builds, iconic setting professions, transformation systems, and specialized fantasy combat identities.</x:v>
      </x:c>
      <x:c r="K446" s="24" t="str">
        <x:v>cursed swordsman; weapon bearer</x:v>
      </x:c>
      <x:c r="L446" s="24" t="str">
        <x:v>Preserve each source's ontology, culture, history, and terminology when making comparisons.</x:v>
      </x:c>
      <x:c r="M446" s="24" t="str">
        <x:v>Core Family</x:v>
      </x:c>
    </x:row>
    <x:row r="447" ht="44" customHeight="1">
      <x:c r="A447" s="24" t="str">
        <x:v>ROL-827</x:v>
      </x:c>
      <x:c r="B447" s="24" t="str">
        <x:v>Blood Knight</x:v>
      </x:c>
      <x:c r="C447" s="24" t="str">
        <x:v>Roles &amp; Vocations</x:v>
      </x:c>
      <x:c r="D447" s="24" t="str">
        <x:v>ROL-800</x:v>
      </x:c>
      <x:c r="E447" s="24" t="str">
        <x:f>IF(D447="","",IFERROR(VLOOKUP(D447,$A$2:$B$1656,2,FALSE),""))</x:f>
        <x:v>Hybrid and Specialist Fantasy Roles</x:v>
      </x:c>
      <x:c r="F447" s="24" t="n">
        <x:v>3</x:v>
      </x:c>
      <x:c r="G447" s="24" t="str">
        <x:v>Warrior who uses blood, wounds, vitality, or sacrifice as combat resource and magical fuel.</x:v>
      </x:c>
      <x:c r="H447" s="24" t="str">
        <x:v>Do not assume identical training, social status, powers, or mechanics across settings.</x:v>
      </x:c>
      <x:c r="I447" s="24" t="str">
        <x:v>blood knight; hemowarrior</x:v>
      </x:c>
      <x:c r="J447" s="24" t="str">
        <x:v>Cross-domain builds, iconic setting professions, transformation systems, and specialized fantasy combat identities.</x:v>
      </x:c>
      <x:c r="K447" s="24" t="str">
        <x:v>blood knight; hemowarrior</x:v>
      </x:c>
      <x:c r="L447" s="24" t="str">
        <x:v>Preserve each source's ontology, culture, history, and terminology when making comparisons.</x:v>
      </x:c>
      <x:c r="M447" s="24" t="str">
        <x:v>Core Family</x:v>
      </x:c>
    </x:row>
    <x:row r="448" ht="44" customHeight="1">
      <x:c r="A448" s="24" t="str">
        <x:v>ROL-828</x:v>
      </x:c>
      <x:c r="B448" s="24" t="str">
        <x:v>Spirit Warrior</x:v>
      </x:c>
      <x:c r="C448" s="24" t="str">
        <x:v>Roles &amp; Vocations</x:v>
      </x:c>
      <x:c r="D448" s="24" t="str">
        <x:v>ROL-800</x:v>
      </x:c>
      <x:c r="E448" s="24" t="str">
        <x:f>IF(D448="","",IFERROR(VLOOKUP(D448,$A$2:$B$1656,2,FALSE),""))</x:f>
        <x:v>Hybrid and Specialist Fantasy Roles</x:v>
      </x:c>
      <x:c r="F448" s="24" t="n">
        <x:v>3</x:v>
      </x:c>
      <x:c r="G448" s="24" t="str">
        <x:v>Combatant empowered by ancestors, totems, possession, guardian spirits, or spirit weapons.</x:v>
      </x:c>
      <x:c r="H448" s="24" t="str">
        <x:v>Do not assume identical training, social status, powers, or mechanics across settings.</x:v>
      </x:c>
      <x:c r="I448" s="24" t="str">
        <x:v>spirit warrior; ancestor champion</x:v>
      </x:c>
      <x:c r="J448" s="24" t="str">
        <x:v>Cross-domain builds, iconic setting professions, transformation systems, and specialized fantasy combat identities.</x:v>
      </x:c>
      <x:c r="K448" s="24" t="str">
        <x:v>spirit warrior; ancestor champion</x:v>
      </x:c>
      <x:c r="L448" s="24" t="str">
        <x:v>Preserve each source's ontology, culture, history, and terminology when making comparisons.</x:v>
      </x:c>
      <x:c r="M448" s="24" t="str">
        <x:v>Core Family</x:v>
      </x:c>
    </x:row>
    <x:row r="449" ht="44" customHeight="1">
      <x:c r="A449" s="24" t="str">
        <x:v>ROL-829</x:v>
      </x:c>
      <x:c r="B449" s="24" t="str">
        <x:v>Elemental Knight</x:v>
      </x:c>
      <x:c r="C449" s="24" t="str">
        <x:v>Roles &amp; Vocations</x:v>
      </x:c>
      <x:c r="D449" s="24" t="str">
        <x:v>ROL-800</x:v>
      </x:c>
      <x:c r="E449" s="24" t="str">
        <x:f>IF(D449="","",IFERROR(VLOOKUP(D449,$A$2:$B$1656,2,FALSE),""))</x:f>
        <x:v>Hybrid and Specialist Fantasy Roles</x:v>
      </x:c>
      <x:c r="F449" s="24" t="n">
        <x:v>3</x:v>
      </x:c>
      <x:c r="G449" s="24" t="str">
        <x:v>Martial specialist who imbues body and weapons with elemental force.</x:v>
      </x:c>
      <x:c r="H449" s="24" t="str">
        <x:v>Do not assume identical training, social status, powers, or mechanics across settings.</x:v>
      </x:c>
      <x:c r="I449" s="24" t="str">
        <x:v>elemental knight; flame knight; frost knight</x:v>
      </x:c>
      <x:c r="J449" s="24" t="str">
        <x:v>Cross-domain builds, iconic setting professions, transformation systems, and specialized fantasy combat identities.</x:v>
      </x:c>
      <x:c r="K449" s="24" t="str">
        <x:v>elemental knight; flame knight; frost knight</x:v>
      </x:c>
      <x:c r="L449" s="24" t="str">
        <x:v>Preserve each source's ontology, culture, history, and terminology when making comparisons.</x:v>
      </x:c>
      <x:c r="M449" s="24" t="str">
        <x:v>Core Family</x:v>
      </x:c>
    </x:row>
    <x:row r="450" ht="44" customHeight="1">
      <x:c r="A450" s="24" t="str">
        <x:v>ROL-830</x:v>
      </x:c>
      <x:c r="B450" s="24" t="str">
        <x:v>Holy Gunner</x:v>
      </x:c>
      <x:c r="C450" s="24" t="str">
        <x:v>Roles &amp; Vocations</x:v>
      </x:c>
      <x:c r="D450" s="24" t="str">
        <x:v>ROL-800</x:v>
      </x:c>
      <x:c r="E450" s="24" t="str">
        <x:f>IF(D450="","",IFERROR(VLOOKUP(D450,$A$2:$B$1656,2,FALSE),""))</x:f>
        <x:v>Hybrid and Specialist Fantasy Roles</x:v>
      </x:c>
      <x:c r="F450" s="24" t="n">
        <x:v>3</x:v>
      </x:c>
      <x:c r="G450" s="24" t="str">
        <x:v>Ranged firearm specialist using sacred ammunition, exorcistic rites, or anti-monster technology.</x:v>
      </x:c>
      <x:c r="H450" s="24" t="str">
        <x:v>Do not assume identical training, social status, powers, or mechanics across settings.</x:v>
      </x:c>
      <x:c r="I450" s="24" t="str">
        <x:v>holy gunner; gun priest; witch hunter</x:v>
      </x:c>
      <x:c r="J450" s="24" t="str">
        <x:v>Cross-domain builds, iconic setting professions, transformation systems, and specialized fantasy combat identities.</x:v>
      </x:c>
      <x:c r="K450" s="24" t="str">
        <x:v>holy gunner; gun priest; witch hunter</x:v>
      </x:c>
      <x:c r="L450" s="24" t="str">
        <x:v>Preserve each source's ontology, culture, history, and terminology when making comparisons.</x:v>
      </x:c>
      <x:c r="M450" s="24" t="str">
        <x:v>Core Family</x:v>
      </x:c>
    </x:row>
    <x:row r="451" ht="44" customHeight="1">
      <x:c r="A451" s="24" t="str">
        <x:v>ROL-831</x:v>
      </x:c>
      <x:c r="B451" s="24" t="str">
        <x:v>Reaper</x:v>
      </x:c>
      <x:c r="C451" s="24" t="str">
        <x:v>Roles &amp; Vocations</x:v>
      </x:c>
      <x:c r="D451" s="24" t="str">
        <x:v>ROL-800</x:v>
      </x:c>
      <x:c r="E451" s="24" t="str">
        <x:f>IF(D451="","",IFERROR(VLOOKUP(D451,$A$2:$B$1656,2,FALSE),""))</x:f>
        <x:v>Hybrid and Specialist Fantasy Roles</x:v>
      </x:c>
      <x:c r="F451" s="24" t="n">
        <x:v>3</x:v>
      </x:c>
      <x:c r="G451" s="24" t="str">
        <x:v>Scythe-using or death-themed combatant associated with soul harvesting, spectral avatars, or execution.</x:v>
      </x:c>
      <x:c r="H451" s="24" t="str">
        <x:v>Do not assume identical training, social status, powers, or mechanics across settings.</x:v>
      </x:c>
      <x:c r="I451" s="24" t="str">
        <x:v>reaper; soul reaper; scythe knight</x:v>
      </x:c>
      <x:c r="J451" s="24" t="str">
        <x:v>Cross-domain builds, iconic setting professions, transformation systems, and specialized fantasy combat identities.</x:v>
      </x:c>
      <x:c r="K451" s="24" t="str">
        <x:v>reaper; soul reaper; scythe knight</x:v>
      </x:c>
      <x:c r="L451" s="24" t="str">
        <x:v>Preserve each source's ontology, culture, history, and terminology when making comparisons.</x:v>
      </x:c>
      <x:c r="M451" s="24" t="str">
        <x:v>Core Family</x:v>
      </x:c>
    </x:row>
    <x:row r="452" ht="44" customHeight="1">
      <x:c r="A452" s="24" t="str">
        <x:v>ROL-832</x:v>
      </x:c>
      <x:c r="B452" s="24" t="str">
        <x:v>Astrologian Healer</x:v>
      </x:c>
      <x:c r="C452" s="24" t="str">
        <x:v>Roles &amp; Vocations</x:v>
      </x:c>
      <x:c r="D452" s="24" t="str">
        <x:v>ROL-800</x:v>
      </x:c>
      <x:c r="E452" s="24" t="str">
        <x:f>IF(D452="","",IFERROR(VLOOKUP(D452,$A$2:$B$1656,2,FALSE),""))</x:f>
        <x:v>Hybrid and Specialist Fantasy Roles</x:v>
      </x:c>
      <x:c r="F452" s="24" t="n">
        <x:v>3</x:v>
      </x:c>
      <x:c r="G452" s="24" t="str">
        <x:v>Support caster using cards, stars, fate, or celestial timing to heal and enhance allies.</x:v>
      </x:c>
      <x:c r="H452" s="24" t="str">
        <x:v>Do not assume identical training, social status, powers, or mechanics across settings.</x:v>
      </x:c>
      <x:c r="I452" s="24" t="str">
        <x:v>astrologian; star healer</x:v>
      </x:c>
      <x:c r="J452" s="24" t="str">
        <x:v>Cross-domain builds, iconic setting professions, transformation systems, and specialized fantasy combat identities.</x:v>
      </x:c>
      <x:c r="K452" s="24" t="str">
        <x:v>astrologian; star healer</x:v>
      </x:c>
      <x:c r="L452" s="24" t="str">
        <x:v>Preserve each source's ontology, culture, history, and terminology when making comparisons.</x:v>
      </x:c>
      <x:c r="M452" s="24" t="str">
        <x:v>Core Family</x:v>
      </x:c>
    </x:row>
    <x:row r="453" ht="44" customHeight="1">
      <x:c r="A453" s="24" t="str">
        <x:v>ROL-833</x:v>
      </x:c>
      <x:c r="B453" s="24" t="str">
        <x:v>Scholar-Healer</x:v>
      </x:c>
      <x:c r="C453" s="24" t="str">
        <x:v>Roles &amp; Vocations</x:v>
      </x:c>
      <x:c r="D453" s="24" t="str">
        <x:v>ROL-800</x:v>
      </x:c>
      <x:c r="E453" s="24" t="str">
        <x:f>IF(D453="","",IFERROR(VLOOKUP(D453,$A$2:$B$1656,2,FALSE),""))</x:f>
        <x:v>Hybrid and Specialist Fantasy Roles</x:v>
      </x:c>
      <x:c r="F453" s="24" t="n">
        <x:v>3</x:v>
      </x:c>
      <x:c r="G453" s="24" t="str">
        <x:v>Tactical healer whose identity combines books, strategy, summoned assistants, barriers, and analytical magic.</x:v>
      </x:c>
      <x:c r="H453" s="24" t="str">
        <x:v>Do not assume identical training, social status, powers, or mechanics across settings.</x:v>
      </x:c>
      <x:c r="I453" s="24" t="str">
        <x:v>scholar; tactician healer</x:v>
      </x:c>
      <x:c r="J453" s="24" t="str">
        <x:v>Cross-domain builds, iconic setting professions, transformation systems, and specialized fantasy combat identities.</x:v>
      </x:c>
      <x:c r="K453" s="24" t="str">
        <x:v>scholar; tactician healer</x:v>
      </x:c>
      <x:c r="L453" s="24" t="str">
        <x:v>Preserve each source's ontology, culture, history, and terminology when making comparisons.</x:v>
      </x:c>
      <x:c r="M453" s="24" t="str">
        <x:v>Core Family</x:v>
      </x:c>
    </x:row>
    <x:row r="454" ht="44" customHeight="1">
      <x:c r="A454" s="24" t="str">
        <x:v>ROL-834</x:v>
      </x:c>
      <x:c r="B454" s="24" t="str">
        <x:v>Gunbreaker and Explosive Blade Knight</x:v>
      </x:c>
      <x:c r="C454" s="24" t="str">
        <x:v>Roles &amp; Vocations</x:v>
      </x:c>
      <x:c r="D454" s="24" t="str">
        <x:v>ROL-800</x:v>
      </x:c>
      <x:c r="E454" s="24" t="str">
        <x:f>IF(D454="","",IFERROR(VLOOKUP(D454,$A$2:$B$1656,2,FALSE),""))</x:f>
        <x:v>Hybrid and Specialist Fantasy Roles</x:v>
      </x:c>
      <x:c r="F454" s="24" t="n">
        <x:v>3</x:v>
      </x:c>
      <x:c r="G454" s="24" t="str">
        <x:v>Tank or duelist using a gunblade or mechanically charged weapon to combine defense and explosive offense.</x:v>
      </x:c>
      <x:c r="H454" s="24" t="str">
        <x:v>Do not assume identical training, social status, powers, or mechanics across settings.</x:v>
      </x:c>
      <x:c r="I454" s="24" t="str">
        <x:v>gunbreaker; gunblade knight</x:v>
      </x:c>
      <x:c r="J454" s="24" t="str">
        <x:v>Cross-domain builds, iconic setting professions, transformation systems, and specialized fantasy combat identities.</x:v>
      </x:c>
      <x:c r="K454" s="24" t="str">
        <x:v>gunbreaker; gunblade knight</x:v>
      </x:c>
      <x:c r="L454" s="24" t="str">
        <x:v>Preserve each source's ontology, culture, history, and terminology when making comparisons.</x:v>
      </x:c>
      <x:c r="M454" s="24" t="str">
        <x:v>Core Family</x:v>
      </x:c>
    </x:row>
    <x:row r="455" ht="44" customHeight="1">
      <x:c r="A455" s="24" t="str">
        <x:v>ROL-835</x:v>
      </x:c>
      <x:c r="B455" s="24" t="str">
        <x:v>Ritual Assassin</x:v>
      </x:c>
      <x:c r="C455" s="24" t="str">
        <x:v>Roles &amp; Vocations</x:v>
      </x:c>
      <x:c r="D455" s="24" t="str">
        <x:v>ROL-800</x:v>
      </x:c>
      <x:c r="E455" s="24" t="str">
        <x:f>IF(D455="","",IFERROR(VLOOKUP(D455,$A$2:$B$1656,2,FALSE),""))</x:f>
        <x:v>Hybrid and Specialist Fantasy Roles</x:v>
      </x:c>
      <x:c r="F455" s="24" t="n">
        <x:v>3</x:v>
      </x:c>
      <x:c r="G455" s="24" t="str">
        <x:v>Killer whose methods combine murder with sacrifice, soul work, divine service, or magical identity theft.</x:v>
      </x:c>
      <x:c r="H455" s="24" t="str">
        <x:v>Do not assume identical training, social status, powers, or mechanics across settings.</x:v>
      </x:c>
      <x:c r="I455" s="24" t="str">
        <x:v>ritual assassin; faceless killer; death cultist</x:v>
      </x:c>
      <x:c r="J455" s="24" t="str">
        <x:v>Cross-domain builds, iconic setting professions, transformation systems, and specialized fantasy combat identities.</x:v>
      </x:c>
      <x:c r="K455" s="24" t="str">
        <x:v>ritual assassin; faceless killer; death cultist</x:v>
      </x:c>
      <x:c r="L455" s="24" t="str">
        <x:v>Preserve each source's ontology, culture, history, and terminology when making comparisons.</x:v>
      </x:c>
      <x:c r="M455" s="24" t="str">
        <x:v>Core Family</x:v>
      </x:c>
    </x:row>
    <x:row r="456" ht="44" customHeight="1">
      <x:c r="A456" s="24" t="str">
        <x:v>ROL-836</x:v>
      </x:c>
      <x:c r="B456" s="24" t="str">
        <x:v>Battle Alchemist</x:v>
      </x:c>
      <x:c r="C456" s="24" t="str">
        <x:v>Roles &amp; Vocations</x:v>
      </x:c>
      <x:c r="D456" s="24" t="str">
        <x:v>ROL-800</x:v>
      </x:c>
      <x:c r="E456" s="24" t="str">
        <x:f>IF(D456="","",IFERROR(VLOOKUP(D456,$A$2:$B$1656,2,FALSE),""))</x:f>
        <x:v>Hybrid and Specialist Fantasy Roles</x:v>
      </x:c>
      <x:c r="F456" s="24" t="n">
        <x:v>3</x:v>
      </x:c>
      <x:c r="G456" s="24" t="str">
        <x:v>Combatant who uses bombs, potions, transmutation, mutagens, or prepared compounds in active battle.</x:v>
      </x:c>
      <x:c r="H456" s="24" t="str">
        <x:v>Do not assume identical training, social status, powers, or mechanics across settings.</x:v>
      </x:c>
      <x:c r="I456" s="24" t="str">
        <x:v>battle alchemist; bomber; mutagenist</x:v>
      </x:c>
      <x:c r="J456" s="24" t="str">
        <x:v>Cross-domain builds, iconic setting professions, transformation systems, and specialized fantasy combat identities.</x:v>
      </x:c>
      <x:c r="K456" s="24" t="str">
        <x:v>battle alchemist; bomber; mutagenist</x:v>
      </x:c>
      <x:c r="L456" s="24" t="str">
        <x:v>Preserve each source's ontology, culture, history, and terminology when making comparisons.</x:v>
      </x:c>
      <x:c r="M456" s="24" t="str">
        <x:v>Core Family</x:v>
      </x:c>
    </x:row>
    <x:row r="457" ht="44" customHeight="1">
      <x:c r="A457" s="24" t="str">
        <x:v>ROL-901</x:v>
      </x:c>
      <x:c r="B457" s="24" t="str">
        <x:v>Adventurer</x:v>
      </x:c>
      <x:c r="C457" s="24" t="str">
        <x:v>Roles &amp; Vocations</x:v>
      </x:c>
      <x:c r="D457" s="24" t="str">
        <x:v>ROL-900</x:v>
      </x:c>
      <x:c r="E457" s="24" t="str">
        <x:f>IF(D457="","",IFERROR(VLOOKUP(D457,$A$2:$B$1656,2,FALSE),""))</x:f>
        <x:v>Progression, Cultivation, and Adventure Roles</x:v>
      </x:c>
      <x:c r="F457" s="24" t="n">
        <x:v>3</x:v>
      </x:c>
      <x:c r="G457" s="24" t="str">
        <x:v>Mobile problem-solver who explores ruins, accepts quests, fights monsters, and operates outside ordinary occupations.</x:v>
      </x:c>
      <x:c r="H457" s="24" t="str">
        <x:v>Do not assume identical training, social status, powers, or mechanics across settings.</x:v>
      </x:c>
      <x:c r="I457" s="24" t="str">
        <x:v>adventurer; quester; free agent</x:v>
      </x:c>
      <x:c r="J457" s="24" t="str">
        <x:v>Advancement, ranking, exploration, guild economy, cultivation, and system-mediated identity.</x:v>
      </x:c>
      <x:c r="K457" s="24" t="str">
        <x:v>adventurer; quester; free agent</x:v>
      </x:c>
      <x:c r="L457" s="24" t="str">
        <x:v>Preserve each source's ontology, culture, history, and terminology when making comparisons.</x:v>
      </x:c>
      <x:c r="M457" s="24" t="str">
        <x:v>Core Family</x:v>
      </x:c>
    </x:row>
    <x:row r="458" ht="44" customHeight="1">
      <x:c r="A458" s="24" t="str">
        <x:v>ROL-902</x:v>
      </x:c>
      <x:c r="B458" s="24" t="str">
        <x:v>Guild Adventurer</x:v>
      </x:c>
      <x:c r="C458" s="24" t="str">
        <x:v>Roles &amp; Vocations</x:v>
      </x:c>
      <x:c r="D458" s="24" t="str">
        <x:v>ROL-900</x:v>
      </x:c>
      <x:c r="E458" s="24" t="str">
        <x:f>IF(D458="","",IFERROR(VLOOKUP(D458,$A$2:$B$1656,2,FALSE),""))</x:f>
        <x:v>Progression, Cultivation, and Adventure Roles</x:v>
      </x:c>
      <x:c r="F458" s="24" t="n">
        <x:v>3</x:v>
      </x:c>
      <x:c r="G458" s="24" t="str">
        <x:v>Adventurer formally ranked, licensed, and economically integrated through a guild or registry.</x:v>
      </x:c>
      <x:c r="H458" s="24" t="str">
        <x:v>Do not assume identical training, social status, powers, or mechanics across settings.</x:v>
      </x:c>
      <x:c r="I458" s="24" t="str">
        <x:v>guild adventurer; ranked adventurer</x:v>
      </x:c>
      <x:c r="J458" s="24" t="str">
        <x:v>Advancement, ranking, exploration, guild economy, cultivation, and system-mediated identity.</x:v>
      </x:c>
      <x:c r="K458" s="24" t="str">
        <x:v>guild adventurer; ranked adventurer</x:v>
      </x:c>
      <x:c r="L458" s="24" t="str">
        <x:v>Preserve each source's ontology, culture, history, and terminology when making comparisons.</x:v>
      </x:c>
      <x:c r="M458" s="24" t="str">
        <x:v>Core Family</x:v>
      </x:c>
    </x:row>
    <x:row r="459" ht="44" customHeight="1">
      <x:c r="A459" s="24" t="str">
        <x:v>ROL-903</x:v>
      </x:c>
      <x:c r="B459" s="24" t="str">
        <x:v>Dungeon Delver</x:v>
      </x:c>
      <x:c r="C459" s="24" t="str">
        <x:v>Roles &amp; Vocations</x:v>
      </x:c>
      <x:c r="D459" s="24" t="str">
        <x:v>ROL-900</x:v>
      </x:c>
      <x:c r="E459" s="24" t="str">
        <x:f>IF(D459="","",IFERROR(VLOOKUP(D459,$A$2:$B$1656,2,FALSE),""))</x:f>
        <x:v>Progression, Cultivation, and Adventure Roles</x:v>
      </x:c>
      <x:c r="F459" s="24" t="n">
        <x:v>3</x:v>
      </x:c>
      <x:c r="G459" s="24" t="str">
        <x:v>Specialist in entering, mapping, looting, surviving, and clearing dangerous enclosed sites.</x:v>
      </x:c>
      <x:c r="H459" s="24" t="str">
        <x:v>Do not assume identical training, social status, powers, or mechanics across settings.</x:v>
      </x:c>
      <x:c r="I459" s="24" t="str">
        <x:v>dungeon delver; ruin explorer</x:v>
      </x:c>
      <x:c r="J459" s="24" t="str">
        <x:v>Advancement, ranking, exploration, guild economy, cultivation, and system-mediated identity.</x:v>
      </x:c>
      <x:c r="K459" s="24" t="str">
        <x:v>dungeon delver; ruin explorer</x:v>
      </x:c>
      <x:c r="L459" s="24" t="str">
        <x:v>Preserve each source's ontology, culture, history, and terminology when making comparisons.</x:v>
      </x:c>
      <x:c r="M459" s="24" t="str">
        <x:v>Core Family</x:v>
      </x:c>
    </x:row>
    <x:row r="460" ht="44" customHeight="1">
      <x:c r="A460" s="24" t="str">
        <x:v>ROL-904</x:v>
      </x:c>
      <x:c r="B460" s="24" t="str">
        <x:v>Hero Class</x:v>
      </x:c>
      <x:c r="C460" s="24" t="str">
        <x:v>Roles &amp; Vocations</x:v>
      </x:c>
      <x:c r="D460" s="24" t="str">
        <x:v>ROL-900</x:v>
      </x:c>
      <x:c r="E460" s="24" t="str">
        <x:f>IF(D460="","",IFERROR(VLOOKUP(D460,$A$2:$B$1656,2,FALSE),""))</x:f>
        <x:v>Progression, Cultivation, and Adventure Roles</x:v>
      </x:c>
      <x:c r="F460" s="24" t="n">
        <x:v>3</x:v>
      </x:c>
      <x:c r="G460" s="24" t="str">
        <x:v>System-recognized vocation or title assigned to a champion expected to defeat a demon lord or save the world.</x:v>
      </x:c>
      <x:c r="H460" s="24" t="str">
        <x:v>Do not assume identical training, social status, powers, or mechanics across settings.</x:v>
      </x:c>
      <x:c r="I460" s="24" t="str">
        <x:v>hero; chosen class; brave</x:v>
      </x:c>
      <x:c r="J460" s="24" t="str">
        <x:v>Advancement, ranking, exploration, guild economy, cultivation, and system-mediated identity.</x:v>
      </x:c>
      <x:c r="K460" s="24" t="str">
        <x:v>hero; chosen class; brave</x:v>
      </x:c>
      <x:c r="L460" s="24" t="str">
        <x:v>Preserve each source's ontology, culture, history, and terminology when making comparisons.</x:v>
      </x:c>
      <x:c r="M460" s="24" t="str">
        <x:v>Core Family</x:v>
      </x:c>
    </x:row>
    <x:row r="461" ht="44" customHeight="1">
      <x:c r="A461" s="24" t="str">
        <x:v>ROL-905</x:v>
      </x:c>
      <x:c r="B461" s="24" t="str">
        <x:v>Demon Lord Class</x:v>
      </x:c>
      <x:c r="C461" s="24" t="str">
        <x:v>Roles &amp; Vocations</x:v>
      </x:c>
      <x:c r="D461" s="24" t="str">
        <x:v>ROL-900</x:v>
      </x:c>
      <x:c r="E461" s="24" t="str">
        <x:f>IF(D461="","",IFERROR(VLOOKUP(D461,$A$2:$B$1656,2,FALSE),""))</x:f>
        <x:v>Progression, Cultivation, and Adventure Roles</x:v>
      </x:c>
      <x:c r="F461" s="24" t="n">
        <x:v>3</x:v>
      </x:c>
      <x:c r="G461" s="24" t="str">
        <x:v>System-recognized antagonist or sovereign role granting authority over monsters, demons, or a dark domain.</x:v>
      </x:c>
      <x:c r="H461" s="24" t="str">
        <x:v>Do not assume identical training, social status, powers, or mechanics across settings.</x:v>
      </x:c>
      <x:c r="I461" s="24" t="str">
        <x:v>demon lord; maou-like role</x:v>
      </x:c>
      <x:c r="J461" s="24" t="str">
        <x:v>Advancement, ranking, exploration, guild economy, cultivation, and system-mediated identity.</x:v>
      </x:c>
      <x:c r="K461" s="24" t="str">
        <x:v>demon lord; maou-like role</x:v>
      </x:c>
      <x:c r="L461" s="24" t="str">
        <x:v>Preserve each source's ontology, culture, history, and terminology when making comparisons.</x:v>
      </x:c>
      <x:c r="M461" s="24" t="str">
        <x:v>Core Family</x:v>
      </x:c>
    </x:row>
    <x:row r="462" ht="44" customHeight="1">
      <x:c r="A462" s="24" t="str">
        <x:v>ROL-906</x:v>
      </x:c>
      <x:c r="B462" s="24" t="str">
        <x:v>Cultivator</x:v>
      </x:c>
      <x:c r="C462" s="24" t="str">
        <x:v>Roles &amp; Vocations</x:v>
      </x:c>
      <x:c r="D462" s="24" t="str">
        <x:v>ROL-900</x:v>
      </x:c>
      <x:c r="E462" s="24" t="str">
        <x:f>IF(D462="","",IFERROR(VLOOKUP(D462,$A$2:$B$1656,2,FALSE),""))</x:f>
        <x:v>Progression, Cultivation, and Adventure Roles</x:v>
      </x:c>
      <x:c r="F462" s="24" t="n">
        <x:v>3</x:v>
      </x:c>
      <x:c r="G462" s="24" t="str">
        <x:v>Practitioner who advances through disciplined refinement of body, energy, spirit, insight, and cosmological stages.</x:v>
      </x:c>
      <x:c r="H462" s="24" t="str">
        <x:v>Do not assume identical training, social status, powers, or mechanics across settings.</x:v>
      </x:c>
      <x:c r="I462" s="24" t="str">
        <x:v>cultivator; immortal cultivator; qi practitioner</x:v>
      </x:c>
      <x:c r="J462" s="24" t="str">
        <x:v>Advancement, ranking, exploration, guild economy, cultivation, and system-mediated identity.</x:v>
      </x:c>
      <x:c r="K462" s="24" t="str">
        <x:v>cultivator; immortal cultivator; qi practitioner</x:v>
      </x:c>
      <x:c r="L462" s="24" t="str">
        <x:v>Cultivation draws on Chinese religious, philosophical, literary, and modern xianxia traditions; preserve that context.</x:v>
      </x:c>
      <x:c r="M462" s="24" t="str">
        <x:v>Core Family</x:v>
      </x:c>
    </x:row>
    <x:row r="463" ht="44" customHeight="1">
      <x:c r="A463" s="24" t="str">
        <x:v>ROL-907</x:v>
      </x:c>
      <x:c r="B463" s="24" t="str">
        <x:v>Martial Cultivator</x:v>
      </x:c>
      <x:c r="C463" s="24" t="str">
        <x:v>Roles &amp; Vocations</x:v>
      </x:c>
      <x:c r="D463" s="24" t="str">
        <x:v>ROL-900</x:v>
      </x:c>
      <x:c r="E463" s="24" t="str">
        <x:f>IF(D463="","",IFERROR(VLOOKUP(D463,$A$2:$B$1656,2,FALSE),""))</x:f>
        <x:v>Progression, Cultivation, and Adventure Roles</x:v>
      </x:c>
      <x:c r="F463" s="24" t="n">
        <x:v>3</x:v>
      </x:c>
      <x:c r="G463" s="24" t="str">
        <x:v>Cultivator whose advancement centers on combat arts, qi circulation, meridians, and bodily mastery.</x:v>
      </x:c>
      <x:c r="H463" s="24" t="str">
        <x:v>Do not assume identical training, social status, powers, or mechanics across settings.</x:v>
      </x:c>
      <x:c r="I463" s="24" t="str">
        <x:v>martial cultivator; martial artist; wuxia/xianxia fighter</x:v>
      </x:c>
      <x:c r="J463" s="24" t="str">
        <x:v>Advancement, ranking, exploration, guild economy, cultivation, and system-mediated identity.</x:v>
      </x:c>
      <x:c r="K463" s="24" t="str">
        <x:v>martial cultivator; martial artist; wuxia/xianxia fighter</x:v>
      </x:c>
      <x:c r="L463" s="24" t="str">
        <x:v>Preserve each source's ontology, culture, history, and terminology when making comparisons.</x:v>
      </x:c>
      <x:c r="M463" s="24" t="str">
        <x:v>Core Family</x:v>
      </x:c>
    </x:row>
    <x:row r="464" ht="44" customHeight="1">
      <x:c r="A464" s="24" t="str">
        <x:v>ROL-908</x:v>
      </x:c>
      <x:c r="B464" s="24" t="str">
        <x:v>Sword Cultivator</x:v>
      </x:c>
      <x:c r="C464" s="24" t="str">
        <x:v>Roles &amp; Vocations</x:v>
      </x:c>
      <x:c r="D464" s="24" t="str">
        <x:v>ROL-900</x:v>
      </x:c>
      <x:c r="E464" s="24" t="str">
        <x:f>IF(D464="","",IFERROR(VLOOKUP(D464,$A$2:$B$1656,2,FALSE),""))</x:f>
        <x:v>Progression, Cultivation, and Adventure Roles</x:v>
      </x:c>
      <x:c r="F464" s="24" t="n">
        <x:v>3</x:v>
      </x:c>
      <x:c r="G464" s="24" t="str">
        <x:v>Cultivator whose spiritual path, intent, and techniques are organized around the sword.</x:v>
      </x:c>
      <x:c r="H464" s="24" t="str">
        <x:v>Do not assume identical training, social status, powers, or mechanics across settings.</x:v>
      </x:c>
      <x:c r="I464" s="24" t="str">
        <x:v>sword cultivator; sword immortal</x:v>
      </x:c>
      <x:c r="J464" s="24" t="str">
        <x:v>Advancement, ranking, exploration, guild economy, cultivation, and system-mediated identity.</x:v>
      </x:c>
      <x:c r="K464" s="24" t="str">
        <x:v>sword cultivator; sword immortal</x:v>
      </x:c>
      <x:c r="L464" s="24" t="str">
        <x:v>Preserve each source's ontology, culture, history, and terminology when making comparisons.</x:v>
      </x:c>
      <x:c r="M464" s="24" t="str">
        <x:v>Core Family</x:v>
      </x:c>
    </x:row>
    <x:row r="465" ht="44" customHeight="1">
      <x:c r="A465" s="24" t="str">
        <x:v>ROL-909</x:v>
      </x:c>
      <x:c r="B465" s="24" t="str">
        <x:v>Body Cultivator</x:v>
      </x:c>
      <x:c r="C465" s="24" t="str">
        <x:v>Roles &amp; Vocations</x:v>
      </x:c>
      <x:c r="D465" s="24" t="str">
        <x:v>ROL-900</x:v>
      </x:c>
      <x:c r="E465" s="24" t="str">
        <x:f>IF(D465="","",IFERROR(VLOOKUP(D465,$A$2:$B$1656,2,FALSE),""))</x:f>
        <x:v>Progression, Cultivation, and Adventure Roles</x:v>
      </x:c>
      <x:c r="F465" s="24" t="n">
        <x:v>3</x:v>
      </x:c>
      <x:c r="G465" s="24" t="str">
        <x:v>Cultivator who refines physical durability, strength, organs, blood, or bodily transformation.</x:v>
      </x:c>
      <x:c r="H465" s="24" t="str">
        <x:v>Do not assume identical training, social status, powers, or mechanics across settings.</x:v>
      </x:c>
      <x:c r="I465" s="24" t="str">
        <x:v>body cultivator; body refiner</x:v>
      </x:c>
      <x:c r="J465" s="24" t="str">
        <x:v>Advancement, ranking, exploration, guild economy, cultivation, and system-mediated identity.</x:v>
      </x:c>
      <x:c r="K465" s="24" t="str">
        <x:v>body cultivator; body refiner</x:v>
      </x:c>
      <x:c r="L465" s="24" t="str">
        <x:v>Preserve each source's ontology, culture, history, and terminology when making comparisons.</x:v>
      </x:c>
      <x:c r="M465" s="24" t="str">
        <x:v>Core Family</x:v>
      </x:c>
    </x:row>
    <x:row r="466" ht="44" customHeight="1">
      <x:c r="A466" s="24" t="str">
        <x:v>ROL-910</x:v>
      </x:c>
      <x:c r="B466" s="24" t="str">
        <x:v>Qi Healer</x:v>
      </x:c>
      <x:c r="C466" s="24" t="str">
        <x:v>Roles &amp; Vocations</x:v>
      </x:c>
      <x:c r="D466" s="24" t="str">
        <x:v>ROL-900</x:v>
      </x:c>
      <x:c r="E466" s="24" t="str">
        <x:f>IF(D466="","",IFERROR(VLOOKUP(D466,$A$2:$B$1656,2,FALSE),""))</x:f>
        <x:v>Progression, Cultivation, and Adventure Roles</x:v>
      </x:c>
      <x:c r="F466" s="24" t="n">
        <x:v>3</x:v>
      </x:c>
      <x:c r="G466" s="24" t="str">
        <x:v>Practitioner who diagnoses and restores bodies through energy flow, meridians, breath, and internal cultivation.</x:v>
      </x:c>
      <x:c r="H466" s="24" t="str">
        <x:v>Do not assume identical training, social status, powers, or mechanics across settings.</x:v>
      </x:c>
      <x:c r="I466" s="24" t="str">
        <x:v>qi healer; energy physician</x:v>
      </x:c>
      <x:c r="J466" s="24" t="str">
        <x:v>Advancement, ranking, exploration, guild economy, cultivation, and system-mediated identity.</x:v>
      </x:c>
      <x:c r="K466" s="24" t="str">
        <x:v>qi healer; energy physician</x:v>
      </x:c>
      <x:c r="L466" s="24" t="str">
        <x:v>Preserve each source's ontology, culture, history, and terminology when making comparisons.</x:v>
      </x:c>
      <x:c r="M466" s="24" t="str">
        <x:v>Core Family</x:v>
      </x:c>
    </x:row>
    <x:row r="467" ht="44" customHeight="1">
      <x:c r="A467" s="24" t="str">
        <x:v>ROL-911</x:v>
      </x:c>
      <x:c r="B467" s="24" t="str">
        <x:v>Talisman Master</x:v>
      </x:c>
      <x:c r="C467" s="24" t="str">
        <x:v>Roles &amp; Vocations</x:v>
      </x:c>
      <x:c r="D467" s="24" t="str">
        <x:v>ROL-900</x:v>
      </x:c>
      <x:c r="E467" s="24" t="str">
        <x:f>IF(D467="","",IFERROR(VLOOKUP(D467,$A$2:$B$1656,2,FALSE),""))</x:f>
        <x:v>Progression, Cultivation, and Adventure Roles</x:v>
      </x:c>
      <x:c r="F467" s="24" t="n">
        <x:v>3</x:v>
      </x:c>
      <x:c r="G467" s="24" t="str">
        <x:v>Practitioner who writes, activates, and combines paper charms, seals, or inscribed magical commands.</x:v>
      </x:c>
      <x:c r="H467" s="24" t="str">
        <x:v>Do not assume identical training, social status, powers, or mechanics across settings.</x:v>
      </x:c>
      <x:c r="I467" s="24" t="str">
        <x:v>talisman master; fu practitioner</x:v>
      </x:c>
      <x:c r="J467" s="24" t="str">
        <x:v>Advancement, ranking, exploration, guild economy, cultivation, and system-mediated identity.</x:v>
      </x:c>
      <x:c r="K467" s="24" t="str">
        <x:v>talisman master; fu practitioner</x:v>
      </x:c>
      <x:c r="L467" s="24" t="str">
        <x:v>Preserve each source's ontology, culture, history, and terminology when making comparisons.</x:v>
      </x:c>
      <x:c r="M467" s="24" t="str">
        <x:v>Core Family</x:v>
      </x:c>
    </x:row>
    <x:row r="468" ht="44" customHeight="1">
      <x:c r="A468" s="24" t="str">
        <x:v>ROL-912</x:v>
      </x:c>
      <x:c r="B468" s="24" t="str">
        <x:v>Formation and Array Master</x:v>
      </x:c>
      <x:c r="C468" s="24" t="str">
        <x:v>Roles &amp; Vocations</x:v>
      </x:c>
      <x:c r="D468" s="24" t="str">
        <x:v>ROL-900</x:v>
      </x:c>
      <x:c r="E468" s="24" t="str">
        <x:f>IF(D468="","",IFERROR(VLOOKUP(D468,$A$2:$B$1656,2,FALSE),""))</x:f>
        <x:v>Progression, Cultivation, and Adventure Roles</x:v>
      </x:c>
      <x:c r="F468" s="24" t="n">
        <x:v>3</x:v>
      </x:c>
      <x:c r="G468" s="24" t="str">
        <x:v>Practitioner who constructs spatial, geometric, environmental, or tactical magical arrays.</x:v>
      </x:c>
      <x:c r="H468" s="24" t="str">
        <x:v>Do not assume identical training, social status, powers, or mechanics across settings.</x:v>
      </x:c>
      <x:c r="I468" s="24" t="str">
        <x:v>formation master; array master</x:v>
      </x:c>
      <x:c r="J468" s="24" t="str">
        <x:v>Advancement, ranking, exploration, guild economy, cultivation, and system-mediated identity.</x:v>
      </x:c>
      <x:c r="K468" s="24" t="str">
        <x:v>formation master; array master</x:v>
      </x:c>
      <x:c r="L468" s="24" t="str">
        <x:v>Preserve each source's ontology, culture, history, and terminology when making comparisons.</x:v>
      </x:c>
      <x:c r="M468" s="24" t="str">
        <x:v>Core Family</x:v>
      </x:c>
    </x:row>
    <x:row r="469" ht="44" customHeight="1">
      <x:c r="A469" s="24" t="str">
        <x:v>ROL-913</x:v>
      </x:c>
      <x:c r="B469" s="24" t="str">
        <x:v>Pill Alchemist</x:v>
      </x:c>
      <x:c r="C469" s="24" t="str">
        <x:v>Roles &amp; Vocations</x:v>
      </x:c>
      <x:c r="D469" s="24" t="str">
        <x:v>ROL-900</x:v>
      </x:c>
      <x:c r="E469" s="24" t="str">
        <x:f>IF(D469="","",IFERROR(VLOOKUP(D469,$A$2:$B$1656,2,FALSE),""))</x:f>
        <x:v>Progression, Cultivation, and Adventure Roles</x:v>
      </x:c>
      <x:c r="F469" s="24" t="n">
        <x:v>3</x:v>
      </x:c>
      <x:c r="G469" s="24" t="str">
        <x:v>Cultivation-world specialist who refines elixirs, pills, herbs, and essences to alter advancement and longevity.</x:v>
      </x:c>
      <x:c r="H469" s="24" t="str">
        <x:v>Do not assume identical training, social status, powers, or mechanics across settings.</x:v>
      </x:c>
      <x:c r="I469" s="24" t="str">
        <x:v>pill alchemist; dan refiner</x:v>
      </x:c>
      <x:c r="J469" s="24" t="str">
        <x:v>Advancement, ranking, exploration, guild economy, cultivation, and system-mediated identity.</x:v>
      </x:c>
      <x:c r="K469" s="24" t="str">
        <x:v>pill alchemist; dan refiner</x:v>
      </x:c>
      <x:c r="L469" s="24" t="str">
        <x:v>Preserve each source's ontology, culture, history, and terminology when making comparisons.</x:v>
      </x:c>
      <x:c r="M469" s="24" t="str">
        <x:v>Core Family</x:v>
      </x:c>
    </x:row>
    <x:row r="470" ht="44" customHeight="1">
      <x:c r="A470" s="24" t="str">
        <x:v>ROL-914</x:v>
      </x:c>
      <x:c r="B470" s="24" t="str">
        <x:v>Sect Disciple</x:v>
      </x:c>
      <x:c r="C470" s="24" t="str">
        <x:v>Roles &amp; Vocations</x:v>
      </x:c>
      <x:c r="D470" s="24" t="str">
        <x:v>ROL-900</x:v>
      </x:c>
      <x:c r="E470" s="24" t="str">
        <x:f>IF(D470="","",IFERROR(VLOOKUP(D470,$A$2:$B$1656,2,FALSE),""))</x:f>
        <x:v>Progression, Cultivation, and Adventure Roles</x:v>
      </x:c>
      <x:c r="F470" s="24" t="n">
        <x:v>3</x:v>
      </x:c>
      <x:c r="G470" s="24" t="str">
        <x:v>Ranked member of a martial or cultivation institution defined by lineage, manuals, masters, and internal hierarchy.</x:v>
      </x:c>
      <x:c r="H470" s="24" t="str">
        <x:v>Do not assume identical training, social status, powers, or mechanics across settings.</x:v>
      </x:c>
      <x:c r="I470" s="24" t="str">
        <x:v>sect disciple; inner disciple; outer disciple</x:v>
      </x:c>
      <x:c r="J470" s="24" t="str">
        <x:v>Advancement, ranking, exploration, guild economy, cultivation, and system-mediated identity.</x:v>
      </x:c>
      <x:c r="K470" s="24" t="str">
        <x:v>sect disciple; inner disciple; outer disciple</x:v>
      </x:c>
      <x:c r="L470" s="24" t="str">
        <x:v>Preserve each source's ontology, culture, history, and terminology when making comparisons.</x:v>
      </x:c>
      <x:c r="M470" s="24" t="str">
        <x:v>Core Family</x:v>
      </x:c>
    </x:row>
    <x:row r="471" ht="44" customHeight="1">
      <x:c r="A471" s="24" t="str">
        <x:v>ROL-915</x:v>
      </x:c>
      <x:c r="B471" s="24" t="str">
        <x:v>Wandering Cultivator</x:v>
      </x:c>
      <x:c r="C471" s="24" t="str">
        <x:v>Roles &amp; Vocations</x:v>
      </x:c>
      <x:c r="D471" s="24" t="str">
        <x:v>ROL-900</x:v>
      </x:c>
      <x:c r="E471" s="24" t="str">
        <x:f>IF(D471="","",IFERROR(VLOOKUP(D471,$A$2:$B$1656,2,FALSE),""))</x:f>
        <x:v>Progression, Cultivation, and Adventure Roles</x:v>
      </x:c>
      <x:c r="F471" s="24" t="n">
        <x:v>3</x:v>
      </x:c>
      <x:c r="G471" s="24" t="str">
        <x:v>Independent practitioner outside major sect protection and resource structures.</x:v>
      </x:c>
      <x:c r="H471" s="24" t="str">
        <x:v>Do not assume identical training, social status, powers, or mechanics across settings.</x:v>
      </x:c>
      <x:c r="I471" s="24" t="str">
        <x:v>rogue cultivator; wandering immortal</x:v>
      </x:c>
      <x:c r="J471" s="24" t="str">
        <x:v>Advancement, ranking, exploration, guild economy, cultivation, and system-mediated identity.</x:v>
      </x:c>
      <x:c r="K471" s="24" t="str">
        <x:v>rogue cultivator; wandering immortal</x:v>
      </x:c>
      <x:c r="L471" s="24" t="str">
        <x:v>Preserve each source's ontology, culture, history, and terminology when making comparisons.</x:v>
      </x:c>
      <x:c r="M471" s="24" t="str">
        <x:v>Core Family</x:v>
      </x:c>
    </x:row>
    <x:row r="472" ht="44" customHeight="1">
      <x:c r="A472" s="24" t="str">
        <x:v>ROL-916</x:v>
      </x:c>
      <x:c r="B472" s="24" t="str">
        <x:v>Demonic Cultivator</x:v>
      </x:c>
      <x:c r="C472" s="24" t="str">
        <x:v>Roles &amp; Vocations</x:v>
      </x:c>
      <x:c r="D472" s="24" t="str">
        <x:v>ROL-900</x:v>
      </x:c>
      <x:c r="E472" s="24" t="str">
        <x:f>IF(D472="","",IFERROR(VLOOKUP(D472,$A$2:$B$1656,2,FALSE),""))</x:f>
        <x:v>Progression, Cultivation, and Adventure Roles</x:v>
      </x:c>
      <x:c r="F472" s="24" t="n">
        <x:v>3</x:v>
      </x:c>
      <x:c r="G472" s="24" t="str">
        <x:v>Practitioner whose methods are heterodox, predatory, taboo, corruptive, or merely politically stigmatized.</x:v>
      </x:c>
      <x:c r="H472" s="24" t="str">
        <x:v>Do not assume identical training, social status, powers, or mechanics across settings.</x:v>
      </x:c>
      <x:c r="I472" s="24" t="str">
        <x:v>demonic cultivator; devil cultivator</x:v>
      </x:c>
      <x:c r="J472" s="24" t="str">
        <x:v>Advancement, ranking, exploration, guild economy, cultivation, and system-mediated identity.</x:v>
      </x:c>
      <x:c r="K472" s="24" t="str">
        <x:v>demonic cultivator; devil cultivator</x:v>
      </x:c>
      <x:c r="L472" s="24" t="str">
        <x:v>Preserve each source's ontology, culture, history, and terminology when making comparisons.</x:v>
      </x:c>
      <x:c r="M472" s="24" t="str">
        <x:v>Core Family</x:v>
      </x:c>
    </x:row>
    <x:row r="473" ht="44" customHeight="1">
      <x:c r="A473" s="24" t="str">
        <x:v>ROL-917</x:v>
      </x:c>
      <x:c r="B473" s="24" t="str">
        <x:v>Immortal and Ascendant</x:v>
      </x:c>
      <x:c r="C473" s="24" t="str">
        <x:v>Roles &amp; Vocations</x:v>
      </x:c>
      <x:c r="D473" s="24" t="str">
        <x:v>ROL-900</x:v>
      </x:c>
      <x:c r="E473" s="24" t="str">
        <x:f>IF(D473="","",IFERROR(VLOOKUP(D473,$A$2:$B$1656,2,FALSE),""))</x:f>
        <x:v>Progression, Cultivation, and Adventure Roles</x:v>
      </x:c>
      <x:c r="F473" s="24" t="n">
        <x:v>3</x:v>
      </x:c>
      <x:c r="G473" s="24" t="str">
        <x:v>Advanced cultivator who has crossed a major threshold of mortality, realm, or cosmic status.</x:v>
      </x:c>
      <x:c r="H473" s="24" t="str">
        <x:v>Do not assume identical training, social status, powers, or mechanics across settings.</x:v>
      </x:c>
      <x:c r="I473" s="24" t="str">
        <x:v>immortal; ascendant; transcendent</x:v>
      </x:c>
      <x:c r="J473" s="24" t="str">
        <x:v>Advancement, ranking, exploration, guild economy, cultivation, and system-mediated identity.</x:v>
      </x:c>
      <x:c r="K473" s="24" t="str">
        <x:v>immortal; ascendant; transcendent</x:v>
      </x:c>
      <x:c r="L473" s="24" t="str">
        <x:v>Preserve each source's ontology, culture, history, and terminology when making comparisons.</x:v>
      </x:c>
      <x:c r="M473" s="24" t="str">
        <x:v>Core Family</x:v>
      </x:c>
    </x:row>
    <x:row r="474" ht="44" customHeight="1">
      <x:c r="A474" s="24" t="str">
        <x:v>ROL-918</x:v>
      </x:c>
      <x:c r="B474" s="24" t="str">
        <x:v>System User</x:v>
      </x:c>
      <x:c r="C474" s="24" t="str">
        <x:v>Roles &amp; Vocations</x:v>
      </x:c>
      <x:c r="D474" s="24" t="str">
        <x:v>ROL-900</x:v>
      </x:c>
      <x:c r="E474" s="24" t="str">
        <x:f>IF(D474="","",IFERROR(VLOOKUP(D474,$A$2:$B$1656,2,FALSE),""))</x:f>
        <x:v>Progression, Cultivation, and Adventure Roles</x:v>
      </x:c>
      <x:c r="F474" s="24" t="n">
        <x:v>3</x:v>
      </x:c>
      <x:c r="G474" s="24" t="str">
        <x:v>Character whose abilities, statistics, quests, or growth are explicitly mediated by an interface-like system.</x:v>
      </x:c>
      <x:c r="H474" s="24" t="str">
        <x:v>Do not assume identical training, social status, powers, or mechanics across settings.</x:v>
      </x:c>
      <x:c r="I474" s="24" t="str">
        <x:v>system user; status-window protagonist</x:v>
      </x:c>
      <x:c r="J474" s="24" t="str">
        <x:v>Advancement, ranking, exploration, guild economy, cultivation, and system-mediated identity.</x:v>
      </x:c>
      <x:c r="K474" s="24" t="str">
        <x:v>system user; status-window protagonist</x:v>
      </x:c>
      <x:c r="L474" s="24" t="str">
        <x:v>Preserve each source's ontology, culture, history, and terminology when making comparisons.</x:v>
      </x:c>
      <x:c r="M474" s="24" t="str">
        <x:v>Core Family</x:v>
      </x:c>
    </x:row>
    <x:row r="475" ht="44" customHeight="1">
      <x:c r="A475" s="24" t="str">
        <x:v>ROL-919</x:v>
      </x:c>
      <x:c r="B475" s="24" t="str">
        <x:v>Reincarnated Specialist</x:v>
      </x:c>
      <x:c r="C475" s="24" t="str">
        <x:v>Roles &amp; Vocations</x:v>
      </x:c>
      <x:c r="D475" s="24" t="str">
        <x:v>ROL-900</x:v>
      </x:c>
      <x:c r="E475" s="24" t="str">
        <x:f>IF(D475="","",IFERROR(VLOOKUP(D475,$A$2:$B$1656,2,FALSE),""))</x:f>
        <x:v>Progression, Cultivation, and Adventure Roles</x:v>
      </x:c>
      <x:c r="F475" s="24" t="n">
        <x:v>3</x:v>
      </x:c>
      <x:c r="G475" s="24" t="str">
        <x:v>Character whose previous-life knowledge functions as a persistent vocational advantage in a new world or body.</x:v>
      </x:c>
      <x:c r="H475" s="24" t="str">
        <x:v>Do not assume identical training, social status, powers, or mechanics across settings.</x:v>
      </x:c>
      <x:c r="I475" s="24" t="str">
        <x:v>reincarnator; second-life expert</x:v>
      </x:c>
      <x:c r="J475" s="24" t="str">
        <x:v>Advancement, ranking, exploration, guild economy, cultivation, and system-mediated identity.</x:v>
      </x:c>
      <x:c r="K475" s="24" t="str">
        <x:v>reincarnator; second-life expert</x:v>
      </x:c>
      <x:c r="L475" s="24" t="str">
        <x:v>Preserve each source's ontology, culture, history, and terminology when making comparisons.</x:v>
      </x:c>
      <x:c r="M475" s="24" t="str">
        <x:v>Core Family</x:v>
      </x:c>
    </x:row>
    <x:row r="476" ht="44" customHeight="1">
      <x:c r="A476" s="24" t="str">
        <x:v>ROL-920</x:v>
      </x:c>
      <x:c r="B476" s="24" t="str">
        <x:v>Summoned Hero</x:v>
      </x:c>
      <x:c r="C476" s="24" t="str">
        <x:v>Roles &amp; Vocations</x:v>
      </x:c>
      <x:c r="D476" s="24" t="str">
        <x:v>ROL-900</x:v>
      </x:c>
      <x:c r="E476" s="24" t="str">
        <x:f>IF(D476="","",IFERROR(VLOOKUP(D476,$A$2:$B$1656,2,FALSE),""))</x:f>
        <x:v>Progression, Cultivation, and Adventure Roles</x:v>
      </x:c>
      <x:c r="F476" s="24" t="n">
        <x:v>3</x:v>
      </x:c>
      <x:c r="G476" s="24" t="str">
        <x:v>Person transported or called into another world to perform a designated heroic function.</x:v>
      </x:c>
      <x:c r="H476" s="24" t="str">
        <x:v>Do not assume identical training, social status, powers, or mechanics across settings.</x:v>
      </x:c>
      <x:c r="I476" s="24" t="str">
        <x:v>summoned hero; isekai hero</x:v>
      </x:c>
      <x:c r="J476" s="24" t="str">
        <x:v>Advancement, ranking, exploration, guild economy, cultivation, and system-mediated identity.</x:v>
      </x:c>
      <x:c r="K476" s="24" t="str">
        <x:v>summoned hero; isekai hero</x:v>
      </x:c>
      <x:c r="L476" s="24" t="str">
        <x:v>Preserve each source's ontology, culture, history, and terminology when making comparisons.</x:v>
      </x:c>
      <x:c r="M476" s="24" t="str">
        <x:v>Core Family</x:v>
      </x:c>
    </x:row>
    <x:row r="477" ht="44" customHeight="1">
      <x:c r="A477" s="24" t="str">
        <x:v>ROL-921</x:v>
      </x:c>
      <x:c r="B477" s="24" t="str">
        <x:v>Class-Changer</x:v>
      </x:c>
      <x:c r="C477" s="24" t="str">
        <x:v>Roles &amp; Vocations</x:v>
      </x:c>
      <x:c r="D477" s="24" t="str">
        <x:v>ROL-900</x:v>
      </x:c>
      <x:c r="E477" s="24" t="str">
        <x:f>IF(D477="","",IFERROR(VLOOKUP(D477,$A$2:$B$1656,2,FALSE),""))</x:f>
        <x:v>Progression, Cultivation, and Adventure Roles</x:v>
      </x:c>
      <x:c r="F477" s="24" t="n">
        <x:v>3</x:v>
      </x:c>
      <x:c r="G477" s="24" t="str">
        <x:v>Character whose defining progression mechanic is moving among jobs or classes and retaining selected abilities.</x:v>
      </x:c>
      <x:c r="H477" s="24" t="str">
        <x:v>Do not assume identical training, social status, powers, or mechanics across settings.</x:v>
      </x:c>
      <x:c r="I477" s="24" t="str">
        <x:v>job changer; class switcher</x:v>
      </x:c>
      <x:c r="J477" s="24" t="str">
        <x:v>Advancement, ranking, exploration, guild economy, cultivation, and system-mediated identity.</x:v>
      </x:c>
      <x:c r="K477" s="24" t="str">
        <x:v>job changer; class switcher</x:v>
      </x:c>
      <x:c r="L477" s="24" t="str">
        <x:v>Preserve each source's ontology, culture, history, and terminology when making comparisons.</x:v>
      </x:c>
      <x:c r="M477" s="24" t="str">
        <x:v>Core Family</x:v>
      </x:c>
    </x:row>
    <x:row r="478" ht="44" customHeight="1">
      <x:c r="A478" s="24" t="str">
        <x:v>ROL-922</x:v>
      </x:c>
      <x:c r="B478" s="24" t="str">
        <x:v>Prestige-Class Aspirant</x:v>
      </x:c>
      <x:c r="C478" s="24" t="str">
        <x:v>Roles &amp; Vocations</x:v>
      </x:c>
      <x:c r="D478" s="24" t="str">
        <x:v>ROL-900</x:v>
      </x:c>
      <x:c r="E478" s="24" t="str">
        <x:f>IF(D478="","",IFERROR(VLOOKUP(D478,$A$2:$B$1656,2,FALSE),""))</x:f>
        <x:v>Progression, Cultivation, and Adventure Roles</x:v>
      </x:c>
      <x:c r="F478" s="24" t="n">
        <x:v>3</x:v>
      </x:c>
      <x:c r="G478" s="24" t="str">
        <x:v>Character who advances into a specialized elite role after meeting prerequisites or narrative trials.</x:v>
      </x:c>
      <x:c r="H478" s="24" t="str">
        <x:v>Do not assume identical training, social status, powers, or mechanics across settings.</x:v>
      </x:c>
      <x:c r="I478" s="24" t="str">
        <x:v>advanced class; prestige class; promotion</x:v>
      </x:c>
      <x:c r="J478" s="24" t="str">
        <x:v>Advancement, ranking, exploration, guild economy, cultivation, and system-mediated identity.</x:v>
      </x:c>
      <x:c r="K478" s="24" t="str">
        <x:v>advanced class; prestige class; promotion</x:v>
      </x:c>
      <x:c r="L478" s="24" t="str">
        <x:v>Preserve each source's ontology, culture, history, and terminology when making comparisons.</x:v>
      </x:c>
      <x:c r="M478" s="24" t="str">
        <x:v>Core Family</x:v>
      </x:c>
    </x:row>
    <x:row r="479" ht="44" customHeight="1">
      <x:c r="A479" s="24" t="str">
        <x:v>ROL-923</x:v>
      </x:c>
      <x:c r="B479" s="24" t="str">
        <x:v>Apprentice</x:v>
      </x:c>
      <x:c r="C479" s="24" t="str">
        <x:v>Roles &amp; Vocations</x:v>
      </x:c>
      <x:c r="D479" s="24" t="str">
        <x:v>ROL-900</x:v>
      </x:c>
      <x:c r="E479" s="24" t="str">
        <x:f>IF(D479="","",IFERROR(VLOOKUP(D479,$A$2:$B$1656,2,FALSE),""))</x:f>
        <x:v>Progression, Cultivation, and Adventure Roles</x:v>
      </x:c>
      <x:c r="F479" s="24" t="n">
        <x:v>3</x:v>
      </x:c>
      <x:c r="G479" s="24" t="str">
        <x:v>Learner formally attached to a master, guild, school, or craft lineage.</x:v>
      </x:c>
      <x:c r="H479" s="24" t="str">
        <x:v>Do not assume identical training, social status, powers, or mechanics across settings.</x:v>
      </x:c>
      <x:c r="I479" s="24" t="str">
        <x:v>apprentice; trainee; novice</x:v>
      </x:c>
      <x:c r="J479" s="24" t="str">
        <x:v>Advancement, ranking, exploration, guild economy, cultivation, and system-mediated identity.</x:v>
      </x:c>
      <x:c r="K479" s="24" t="str">
        <x:v>apprentice; trainee; novice</x:v>
      </x:c>
      <x:c r="L479" s="24" t="str">
        <x:v>Preserve each source's ontology, culture, history, and terminology when making comparisons.</x:v>
      </x:c>
      <x:c r="M479" s="24" t="str">
        <x:v>Core Family</x:v>
      </x:c>
    </x:row>
    <x:row r="480" ht="44" customHeight="1">
      <x:c r="A480" s="24" t="str">
        <x:v>ROL-924</x:v>
      </x:c>
      <x:c r="B480" s="24" t="str">
        <x:v>Journeyman</x:v>
      </x:c>
      <x:c r="C480" s="24" t="str">
        <x:v>Roles &amp; Vocations</x:v>
      </x:c>
      <x:c r="D480" s="24" t="str">
        <x:v>ROL-900</x:v>
      </x:c>
      <x:c r="E480" s="24" t="str">
        <x:f>IF(D480="","",IFERROR(VLOOKUP(D480,$A$2:$B$1656,2,FALSE),""))</x:f>
        <x:v>Progression, Cultivation, and Adventure Roles</x:v>
      </x:c>
      <x:c r="F480" s="24" t="n">
        <x:v>3</x:v>
      </x:c>
      <x:c r="G480" s="24" t="str">
        <x:v>Intermediate practitioner recognized as competent but not yet a master.</x:v>
      </x:c>
      <x:c r="H480" s="24" t="str">
        <x:v>Do not assume identical training, social status, powers, or mechanics across settings.</x:v>
      </x:c>
      <x:c r="I480" s="24" t="str">
        <x:v>journeyman; adept</x:v>
      </x:c>
      <x:c r="J480" s="24" t="str">
        <x:v>Advancement, ranking, exploration, guild economy, cultivation, and system-mediated identity.</x:v>
      </x:c>
      <x:c r="K480" s="24" t="str">
        <x:v>journeyman; adept</x:v>
      </x:c>
      <x:c r="L480" s="24" t="str">
        <x:v>Preserve each source's ontology, culture, history, and terminology when making comparisons.</x:v>
      </x:c>
      <x:c r="M480" s="24" t="str">
        <x:v>Core Family</x:v>
      </x:c>
    </x:row>
    <x:row r="481" ht="44" customHeight="1">
      <x:c r="A481" s="24" t="str">
        <x:v>ROL-925</x:v>
      </x:c>
      <x:c r="B481" s="24" t="str">
        <x:v>Master</x:v>
      </x:c>
      <x:c r="C481" s="24" t="str">
        <x:v>Roles &amp; Vocations</x:v>
      </x:c>
      <x:c r="D481" s="24" t="str">
        <x:v>ROL-900</x:v>
      </x:c>
      <x:c r="E481" s="24" t="str">
        <x:f>IF(D481="","",IFERROR(VLOOKUP(D481,$A$2:$B$1656,2,FALSE),""))</x:f>
        <x:v>Progression, Cultivation, and Adventure Roles</x:v>
      </x:c>
      <x:c r="F481" s="24" t="n">
        <x:v>3</x:v>
      </x:c>
      <x:c r="G481" s="24" t="str">
        <x:v>Senior practitioner authorized to teach, certify, lead, or embody a complete tradition.</x:v>
      </x:c>
      <x:c r="H481" s="24" t="str">
        <x:v>Do not assume identical training, social status, powers, or mechanics across settings.</x:v>
      </x:c>
      <x:c r="I481" s="24" t="str">
        <x:v>master; grandmaster; sensei-like</x:v>
      </x:c>
      <x:c r="J481" s="24" t="str">
        <x:v>Advancement, ranking, exploration, guild economy, cultivation, and system-mediated identity.</x:v>
      </x:c>
      <x:c r="K481" s="24" t="str">
        <x:v>master; grandmaster; sensei-like</x:v>
      </x:c>
      <x:c r="L481" s="24" t="str">
        <x:v>Preserve each source's ontology, culture, history, and terminology when making comparisons.</x:v>
      </x:c>
      <x:c r="M481" s="24" t="str">
        <x:v>Core Family</x:v>
      </x:c>
    </x:row>
    <x:row r="482" ht="44" customHeight="1">
      <x:c r="A482" s="24" t="str">
        <x:v>ROL-926</x:v>
      </x:c>
      <x:c r="B482" s="24" t="str">
        <x:v>Ranked Hunter</x:v>
      </x:c>
      <x:c r="C482" s="24" t="str">
        <x:v>Roles &amp; Vocations</x:v>
      </x:c>
      <x:c r="D482" s="24" t="str">
        <x:v>ROL-900</x:v>
      </x:c>
      <x:c r="E482" s="24" t="str">
        <x:f>IF(D482="","",IFERROR(VLOOKUP(D482,$A$2:$B$1656,2,FALSE),""))</x:f>
        <x:v>Progression, Cultivation, and Adventure Roles</x:v>
      </x:c>
      <x:c r="F482" s="24" t="n">
        <x:v>3</x:v>
      </x:c>
      <x:c r="G482" s="24" t="str">
        <x:v>Licensed or system-ranked specialist who clears monsters, gates, dungeons, or supernatural incidents.</x:v>
      </x:c>
      <x:c r="H482" s="24" t="str">
        <x:v>Do not assume identical training, social status, powers, or mechanics across settings.</x:v>
      </x:c>
      <x:c r="I482" s="24" t="str">
        <x:v>ranked hunter; guild hunter</x:v>
      </x:c>
      <x:c r="J482" s="24" t="str">
        <x:v>Advancement, ranking, exploration, guild economy, cultivation, and system-mediated identity.</x:v>
      </x:c>
      <x:c r="K482" s="24" t="str">
        <x:v>ranked hunter; guild hunter</x:v>
      </x:c>
      <x:c r="L482" s="24" t="str">
        <x:v>Preserve each source's ontology, culture, history, and terminology when making comparisons.</x:v>
      </x:c>
      <x:c r="M482" s="24" t="str">
        <x:v>Core Family</x:v>
      </x:c>
    </x:row>
    <x:row r="483" ht="44" customHeight="1">
      <x:c r="A483" s="24" t="str">
        <x:v>ROL-927</x:v>
      </x:c>
      <x:c r="B483" s="24" t="str">
        <x:v>Tamer-Trainer</x:v>
      </x:c>
      <x:c r="C483" s="24" t="str">
        <x:v>Roles &amp; Vocations</x:v>
      </x:c>
      <x:c r="D483" s="24" t="str">
        <x:v>ROL-900</x:v>
      </x:c>
      <x:c r="E483" s="24" t="str">
        <x:f>IF(D483="","",IFERROR(VLOOKUP(D483,$A$2:$B$1656,2,FALSE),""))</x:f>
        <x:v>Progression, Cultivation, and Adventure Roles</x:v>
      </x:c>
      <x:c r="F483" s="24" t="n">
        <x:v>3</x:v>
      </x:c>
      <x:c r="G483" s="24" t="str">
        <x:v>Progression role centered on collecting, evolving, breeding, or commanding creatures.</x:v>
      </x:c>
      <x:c r="H483" s="24" t="str">
        <x:v>Do not assume identical training, social status, powers, or mechanics across settings.</x:v>
      </x:c>
      <x:c r="I483" s="24" t="str">
        <x:v>monster trainer; tamer; handler</x:v>
      </x:c>
      <x:c r="J483" s="24" t="str">
        <x:v>Advancement, ranking, exploration, guild economy, cultivation, and system-mediated identity.</x:v>
      </x:c>
      <x:c r="K483" s="24" t="str">
        <x:v>monster trainer; tamer; handler</x:v>
      </x:c>
      <x:c r="L483" s="24" t="str">
        <x:v>Preserve each source's ontology, culture, history, and terminology when making comparisons.</x:v>
      </x:c>
      <x:c r="M483" s="24" t="str">
        <x:v>Core Family</x:v>
      </x:c>
    </x:row>
    <x:row r="484" ht="44" customHeight="1">
      <x:c r="A484" s="24" t="str">
        <x:v>ROL-928</x:v>
      </x:c>
      <x:c r="B484" s="24" t="str">
        <x:v>Crafting-Class Specialist</x:v>
      </x:c>
      <x:c r="C484" s="24" t="str">
        <x:v>Roles &amp; Vocations</x:v>
      </x:c>
      <x:c r="D484" s="24" t="str">
        <x:v>ROL-900</x:v>
      </x:c>
      <x:c r="E484" s="24" t="str">
        <x:f>IF(D484="","",IFERROR(VLOOKUP(D484,$A$2:$B$1656,2,FALSE),""))</x:f>
        <x:v>Progression, Cultivation, and Adventure Roles</x:v>
      </x:c>
      <x:c r="F484" s="24" t="n">
        <x:v>3</x:v>
      </x:c>
      <x:c r="G484" s="24" t="str">
        <x:v>Character whose advancement is primarily through production, quality, recipes, and economic mastery.</x:v>
      </x:c>
      <x:c r="H484" s="24" t="str">
        <x:v>Do not assume identical training, social status, powers, or mechanics across settings.</x:v>
      </x:c>
      <x:c r="I484" s="24" t="str">
        <x:v>crafting class; artisan class</x:v>
      </x:c>
      <x:c r="J484" s="24" t="str">
        <x:v>Advancement, ranking, exploration, guild economy, cultivation, and system-mediated identity.</x:v>
      </x:c>
      <x:c r="K484" s="24" t="str">
        <x:v>crafting class; artisan class</x:v>
      </x:c>
      <x:c r="L484" s="24" t="str">
        <x:v>Preserve each source's ontology, culture, history, and terminology when making comparisons.</x:v>
      </x:c>
      <x:c r="M484" s="24" t="str">
        <x:v>Core Family</x:v>
      </x:c>
    </x:row>
    <x:row r="485" ht="44" customHeight="1">
      <x:c r="A485" s="24" t="str">
        <x:v>ROL-929</x:v>
      </x:c>
      <x:c r="B485" s="24" t="str">
        <x:v>Gathering-Class Specialist</x:v>
      </x:c>
      <x:c r="C485" s="24" t="str">
        <x:v>Roles &amp; Vocations</x:v>
      </x:c>
      <x:c r="D485" s="24" t="str">
        <x:v>ROL-900</x:v>
      </x:c>
      <x:c r="E485" s="24" t="str">
        <x:f>IF(D485="","",IFERROR(VLOOKUP(D485,$A$2:$B$1656,2,FALSE),""))</x:f>
        <x:v>Progression, Cultivation, and Adventure Roles</x:v>
      </x:c>
      <x:c r="F485" s="24" t="n">
        <x:v>3</x:v>
      </x:c>
      <x:c r="G485" s="24" t="str">
        <x:v>Character whose progression is tied to resource acquisition, exploration, and environmental knowledge.</x:v>
      </x:c>
      <x:c r="H485" s="24" t="str">
        <x:v>Do not assume identical training, social status, powers, or mechanics across settings.</x:v>
      </x:c>
      <x:c r="I485" s="24" t="str">
        <x:v>gathering class; miner; botanist</x:v>
      </x:c>
      <x:c r="J485" s="24" t="str">
        <x:v>Advancement, ranking, exploration, guild economy, cultivation, and system-mediated identity.</x:v>
      </x:c>
      <x:c r="K485" s="24" t="str">
        <x:v>gathering class; miner; botanist</x:v>
      </x:c>
      <x:c r="L485" s="24" t="str">
        <x:v>Preserve each source's ontology, culture, history, and terminology when making comparisons.</x:v>
      </x:c>
      <x:c r="M485" s="24" t="str">
        <x:v>Core Family</x:v>
      </x:c>
    </x:row>
    <x:row r="486" ht="44" customHeight="1">
      <x:c r="A486" s="24" t="str">
        <x:v>ROL-930</x:v>
      </x:c>
      <x:c r="B486" s="24" t="str">
        <x:v>Support-Class Specialist</x:v>
      </x:c>
      <x:c r="C486" s="24" t="str">
        <x:v>Roles &amp; Vocations</x:v>
      </x:c>
      <x:c r="D486" s="24" t="str">
        <x:v>ROL-900</x:v>
      </x:c>
      <x:c r="E486" s="24" t="str">
        <x:f>IF(D486="","",IFERROR(VLOOKUP(D486,$A$2:$B$1656,2,FALSE),""))</x:f>
        <x:v>Progression, Cultivation, and Adventure Roles</x:v>
      </x:c>
      <x:c r="F486" s="24" t="n">
        <x:v>3</x:v>
      </x:c>
      <x:c r="G486" s="24" t="str">
        <x:v>Character whose advancement is primarily measured through enabling allies rather than direct damage.</x:v>
      </x:c>
      <x:c r="H486" s="24" t="str">
        <x:v>Do not assume identical training, social status, powers, or mechanics across settings.</x:v>
      </x:c>
      <x:c r="I486" s="24" t="str">
        <x:v>support class; buffer; healer</x:v>
      </x:c>
      <x:c r="J486" s="24" t="str">
        <x:v>Advancement, ranking, exploration, guild economy, cultivation, and system-mediated identity.</x:v>
      </x:c>
      <x:c r="K486" s="24" t="str">
        <x:v>support class; buffer; healer</x:v>
      </x:c>
      <x:c r="L486" s="24" t="str">
        <x:v>Preserve each source's ontology, culture, history, and terminology when making comparisons.</x:v>
      </x:c>
      <x:c r="M486" s="24" t="str">
        <x:v>Core Family</x:v>
      </x:c>
    </x:row>
    <x:row r="487" ht="44" customHeight="1">
      <x:c r="A487" s="24" t="str">
        <x:v>ROL-931</x:v>
      </x:c>
      <x:c r="B487" s="24" t="str">
        <x:v>Hidden-Class Bearer</x:v>
      </x:c>
      <x:c r="C487" s="24" t="str">
        <x:v>Roles &amp; Vocations</x:v>
      </x:c>
      <x:c r="D487" s="24" t="str">
        <x:v>ROL-900</x:v>
      </x:c>
      <x:c r="E487" s="24" t="str">
        <x:f>IF(D487="","",IFERROR(VLOOKUP(D487,$A$2:$B$1656,2,FALSE),""))</x:f>
        <x:v>Progression, Cultivation, and Adventure Roles</x:v>
      </x:c>
      <x:c r="F487" s="24" t="n">
        <x:v>3</x:v>
      </x:c>
      <x:c r="G487" s="24" t="str">
        <x:v>Character who unlocks a rare, secret, unique, or forbidden class unavailable to ordinary people.</x:v>
      </x:c>
      <x:c r="H487" s="24" t="str">
        <x:v>Do not assume identical training, social status, powers, or mechanics across settings.</x:v>
      </x:c>
      <x:c r="I487" s="24" t="str">
        <x:v>hidden class; unique job; secret profession</x:v>
      </x:c>
      <x:c r="J487" s="24" t="str">
        <x:v>Advancement, ranking, exploration, guild economy, cultivation, and system-mediated identity.</x:v>
      </x:c>
      <x:c r="K487" s="24" t="str">
        <x:v>hidden class; unique job; secret profession</x:v>
      </x:c>
      <x:c r="L487" s="24" t="str">
        <x:v>Preserve each source's ontology, culture, history, and terminology when making comparisons.</x:v>
      </x:c>
      <x:c r="M487" s="24" t="str">
        <x:v>Core Family</x:v>
      </x:c>
    </x:row>
    <x:row r="488" ht="44" customHeight="1">
      <x:c r="A488" s="24" t="str">
        <x:v>ROL-932</x:v>
      </x:c>
      <x:c r="B488" s="24" t="str">
        <x:v>Classless Skill-Builder</x:v>
      </x:c>
      <x:c r="C488" s="24" t="str">
        <x:v>Roles &amp; Vocations</x:v>
      </x:c>
      <x:c r="D488" s="24" t="str">
        <x:v>ROL-900</x:v>
      </x:c>
      <x:c r="E488" s="24" t="str">
        <x:f>IF(D488="","",IFERROR(VLOOKUP(D488,$A$2:$B$1656,2,FALSE),""))</x:f>
        <x:v>Progression, Cultivation, and Adventure Roles</x:v>
      </x:c>
      <x:c r="F488" s="24" t="n">
        <x:v>3</x:v>
      </x:c>
      <x:c r="G488" s="24" t="str">
        <x:v>Character developed through freely chosen skills, attributes, perks, or techniques rather than a fixed class.</x:v>
      </x:c>
      <x:c r="H488" s="24" t="str">
        <x:v>Do not assume identical training, social status, powers, or mechanics across settings.</x:v>
      </x:c>
      <x:c r="I488" s="24" t="str">
        <x:v>classless build; skill-based adventurer</x:v>
      </x:c>
      <x:c r="J488" s="24" t="str">
        <x:v>Advancement, ranking, exploration, guild economy, cultivation, and system-mediated identity.</x:v>
      </x:c>
      <x:c r="K488" s="24" t="str">
        <x:v>classless build; skill-based adventurer</x:v>
      </x:c>
      <x:c r="L488" s="24" t="str">
        <x:v>Preserve each source's ontology, culture, history, and terminology when making comparisons.</x:v>
      </x:c>
      <x:c r="M488" s="24" t="str">
        <x:v>Core Family</x:v>
      </x:c>
    </x:row>
    <x:row r="489" ht="44" customHeight="1">
      <x:c r="A489" s="24" t="str">
        <x:v>PWR-100</x:v>
      </x:c>
      <x:c r="B489" s="24" t="str">
        <x:v>Source and Authorization Models</x:v>
      </x:c>
      <x:c r="C489" s="24" t="str">
        <x:v>Power Traditions</x:v>
      </x:c>
      <x:c r="D489" s="24" t="str">
        <x:v>PWR-000</x:v>
      </x:c>
      <x:c r="E489" s="24" t="str">
        <x:f>IF(D489="","",IFERROR(VLOOKUP(D489,$A$2:$B$1656,2,FALSE),""))</x:f>
        <x:v>Power Traditions</x:v>
      </x:c>
      <x:c r="F489" s="24" t="n">
        <x:v>2</x:v>
      </x:c>
      <x:c r="G489" s="24" t="str">
        <x:v>How power is granted, inherited, learned, bargained for, or embodied.</x:v>
      </x:c>
      <x:c r="H489" s="24" t="str">
        <x:v>A power tradition describes source and method, not the user's profession or moral alignment.</x:v>
      </x:c>
      <x:c r="I489" s="24" t="str"/>
      <x:c r="J489" s="24" t="str">
        <x:v>Allows classes and beings to be compared independently of local job names.</x:v>
      </x:c>
      <x:c r="K489" s="24" t="str">
        <x:v>Source and Authorization Models</x:v>
      </x:c>
      <x:c r="L489" s="24" t="str">
        <x:v>Preserve each source's ontology, culture, history, and terminology when making comparisons.</x:v>
      </x:c>
      <x:c r="M489" s="24" t="str">
        <x:v>Category</x:v>
      </x:c>
    </x:row>
    <x:row r="490" ht="44" customHeight="1">
      <x:c r="A490" s="24" t="str">
        <x:v>PWR-200</x:v>
      </x:c>
      <x:c r="B490" s="24" t="str">
        <x:v>Elemental and Natural Domains</x:v>
      </x:c>
      <x:c r="C490" s="24" t="str">
        <x:v>Power Traditions</x:v>
      </x:c>
      <x:c r="D490" s="24" t="str">
        <x:v>PWR-000</x:v>
      </x:c>
      <x:c r="E490" s="24" t="str">
        <x:f>IF(D490="","",IFERROR(VLOOKUP(D490,$A$2:$B$1656,2,FALSE),""))</x:f>
        <x:v>Power Traditions</x:v>
      </x:c>
      <x:c r="F490" s="24" t="n">
        <x:v>2</x:v>
      </x:c>
      <x:c r="G490" s="24" t="str">
        <x:v>Power organized around matter, energy, weather, life, animals, and environments.</x:v>
      </x:c>
      <x:c r="H490" s="24" t="str">
        <x:v>A power tradition describes source and method, not the user's profession or moral alignment.</x:v>
      </x:c>
      <x:c r="I490" s="24" t="str"/>
      <x:c r="J490" s="24" t="str">
        <x:v>Allows classes and beings to be compared independently of local job names.</x:v>
      </x:c>
      <x:c r="K490" s="24" t="str">
        <x:v>Elemental and Natural Domains</x:v>
      </x:c>
      <x:c r="L490" s="24" t="str">
        <x:v>Preserve each source's ontology, culture, history, and terminology when making comparisons.</x:v>
      </x:c>
      <x:c r="M490" s="24" t="str">
        <x:v>Category</x:v>
      </x:c>
    </x:row>
    <x:row r="491" ht="44" customHeight="1">
      <x:c r="A491" s="24" t="str">
        <x:v>PWR-300</x:v>
      </x:c>
      <x:c r="B491" s="24" t="str">
        <x:v>Soul, Death, and Body Domains</x:v>
      </x:c>
      <x:c r="C491" s="24" t="str">
        <x:v>Power Traditions</x:v>
      </x:c>
      <x:c r="D491" s="24" t="str">
        <x:v>PWR-000</x:v>
      </x:c>
      <x:c r="E491" s="24" t="str">
        <x:f>IF(D491="","",IFERROR(VLOOKUP(D491,$A$2:$B$1656,2,FALSE),""))</x:f>
        <x:v>Power Traditions</x:v>
      </x:c>
      <x:c r="F491" s="24" t="n">
        <x:v>2</x:v>
      </x:c>
      <x:c r="G491" s="24" t="str">
        <x:v>Power acting on life force, blood, flesh, memory, souls, death, and transformation.</x:v>
      </x:c>
      <x:c r="H491" s="24" t="str">
        <x:v>A power tradition describes source and method, not the user's profession or moral alignment.</x:v>
      </x:c>
      <x:c r="I491" s="24" t="str"/>
      <x:c r="J491" s="24" t="str">
        <x:v>Allows classes and beings to be compared independently of local job names.</x:v>
      </x:c>
      <x:c r="K491" s="24" t="str">
        <x:v>Soul, Death, and Body Domains</x:v>
      </x:c>
      <x:c r="L491" s="24" t="str">
        <x:v>Preserve each source's ontology, culture, history, and terminology when making comparisons.</x:v>
      </x:c>
      <x:c r="M491" s="24" t="str">
        <x:v>Category</x:v>
      </x:c>
    </x:row>
    <x:row r="492" ht="44" customHeight="1">
      <x:c r="A492" s="24" t="str">
        <x:v>PWR-400</x:v>
      </x:c>
      <x:c r="B492" s="24" t="str">
        <x:v>Mind, Perception, Fate, and Reality Domains</x:v>
      </x:c>
      <x:c r="C492" s="24" t="str">
        <x:v>Power Traditions</x:v>
      </x:c>
      <x:c r="D492" s="24" t="str">
        <x:v>PWR-000</x:v>
      </x:c>
      <x:c r="E492" s="24" t="str">
        <x:f>IF(D492="","",IFERROR(VLOOKUP(D492,$A$2:$B$1656,2,FALSE),""))</x:f>
        <x:v>Power Traditions</x:v>
      </x:c>
      <x:c r="F492" s="24" t="n">
        <x:v>2</x:v>
      </x:c>
      <x:c r="G492" s="24" t="str">
        <x:v>Power acting on thought, dreams, information, probability, time, space, and causality.</x:v>
      </x:c>
      <x:c r="H492" s="24" t="str">
        <x:v>A power tradition describes source and method, not the user's profession or moral alignment.</x:v>
      </x:c>
      <x:c r="I492" s="24" t="str"/>
      <x:c r="J492" s="24" t="str">
        <x:v>Allows classes and beings to be compared independently of local job names.</x:v>
      </x:c>
      <x:c r="K492" s="24" t="str">
        <x:v>Mind, Perception, Fate, and Reality Domains</x:v>
      </x:c>
      <x:c r="L492" s="24" t="str">
        <x:v>Preserve each source's ontology, culture, history, and terminology when making comparisons.</x:v>
      </x:c>
      <x:c r="M492" s="24" t="str">
        <x:v>Category</x:v>
      </x:c>
    </x:row>
    <x:row r="493" ht="44" customHeight="1">
      <x:c r="A493" s="24" t="str">
        <x:v>PWR-500</x:v>
      </x:c>
      <x:c r="B493" s="24" t="str">
        <x:v>Symbolic, Performative, and Technical Methods</x:v>
      </x:c>
      <x:c r="C493" s="24" t="str">
        <x:v>Power Traditions</x:v>
      </x:c>
      <x:c r="D493" s="24" t="str">
        <x:v>PWR-000</x:v>
      </x:c>
      <x:c r="E493" s="24" t="str">
        <x:f>IF(D493="","",IFERROR(VLOOKUP(D493,$A$2:$B$1656,2,FALSE),""))</x:f>
        <x:v>Power Traditions</x:v>
      </x:c>
      <x:c r="F493" s="24" t="n">
        <x:v>2</x:v>
      </x:c>
      <x:c r="G493" s="24" t="str">
        <x:v>Power encoded in words, names, runes, music, dance, mathematics, artifacts, craft, or technology.</x:v>
      </x:c>
      <x:c r="H493" s="24" t="str">
        <x:v>A power tradition describes source and method, not the user's profession or moral alignment.</x:v>
      </x:c>
      <x:c r="I493" s="24" t="str"/>
      <x:c r="J493" s="24" t="str">
        <x:v>Allows classes and beings to be compared independently of local job names.</x:v>
      </x:c>
      <x:c r="K493" s="24" t="str">
        <x:v>Symbolic, Performative, and Technical Methods</x:v>
      </x:c>
      <x:c r="L493" s="24" t="str">
        <x:v>Preserve each source's ontology, culture, history, and terminology when making comparisons.</x:v>
      </x:c>
      <x:c r="M493" s="24" t="str">
        <x:v>Category</x:v>
      </x:c>
    </x:row>
    <x:row r="494" ht="44" customHeight="1">
      <x:c r="A494" s="24" t="str">
        <x:v>PWR-600</x:v>
      </x:c>
      <x:c r="B494" s="24" t="str">
        <x:v>Oppositional and Meta-Magical Traditions</x:v>
      </x:c>
      <x:c r="C494" s="24" t="str">
        <x:v>Power Traditions</x:v>
      </x:c>
      <x:c r="D494" s="24" t="str">
        <x:v>PWR-000</x:v>
      </x:c>
      <x:c r="E494" s="24" t="str">
        <x:f>IF(D494="","",IFERROR(VLOOKUP(D494,$A$2:$B$1656,2,FALSE),""))</x:f>
        <x:v>Power Traditions</x:v>
      </x:c>
      <x:c r="F494" s="24" t="n">
        <x:v>2</x:v>
      </x:c>
      <x:c r="G494" s="24" t="str">
        <x:v>Power that copies, suppresses, corrupts, randomizes, or otherwise modifies other powers and systems.</x:v>
      </x:c>
      <x:c r="H494" s="24" t="str">
        <x:v>A power tradition describes source and method, not the user's profession or moral alignment.</x:v>
      </x:c>
      <x:c r="I494" s="24" t="str"/>
      <x:c r="J494" s="24" t="str">
        <x:v>Allows classes and beings to be compared independently of local job names.</x:v>
      </x:c>
      <x:c r="K494" s="24" t="str">
        <x:v>Oppositional and Meta-Magical Traditions</x:v>
      </x:c>
      <x:c r="L494" s="24" t="str">
        <x:v>Preserve each source's ontology, culture, history, and terminology when making comparisons.</x:v>
      </x:c>
      <x:c r="M494" s="24" t="str">
        <x:v>Category</x:v>
      </x:c>
    </x:row>
    <x:row r="495" ht="44" customHeight="1">
      <x:c r="A495" s="24" t="str">
        <x:v>PWR-101</x:v>
      </x:c>
      <x:c r="B495" s="24" t="str">
        <x:v>Learned Arcana</x:v>
      </x:c>
      <x:c r="C495" s="24" t="str">
        <x:v>Power Traditions</x:v>
      </x:c>
      <x:c r="D495" s="24" t="str">
        <x:v>PWR-100</x:v>
      </x:c>
      <x:c r="E495" s="24" t="str">
        <x:f>IF(D495="","",IFERROR(VLOOKUP(D495,$A$2:$B$1656,2,FALSE),""))</x:f>
        <x:v>Source and Authorization Models</x:v>
      </x:c>
      <x:c r="F495" s="24" t="n">
        <x:v>3</x:v>
      </x:c>
      <x:c r="G495" s="24" t="str">
        <x:v>Power acquired through study, practice, notation, memorization, experimentation, and teachable technique.</x:v>
      </x:c>
      <x:c r="H495" s="24" t="str">
        <x:v>Record source, method, cost, limits, access, and social control separately.</x:v>
      </x:c>
      <x:c r="I495" s="24" t="str">
        <x:v>wizardry; learned magic; scholastic arcana</x:v>
      </x:c>
      <x:c r="J495" s="24" t="str">
        <x:v>Defines who can access power, why it works, and what obligations accompany it.</x:v>
      </x:c>
      <x:c r="K495" s="24" t="str">
        <x:v>wizardry; learned magic; scholastic arcana</x:v>
      </x:c>
      <x:c r="L495" s="24" t="str">
        <x:v>Preserve each source's ontology, culture, history, and terminology when making comparisons.</x:v>
      </x:c>
      <x:c r="M495" s="24" t="str">
        <x:v>Core Family</x:v>
      </x:c>
    </x:row>
    <x:row r="496" ht="44" customHeight="1">
      <x:c r="A496" s="24" t="str">
        <x:v>PWR-102</x:v>
      </x:c>
      <x:c r="B496" s="24" t="str">
        <x:v>Innate Sorcery</x:v>
      </x:c>
      <x:c r="C496" s="24" t="str">
        <x:v>Power Traditions</x:v>
      </x:c>
      <x:c r="D496" s="24" t="str">
        <x:v>PWR-100</x:v>
      </x:c>
      <x:c r="E496" s="24" t="str">
        <x:f>IF(D496="","",IFERROR(VLOOKUP(D496,$A$2:$B$1656,2,FALSE),""))</x:f>
        <x:v>Source and Authorization Models</x:v>
      </x:c>
      <x:c r="F496" s="24" t="n">
        <x:v>3</x:v>
      </x:c>
      <x:c r="G496" s="24" t="str">
        <x:v>Power arising from birth, bloodline, species, mutation, emotion, or an internal supernatural faculty.</x:v>
      </x:c>
      <x:c r="H496" s="24" t="str">
        <x:v>Record source, method, cost, limits, access, and social control separately.</x:v>
      </x:c>
      <x:c r="I496" s="24" t="str">
        <x:v>sorcery; innate magic; bloodline gift</x:v>
      </x:c>
      <x:c r="J496" s="24" t="str">
        <x:v>Defines who can access power, why it works, and what obligations accompany it.</x:v>
      </x:c>
      <x:c r="K496" s="24" t="str">
        <x:v>sorcery; innate magic; bloodline gift</x:v>
      </x:c>
      <x:c r="L496" s="24" t="str">
        <x:v>Preserve each source's ontology, culture, history, and terminology when making comparisons.</x:v>
      </x:c>
      <x:c r="M496" s="24" t="str">
        <x:v>Core Family</x:v>
      </x:c>
    </x:row>
    <x:row r="497" ht="44" customHeight="1">
      <x:c r="A497" s="24" t="str">
        <x:v>PWR-103</x:v>
      </x:c>
      <x:c r="B497" s="24" t="str">
        <x:v>Divine Miracle</x:v>
      </x:c>
      <x:c r="C497" s="24" t="str">
        <x:v>Power Traditions</x:v>
      </x:c>
      <x:c r="D497" s="24" t="str">
        <x:v>PWR-100</x:v>
      </x:c>
      <x:c r="E497" s="24" t="str">
        <x:f>IF(D497="","",IFERROR(VLOOKUP(D497,$A$2:$B$1656,2,FALSE),""))</x:f>
        <x:v>Source and Authorization Models</x:v>
      </x:c>
      <x:c r="F497" s="24" t="n">
        <x:v>3</x:v>
      </x:c>
      <x:c r="G497" s="24" t="str">
        <x:v>Power granted, mediated, or authorized by a deity, sacred order, cosmic law, or religious covenant.</x:v>
      </x:c>
      <x:c r="H497" s="24" t="str">
        <x:v>Record source, method, cost, limits, access, and social control separately.</x:v>
      </x:c>
      <x:c r="I497" s="24" t="str">
        <x:v>divine magic; miracle; blessing</x:v>
      </x:c>
      <x:c r="J497" s="24" t="str">
        <x:v>Defines who can access power, why it works, and what obligations accompany it.</x:v>
      </x:c>
      <x:c r="K497" s="24" t="str">
        <x:v>divine magic; miracle; blessing</x:v>
      </x:c>
      <x:c r="L497" s="24" t="str">
        <x:v>Preserve each source's ontology, culture, history, and terminology when making comparisons.</x:v>
      </x:c>
      <x:c r="M497" s="24" t="str">
        <x:v>Core Family</x:v>
      </x:c>
    </x:row>
    <x:row r="498" ht="44" customHeight="1">
      <x:c r="A498" s="24" t="str">
        <x:v>PWR-104</x:v>
      </x:c>
      <x:c r="B498" s="24" t="str">
        <x:v>Pact and Contract Magic</x:v>
      </x:c>
      <x:c r="C498" s="24" t="str">
        <x:v>Power Traditions</x:v>
      </x:c>
      <x:c r="D498" s="24" t="str">
        <x:v>PWR-100</x:v>
      </x:c>
      <x:c r="E498" s="24" t="str">
        <x:f>IF(D498="","",IFERROR(VLOOKUP(D498,$A$2:$B$1656,2,FALSE),""))</x:f>
        <x:v>Source and Authorization Models</x:v>
      </x:c>
      <x:c r="F498" s="24" t="n">
        <x:v>3</x:v>
      </x:c>
      <x:c r="G498" s="24" t="str">
        <x:v>Power obtained through negotiated obligation with a spirit, fiend, deity, patron, artifact, or institution.</x:v>
      </x:c>
      <x:c r="H498" s="24" t="str">
        <x:v>Record source, method, cost, limits, access, and social control separately.</x:v>
      </x:c>
      <x:c r="I498" s="24" t="str">
        <x:v>pact magic; contract; bargain</x:v>
      </x:c>
      <x:c r="J498" s="24" t="str">
        <x:v>Defines who can access power, why it works, and what obligations accompany it.</x:v>
      </x:c>
      <x:c r="K498" s="24" t="str">
        <x:v>pact magic; contract; bargain</x:v>
      </x:c>
      <x:c r="L498" s="24" t="str">
        <x:v>Preserve each source's ontology, culture, history, and terminology when making comparisons.</x:v>
      </x:c>
      <x:c r="M498" s="24" t="str">
        <x:v>Core Family</x:v>
      </x:c>
    </x:row>
    <x:row r="499" ht="44" customHeight="1">
      <x:c r="A499" s="24" t="str">
        <x:v>PWR-105</x:v>
      </x:c>
      <x:c r="B499" s="24" t="str">
        <x:v>Spirit Mediation</x:v>
      </x:c>
      <x:c r="C499" s="24" t="str">
        <x:v>Power Traditions</x:v>
      </x:c>
      <x:c r="D499" s="24" t="str">
        <x:v>PWR-100</x:v>
      </x:c>
      <x:c r="E499" s="24" t="str">
        <x:f>IF(D499="","",IFERROR(VLOOKUP(D499,$A$2:$B$1656,2,FALSE),""))</x:f>
        <x:v>Source and Authorization Models</x:v>
      </x:c>
      <x:c r="F499" s="24" t="n">
        <x:v>3</x:v>
      </x:c>
      <x:c r="G499" s="24" t="str">
        <x:v>Power exercised by communicating with, hosting, appeasing, bargaining with, or directing spirits.</x:v>
      </x:c>
      <x:c r="H499" s="24" t="str">
        <x:v>Record source, method, cost, limits, access, and social control separately.</x:v>
      </x:c>
      <x:c r="I499" s="24" t="str">
        <x:v>spirit magic; shamanism; mediumship</x:v>
      </x:c>
      <x:c r="J499" s="24" t="str">
        <x:v>Defines who can access power, why it works, and what obligations accompany it.</x:v>
      </x:c>
      <x:c r="K499" s="24" t="str">
        <x:v>spirit magic; shamanism; mediumship</x:v>
      </x:c>
      <x:c r="L499" s="24" t="str">
        <x:v>Preserve each source's ontology, culture, history, and terminology when making comparisons.</x:v>
      </x:c>
      <x:c r="M499" s="24" t="str">
        <x:v>Core Family</x:v>
      </x:c>
    </x:row>
    <x:row r="500" ht="44" customHeight="1">
      <x:c r="A500" s="24" t="str">
        <x:v>PWR-106</x:v>
      </x:c>
      <x:c r="B500" s="24" t="str">
        <x:v>Animistic Reciprocity</x:v>
      </x:c>
      <x:c r="C500" s="24" t="str">
        <x:v>Power Traditions</x:v>
      </x:c>
      <x:c r="D500" s="24" t="str">
        <x:v>PWR-100</x:v>
      </x:c>
      <x:c r="E500" s="24" t="str">
        <x:f>IF(D500="","",IFERROR(VLOOKUP(D500,$A$2:$B$1656,2,FALSE),""))</x:f>
        <x:v>Source and Authorization Models</x:v>
      </x:c>
      <x:c r="F500" s="24" t="n">
        <x:v>3</x:v>
      </x:c>
      <x:c r="G500" s="24" t="str">
        <x:v>Power grounded in reciprocal relationships with places, animals, ancestors, objects, and nonhuman persons.</x:v>
      </x:c>
      <x:c r="H500" s="24" t="str">
        <x:v>Record source, method, cost, limits, access, and social control separately.</x:v>
      </x:c>
      <x:c r="I500" s="24" t="str">
        <x:v>animism; reciprocal spirit practice</x:v>
      </x:c>
      <x:c r="J500" s="24" t="str">
        <x:v>Defines who can access power, why it works, and what obligations accompany it.</x:v>
      </x:c>
      <x:c r="K500" s="24" t="str">
        <x:v>animism; reciprocal spirit practice</x:v>
      </x:c>
      <x:c r="L500" s="24" t="str">
        <x:v>Preserve each source's ontology, culture, history, and terminology when making comparisons.</x:v>
      </x:c>
      <x:c r="M500" s="24" t="str">
        <x:v>Core Family</x:v>
      </x:c>
    </x:row>
    <x:row r="501" ht="44" customHeight="1">
      <x:c r="A501" s="24" t="str">
        <x:v>PWR-107</x:v>
      </x:c>
      <x:c r="B501" s="24" t="str">
        <x:v>Ancestral Power</x:v>
      </x:c>
      <x:c r="C501" s="24" t="str">
        <x:v>Power Traditions</x:v>
      </x:c>
      <x:c r="D501" s="24" t="str">
        <x:v>PWR-100</x:v>
      </x:c>
      <x:c r="E501" s="24" t="str">
        <x:f>IF(D501="","",IFERROR(VLOOKUP(D501,$A$2:$B$1656,2,FALSE),""))</x:f>
        <x:v>Source and Authorization Models</x:v>
      </x:c>
      <x:c r="F501" s="24" t="n">
        <x:v>3</x:v>
      </x:c>
      <x:c r="G501" s="24" t="str">
        <x:v>Abilities inherited from or actively supplied by ancestors, lineage memory, relics, or clan spirits.</x:v>
      </x:c>
      <x:c r="H501" s="24" t="str">
        <x:v>Record source, method, cost, limits, access, and social control separately.</x:v>
      </x:c>
      <x:c r="I501" s="24" t="str">
        <x:v>ancestor magic; lineage blessing</x:v>
      </x:c>
      <x:c r="J501" s="24" t="str">
        <x:v>Defines who can access power, why it works, and what obligations accompany it.</x:v>
      </x:c>
      <x:c r="K501" s="24" t="str">
        <x:v>ancestor magic; lineage blessing</x:v>
      </x:c>
      <x:c r="L501" s="24" t="str">
        <x:v>Preserve each source's ontology, culture, history, and terminology when making comparisons.</x:v>
      </x:c>
      <x:c r="M501" s="24" t="str">
        <x:v>Core Family</x:v>
      </x:c>
    </x:row>
    <x:row r="502" ht="44" customHeight="1">
      <x:c r="A502" s="24" t="str">
        <x:v>PWR-108</x:v>
      </x:c>
      <x:c r="B502" s="24" t="str">
        <x:v>Bloodline Inheritance</x:v>
      </x:c>
      <x:c r="C502" s="24" t="str">
        <x:v>Power Traditions</x:v>
      </x:c>
      <x:c r="D502" s="24" t="str">
        <x:v>PWR-100</x:v>
      </x:c>
      <x:c r="E502" s="24" t="str">
        <x:f>IF(D502="","",IFERROR(VLOOKUP(D502,$A$2:$B$1656,2,FALSE),""))</x:f>
        <x:v>Source and Authorization Models</x:v>
      </x:c>
      <x:c r="F502" s="24" t="n">
        <x:v>3</x:v>
      </x:c>
      <x:c r="G502" s="24" t="str">
        <x:v>Power transmitted genealogically through family, species, royal descent, or magical heredity.</x:v>
      </x:c>
      <x:c r="H502" s="24" t="str">
        <x:v>Record source, method, cost, limits, access, and social control separately.</x:v>
      </x:c>
      <x:c r="I502" s="24" t="str">
        <x:v>bloodline power; inherited gift</x:v>
      </x:c>
      <x:c r="J502" s="24" t="str">
        <x:v>Defines who can access power, why it works, and what obligations accompany it.</x:v>
      </x:c>
      <x:c r="K502" s="24" t="str">
        <x:v>bloodline power; inherited gift</x:v>
      </x:c>
      <x:c r="L502" s="24" t="str">
        <x:v>Preserve each source's ontology, culture, history, and terminology when making comparisons.</x:v>
      </x:c>
      <x:c r="M502" s="24" t="str">
        <x:v>Core Family</x:v>
      </x:c>
    </x:row>
    <x:row r="503" ht="44" customHeight="1">
      <x:c r="A503" s="24" t="str">
        <x:v>PWR-109</x:v>
      </x:c>
      <x:c r="B503" s="24" t="str">
        <x:v>Chosen or Invested Power</x:v>
      </x:c>
      <x:c r="C503" s="24" t="str">
        <x:v>Power Traditions</x:v>
      </x:c>
      <x:c r="D503" s="24" t="str">
        <x:v>PWR-100</x:v>
      </x:c>
      <x:c r="E503" s="24" t="str">
        <x:f>IF(D503="","",IFERROR(VLOOKUP(D503,$A$2:$B$1656,2,FALSE),""))</x:f>
        <x:v>Source and Authorization Models</x:v>
      </x:c>
      <x:c r="F503" s="24" t="n">
        <x:v>3</x:v>
      </x:c>
      <x:c r="G503" s="24" t="str">
        <x:v>Power bestowed by selection, office, prophecy, relic, crown, deity, or institution.</x:v>
      </x:c>
      <x:c r="H503" s="24" t="str">
        <x:v>Record source, method, cost, limits, access, and social control separately.</x:v>
      </x:c>
      <x:c r="I503" s="24" t="str">
        <x:v>chosen power; investiture; mantle</x:v>
      </x:c>
      <x:c r="J503" s="24" t="str">
        <x:v>Defines who can access power, why it works, and what obligations accompany it.</x:v>
      </x:c>
      <x:c r="K503" s="24" t="str">
        <x:v>chosen power; investiture; mantle</x:v>
      </x:c>
      <x:c r="L503" s="24" t="str">
        <x:v>Preserve each source's ontology, culture, history, and terminology when making comparisons.</x:v>
      </x:c>
      <x:c r="M503" s="24" t="str">
        <x:v>Core Family</x:v>
      </x:c>
    </x:row>
    <x:row r="504" ht="44" customHeight="1">
      <x:c r="A504" s="24" t="str">
        <x:v>PWR-110</x:v>
      </x:c>
      <x:c r="B504" s="24" t="str">
        <x:v>Artifact-Mediated Power</x:v>
      </x:c>
      <x:c r="C504" s="24" t="str">
        <x:v>Power Traditions</x:v>
      </x:c>
      <x:c r="D504" s="24" t="str">
        <x:v>PWR-100</x:v>
      </x:c>
      <x:c r="E504" s="24" t="str">
        <x:f>IF(D504="","",IFERROR(VLOOKUP(D504,$A$2:$B$1656,2,FALSE),""))</x:f>
        <x:v>Source and Authorization Models</x:v>
      </x:c>
      <x:c r="F504" s="24" t="n">
        <x:v>3</x:v>
      </x:c>
      <x:c r="G504" s="24" t="str">
        <x:v>Abilities accessible primarily through a weapon, relic, book, ring, mask, suit, or other external object.</x:v>
      </x:c>
      <x:c r="H504" s="24" t="str">
        <x:v>Record source, method, cost, limits, access, and social control separately.</x:v>
      </x:c>
      <x:c r="I504" s="24" t="str">
        <x:v>artifact magic; relic power; focus-dependent power</x:v>
      </x:c>
      <x:c r="J504" s="24" t="str">
        <x:v>Defines who can access power, why it works, and what obligations accompany it.</x:v>
      </x:c>
      <x:c r="K504" s="24" t="str">
        <x:v>artifact magic; relic power; focus-dependent power</x:v>
      </x:c>
      <x:c r="L504" s="24" t="str">
        <x:v>Preserve each source's ontology, culture, history, and terminology when making comparisons.</x:v>
      </x:c>
      <x:c r="M504" s="24" t="str">
        <x:v>Core Family</x:v>
      </x:c>
    </x:row>
    <x:row r="505" ht="44" customHeight="1">
      <x:c r="A505" s="24" t="str">
        <x:v>PWR-111</x:v>
      </x:c>
      <x:c r="B505" s="24" t="str">
        <x:v>Symbiotic Power</x:v>
      </x:c>
      <x:c r="C505" s="24" t="str">
        <x:v>Power Traditions</x:v>
      </x:c>
      <x:c r="D505" s="24" t="str">
        <x:v>PWR-100</x:v>
      </x:c>
      <x:c r="E505" s="24" t="str">
        <x:f>IF(D505="","",IFERROR(VLOOKUP(D505,$A$2:$B$1656,2,FALSE),""))</x:f>
        <x:v>Source and Authorization Models</x:v>
      </x:c>
      <x:c r="F505" s="24" t="n">
        <x:v>3</x:v>
      </x:c>
      <x:c r="G505" s="24" t="str">
        <x:v>Abilities produced by partnership or entanglement with another organism, spirit, machine, or entity.</x:v>
      </x:c>
      <x:c r="H505" s="24" t="str">
        <x:v>Record source, method, cost, limits, access, and social control separately.</x:v>
      </x:c>
      <x:c r="I505" s="24" t="str">
        <x:v>symbiote power; bonded entity; host power</x:v>
      </x:c>
      <x:c r="J505" s="24" t="str">
        <x:v>Defines who can access power, why it works, and what obligations accompany it.</x:v>
      </x:c>
      <x:c r="K505" s="24" t="str">
        <x:v>symbiote power; bonded entity; host power</x:v>
      </x:c>
      <x:c r="L505" s="24" t="str">
        <x:v>Preserve each source's ontology, culture, history, and terminology when making comparisons.</x:v>
      </x:c>
      <x:c r="M505" s="24" t="str">
        <x:v>Core Family</x:v>
      </x:c>
    </x:row>
    <x:row r="506" ht="44" customHeight="1">
      <x:c r="A506" s="24" t="str">
        <x:v>PWR-112</x:v>
      </x:c>
      <x:c r="B506" s="24" t="str">
        <x:v>Possession and Channeling</x:v>
      </x:c>
      <x:c r="C506" s="24" t="str">
        <x:v>Power Traditions</x:v>
      </x:c>
      <x:c r="D506" s="24" t="str">
        <x:v>PWR-100</x:v>
      </x:c>
      <x:c r="E506" s="24" t="str">
        <x:f>IF(D506="","",IFERROR(VLOOKUP(D506,$A$2:$B$1656,2,FALSE),""))</x:f>
        <x:v>Source and Authorization Models</x:v>
      </x:c>
      <x:c r="F506" s="24" t="n">
        <x:v>3</x:v>
      </x:c>
      <x:c r="G506" s="24" t="str">
        <x:v>Power gained by allowing another being to inhabit, speak through, or partially control the user.</x:v>
      </x:c>
      <x:c r="H506" s="24" t="str">
        <x:v>Record source, method, cost, limits, access, and social control separately.</x:v>
      </x:c>
      <x:c r="I506" s="24" t="str">
        <x:v>channeling; possession power; vessel</x:v>
      </x:c>
      <x:c r="J506" s="24" t="str">
        <x:v>Defines who can access power, why it works, and what obligations accompany it.</x:v>
      </x:c>
      <x:c r="K506" s="24" t="str">
        <x:v>channeling; possession power; vessel</x:v>
      </x:c>
      <x:c r="L506" s="24" t="str">
        <x:v>Preserve each source's ontology, culture, history, and terminology when making comparisons.</x:v>
      </x:c>
      <x:c r="M506" s="24" t="str">
        <x:v>Core Family</x:v>
      </x:c>
    </x:row>
    <x:row r="507" ht="44" customHeight="1">
      <x:c r="A507" s="24" t="str">
        <x:v>PWR-113</x:v>
      </x:c>
      <x:c r="B507" s="24" t="str">
        <x:v>Mutation and Enhancement</x:v>
      </x:c>
      <x:c r="C507" s="24" t="str">
        <x:v>Power Traditions</x:v>
      </x:c>
      <x:c r="D507" s="24" t="str">
        <x:v>PWR-100</x:v>
      </x:c>
      <x:c r="E507" s="24" t="str">
        <x:f>IF(D507="","",IFERROR(VLOOKUP(D507,$A$2:$B$1656,2,FALSE),""))</x:f>
        <x:v>Source and Authorization Models</x:v>
      </x:c>
      <x:c r="F507" s="24" t="n">
        <x:v>3</x:v>
      </x:c>
      <x:c r="G507" s="24" t="str">
        <x:v>Power created through alchemy, surgery, exposure, infection, breeding, or deliberate biological alteration.</x:v>
      </x:c>
      <x:c r="H507" s="24" t="str">
        <x:v>Record source, method, cost, limits, access, and social control separately.</x:v>
      </x:c>
      <x:c r="I507" s="24" t="str">
        <x:v>mutation; augmentation; enhancement</x:v>
      </x:c>
      <x:c r="J507" s="24" t="str">
        <x:v>Defines who can access power, why it works, and what obligations accompany it.</x:v>
      </x:c>
      <x:c r="K507" s="24" t="str">
        <x:v>mutation; augmentation; enhancement</x:v>
      </x:c>
      <x:c r="L507" s="24" t="str">
        <x:v>Preserve each source's ontology, culture, history, and terminology when making comparisons.</x:v>
      </x:c>
      <x:c r="M507" s="24" t="str">
        <x:v>Core Family</x:v>
      </x:c>
    </x:row>
    <x:row r="508" ht="44" customHeight="1">
      <x:c r="A508" s="24" t="str">
        <x:v>PWR-114</x:v>
      </x:c>
      <x:c r="B508" s="24" t="str">
        <x:v>Cultivation and Internal Refinement</x:v>
      </x:c>
      <x:c r="C508" s="24" t="str">
        <x:v>Power Traditions</x:v>
      </x:c>
      <x:c r="D508" s="24" t="str">
        <x:v>PWR-100</x:v>
      </x:c>
      <x:c r="E508" s="24" t="str">
        <x:f>IF(D508="","",IFERROR(VLOOKUP(D508,$A$2:$B$1656,2,FALSE),""))</x:f>
        <x:v>Source and Authorization Models</x:v>
      </x:c>
      <x:c r="F508" s="24" t="n">
        <x:v>3</x:v>
      </x:c>
      <x:c r="G508" s="24" t="str">
        <x:v>Power developed through repeated refinement of body, breath, energy, spirit, insight, and cosmological stage.</x:v>
      </x:c>
      <x:c r="H508" s="24" t="str">
        <x:v>Record source, method, cost, limits, access, and social control separately.</x:v>
      </x:c>
      <x:c r="I508" s="24" t="str">
        <x:v>cultivation; qi refinement; internal alchemy</x:v>
      </x:c>
      <x:c r="J508" s="24" t="str">
        <x:v>Defines who can access power, why it works, and what obligations accompany it.</x:v>
      </x:c>
      <x:c r="K508" s="24" t="str">
        <x:v>cultivation; qi refinement; internal alchemy</x:v>
      </x:c>
      <x:c r="L508" s="24" t="str">
        <x:v>Preserve Chinese philosophical and literary contexts rather than treating cultivation as a generic level system.</x:v>
      </x:c>
      <x:c r="M508" s="24" t="str">
        <x:v>Core Family</x:v>
      </x:c>
    </x:row>
    <x:row r="509" ht="44" customHeight="1">
      <x:c r="A509" s="24" t="str">
        <x:v>PWR-115</x:v>
      </x:c>
      <x:c r="B509" s="24" t="str">
        <x:v>Martial Ki or Qi</x:v>
      </x:c>
      <x:c r="C509" s="24" t="str">
        <x:v>Power Traditions</x:v>
      </x:c>
      <x:c r="D509" s="24" t="str">
        <x:v>PWR-100</x:v>
      </x:c>
      <x:c r="E509" s="24" t="str">
        <x:f>IF(D509="","",IFERROR(VLOOKUP(D509,$A$2:$B$1656,2,FALSE),""))</x:f>
        <x:v>Source and Authorization Models</x:v>
      </x:c>
      <x:c r="F509" s="24" t="n">
        <x:v>3</x:v>
      </x:c>
      <x:c r="G509" s="24" t="str">
        <x:v>Extraordinary physical and energetic feats generated through breath, internal energy, focus, and trained bodily discipline.</x:v>
      </x:c>
      <x:c r="H509" s="24" t="str">
        <x:v>Record source, method, cost, limits, access, and social control separately.</x:v>
      </x:c>
      <x:c r="I509" s="24" t="str">
        <x:v>ki; qi; chi; aura</x:v>
      </x:c>
      <x:c r="J509" s="24" t="str">
        <x:v>Defines who can access power, why it works, and what obligations accompany it.</x:v>
      </x:c>
      <x:c r="K509" s="24" t="str">
        <x:v>ki; qi; chi; aura</x:v>
      </x:c>
      <x:c r="L509" s="24" t="str">
        <x:v>Preserve each source's ontology, culture, history, and terminology when making comparisons.</x:v>
      </x:c>
      <x:c r="M509" s="24" t="str">
        <x:v>Core Family</x:v>
      </x:c>
    </x:row>
    <x:row r="510" ht="44" customHeight="1">
      <x:c r="A510" s="24" t="str">
        <x:v>PWR-116</x:v>
      </x:c>
      <x:c r="B510" s="24" t="str">
        <x:v>Psychic Faculty</x:v>
      </x:c>
      <x:c r="C510" s="24" t="str">
        <x:v>Power Traditions</x:v>
      </x:c>
      <x:c r="D510" s="24" t="str">
        <x:v>PWR-100</x:v>
      </x:c>
      <x:c r="E510" s="24" t="str">
        <x:f>IF(D510="","",IFERROR(VLOOKUP(D510,$A$2:$B$1656,2,FALSE),""))</x:f>
        <x:v>Source and Authorization Models</x:v>
      </x:c>
      <x:c r="F510" s="24" t="n">
        <x:v>3</x:v>
      </x:c>
      <x:c r="G510" s="24" t="str">
        <x:v>Power framed as an inherent or trained capacity of mind rather than spellcraft.</x:v>
      </x:c>
      <x:c r="H510" s="24" t="str">
        <x:v>Record source, method, cost, limits, access, and social control separately.</x:v>
      </x:c>
      <x:c r="I510" s="24" t="str">
        <x:v>psionics; psychic power; mental discipline</x:v>
      </x:c>
      <x:c r="J510" s="24" t="str">
        <x:v>Defines who can access power, why it works, and what obligations accompany it.</x:v>
      </x:c>
      <x:c r="K510" s="24" t="str">
        <x:v>psionics; psychic power; mental discipline</x:v>
      </x:c>
      <x:c r="L510" s="24" t="str">
        <x:v>Preserve each source's ontology, culture, history, and terminology when making comparisons.</x:v>
      </x:c>
      <x:c r="M510" s="24" t="str">
        <x:v>Core Family</x:v>
      </x:c>
    </x:row>
    <x:row r="511" ht="44" customHeight="1">
      <x:c r="A511" s="24" t="str">
        <x:v>PWR-117</x:v>
      </x:c>
      <x:c r="B511" s="24" t="str">
        <x:v>Technological Access</x:v>
      </x:c>
      <x:c r="C511" s="24" t="str">
        <x:v>Power Traditions</x:v>
      </x:c>
      <x:c r="D511" s="24" t="str">
        <x:v>PWR-100</x:v>
      </x:c>
      <x:c r="E511" s="24" t="str">
        <x:f>IF(D511="","",IFERROR(VLOOKUP(D511,$A$2:$B$1656,2,FALSE),""))</x:f>
        <x:v>Source and Authorization Models</x:v>
      </x:c>
      <x:c r="F511" s="24" t="n">
        <x:v>3</x:v>
      </x:c>
      <x:c r="G511" s="24" t="str">
        <x:v>Extraordinary effects produced by sufficiently advanced machinery, code, implants, or engineered systems within a fantasy setting.</x:v>
      </x:c>
      <x:c r="H511" s="24" t="str">
        <x:v>Record source, method, cost, limits, access, and social control separately.</x:v>
      </x:c>
      <x:c r="I511" s="24" t="str">
        <x:v>technology; magitech; cybernetics</x:v>
      </x:c>
      <x:c r="J511" s="24" t="str">
        <x:v>Defines who can access power, why it works, and what obligations accompany it.</x:v>
      </x:c>
      <x:c r="K511" s="24" t="str">
        <x:v>technology; magitech; cybernetics</x:v>
      </x:c>
      <x:c r="L511" s="24" t="str">
        <x:v>Preserve each source's ontology, culture, history, and terminology when making comparisons.</x:v>
      </x:c>
      <x:c r="M511" s="24" t="str">
        <x:v>Core Family</x:v>
      </x:c>
    </x:row>
    <x:row r="512" ht="44" customHeight="1">
      <x:c r="A512" s="24" t="str">
        <x:v>PWR-118</x:v>
      </x:c>
      <x:c r="B512" s="24" t="str">
        <x:v>Environmental Attunement</x:v>
      </x:c>
      <x:c r="C512" s="24" t="str">
        <x:v>Power Traditions</x:v>
      </x:c>
      <x:c r="D512" s="24" t="str">
        <x:v>PWR-100</x:v>
      </x:c>
      <x:c r="E512" s="24" t="str">
        <x:f>IF(D512="","",IFERROR(VLOOKUP(D512,$A$2:$B$1656,2,FALSE),""))</x:f>
        <x:v>Source and Authorization Models</x:v>
      </x:c>
      <x:c r="F512" s="24" t="n">
        <x:v>3</x:v>
      </x:c>
      <x:c r="G512" s="24" t="str">
        <x:v>Power drawn from local terrain, ley lines, weather, seasons, or a specific ecological relationship.</x:v>
      </x:c>
      <x:c r="H512" s="24" t="str">
        <x:v>Record source, method, cost, limits, access, and social control separately.</x:v>
      </x:c>
      <x:c r="I512" s="24" t="str">
        <x:v>ley power; land bond; terrain magic</x:v>
      </x:c>
      <x:c r="J512" s="24" t="str">
        <x:v>Defines who can access power, why it works, and what obligations accompany it.</x:v>
      </x:c>
      <x:c r="K512" s="24" t="str">
        <x:v>ley power; land bond; terrain magic</x:v>
      </x:c>
      <x:c r="L512" s="24" t="str">
        <x:v>Preserve each source's ontology, culture, history, and terminology when making comparisons.</x:v>
      </x:c>
      <x:c r="M512" s="24" t="str">
        <x:v>Core Family</x:v>
      </x:c>
    </x:row>
    <x:row r="513" ht="44" customHeight="1">
      <x:c r="A513" s="24" t="str">
        <x:v>PWR-119</x:v>
      </x:c>
      <x:c r="B513" s="24" t="str">
        <x:v>Sacrifice and Costly Exchange</x:v>
      </x:c>
      <x:c r="C513" s="24" t="str">
        <x:v>Power Traditions</x:v>
      </x:c>
      <x:c r="D513" s="24" t="str">
        <x:v>PWR-100</x:v>
      </x:c>
      <x:c r="E513" s="24" t="str">
        <x:f>IF(D513="","",IFERROR(VLOOKUP(D513,$A$2:$B$1656,2,FALSE),""))</x:f>
        <x:v>Source and Authorization Models</x:v>
      </x:c>
      <x:c r="F513" s="24" t="n">
        <x:v>3</x:v>
      </x:c>
      <x:c r="G513" s="24" t="str">
        <x:v>Power activated through loss of blood, life, memory, years, emotion, identity, wealth, or another valued resource.</x:v>
      </x:c>
      <x:c r="H513" s="24" t="str">
        <x:v>Record source, method, cost, limits, access, and social control separately.</x:v>
      </x:c>
      <x:c r="I513" s="24" t="str">
        <x:v>sacrifice magic; equivalent exchange; costly spell</x:v>
      </x:c>
      <x:c r="J513" s="24" t="str">
        <x:v>Defines who can access power, why it works, and what obligations accompany it.</x:v>
      </x:c>
      <x:c r="K513" s="24" t="str">
        <x:v>sacrifice magic; equivalent exchange; costly spell</x:v>
      </x:c>
      <x:c r="L513" s="24" t="str">
        <x:v>Preserve each source's ontology, culture, history, and terminology when making comparisons.</x:v>
      </x:c>
      <x:c r="M513" s="24" t="str">
        <x:v>Core Family</x:v>
      </x:c>
    </x:row>
    <x:row r="514" ht="44" customHeight="1">
      <x:c r="A514" s="24" t="str">
        <x:v>PWR-120</x:v>
      </x:c>
      <x:c r="B514" s="24" t="str">
        <x:v>Emotional Power</x:v>
      </x:c>
      <x:c r="C514" s="24" t="str">
        <x:v>Power Traditions</x:v>
      </x:c>
      <x:c r="D514" s="24" t="str">
        <x:v>PWR-100</x:v>
      </x:c>
      <x:c r="E514" s="24" t="str">
        <x:f>IF(D514="","",IFERROR(VLOOKUP(D514,$A$2:$B$1656,2,FALSE),""))</x:f>
        <x:v>Source and Authorization Models</x:v>
      </x:c>
      <x:c r="F514" s="24" t="n">
        <x:v>3</x:v>
      </x:c>
      <x:c r="G514" s="24" t="str">
        <x:v>Power amplified, shaped, or triggered by love, rage, hope, fear, grief, resolve, or collective feeling.</x:v>
      </x:c>
      <x:c r="H514" s="24" t="str">
        <x:v>Record source, method, cost, limits, access, and social control separately.</x:v>
      </x:c>
      <x:c r="I514" s="24" t="str">
        <x:v>emotion magic; heart power; rage power</x:v>
      </x:c>
      <x:c r="J514" s="24" t="str">
        <x:v>Defines who can access power, why it works, and what obligations accompany it.</x:v>
      </x:c>
      <x:c r="K514" s="24" t="str">
        <x:v>emotion magic; heart power; rage power</x:v>
      </x:c>
      <x:c r="L514" s="24" t="str">
        <x:v>Preserve each source's ontology, culture, history, and terminology when making comparisons.</x:v>
      </x:c>
      <x:c r="M514" s="24" t="str">
        <x:v>Core Family</x:v>
      </x:c>
    </x:row>
    <x:row r="515" ht="44" customHeight="1">
      <x:c r="A515" s="24" t="str">
        <x:v>PWR-121</x:v>
      </x:c>
      <x:c r="B515" s="24" t="str">
        <x:v>Faith-Responsive Power</x:v>
      </x:c>
      <x:c r="C515" s="24" t="str">
        <x:v>Power Traditions</x:v>
      </x:c>
      <x:c r="D515" s="24" t="str">
        <x:v>PWR-100</x:v>
      </x:c>
      <x:c r="E515" s="24" t="str">
        <x:f>IF(D515="","",IFERROR(VLOOKUP(D515,$A$2:$B$1656,2,FALSE),""))</x:f>
        <x:v>Source and Authorization Models</x:v>
      </x:c>
      <x:c r="F515" s="24" t="n">
        <x:v>3</x:v>
      </x:c>
      <x:c r="G515" s="24" t="str">
        <x:v>Power whose magnitude or availability depends on belief, worship, devotion, communal recognition, or doctrinal alignment.</x:v>
      </x:c>
      <x:c r="H515" s="24" t="str">
        <x:v>Record source, method, cost, limits, access, and social control separately.</x:v>
      </x:c>
      <x:c r="I515" s="24" t="str">
        <x:v>faith magic; belief power</x:v>
      </x:c>
      <x:c r="J515" s="24" t="str">
        <x:v>Defines who can access power, why it works, and what obligations accompany it.</x:v>
      </x:c>
      <x:c r="K515" s="24" t="str">
        <x:v>faith magic; belief power</x:v>
      </x:c>
      <x:c r="L515" s="24" t="str">
        <x:v>Preserve each source's ontology, culture, history, and terminology when making comparisons.</x:v>
      </x:c>
      <x:c r="M515" s="24" t="str">
        <x:v>Core Family</x:v>
      </x:c>
    </x:row>
    <x:row r="516" ht="44" customHeight="1">
      <x:c r="A516" s="24" t="str">
        <x:v>PWR-122</x:v>
      </x:c>
      <x:c r="B516" s="24" t="str">
        <x:v>Narrative or Conceptual Authority</x:v>
      </x:c>
      <x:c r="C516" s="24" t="str">
        <x:v>Power Traditions</x:v>
      </x:c>
      <x:c r="D516" s="24" t="str">
        <x:v>PWR-100</x:v>
      </x:c>
      <x:c r="E516" s="24" t="str">
        <x:f>IF(D516="","",IFERROR(VLOOKUP(D516,$A$2:$B$1656,2,FALSE),""))</x:f>
        <x:v>Source and Authorization Models</x:v>
      </x:c>
      <x:c r="F516" s="24" t="n">
        <x:v>3</x:v>
      </x:c>
      <x:c r="G516" s="24" t="str">
        <x:v>Power derived from names, stories, roles, archetypes, reputation, symbolic office, or metaphysical recognition.</x:v>
      </x:c>
      <x:c r="H516" s="24" t="str">
        <x:v>Record source, method, cost, limits, access, and social control separately.</x:v>
      </x:c>
      <x:c r="I516" s="24" t="str">
        <x:v>story magic; mantle; conceptual power</x:v>
      </x:c>
      <x:c r="J516" s="24" t="str">
        <x:v>Defines who can access power, why it works, and what obligations accompany it.</x:v>
      </x:c>
      <x:c r="K516" s="24" t="str">
        <x:v>story magic; mantle; conceptual power</x:v>
      </x:c>
      <x:c r="L516" s="24" t="str">
        <x:v>Preserve each source's ontology, culture, history, and terminology when making comparisons.</x:v>
      </x:c>
      <x:c r="M516" s="24" t="str">
        <x:v>Core Family</x:v>
      </x:c>
    </x:row>
    <x:row r="517" ht="44" customHeight="1">
      <x:c r="A517" s="24" t="str">
        <x:v>PWR-201</x:v>
      </x:c>
      <x:c r="B517" s="24" t="str">
        <x:v>Fire Magic</x:v>
      </x:c>
      <x:c r="C517" s="24" t="str">
        <x:v>Power Traditions</x:v>
      </x:c>
      <x:c r="D517" s="24" t="str">
        <x:v>PWR-200</x:v>
      </x:c>
      <x:c r="E517" s="24" t="str">
        <x:f>IF(D517="","",IFERROR(VLOOKUP(D517,$A$2:$B$1656,2,FALSE),""))</x:f>
        <x:v>Elemental and Natural Domains</x:v>
      </x:c>
      <x:c r="F517" s="24" t="n">
        <x:v>3</x:v>
      </x:c>
      <x:c r="G517" s="24" t="str">
        <x:v>Control or creation of flame, heat, combustion, ash, magma, or solar fire.</x:v>
      </x:c>
      <x:c r="H517" s="24" t="str">
        <x:v>Record source, method, cost, limits, access, and social control separately.</x:v>
      </x:c>
      <x:c r="I517" s="24" t="str">
        <x:v>pyromancy; firebending-like; flame magic</x:v>
      </x:c>
      <x:c r="J517" s="24" t="str">
        <x:v>Damage, defense, mobility, environmental control, ecological identity, and symbolic alignment.</x:v>
      </x:c>
      <x:c r="K517" s="24" t="str">
        <x:v>pyromancy; firebending-like; flame magic</x:v>
      </x:c>
      <x:c r="L517" s="24" t="str">
        <x:v>Preserve each source's ontology, culture, history, and terminology when making comparisons.</x:v>
      </x:c>
      <x:c r="M517" s="24" t="str">
        <x:v>Core Family</x:v>
      </x:c>
    </x:row>
    <x:row r="518" ht="44" customHeight="1">
      <x:c r="A518" s="24" t="str">
        <x:v>PWR-202</x:v>
      </x:c>
      <x:c r="B518" s="24" t="str">
        <x:v>Water Magic</x:v>
      </x:c>
      <x:c r="C518" s="24" t="str">
        <x:v>Power Traditions</x:v>
      </x:c>
      <x:c r="D518" s="24" t="str">
        <x:v>PWR-200</x:v>
      </x:c>
      <x:c r="E518" s="24" t="str">
        <x:f>IF(D518="","",IFERROR(VLOOKUP(D518,$A$2:$B$1656,2,FALSE),""))</x:f>
        <x:v>Elemental and Natural Domains</x:v>
      </x:c>
      <x:c r="F518" s="24" t="n">
        <x:v>3</x:v>
      </x:c>
      <x:c r="G518" s="24" t="str">
        <x:v>Control or creation of water, currents, pressure, moisture, tides, and fluid motion.</x:v>
      </x:c>
      <x:c r="H518" s="24" t="str">
        <x:v>Record source, method, cost, limits, access, and social control separately.</x:v>
      </x:c>
      <x:c r="I518" s="24" t="str">
        <x:v>hydromancy; water magic</x:v>
      </x:c>
      <x:c r="J518" s="24" t="str">
        <x:v>Damage, defense, mobility, environmental control, ecological identity, and symbolic alignment.</x:v>
      </x:c>
      <x:c r="K518" s="24" t="str">
        <x:v>hydromancy; water magic</x:v>
      </x:c>
      <x:c r="L518" s="24" t="str">
        <x:v>Preserve each source's ontology, culture, history, and terminology when making comparisons.</x:v>
      </x:c>
      <x:c r="M518" s="24" t="str">
        <x:v>Core Family</x:v>
      </x:c>
    </x:row>
    <x:row r="519" ht="44" customHeight="1">
      <x:c r="A519" s="24" t="str">
        <x:v>PWR-203</x:v>
      </x:c>
      <x:c r="B519" s="24" t="str">
        <x:v>Ice and Cold Magic</x:v>
      </x:c>
      <x:c r="C519" s="24" t="str">
        <x:v>Power Traditions</x:v>
      </x:c>
      <x:c r="D519" s="24" t="str">
        <x:v>PWR-200</x:v>
      </x:c>
      <x:c r="E519" s="24" t="str">
        <x:f>IF(D519="","",IFERROR(VLOOKUP(D519,$A$2:$B$1656,2,FALSE),""))</x:f>
        <x:v>Elemental and Natural Domains</x:v>
      </x:c>
      <x:c r="F519" s="24" t="n">
        <x:v>3</x:v>
      </x:c>
      <x:c r="G519" s="24" t="str">
        <x:v>Control of freezing, snow, ice, cold, thermal extraction, and preservation.</x:v>
      </x:c>
      <x:c r="H519" s="24" t="str">
        <x:v>Record source, method, cost, limits, access, and social control separately.</x:v>
      </x:c>
      <x:c r="I519" s="24" t="str">
        <x:v>cryomancy; frost magic</x:v>
      </x:c>
      <x:c r="J519" s="24" t="str">
        <x:v>Damage, defense, mobility, environmental control, ecological identity, and symbolic alignment.</x:v>
      </x:c>
      <x:c r="K519" s="24" t="str">
        <x:v>cryomancy; frost magic</x:v>
      </x:c>
      <x:c r="L519" s="24" t="str">
        <x:v>Preserve each source's ontology, culture, history, and terminology when making comparisons.</x:v>
      </x:c>
      <x:c r="M519" s="24" t="str">
        <x:v>Core Family</x:v>
      </x:c>
    </x:row>
    <x:row r="520" ht="44" customHeight="1">
      <x:c r="A520" s="24" t="str">
        <x:v>PWR-204</x:v>
      </x:c>
      <x:c r="B520" s="24" t="str">
        <x:v>Air and Wind Magic</x:v>
      </x:c>
      <x:c r="C520" s="24" t="str">
        <x:v>Power Traditions</x:v>
      </x:c>
      <x:c r="D520" s="24" t="str">
        <x:v>PWR-200</x:v>
      </x:c>
      <x:c r="E520" s="24" t="str">
        <x:f>IF(D520="","",IFERROR(VLOOKUP(D520,$A$2:$B$1656,2,FALSE),""))</x:f>
        <x:v>Elemental and Natural Domains</x:v>
      </x:c>
      <x:c r="F520" s="24" t="n">
        <x:v>3</x:v>
      </x:c>
      <x:c r="G520" s="24" t="str">
        <x:v>Control of wind, air pressure, flight, breath, and sometimes sound.</x:v>
      </x:c>
      <x:c r="H520" s="24" t="str">
        <x:v>Record source, method, cost, limits, access, and social control separately.</x:v>
      </x:c>
      <x:c r="I520" s="24" t="str">
        <x:v>aeromancy; wind magic</x:v>
      </x:c>
      <x:c r="J520" s="24" t="str">
        <x:v>Damage, defense, mobility, environmental control, ecological identity, and symbolic alignment.</x:v>
      </x:c>
      <x:c r="K520" s="24" t="str">
        <x:v>aeromancy; wind magic</x:v>
      </x:c>
      <x:c r="L520" s="24" t="str">
        <x:v>Preserve each source's ontology, culture, history, and terminology when making comparisons.</x:v>
      </x:c>
      <x:c r="M520" s="24" t="str">
        <x:v>Core Family</x:v>
      </x:c>
    </x:row>
    <x:row r="521" ht="44" customHeight="1">
      <x:c r="A521" s="24" t="str">
        <x:v>PWR-205</x:v>
      </x:c>
      <x:c r="B521" s="24" t="str">
        <x:v>Earth and Stone Magic</x:v>
      </x:c>
      <x:c r="C521" s="24" t="str">
        <x:v>Power Traditions</x:v>
      </x:c>
      <x:c r="D521" s="24" t="str">
        <x:v>PWR-200</x:v>
      </x:c>
      <x:c r="E521" s="24" t="str">
        <x:f>IF(D521="","",IFERROR(VLOOKUP(D521,$A$2:$B$1656,2,FALSE),""))</x:f>
        <x:v>Elemental and Natural Domains</x:v>
      </x:c>
      <x:c r="F521" s="24" t="n">
        <x:v>3</x:v>
      </x:c>
      <x:c r="G521" s="24" t="str">
        <x:v>Control of soil, stone, sand, metal-bearing earth, terrain, and seismic force.</x:v>
      </x:c>
      <x:c r="H521" s="24" t="str">
        <x:v>Record source, method, cost, limits, access, and social control separately.</x:v>
      </x:c>
      <x:c r="I521" s="24" t="str">
        <x:v>geomancy; earth magic</x:v>
      </x:c>
      <x:c r="J521" s="24" t="str">
        <x:v>Damage, defense, mobility, environmental control, ecological identity, and symbolic alignment.</x:v>
      </x:c>
      <x:c r="K521" s="24" t="str">
        <x:v>geomancy; earth magic</x:v>
      </x:c>
      <x:c r="L521" s="24" t="str">
        <x:v>Preserve each source's ontology, culture, history, and terminology when making comparisons.</x:v>
      </x:c>
      <x:c r="M521" s="24" t="str">
        <x:v>Core Family</x:v>
      </x:c>
    </x:row>
    <x:row r="522" ht="44" customHeight="1">
      <x:c r="A522" s="24" t="str">
        <x:v>PWR-206</x:v>
      </x:c>
      <x:c r="B522" s="24" t="str">
        <x:v>Lightning and Storm Magic</x:v>
      </x:c>
      <x:c r="C522" s="24" t="str">
        <x:v>Power Traditions</x:v>
      </x:c>
      <x:c r="D522" s="24" t="str">
        <x:v>PWR-200</x:v>
      </x:c>
      <x:c r="E522" s="24" t="str">
        <x:f>IF(D522="","",IFERROR(VLOOKUP(D522,$A$2:$B$1656,2,FALSE),""))</x:f>
        <x:v>Elemental and Natural Domains</x:v>
      </x:c>
      <x:c r="F522" s="24" t="n">
        <x:v>3</x:v>
      </x:c>
      <x:c r="G522" s="24" t="str">
        <x:v>Control of lightning, thunder, storms, charged energy, and violent weather.</x:v>
      </x:c>
      <x:c r="H522" s="24" t="str">
        <x:v>Record source, method, cost, limits, access, and social control separately.</x:v>
      </x:c>
      <x:c r="I522" s="24" t="str">
        <x:v>electromancy; storm magic; thunder magic</x:v>
      </x:c>
      <x:c r="J522" s="24" t="str">
        <x:v>Damage, defense, mobility, environmental control, ecological identity, and symbolic alignment.</x:v>
      </x:c>
      <x:c r="K522" s="24" t="str">
        <x:v>electromancy; storm magic; thunder magic</x:v>
      </x:c>
      <x:c r="L522" s="24" t="str">
        <x:v>Preserve each source's ontology, culture, history, and terminology when making comparisons.</x:v>
      </x:c>
      <x:c r="M522" s="24" t="str">
        <x:v>Core Family</x:v>
      </x:c>
    </x:row>
    <x:row r="523" ht="44" customHeight="1">
      <x:c r="A523" s="24" t="str">
        <x:v>PWR-207</x:v>
      </x:c>
      <x:c r="B523" s="24" t="str">
        <x:v>Light and Radiance Magic</x:v>
      </x:c>
      <x:c r="C523" s="24" t="str">
        <x:v>Power Traditions</x:v>
      </x:c>
      <x:c r="D523" s="24" t="str">
        <x:v>PWR-200</x:v>
      </x:c>
      <x:c r="E523" s="24" t="str">
        <x:f>IF(D523="","",IFERROR(VLOOKUP(D523,$A$2:$B$1656,2,FALSE),""))</x:f>
        <x:v>Elemental and Natural Domains</x:v>
      </x:c>
      <x:c r="F523" s="24" t="n">
        <x:v>3</x:v>
      </x:c>
      <x:c r="G523" s="24" t="str">
        <x:v>Control of illumination, lasers, revelation, radiance, purity, or photonic force.</x:v>
      </x:c>
      <x:c r="H523" s="24" t="str">
        <x:v>Record source, method, cost, limits, access, and social control separately.</x:v>
      </x:c>
      <x:c r="I523" s="24" t="str">
        <x:v>light magic; radiant power</x:v>
      </x:c>
      <x:c r="J523" s="24" t="str">
        <x:v>Damage, defense, mobility, environmental control, ecological identity, and symbolic alignment.</x:v>
      </x:c>
      <x:c r="K523" s="24" t="str">
        <x:v>light magic; radiant power</x:v>
      </x:c>
      <x:c r="L523" s="24" t="str">
        <x:v>Preserve each source's ontology, culture, history, and terminology when making comparisons.</x:v>
      </x:c>
      <x:c r="M523" s="24" t="str">
        <x:v>Core Family</x:v>
      </x:c>
    </x:row>
    <x:row r="524" ht="44" customHeight="1">
      <x:c r="A524" s="24" t="str">
        <x:v>PWR-208</x:v>
      </x:c>
      <x:c r="B524" s="24" t="str">
        <x:v>Shadow and Darkness Magic</x:v>
      </x:c>
      <x:c r="C524" s="24" t="str">
        <x:v>Power Traditions</x:v>
      </x:c>
      <x:c r="D524" s="24" t="str">
        <x:v>PWR-200</x:v>
      </x:c>
      <x:c r="E524" s="24" t="str">
        <x:f>IF(D524="","",IFERROR(VLOOKUP(D524,$A$2:$B$1656,2,FALSE),""))</x:f>
        <x:v>Elemental and Natural Domains</x:v>
      </x:c>
      <x:c r="F524" s="24" t="n">
        <x:v>3</x:v>
      </x:c>
      <x:c r="G524" s="24" t="str">
        <x:v>Control of darkness, concealment, silhouettes, absence, fear, or umbral substance.</x:v>
      </x:c>
      <x:c r="H524" s="24" t="str">
        <x:v>Record source, method, cost, limits, access, and social control separately.</x:v>
      </x:c>
      <x:c r="I524" s="24" t="str">
        <x:v>shadow magic; darkness; umbral power</x:v>
      </x:c>
      <x:c r="J524" s="24" t="str">
        <x:v>Damage, defense, mobility, environmental control, ecological identity, and symbolic alignment.</x:v>
      </x:c>
      <x:c r="K524" s="24" t="str">
        <x:v>shadow magic; darkness; umbral power</x:v>
      </x:c>
      <x:c r="L524" s="24" t="str">
        <x:v>Preserve each source's ontology, culture, history, and terminology when making comparisons.</x:v>
      </x:c>
      <x:c r="M524" s="24" t="str">
        <x:v>Core Family</x:v>
      </x:c>
    </x:row>
    <x:row r="525" ht="44" customHeight="1">
      <x:c r="A525" s="24" t="str">
        <x:v>PWR-209</x:v>
      </x:c>
      <x:c r="B525" s="24" t="str">
        <x:v>Plant and Growth Magic</x:v>
      </x:c>
      <x:c r="C525" s="24" t="str">
        <x:v>Power Traditions</x:v>
      </x:c>
      <x:c r="D525" s="24" t="str">
        <x:v>PWR-200</x:v>
      </x:c>
      <x:c r="E525" s="24" t="str">
        <x:f>IF(D525="","",IFERROR(VLOOKUP(D525,$A$2:$B$1656,2,FALSE),""))</x:f>
        <x:v>Elemental and Natural Domains</x:v>
      </x:c>
      <x:c r="F525" s="24" t="n">
        <x:v>3</x:v>
      </x:c>
      <x:c r="G525" s="24" t="str">
        <x:v>Acceleration, shaping, communication, or weaponization of plant life and vegetation.</x:v>
      </x:c>
      <x:c r="H525" s="24" t="str">
        <x:v>Record source, method, cost, limits, access, and social control separately.</x:v>
      </x:c>
      <x:c r="I525" s="24" t="str">
        <x:v>plant magic; green magic; floramancy</x:v>
      </x:c>
      <x:c r="J525" s="24" t="str">
        <x:v>Damage, defense, mobility, environmental control, ecological identity, and symbolic alignment.</x:v>
      </x:c>
      <x:c r="K525" s="24" t="str">
        <x:v>plant magic; green magic; floramancy</x:v>
      </x:c>
      <x:c r="L525" s="24" t="str">
        <x:v>Preserve each source's ontology, culture, history, and terminology when making comparisons.</x:v>
      </x:c>
      <x:c r="M525" s="24" t="str">
        <x:v>Core Family</x:v>
      </x:c>
    </x:row>
    <x:row r="526" ht="44" customHeight="1">
      <x:c r="A526" s="24" t="str">
        <x:v>PWR-210</x:v>
      </x:c>
      <x:c r="B526" s="24" t="str">
        <x:v>Animal and Beast Magic</x:v>
      </x:c>
      <x:c r="C526" s="24" t="str">
        <x:v>Power Traditions</x:v>
      </x:c>
      <x:c r="D526" s="24" t="str">
        <x:v>PWR-200</x:v>
      </x:c>
      <x:c r="E526" s="24" t="str">
        <x:f>IF(D526="","",IFERROR(VLOOKUP(D526,$A$2:$B$1656,2,FALSE),""))</x:f>
        <x:v>Elemental and Natural Domains</x:v>
      </x:c>
      <x:c r="F526" s="24" t="n">
        <x:v>3</x:v>
      </x:c>
      <x:c r="G526" s="24" t="str">
        <x:v>Communication with, transformation into, command of, or empowerment through animals.</x:v>
      </x:c>
      <x:c r="H526" s="24" t="str">
        <x:v>Record source, method, cost, limits, access, and social control separately.</x:v>
      </x:c>
      <x:c r="I526" s="24" t="str">
        <x:v>beast magic; zoopathy; animal speech</x:v>
      </x:c>
      <x:c r="J526" s="24" t="str">
        <x:v>Damage, defense, mobility, environmental control, ecological identity, and symbolic alignment.</x:v>
      </x:c>
      <x:c r="K526" s="24" t="str">
        <x:v>beast magic; zoopathy; animal speech</x:v>
      </x:c>
      <x:c r="L526" s="24" t="str">
        <x:v>Preserve each source's ontology, culture, history, and terminology when making comparisons.</x:v>
      </x:c>
      <x:c r="M526" s="24" t="str">
        <x:v>Core Family</x:v>
      </x:c>
    </x:row>
    <x:row r="527" ht="44" customHeight="1">
      <x:c r="A527" s="24" t="str">
        <x:v>PWR-211</x:v>
      </x:c>
      <x:c r="B527" s="24" t="str">
        <x:v>Fungal and Spore Magic</x:v>
      </x:c>
      <x:c r="C527" s="24" t="str">
        <x:v>Power Traditions</x:v>
      </x:c>
      <x:c r="D527" s="24" t="str">
        <x:v>PWR-200</x:v>
      </x:c>
      <x:c r="E527" s="24" t="str">
        <x:f>IF(D527="","",IFERROR(VLOOKUP(D527,$A$2:$B$1656,2,FALSE),""))</x:f>
        <x:v>Elemental and Natural Domains</x:v>
      </x:c>
      <x:c r="F527" s="24" t="n">
        <x:v>3</x:v>
      </x:c>
      <x:c r="G527" s="24" t="str">
        <x:v>Power involving mushrooms, mycelia, spores, decomposition, hallucination, and ecological networks.</x:v>
      </x:c>
      <x:c r="H527" s="24" t="str">
        <x:v>Record source, method, cost, limits, access, and social control separately.</x:v>
      </x:c>
      <x:c r="I527" s="24" t="str">
        <x:v>fungal magic; sporecraft</x:v>
      </x:c>
      <x:c r="J527" s="24" t="str">
        <x:v>Damage, defense, mobility, environmental control, ecological identity, and symbolic alignment.</x:v>
      </x:c>
      <x:c r="K527" s="24" t="str">
        <x:v>fungal magic; sporecraft</x:v>
      </x:c>
      <x:c r="L527" s="24" t="str">
        <x:v>Preserve each source's ontology, culture, history, and terminology when making comparisons.</x:v>
      </x:c>
      <x:c r="M527" s="24" t="str">
        <x:v>Core Family</x:v>
      </x:c>
    </x:row>
    <x:row r="528" ht="44" customHeight="1">
      <x:c r="A528" s="24" t="str">
        <x:v>PWR-212</x:v>
      </x:c>
      <x:c r="B528" s="24" t="str">
        <x:v>Weather Magic</x:v>
      </x:c>
      <x:c r="C528" s="24" t="str">
        <x:v>Power Traditions</x:v>
      </x:c>
      <x:c r="D528" s="24" t="str">
        <x:v>PWR-200</x:v>
      </x:c>
      <x:c r="E528" s="24" t="str">
        <x:f>IF(D528="","",IFERROR(VLOOKUP(D528,$A$2:$B$1656,2,FALSE),""))</x:f>
        <x:v>Elemental and Natural Domains</x:v>
      </x:c>
      <x:c r="F528" s="24" t="n">
        <x:v>3</x:v>
      </x:c>
      <x:c r="G528" s="24" t="str">
        <x:v>Broad control of rain, drought, clouds, seasons, temperature, and atmospheric systems.</x:v>
      </x:c>
      <x:c r="H528" s="24" t="str">
        <x:v>Record source, method, cost, limits, access, and social control separately.</x:v>
      </x:c>
      <x:c r="I528" s="24" t="str">
        <x:v>weather working; climate magic</x:v>
      </x:c>
      <x:c r="J528" s="24" t="str">
        <x:v>Damage, defense, mobility, environmental control, ecological identity, and symbolic alignment.</x:v>
      </x:c>
      <x:c r="K528" s="24" t="str">
        <x:v>weather working; climate magic</x:v>
      </x:c>
      <x:c r="L528" s="24" t="str">
        <x:v>Preserve each source's ontology, culture, history, and terminology when making comparisons.</x:v>
      </x:c>
      <x:c r="M528" s="24" t="str">
        <x:v>Core Family</x:v>
      </x:c>
    </x:row>
    <x:row r="529" ht="44" customHeight="1">
      <x:c r="A529" s="24" t="str">
        <x:v>PWR-213</x:v>
      </x:c>
      <x:c r="B529" s="24" t="str">
        <x:v>Sea and Tide Magic</x:v>
      </x:c>
      <x:c r="C529" s="24" t="str">
        <x:v>Power Traditions</x:v>
      </x:c>
      <x:c r="D529" s="24" t="str">
        <x:v>PWR-200</x:v>
      </x:c>
      <x:c r="E529" s="24" t="str">
        <x:f>IF(D529="","",IFERROR(VLOOKUP(D529,$A$2:$B$1656,2,FALSE),""))</x:f>
        <x:v>Elemental and Natural Domains</x:v>
      </x:c>
      <x:c r="F529" s="24" t="n">
        <x:v>3</x:v>
      </x:c>
      <x:c r="G529" s="24" t="str">
        <x:v>Marine power associated with tides, salt, depth, currents, storms, and ocean beings.</x:v>
      </x:c>
      <x:c r="H529" s="24" t="str">
        <x:v>Record source, method, cost, limits, access, and social control separately.</x:v>
      </x:c>
      <x:c r="I529" s="24" t="str">
        <x:v>tide magic; sea magic</x:v>
      </x:c>
      <x:c r="J529" s="24" t="str">
        <x:v>Damage, defense, mobility, environmental control, ecological identity, and symbolic alignment.</x:v>
      </x:c>
      <x:c r="K529" s="24" t="str">
        <x:v>tide magic; sea magic</x:v>
      </x:c>
      <x:c r="L529" s="24" t="str">
        <x:v>Preserve each source's ontology, culture, history, and terminology when making comparisons.</x:v>
      </x:c>
      <x:c r="M529" s="24" t="str">
        <x:v>Core Family</x:v>
      </x:c>
    </x:row>
    <x:row r="530" ht="44" customHeight="1">
      <x:c r="A530" s="24" t="str">
        <x:v>PWR-214</x:v>
      </x:c>
      <x:c r="B530" s="24" t="str">
        <x:v>Metal Magic</x:v>
      </x:c>
      <x:c r="C530" s="24" t="str">
        <x:v>Power Traditions</x:v>
      </x:c>
      <x:c r="D530" s="24" t="str">
        <x:v>PWR-200</x:v>
      </x:c>
      <x:c r="E530" s="24" t="str">
        <x:f>IF(D530="","",IFERROR(VLOOKUP(D530,$A$2:$B$1656,2,FALSE),""))</x:f>
        <x:v>Elemental and Natural Domains</x:v>
      </x:c>
      <x:c r="F530" s="24" t="n">
        <x:v>3</x:v>
      </x:c>
      <x:c r="G530" s="24" t="str">
        <x:v>Control, sensing, shaping, or transmutation of metal and metallic properties.</x:v>
      </x:c>
      <x:c r="H530" s="24" t="str">
        <x:v>Record source, method, cost, limits, access, and social control separately.</x:v>
      </x:c>
      <x:c r="I530" s="24" t="str">
        <x:v>metallomancy; metalbending-like</x:v>
      </x:c>
      <x:c r="J530" s="24" t="str">
        <x:v>Damage, defense, mobility, environmental control, ecological identity, and symbolic alignment.</x:v>
      </x:c>
      <x:c r="K530" s="24" t="str">
        <x:v>metallomancy; metalbending-like</x:v>
      </x:c>
      <x:c r="L530" s="24" t="str">
        <x:v>Preserve each source's ontology, culture, history, and terminology when making comparisons.</x:v>
      </x:c>
      <x:c r="M530" s="24" t="str">
        <x:v>Core Family</x:v>
      </x:c>
    </x:row>
    <x:row r="531" ht="44" customHeight="1">
      <x:c r="A531" s="24" t="str">
        <x:v>PWR-215</x:v>
      </x:c>
      <x:c r="B531" s="24" t="str">
        <x:v>Crystal and Gem Magic</x:v>
      </x:c>
      <x:c r="C531" s="24" t="str">
        <x:v>Power Traditions</x:v>
      </x:c>
      <x:c r="D531" s="24" t="str">
        <x:v>PWR-200</x:v>
      </x:c>
      <x:c r="E531" s="24" t="str">
        <x:f>IF(D531="","",IFERROR(VLOOKUP(D531,$A$2:$B$1656,2,FALSE),""))</x:f>
        <x:v>Elemental and Natural Domains</x:v>
      </x:c>
      <x:c r="F531" s="24" t="n">
        <x:v>3</x:v>
      </x:c>
      <x:c r="G531" s="24" t="str">
        <x:v>Power stored, refracted, amplified, or structured through crystals and gemstones.</x:v>
      </x:c>
      <x:c r="H531" s="24" t="str">
        <x:v>Record source, method, cost, limits, access, and social control separately.</x:v>
      </x:c>
      <x:c r="I531" s="24" t="str">
        <x:v>crystal magic; gemcraft</x:v>
      </x:c>
      <x:c r="J531" s="24" t="str">
        <x:v>Damage, defense, mobility, environmental control, ecological identity, and symbolic alignment.</x:v>
      </x:c>
      <x:c r="K531" s="24" t="str">
        <x:v>crystal magic; gemcraft</x:v>
      </x:c>
      <x:c r="L531" s="24" t="str">
        <x:v>Preserve each source's ontology, culture, history, and terminology when making comparisons.</x:v>
      </x:c>
      <x:c r="M531" s="24" t="str">
        <x:v>Core Family</x:v>
      </x:c>
    </x:row>
    <x:row r="532" ht="44" customHeight="1">
      <x:c r="A532" s="24" t="str">
        <x:v>PWR-216</x:v>
      </x:c>
      <x:c r="B532" s="24" t="str">
        <x:v>Poison and Toxin Magic</x:v>
      </x:c>
      <x:c r="C532" s="24" t="str">
        <x:v>Power Traditions</x:v>
      </x:c>
      <x:c r="D532" s="24" t="str">
        <x:v>PWR-200</x:v>
      </x:c>
      <x:c r="E532" s="24" t="str">
        <x:f>IF(D532="","",IFERROR(VLOOKUP(D532,$A$2:$B$1656,2,FALSE),""))</x:f>
        <x:v>Elemental and Natural Domains</x:v>
      </x:c>
      <x:c r="F532" s="24" t="n">
        <x:v>3</x:v>
      </x:c>
      <x:c r="G532" s="24" t="str">
        <x:v>Creation, manipulation, purification, or magical intensification of toxins and venoms.</x:v>
      </x:c>
      <x:c r="H532" s="24" t="str">
        <x:v>Record source, method, cost, limits, access, and social control separately.</x:v>
      </x:c>
      <x:c r="I532" s="24" t="str">
        <x:v>poison magic; venomcraft; toxicology</x:v>
      </x:c>
      <x:c r="J532" s="24" t="str">
        <x:v>Damage, defense, mobility, environmental control, ecological identity, and symbolic alignment.</x:v>
      </x:c>
      <x:c r="K532" s="24" t="str">
        <x:v>poison magic; venomcraft; toxicology</x:v>
      </x:c>
      <x:c r="L532" s="24" t="str">
        <x:v>Preserve each source's ontology, culture, history, and terminology when making comparisons.</x:v>
      </x:c>
      <x:c r="M532" s="24" t="str">
        <x:v>Core Family</x:v>
      </x:c>
    </x:row>
    <x:row r="533" ht="44" customHeight="1">
      <x:c r="A533" s="24" t="str">
        <x:v>PWR-217</x:v>
      </x:c>
      <x:c r="B533" s="24" t="str">
        <x:v>Sound and Vibration Magic</x:v>
      </x:c>
      <x:c r="C533" s="24" t="str">
        <x:v>Power Traditions</x:v>
      </x:c>
      <x:c r="D533" s="24" t="str">
        <x:v>PWR-200</x:v>
      </x:c>
      <x:c r="E533" s="24" t="str">
        <x:f>IF(D533="","",IFERROR(VLOOKUP(D533,$A$2:$B$1656,2,FALSE),""))</x:f>
        <x:v>Elemental and Natural Domains</x:v>
      </x:c>
      <x:c r="F533" s="24" t="n">
        <x:v>3</x:v>
      </x:c>
      <x:c r="G533" s="24" t="str">
        <x:v>Manipulation of sound, resonance, silence, vibration, and harmonic structure.</x:v>
      </x:c>
      <x:c r="H533" s="24" t="str">
        <x:v>Record source, method, cost, limits, access, and social control separately.</x:v>
      </x:c>
      <x:c r="I533" s="24" t="str">
        <x:v>sonomancy; resonance magic</x:v>
      </x:c>
      <x:c r="J533" s="24" t="str">
        <x:v>Damage, defense, mobility, environmental control, ecological identity, and symbolic alignment.</x:v>
      </x:c>
      <x:c r="K533" s="24" t="str">
        <x:v>sonomancy; resonance magic</x:v>
      </x:c>
      <x:c r="L533" s="24" t="str">
        <x:v>Preserve each source's ontology, culture, history, and terminology when making comparisons.</x:v>
      </x:c>
      <x:c r="M533" s="24" t="str">
        <x:v>Core Family</x:v>
      </x:c>
    </x:row>
    <x:row r="534" ht="44" customHeight="1">
      <x:c r="A534" s="24" t="str">
        <x:v>PWR-218</x:v>
      </x:c>
      <x:c r="B534" s="24" t="str">
        <x:v>Gravity Magic</x:v>
      </x:c>
      <x:c r="C534" s="24" t="str">
        <x:v>Power Traditions</x:v>
      </x:c>
      <x:c r="D534" s="24" t="str">
        <x:v>PWR-200</x:v>
      </x:c>
      <x:c r="E534" s="24" t="str">
        <x:f>IF(D534="","",IFERROR(VLOOKUP(D534,$A$2:$B$1656,2,FALSE),""))</x:f>
        <x:v>Elemental and Natural Domains</x:v>
      </x:c>
      <x:c r="F534" s="24" t="n">
        <x:v>3</x:v>
      </x:c>
      <x:c r="G534" s="24" t="str">
        <x:v>Control of weight, attraction, falling, compression, and spatial curvature.</x:v>
      </x:c>
      <x:c r="H534" s="24" t="str">
        <x:v>Record source, method, cost, limits, access, and social control separately.</x:v>
      </x:c>
      <x:c r="I534" s="24" t="str">
        <x:v>gravity magic; graviturgy</x:v>
      </x:c>
      <x:c r="J534" s="24" t="str">
        <x:v>Damage, defense, mobility, environmental control, ecological identity, and symbolic alignment.</x:v>
      </x:c>
      <x:c r="K534" s="24" t="str">
        <x:v>gravity magic; graviturgy</x:v>
      </x:c>
      <x:c r="L534" s="24" t="str">
        <x:v>Preserve each source's ontology, culture, history, and terminology when making comparisons.</x:v>
      </x:c>
      <x:c r="M534" s="24" t="str">
        <x:v>Core Family</x:v>
      </x:c>
    </x:row>
    <x:row r="535" ht="44" customHeight="1">
      <x:c r="A535" s="24" t="str">
        <x:v>PWR-219</x:v>
      </x:c>
      <x:c r="B535" s="24" t="str">
        <x:v>Solar Magic</x:v>
      </x:c>
      <x:c r="C535" s="24" t="str">
        <x:v>Power Traditions</x:v>
      </x:c>
      <x:c r="D535" s="24" t="str">
        <x:v>PWR-200</x:v>
      </x:c>
      <x:c r="E535" s="24" t="str">
        <x:f>IF(D535="","",IFERROR(VLOOKUP(D535,$A$2:$B$1656,2,FALSE),""))</x:f>
        <x:v>Elemental and Natural Domains</x:v>
      </x:c>
      <x:c r="F535" s="24" t="n">
        <x:v>3</x:v>
      </x:c>
      <x:c r="G535" s="24" t="str">
        <x:v>Power derived specifically from the sun, daylight, solar cycles, or solar divinity.</x:v>
      </x:c>
      <x:c r="H535" s="24" t="str">
        <x:v>Record source, method, cost, limits, access, and social control separately.</x:v>
      </x:c>
      <x:c r="I535" s="24" t="str">
        <x:v>sun magic; solar power</x:v>
      </x:c>
      <x:c r="J535" s="24" t="str">
        <x:v>Damage, defense, mobility, environmental control, ecological identity, and symbolic alignment.</x:v>
      </x:c>
      <x:c r="K535" s="24" t="str">
        <x:v>sun magic; solar power</x:v>
      </x:c>
      <x:c r="L535" s="24" t="str">
        <x:v>Preserve each source's ontology, culture, history, and terminology when making comparisons.</x:v>
      </x:c>
      <x:c r="M535" s="24" t="str">
        <x:v>Core Family</x:v>
      </x:c>
    </x:row>
    <x:row r="536" ht="44" customHeight="1">
      <x:c r="A536" s="24" t="str">
        <x:v>PWR-220</x:v>
      </x:c>
      <x:c r="B536" s="24" t="str">
        <x:v>Lunar Magic</x:v>
      </x:c>
      <x:c r="C536" s="24" t="str">
        <x:v>Power Traditions</x:v>
      </x:c>
      <x:c r="D536" s="24" t="str">
        <x:v>PWR-200</x:v>
      </x:c>
      <x:c r="E536" s="24" t="str">
        <x:f>IF(D536="","",IFERROR(VLOOKUP(D536,$A$2:$B$1656,2,FALSE),""))</x:f>
        <x:v>Elemental and Natural Domains</x:v>
      </x:c>
      <x:c r="F536" s="24" t="n">
        <x:v>3</x:v>
      </x:c>
      <x:c r="G536" s="24" t="str">
        <x:v>Power derived from the moon, tides, night, dreams, phases, or lunar divinity.</x:v>
      </x:c>
      <x:c r="H536" s="24" t="str">
        <x:v>Record source, method, cost, limits, access, and social control separately.</x:v>
      </x:c>
      <x:c r="I536" s="24" t="str">
        <x:v>moon magic; lunar power</x:v>
      </x:c>
      <x:c r="J536" s="24" t="str">
        <x:v>Damage, defense, mobility, environmental control, ecological identity, and symbolic alignment.</x:v>
      </x:c>
      <x:c r="K536" s="24" t="str">
        <x:v>moon magic; lunar power</x:v>
      </x:c>
      <x:c r="L536" s="24" t="str">
        <x:v>Preserve each source's ontology, culture, history, and terminology when making comparisons.</x:v>
      </x:c>
      <x:c r="M536" s="24" t="str">
        <x:v>Core Family</x:v>
      </x:c>
    </x:row>
    <x:row r="537" ht="44" customHeight="1">
      <x:c r="A537" s="24" t="str">
        <x:v>PWR-221</x:v>
      </x:c>
      <x:c r="B537" s="24" t="str">
        <x:v>Seasonal Magic</x:v>
      </x:c>
      <x:c r="C537" s="24" t="str">
        <x:v>Power Traditions</x:v>
      </x:c>
      <x:c r="D537" s="24" t="str">
        <x:v>PWR-200</x:v>
      </x:c>
      <x:c r="E537" s="24" t="str">
        <x:f>IF(D537="","",IFERROR(VLOOKUP(D537,$A$2:$B$1656,2,FALSE),""))</x:f>
        <x:v>Elemental and Natural Domains</x:v>
      </x:c>
      <x:c r="F537" s="24" t="n">
        <x:v>3</x:v>
      </x:c>
      <x:c r="G537" s="24" t="str">
        <x:v>Power structured by spring, summer, autumn, winter, harvest, or cyclical environmental change.</x:v>
      </x:c>
      <x:c r="H537" s="24" t="str">
        <x:v>Record source, method, cost, limits, access, and social control separately.</x:v>
      </x:c>
      <x:c r="I537" s="24" t="str">
        <x:v>season magic; winter power; spring magic</x:v>
      </x:c>
      <x:c r="J537" s="24" t="str">
        <x:v>Damage, defense, mobility, environmental control, ecological identity, and symbolic alignment.</x:v>
      </x:c>
      <x:c r="K537" s="24" t="str">
        <x:v>season magic; winter power; spring magic</x:v>
      </x:c>
      <x:c r="L537" s="24" t="str">
        <x:v>Preserve each source's ontology, culture, history, and terminology when making comparisons.</x:v>
      </x:c>
      <x:c r="M537" s="24" t="str">
        <x:v>Core Family</x:v>
      </x:c>
    </x:row>
    <x:row r="538" ht="44" customHeight="1">
      <x:c r="A538" s="24" t="str">
        <x:v>PWR-222</x:v>
      </x:c>
      <x:c r="B538" s="24" t="str">
        <x:v>Nature or Primal Magic</x:v>
      </x:c>
      <x:c r="C538" s="24" t="str">
        <x:v>Power Traditions</x:v>
      </x:c>
      <x:c r="D538" s="24" t="str">
        <x:v>PWR-200</x:v>
      </x:c>
      <x:c r="E538" s="24" t="str">
        <x:f>IF(D538="","",IFERROR(VLOOKUP(D538,$A$2:$B$1656,2,FALSE),""))</x:f>
        <x:v>Elemental and Natural Domains</x:v>
      </x:c>
      <x:c r="F538" s="24" t="n">
        <x:v>3</x:v>
      </x:c>
      <x:c r="G538" s="24" t="str">
        <x:v>Broad magic of ecosystems, wilderness, growth, decay, animals, weather, and elemental reciprocity.</x:v>
      </x:c>
      <x:c r="H538" s="24" t="str">
        <x:v>Record source, method, cost, limits, access, and social control separately.</x:v>
      </x:c>
      <x:c r="I538" s="24" t="str">
        <x:v>nature magic; primal magic; druidic power</x:v>
      </x:c>
      <x:c r="J538" s="24" t="str">
        <x:v>Damage, defense, mobility, environmental control, ecological identity, and symbolic alignment.</x:v>
      </x:c>
      <x:c r="K538" s="24" t="str">
        <x:v>nature magic; primal magic; druidic power</x:v>
      </x:c>
      <x:c r="L538" s="24" t="str">
        <x:v>Preserve each source's ontology, culture, history, and terminology when making comparisons.</x:v>
      </x:c>
      <x:c r="M538" s="24" t="str">
        <x:v>Core Family</x:v>
      </x:c>
    </x:row>
    <x:row r="539" ht="44" customHeight="1">
      <x:c r="A539" s="24" t="str">
        <x:v>PWR-301</x:v>
      </x:c>
      <x:c r="B539" s="24" t="str">
        <x:v>Healing and Restoration</x:v>
      </x:c>
      <x:c r="C539" s="24" t="str">
        <x:v>Power Traditions</x:v>
      </x:c>
      <x:c r="D539" s="24" t="str">
        <x:v>PWR-300</x:v>
      </x:c>
      <x:c r="E539" s="24" t="str">
        <x:f>IF(D539="","",IFERROR(VLOOKUP(D539,$A$2:$B$1656,2,FALSE),""))</x:f>
        <x:v>Soul, Death, and Body Domains</x:v>
      </x:c>
      <x:c r="F539" s="24" t="n">
        <x:v>3</x:v>
      </x:c>
      <x:c r="G539" s="24" t="str">
        <x:v>Repair of bodies, minds, souls, conditions, injuries, disease, and exhausted resources.</x:v>
      </x:c>
      <x:c r="H539" s="24" t="str">
        <x:v>Record source, method, cost, limits, access, and social control separately.</x:v>
      </x:c>
      <x:c r="I539" s="24" t="str">
        <x:v>healing magic; restoration; cure</x:v>
      </x:c>
      <x:c r="J539" s="24" t="str">
        <x:v>Healing, horror, transformation, immortality, identity, bodily stakes, and life-death cosmology.</x:v>
      </x:c>
      <x:c r="K539" s="24" t="str">
        <x:v>healing magic; restoration; cure</x:v>
      </x:c>
      <x:c r="L539" s="24" t="str">
        <x:v>Preserve each source's ontology, culture, history, and terminology when making comparisons.</x:v>
      </x:c>
      <x:c r="M539" s="24" t="str">
        <x:v>Core Family</x:v>
      </x:c>
    </x:row>
    <x:row r="540" ht="44" customHeight="1">
      <x:c r="A540" s="24" t="str">
        <x:v>PWR-302</x:v>
      </x:c>
      <x:c r="B540" s="24" t="str">
        <x:v>Life and Vitality Magic</x:v>
      </x:c>
      <x:c r="C540" s="24" t="str">
        <x:v>Power Traditions</x:v>
      </x:c>
      <x:c r="D540" s="24" t="str">
        <x:v>PWR-300</x:v>
      </x:c>
      <x:c r="E540" s="24" t="str">
        <x:f>IF(D540="","",IFERROR(VLOOKUP(D540,$A$2:$B$1656,2,FALSE),""))</x:f>
        <x:v>Soul, Death, and Body Domains</x:v>
      </x:c>
      <x:c r="F540" s="24" t="n">
        <x:v>3</x:v>
      </x:c>
      <x:c r="G540" s="24" t="str">
        <x:v>Manipulation of life force, growth, fertility, vigor, aging, and biological energy.</x:v>
      </x:c>
      <x:c r="H540" s="24" t="str">
        <x:v>Record source, method, cost, limits, access, and social control separately.</x:v>
      </x:c>
      <x:c r="I540" s="24" t="str">
        <x:v>life magic; vitality; biomancy</x:v>
      </x:c>
      <x:c r="J540" s="24" t="str">
        <x:v>Healing, horror, transformation, immortality, identity, bodily stakes, and life-death cosmology.</x:v>
      </x:c>
      <x:c r="K540" s="24" t="str">
        <x:v>life magic; vitality; biomancy</x:v>
      </x:c>
      <x:c r="L540" s="24" t="str">
        <x:v>Preserve each source's ontology, culture, history, and terminology when making comparisons.</x:v>
      </x:c>
      <x:c r="M540" s="24" t="str">
        <x:v>Core Family</x:v>
      </x:c>
    </x:row>
    <x:row r="541" ht="44" customHeight="1">
      <x:c r="A541" s="24" t="str">
        <x:v>PWR-303</x:v>
      </x:c>
      <x:c r="B541" s="24" t="str">
        <x:v>Necromancy</x:v>
      </x:c>
      <x:c r="C541" s="24" t="str">
        <x:v>Power Traditions</x:v>
      </x:c>
      <x:c r="D541" s="24" t="str">
        <x:v>PWR-300</x:v>
      </x:c>
      <x:c r="E541" s="24" t="str">
        <x:f>IF(D541="","",IFERROR(VLOOKUP(D541,$A$2:$B$1656,2,FALSE),""))</x:f>
        <x:v>Soul, Death, and Body Domains</x:v>
      </x:c>
      <x:c r="F541" s="24" t="n">
        <x:v>3</x:v>
      </x:c>
      <x:c r="G541" s="24" t="str">
        <x:v>Magic involving corpses, death, ghosts, souls, entropy, funerary practice, and undead animation.</x:v>
      </x:c>
      <x:c r="H541" s="24" t="str">
        <x:v>Record source, method, cost, limits, access, and social control separately.</x:v>
      </x:c>
      <x:c r="I541" s="24" t="str">
        <x:v>necromancy; death magic</x:v>
      </x:c>
      <x:c r="J541" s="24" t="str">
        <x:v>Healing, horror, transformation, immortality, identity, bodily stakes, and life-death cosmology.</x:v>
      </x:c>
      <x:c r="K541" s="24" t="str">
        <x:v>necromancy; death magic</x:v>
      </x:c>
      <x:c r="L541" s="24" t="str">
        <x:v>Preserve each source's ontology, culture, history, and terminology when making comparisons.</x:v>
      </x:c>
      <x:c r="M541" s="24" t="str">
        <x:v>Core Family</x:v>
      </x:c>
    </x:row>
    <x:row r="542" ht="44" customHeight="1">
      <x:c r="A542" s="24" t="str">
        <x:v>PWR-304</x:v>
      </x:c>
      <x:c r="B542" s="24" t="str">
        <x:v>Soul Magic</x:v>
      </x:c>
      <x:c r="C542" s="24" t="str">
        <x:v>Power Traditions</x:v>
      </x:c>
      <x:c r="D542" s="24" t="str">
        <x:v>PWR-300</x:v>
      </x:c>
      <x:c r="E542" s="24" t="str">
        <x:f>IF(D542="","",IFERROR(VLOOKUP(D542,$A$2:$B$1656,2,FALSE),""))</x:f>
        <x:v>Soul, Death, and Body Domains</x:v>
      </x:c>
      <x:c r="F542" s="24" t="n">
        <x:v>3</x:v>
      </x:c>
      <x:c r="G542" s="24" t="str">
        <x:v>Direct manipulation, transfer, division, binding, consumption, or restoration of souls.</x:v>
      </x:c>
      <x:c r="H542" s="24" t="str">
        <x:v>Record source, method, cost, limits, access, and social control separately.</x:v>
      </x:c>
      <x:c r="I542" s="24" t="str">
        <x:v>soulcraft; anima magic; spirit essence</x:v>
      </x:c>
      <x:c r="J542" s="24" t="str">
        <x:v>Healing, horror, transformation, immortality, identity, bodily stakes, and life-death cosmology.</x:v>
      </x:c>
      <x:c r="K542" s="24" t="str">
        <x:v>soulcraft; anima magic; spirit essence</x:v>
      </x:c>
      <x:c r="L542" s="24" t="str">
        <x:v>Preserve each source's ontology, culture, history, and terminology when making comparisons.</x:v>
      </x:c>
      <x:c r="M542" s="24" t="str">
        <x:v>Core Family</x:v>
      </x:c>
    </x:row>
    <x:row r="543" ht="44" customHeight="1">
      <x:c r="A543" s="24" t="str">
        <x:v>PWR-305</x:v>
      </x:c>
      <x:c r="B543" s="24" t="str">
        <x:v>Blood Magic</x:v>
      </x:c>
      <x:c r="C543" s="24" t="str">
        <x:v>Power Traditions</x:v>
      </x:c>
      <x:c r="D543" s="24" t="str">
        <x:v>PWR-300</x:v>
      </x:c>
      <x:c r="E543" s="24" t="str">
        <x:f>IF(D543="","",IFERROR(VLOOKUP(D543,$A$2:$B$1656,2,FALSE),""))</x:f>
        <x:v>Soul, Death, and Body Domains</x:v>
      </x:c>
      <x:c r="F543" s="24" t="n">
        <x:v>3</x:v>
      </x:c>
      <x:c r="G543" s="24" t="str">
        <x:v>Use of blood as fuel, medium, identity marker, sacrifice, weapon, or inherited key.</x:v>
      </x:c>
      <x:c r="H543" s="24" t="str">
        <x:v>Record source, method, cost, limits, access, and social control separately.</x:v>
      </x:c>
      <x:c r="I543" s="24" t="str">
        <x:v>hemomancy; blood sorcery</x:v>
      </x:c>
      <x:c r="J543" s="24" t="str">
        <x:v>Healing, horror, transformation, immortality, identity, bodily stakes, and life-death cosmology.</x:v>
      </x:c>
      <x:c r="K543" s="24" t="str">
        <x:v>hemomancy; blood sorcery</x:v>
      </x:c>
      <x:c r="L543" s="24" t="str">
        <x:v>Preserve each source's ontology, culture, history, and terminology when making comparisons.</x:v>
      </x:c>
      <x:c r="M543" s="24" t="str">
        <x:v>Core Family</x:v>
      </x:c>
    </x:row>
    <x:row r="544" ht="44" customHeight="1">
      <x:c r="A544" s="24" t="str">
        <x:v>PWR-306</x:v>
      </x:c>
      <x:c r="B544" s="24" t="str">
        <x:v>Bone Magic</x:v>
      </x:c>
      <x:c r="C544" s="24" t="str">
        <x:v>Power Traditions</x:v>
      </x:c>
      <x:c r="D544" s="24" t="str">
        <x:v>PWR-300</x:v>
      </x:c>
      <x:c r="E544" s="24" t="str">
        <x:f>IF(D544="","",IFERROR(VLOOKUP(D544,$A$2:$B$1656,2,FALSE),""))</x:f>
        <x:v>Soul, Death, and Body Domains</x:v>
      </x:c>
      <x:c r="F544" s="24" t="n">
        <x:v>3</x:v>
      </x:c>
      <x:c r="G544" s="24" t="str">
        <x:v>Use of bones as weapons, armor, divinatory media, structural matter, or links to the dead.</x:v>
      </x:c>
      <x:c r="H544" s="24" t="str">
        <x:v>Record source, method, cost, limits, access, and social control separately.</x:v>
      </x:c>
      <x:c r="I544" s="24" t="str">
        <x:v>osteomancy; bonecraft</x:v>
      </x:c>
      <x:c r="J544" s="24" t="str">
        <x:v>Healing, horror, transformation, immortality, identity, bodily stakes, and life-death cosmology.</x:v>
      </x:c>
      <x:c r="K544" s="24" t="str">
        <x:v>osteomancy; bonecraft</x:v>
      </x:c>
      <x:c r="L544" s="24" t="str">
        <x:v>Preserve each source's ontology, culture, history, and terminology when making comparisons.</x:v>
      </x:c>
      <x:c r="M544" s="24" t="str">
        <x:v>Core Family</x:v>
      </x:c>
    </x:row>
    <x:row r="545" ht="44" customHeight="1">
      <x:c r="A545" s="24" t="str">
        <x:v>PWR-307</x:v>
      </x:c>
      <x:c r="B545" s="24" t="str">
        <x:v>Flesh and Body Magic</x:v>
      </x:c>
      <x:c r="C545" s="24" t="str">
        <x:v>Power Traditions</x:v>
      </x:c>
      <x:c r="D545" s="24" t="str">
        <x:v>PWR-300</x:v>
      </x:c>
      <x:c r="E545" s="24" t="str">
        <x:f>IF(D545="","",IFERROR(VLOOKUP(D545,$A$2:$B$1656,2,FALSE),""))</x:f>
        <x:v>Soul, Death, and Body Domains</x:v>
      </x:c>
      <x:c r="F545" s="24" t="n">
        <x:v>3</x:v>
      </x:c>
      <x:c r="G545" s="24" t="str">
        <x:v>Reshaping of anatomy, organs, tissue, appearance, disease, or biological capability.</x:v>
      </x:c>
      <x:c r="H545" s="24" t="str">
        <x:v>Record source, method, cost, limits, access, and social control separately.</x:v>
      </x:c>
      <x:c r="I545" s="24" t="str">
        <x:v>fleshcraft; biomancy; body magic</x:v>
      </x:c>
      <x:c r="J545" s="24" t="str">
        <x:v>Healing, horror, transformation, immortality, identity, bodily stakes, and life-death cosmology.</x:v>
      </x:c>
      <x:c r="K545" s="24" t="str">
        <x:v>fleshcraft; biomancy; body magic</x:v>
      </x:c>
      <x:c r="L545" s="24" t="str">
        <x:v>Preserve each source's ontology, culture, history, and terminology when making comparisons.</x:v>
      </x:c>
      <x:c r="M545" s="24" t="str">
        <x:v>Core Family</x:v>
      </x:c>
    </x:row>
    <x:row r="546" ht="44" customHeight="1">
      <x:c r="A546" s="24" t="str">
        <x:v>PWR-308</x:v>
      </x:c>
      <x:c r="B546" s="24" t="str">
        <x:v>Disease and Plague Magic</x:v>
      </x:c>
      <x:c r="C546" s="24" t="str">
        <x:v>Power Traditions</x:v>
      </x:c>
      <x:c r="D546" s="24" t="str">
        <x:v>PWR-300</x:v>
      </x:c>
      <x:c r="E546" s="24" t="str">
        <x:f>IF(D546="","",IFERROR(VLOOKUP(D546,$A$2:$B$1656,2,FALSE),""))</x:f>
        <x:v>Soul, Death, and Body Domains</x:v>
      </x:c>
      <x:c r="F546" s="24" t="n">
        <x:v>3</x:v>
      </x:c>
      <x:c r="G546" s="24" t="str">
        <x:v>Creation, spread, control, diagnosis, or supernatural embodiment of disease.</x:v>
      </x:c>
      <x:c r="H546" s="24" t="str">
        <x:v>Record source, method, cost, limits, access, and social control separately.</x:v>
      </x:c>
      <x:c r="I546" s="24" t="str">
        <x:v>plague magic; pestilence; diseasecraft</x:v>
      </x:c>
      <x:c r="J546" s="24" t="str">
        <x:v>Healing, horror, transformation, immortality, identity, bodily stakes, and life-death cosmology.</x:v>
      </x:c>
      <x:c r="K546" s="24" t="str">
        <x:v>plague magic; pestilence; diseasecraft</x:v>
      </x:c>
      <x:c r="L546" s="24" t="str">
        <x:v>Preserve each source's ontology, culture, history, and terminology when making comparisons.</x:v>
      </x:c>
      <x:c r="M546" s="24" t="str">
        <x:v>Core Family</x:v>
      </x:c>
    </x:row>
    <x:row r="547" ht="44" customHeight="1">
      <x:c r="A547" s="24" t="str">
        <x:v>PWR-309</x:v>
      </x:c>
      <x:c r="B547" s="24" t="str">
        <x:v>Transformation Magic</x:v>
      </x:c>
      <x:c r="C547" s="24" t="str">
        <x:v>Power Traditions</x:v>
      </x:c>
      <x:c r="D547" s="24" t="str">
        <x:v>PWR-300</x:v>
      </x:c>
      <x:c r="E547" s="24" t="str">
        <x:f>IF(D547="","",IFERROR(VLOOKUP(D547,$A$2:$B$1656,2,FALSE),""))</x:f>
        <x:v>Soul, Death, and Body Domains</x:v>
      </x:c>
      <x:c r="F547" s="24" t="n">
        <x:v>3</x:v>
      </x:c>
      <x:c r="G547" s="24" t="str">
        <x:v>Alteration of bodies, species, size, material, sex, age, or physical properties.</x:v>
      </x:c>
      <x:c r="H547" s="24" t="str">
        <x:v>Record source, method, cost, limits, access, and social control separately.</x:v>
      </x:c>
      <x:c r="I547" s="24" t="str">
        <x:v>transformation; polymorph; transfiguration</x:v>
      </x:c>
      <x:c r="J547" s="24" t="str">
        <x:v>Healing, horror, transformation, immortality, identity, bodily stakes, and life-death cosmology.</x:v>
      </x:c>
      <x:c r="K547" s="24" t="str">
        <x:v>transformation; polymorph; transfiguration</x:v>
      </x:c>
      <x:c r="L547" s="24" t="str">
        <x:v>Preserve each source's ontology, culture, history, and terminology when making comparisons.</x:v>
      </x:c>
      <x:c r="M547" s="24" t="str">
        <x:v>Core Family</x:v>
      </x:c>
    </x:row>
    <x:row r="548" ht="44" customHeight="1">
      <x:c r="A548" s="24" t="str">
        <x:v>PWR-310</x:v>
      </x:c>
      <x:c r="B548" s="24" t="str">
        <x:v>Shapeshifting</x:v>
      </x:c>
      <x:c r="C548" s="24" t="str">
        <x:v>Power Traditions</x:v>
      </x:c>
      <x:c r="D548" s="24" t="str">
        <x:v>PWR-300</x:v>
      </x:c>
      <x:c r="E548" s="24" t="str">
        <x:f>IF(D548="","",IFERROR(VLOOKUP(D548,$A$2:$B$1656,2,FALSE),""))</x:f>
        <x:v>Soul, Death, and Body Domains</x:v>
      </x:c>
      <x:c r="F548" s="24" t="n">
        <x:v>3</x:v>
      </x:c>
      <x:c r="G548" s="24" t="str">
        <x:v>Self-transformation into alternate forms as a repeatable identity or combat practice.</x:v>
      </x:c>
      <x:c r="H548" s="24" t="str">
        <x:v>Record source, method, cost, limits, access, and social control separately.</x:v>
      </x:c>
      <x:c r="I548" s="24" t="str">
        <x:v>shapechange; wildshape; morphing</x:v>
      </x:c>
      <x:c r="J548" s="24" t="str">
        <x:v>Healing, horror, transformation, immortality, identity, bodily stakes, and life-death cosmology.</x:v>
      </x:c>
      <x:c r="K548" s="24" t="str">
        <x:v>shapechange; wildshape; morphing</x:v>
      </x:c>
      <x:c r="L548" s="24" t="str">
        <x:v>Preserve each source's ontology, culture, history, and terminology when making comparisons.</x:v>
      </x:c>
      <x:c r="M548" s="24" t="str">
        <x:v>Core Family</x:v>
      </x:c>
    </x:row>
    <x:row r="549" ht="44" customHeight="1">
      <x:c r="A549" s="24" t="str">
        <x:v>PWR-311</x:v>
      </x:c>
      <x:c r="B549" s="24" t="str">
        <x:v>Resurrection</x:v>
      </x:c>
      <x:c r="C549" s="24" t="str">
        <x:v>Power Traditions</x:v>
      </x:c>
      <x:c r="D549" s="24" t="str">
        <x:v>PWR-300</x:v>
      </x:c>
      <x:c r="E549" s="24" t="str">
        <x:f>IF(D549="","",IFERROR(VLOOKUP(D549,$A$2:$B$1656,2,FALSE),""))</x:f>
        <x:v>Soul, Death, and Body Domains</x:v>
      </x:c>
      <x:c r="F549" s="24" t="n">
        <x:v>3</x:v>
      </x:c>
      <x:c r="G549" s="24" t="str">
        <x:v>Restoration of a dead person to life, body, memory, or social continuity.</x:v>
      </x:c>
      <x:c r="H549" s="24" t="str">
        <x:v>Record source, method, cost, limits, access, and social control separately.</x:v>
      </x:c>
      <x:c r="I549" s="24" t="str">
        <x:v>resurrection; revival; return from death</x:v>
      </x:c>
      <x:c r="J549" s="24" t="str">
        <x:v>Healing, horror, transformation, immortality, identity, bodily stakes, and life-death cosmology.</x:v>
      </x:c>
      <x:c r="K549" s="24" t="str">
        <x:v>resurrection; revival; return from death</x:v>
      </x:c>
      <x:c r="L549" s="24" t="str">
        <x:v>Preserve each source's ontology, culture, history, and terminology when making comparisons.</x:v>
      </x:c>
      <x:c r="M549" s="24" t="str">
        <x:v>Core Family</x:v>
      </x:c>
    </x:row>
    <x:row r="550" ht="44" customHeight="1">
      <x:c r="A550" s="24" t="str">
        <x:v>PWR-312</x:v>
      </x:c>
      <x:c r="B550" s="24" t="str">
        <x:v>Immortality Magic</x:v>
      </x:c>
      <x:c r="C550" s="24" t="str">
        <x:v>Power Traditions</x:v>
      </x:c>
      <x:c r="D550" s="24" t="str">
        <x:v>PWR-300</x:v>
      </x:c>
      <x:c r="E550" s="24" t="str">
        <x:f>IF(D550="","",IFERROR(VLOOKUP(D550,$A$2:$B$1656,2,FALSE),""))</x:f>
        <x:v>Soul, Death, and Body Domains</x:v>
      </x:c>
      <x:c r="F550" s="24" t="n">
        <x:v>3</x:v>
      </x:c>
      <x:c r="G550" s="24" t="str">
        <x:v>Prevention, transfer, suspension, or evasion of aging and death.</x:v>
      </x:c>
      <x:c r="H550" s="24" t="str">
        <x:v>Record source, method, cost, limits, access, and social control separately.</x:v>
      </x:c>
      <x:c r="I550" s="24" t="str">
        <x:v>immortality; longevity; eternal life</x:v>
      </x:c>
      <x:c r="J550" s="24" t="str">
        <x:v>Healing, horror, transformation, immortality, identity, bodily stakes, and life-death cosmology.</x:v>
      </x:c>
      <x:c r="K550" s="24" t="str">
        <x:v>immortality; longevity; eternal life</x:v>
      </x:c>
      <x:c r="L550" s="24" t="str">
        <x:v>Preserve each source's ontology, culture, history, and terminology when making comparisons.</x:v>
      </x:c>
      <x:c r="M550" s="24" t="str">
        <x:v>Core Family</x:v>
      </x:c>
    </x:row>
    <x:row r="551" ht="44" customHeight="1">
      <x:c r="A551" s="24" t="str">
        <x:v>PWR-313</x:v>
      </x:c>
      <x:c r="B551" s="24" t="str">
        <x:v>Memory Magic</x:v>
      </x:c>
      <x:c r="C551" s="24" t="str">
        <x:v>Power Traditions</x:v>
      </x:c>
      <x:c r="D551" s="24" t="str">
        <x:v>PWR-300</x:v>
      </x:c>
      <x:c r="E551" s="24" t="str">
        <x:f>IF(D551="","",IFERROR(VLOOKUP(D551,$A$2:$B$1656,2,FALSE),""))</x:f>
        <x:v>Soul, Death, and Body Domains</x:v>
      </x:c>
      <x:c r="F551" s="24" t="n">
        <x:v>3</x:v>
      </x:c>
      <x:c r="G551" s="24" t="str">
        <x:v>Reading, editing, erasing, storing, transferring, or embodying memory.</x:v>
      </x:c>
      <x:c r="H551" s="24" t="str">
        <x:v>Record source, method, cost, limits, access, and social control separately.</x:v>
      </x:c>
      <x:c r="I551" s="24" t="str">
        <x:v>memory magic; mnemonics; recollection craft</x:v>
      </x:c>
      <x:c r="J551" s="24" t="str">
        <x:v>Healing, horror, transformation, immortality, identity, bodily stakes, and life-death cosmology.</x:v>
      </x:c>
      <x:c r="K551" s="24" t="str">
        <x:v>memory magic; mnemonics; recollection craft</x:v>
      </x:c>
      <x:c r="L551" s="24" t="str">
        <x:v>Preserve each source's ontology, culture, history, and terminology when making comparisons.</x:v>
      </x:c>
      <x:c r="M551" s="24" t="str">
        <x:v>Core Family</x:v>
      </x:c>
    </x:row>
    <x:row r="552" ht="44" customHeight="1">
      <x:c r="A552" s="24" t="str">
        <x:v>PWR-314</x:v>
      </x:c>
      <x:c r="B552" s="24" t="str">
        <x:v>Emotion Magic</x:v>
      </x:c>
      <x:c r="C552" s="24" t="str">
        <x:v>Power Traditions</x:v>
      </x:c>
      <x:c r="D552" s="24" t="str">
        <x:v>PWR-300</x:v>
      </x:c>
      <x:c r="E552" s="24" t="str">
        <x:f>IF(D552="","",IFERROR(VLOOKUP(D552,$A$2:$B$1656,2,FALSE),""))</x:f>
        <x:v>Soul, Death, and Body Domains</x:v>
      </x:c>
      <x:c r="F552" s="24" t="n">
        <x:v>3</x:v>
      </x:c>
      <x:c r="G552" s="24" t="str">
        <x:v>Direct manipulation or embodiment of fear, love, grief, courage, desire, anger, and morale.</x:v>
      </x:c>
      <x:c r="H552" s="24" t="str">
        <x:v>Record source, method, cost, limits, access, and social control separately.</x:v>
      </x:c>
      <x:c r="I552" s="24" t="str">
        <x:v>empathy magic; emotion control</x:v>
      </x:c>
      <x:c r="J552" s="24" t="str">
        <x:v>Healing, horror, transformation, immortality, identity, bodily stakes, and life-death cosmology.</x:v>
      </x:c>
      <x:c r="K552" s="24" t="str">
        <x:v>empathy magic; emotion control</x:v>
      </x:c>
      <x:c r="L552" s="24" t="str">
        <x:v>Preserve each source's ontology, culture, history, and terminology when making comparisons.</x:v>
      </x:c>
      <x:c r="M552" s="24" t="str">
        <x:v>Core Family</x:v>
      </x:c>
    </x:row>
    <x:row r="553" ht="44" customHeight="1">
      <x:c r="A553" s="24" t="str">
        <x:v>PWR-315</x:v>
      </x:c>
      <x:c r="B553" s="24" t="str">
        <x:v>Pain and Wound Magic</x:v>
      </x:c>
      <x:c r="C553" s="24" t="str">
        <x:v>Power Traditions</x:v>
      </x:c>
      <x:c r="D553" s="24" t="str">
        <x:v>PWR-300</x:v>
      </x:c>
      <x:c r="E553" s="24" t="str">
        <x:f>IF(D553="","",IFERROR(VLOOKUP(D553,$A$2:$B$1656,2,FALSE),""))</x:f>
        <x:v>Soul, Death, and Body Domains</x:v>
      </x:c>
      <x:c r="F553" s="24" t="n">
        <x:v>3</x:v>
      </x:c>
      <x:c r="G553" s="24" t="str">
        <x:v>Power derived from inflicting, absorbing, transferring, delaying, or weaponizing pain and injury.</x:v>
      </x:c>
      <x:c r="H553" s="24" t="str">
        <x:v>Record source, method, cost, limits, access, and social control separately.</x:v>
      </x:c>
      <x:c r="I553" s="24" t="str">
        <x:v>pain magic; wound transfer</x:v>
      </x:c>
      <x:c r="J553" s="24" t="str">
        <x:v>Healing, horror, transformation, immortality, identity, bodily stakes, and life-death cosmology.</x:v>
      </x:c>
      <x:c r="K553" s="24" t="str">
        <x:v>pain magic; wound transfer</x:v>
      </x:c>
      <x:c r="L553" s="24" t="str">
        <x:v>Preserve each source's ontology, culture, history, and terminology when making comparisons.</x:v>
      </x:c>
      <x:c r="M553" s="24" t="str">
        <x:v>Core Family</x:v>
      </x:c>
    </x:row>
    <x:row r="554" ht="44" customHeight="1">
      <x:c r="A554" s="24" t="str">
        <x:v>PWR-316</x:v>
      </x:c>
      <x:c r="B554" s="24" t="str">
        <x:v>Shadow-Soul and Astral Projection</x:v>
      </x:c>
      <x:c r="C554" s="24" t="str">
        <x:v>Power Traditions</x:v>
      </x:c>
      <x:c r="D554" s="24" t="str">
        <x:v>PWR-300</x:v>
      </x:c>
      <x:c r="E554" s="24" t="str">
        <x:f>IF(D554="","",IFERROR(VLOOKUP(D554,$A$2:$B$1656,2,FALSE),""))</x:f>
        <x:v>Soul, Death, and Body Domains</x:v>
      </x:c>
      <x:c r="F554" s="24" t="n">
        <x:v>3</x:v>
      </x:c>
      <x:c r="G554" s="24" t="str">
        <x:v>Separation of consciousness or soul from the body for travel, combat, spying, or ritual.</x:v>
      </x:c>
      <x:c r="H554" s="24" t="str">
        <x:v>Record source, method, cost, limits, access, and social control separately.</x:v>
      </x:c>
      <x:c r="I554" s="24" t="str">
        <x:v>astral projection; spirit walk; soul travel</x:v>
      </x:c>
      <x:c r="J554" s="24" t="str">
        <x:v>Healing, horror, transformation, immortality, identity, bodily stakes, and life-death cosmology.</x:v>
      </x:c>
      <x:c r="K554" s="24" t="str">
        <x:v>astral projection; spirit walk; soul travel</x:v>
      </x:c>
      <x:c r="L554" s="24" t="str">
        <x:v>Preserve each source's ontology, culture, history, and terminology when making comparisons.</x:v>
      </x:c>
      <x:c r="M554" s="24" t="str">
        <x:v>Core Family</x:v>
      </x:c>
    </x:row>
    <x:row r="555" ht="44" customHeight="1">
      <x:c r="A555" s="24" t="str">
        <x:v>PWR-317</x:v>
      </x:c>
      <x:c r="B555" s="24" t="str">
        <x:v>Reincarnation</x:v>
      </x:c>
      <x:c r="C555" s="24" t="str">
        <x:v>Power Traditions</x:v>
      </x:c>
      <x:c r="D555" s="24" t="str">
        <x:v>PWR-300</x:v>
      </x:c>
      <x:c r="E555" s="24" t="str">
        <x:f>IF(D555="","",IFERROR(VLOOKUP(D555,$A$2:$B$1656,2,FALSE),""))</x:f>
        <x:v>Soul, Death, and Body Domains</x:v>
      </x:c>
      <x:c r="F555" s="24" t="n">
        <x:v>3</x:v>
      </x:c>
      <x:c r="G555" s="24" t="str">
        <x:v>Transfer or recurrence of identity, soul, memory, or destiny into another life or body.</x:v>
      </x:c>
      <x:c r="H555" s="24" t="str">
        <x:v>Record source, method, cost, limits, access, and social control separately.</x:v>
      </x:c>
      <x:c r="I555" s="24" t="str">
        <x:v>reincarnation; rebirth; samsara analogue</x:v>
      </x:c>
      <x:c r="J555" s="24" t="str">
        <x:v>Healing, horror, transformation, immortality, identity, bodily stakes, and life-death cosmology.</x:v>
      </x:c>
      <x:c r="K555" s="24" t="str">
        <x:v>reincarnation; rebirth; samsara analogue</x:v>
      </x:c>
      <x:c r="L555" s="24" t="str">
        <x:v>Religious doctrines of rebirth differ substantially from fantasy memory-retaining reincarnation systems.</x:v>
      </x:c>
      <x:c r="M555" s="24" t="str">
        <x:v>Core Family</x:v>
      </x:c>
    </x:row>
    <x:row r="556" ht="44" customHeight="1">
      <x:c r="A556" s="24" t="str">
        <x:v>PWR-318</x:v>
      </x:c>
      <x:c r="B556" s="24" t="str">
        <x:v>Consumption and Assimilation</x:v>
      </x:c>
      <x:c r="C556" s="24" t="str">
        <x:v>Power Traditions</x:v>
      </x:c>
      <x:c r="D556" s="24" t="str">
        <x:v>PWR-300</x:v>
      </x:c>
      <x:c r="E556" s="24" t="str">
        <x:f>IF(D556="","",IFERROR(VLOOKUP(D556,$A$2:$B$1656,2,FALSE),""))</x:f>
        <x:v>Soul, Death, and Body Domains</x:v>
      </x:c>
      <x:c r="F556" s="24" t="n">
        <x:v>3</x:v>
      </x:c>
      <x:c r="G556" s="24" t="str">
        <x:v>Acquisition of traits, memories, powers, or forms by eating, absorbing, or merging with others.</x:v>
      </x:c>
      <x:c r="H556" s="24" t="str">
        <x:v>Record source, method, cost, limits, access, and social control separately.</x:v>
      </x:c>
      <x:c r="I556" s="24" t="str">
        <x:v>devour; absorb; assimilation</x:v>
      </x:c>
      <x:c r="J556" s="24" t="str">
        <x:v>Healing, horror, transformation, immortality, identity, bodily stakes, and life-death cosmology.</x:v>
      </x:c>
      <x:c r="K556" s="24" t="str">
        <x:v>devour; absorb; assimilation</x:v>
      </x:c>
      <x:c r="L556" s="24" t="str">
        <x:v>Preserve each source's ontology, culture, history, and terminology when making comparisons.</x:v>
      </x:c>
      <x:c r="M556" s="24" t="str">
        <x:v>Core Family</x:v>
      </x:c>
    </x:row>
    <x:row r="557" ht="44" customHeight="1">
      <x:c r="A557" s="24" t="str">
        <x:v>PWR-319</x:v>
      </x:c>
      <x:c r="B557" s="24" t="str">
        <x:v>Parasite and Infection Power</x:v>
      </x:c>
      <x:c r="C557" s="24" t="str">
        <x:v>Power Traditions</x:v>
      </x:c>
      <x:c r="D557" s="24" t="str">
        <x:v>PWR-300</x:v>
      </x:c>
      <x:c r="E557" s="24" t="str">
        <x:f>IF(D557="","",IFERROR(VLOOKUP(D557,$A$2:$B$1656,2,FALSE),""))</x:f>
        <x:v>Soul, Death, and Body Domains</x:v>
      </x:c>
      <x:c r="F557" s="24" t="n">
        <x:v>3</x:v>
      </x:c>
      <x:c r="G557" s="24" t="str">
        <x:v>Abilities transmitted or operated through infection, spores, parasites, viruses, or invasive symbionts.</x:v>
      </x:c>
      <x:c r="H557" s="24" t="str">
        <x:v>Record source, method, cost, limits, access, and social control separately.</x:v>
      </x:c>
      <x:c r="I557" s="24" t="str">
        <x:v>infection power; parasitic magic</x:v>
      </x:c>
      <x:c r="J557" s="24" t="str">
        <x:v>Healing, horror, transformation, immortality, identity, bodily stakes, and life-death cosmology.</x:v>
      </x:c>
      <x:c r="K557" s="24" t="str">
        <x:v>infection power; parasitic magic</x:v>
      </x:c>
      <x:c r="L557" s="24" t="str">
        <x:v>Preserve each source's ontology, culture, history, and terminology when making comparisons.</x:v>
      </x:c>
      <x:c r="M557" s="24" t="str">
        <x:v>Core Family</x:v>
      </x:c>
    </x:row>
    <x:row r="558" ht="44" customHeight="1">
      <x:c r="A558" s="24" t="str">
        <x:v>PWR-320</x:v>
      </x:c>
      <x:c r="B558" s="24" t="str">
        <x:v>Death and Entropy</x:v>
      </x:c>
      <x:c r="C558" s="24" t="str">
        <x:v>Power Traditions</x:v>
      </x:c>
      <x:c r="D558" s="24" t="str">
        <x:v>PWR-300</x:v>
      </x:c>
      <x:c r="E558" s="24" t="str">
        <x:f>IF(D558="","",IFERROR(VLOOKUP(D558,$A$2:$B$1656,2,FALSE),""))</x:f>
        <x:v>Soul, Death, and Body Domains</x:v>
      </x:c>
      <x:c r="F558" s="24" t="n">
        <x:v>3</x:v>
      </x:c>
      <x:c r="G558" s="24" t="str">
        <x:v>Control of decay, endings, corrosion, aging, exhaustion, silence, and the tendency of systems to break down.</x:v>
      </x:c>
      <x:c r="H558" s="24" t="str">
        <x:v>Record source, method, cost, limits, access, and social control separately.</x:v>
      </x:c>
      <x:c r="I558" s="24" t="str">
        <x:v>entropy magic; decay; death force</x:v>
      </x:c>
      <x:c r="J558" s="24" t="str">
        <x:v>Healing, horror, transformation, immortality, identity, bodily stakes, and life-death cosmology.</x:v>
      </x:c>
      <x:c r="K558" s="24" t="str">
        <x:v>entropy magic; decay; death force</x:v>
      </x:c>
      <x:c r="L558" s="24" t="str">
        <x:v>Preserve each source's ontology, culture, history, and terminology when making comparisons.</x:v>
      </x:c>
      <x:c r="M558" s="24" t="str">
        <x:v>Core Family</x:v>
      </x:c>
    </x:row>
    <x:row r="559" ht="44" customHeight="1">
      <x:c r="A559" s="24" t="str">
        <x:v>PWR-401</x:v>
      </x:c>
      <x:c r="B559" s="24" t="str">
        <x:v>Telepathy</x:v>
      </x:c>
      <x:c r="C559" s="24" t="str">
        <x:v>Power Traditions</x:v>
      </x:c>
      <x:c r="D559" s="24" t="str">
        <x:v>PWR-400</x:v>
      </x:c>
      <x:c r="E559" s="24" t="str">
        <x:f>IF(D559="","",IFERROR(VLOOKUP(D559,$A$2:$B$1656,2,FALSE),""))</x:f>
        <x:v>Mind, Perception, Fate, and Reality Domains</x:v>
      </x:c>
      <x:c r="F559" s="24" t="n">
        <x:v>3</x:v>
      </x:c>
      <x:c r="G559" s="24" t="str">
        <x:v>Transmission, reception, or sharing of thoughts without ordinary senses.</x:v>
      </x:c>
      <x:c r="H559" s="24" t="str">
        <x:v>Record source, method, cost, limits, access, and social control separately.</x:v>
      </x:c>
      <x:c r="I559" s="24" t="str">
        <x:v>telepathy; mind speech</x:v>
      </x:c>
      <x:c r="J559" s="24" t="str">
        <x:v>Information, control, foresight, mobility, metaphysical puzzles, and high-level reality alteration.</x:v>
      </x:c>
      <x:c r="K559" s="24" t="str">
        <x:v>telepathy; mind speech</x:v>
      </x:c>
      <x:c r="L559" s="24" t="str">
        <x:v>Preserve each source's ontology, culture, history, and terminology when making comparisons.</x:v>
      </x:c>
      <x:c r="M559" s="24" t="str">
        <x:v>Core Family</x:v>
      </x:c>
    </x:row>
    <x:row r="560" ht="44" customHeight="1">
      <x:c r="A560" s="24" t="str">
        <x:v>PWR-402</x:v>
      </x:c>
      <x:c r="B560" s="24" t="str">
        <x:v>Telekinesis</x:v>
      </x:c>
      <x:c r="C560" s="24" t="str">
        <x:v>Power Traditions</x:v>
      </x:c>
      <x:c r="D560" s="24" t="str">
        <x:v>PWR-400</x:v>
      </x:c>
      <x:c r="E560" s="24" t="str">
        <x:f>IF(D560="","",IFERROR(VLOOKUP(D560,$A$2:$B$1656,2,FALSE),""))</x:f>
        <x:v>Mind, Perception, Fate, and Reality Domains</x:v>
      </x:c>
      <x:c r="F560" s="24" t="n">
        <x:v>3</x:v>
      </x:c>
      <x:c r="G560" s="24" t="str">
        <x:v>Movement or force applied through mind or psychic power.</x:v>
      </x:c>
      <x:c r="H560" s="24" t="str">
        <x:v>Record source, method, cost, limits, access, and social control separately.</x:v>
      </x:c>
      <x:c r="I560" s="24" t="str">
        <x:v>telekinesis; psychokinesis</x:v>
      </x:c>
      <x:c r="J560" s="24" t="str">
        <x:v>Information, control, foresight, mobility, metaphysical puzzles, and high-level reality alteration.</x:v>
      </x:c>
      <x:c r="K560" s="24" t="str">
        <x:v>telekinesis; psychokinesis</x:v>
      </x:c>
      <x:c r="L560" s="24" t="str">
        <x:v>Preserve each source's ontology, culture, history, and terminology when making comparisons.</x:v>
      </x:c>
      <x:c r="M560" s="24" t="str">
        <x:v>Core Family</x:v>
      </x:c>
    </x:row>
    <x:row r="561" ht="44" customHeight="1">
      <x:c r="A561" s="24" t="str">
        <x:v>PWR-403</x:v>
      </x:c>
      <x:c r="B561" s="24" t="str">
        <x:v>Mind Control</x:v>
      </x:c>
      <x:c r="C561" s="24" t="str">
        <x:v>Power Traditions</x:v>
      </x:c>
      <x:c r="D561" s="24" t="str">
        <x:v>PWR-400</x:v>
      </x:c>
      <x:c r="E561" s="24" t="str">
        <x:f>IF(D561="","",IFERROR(VLOOKUP(D561,$A$2:$B$1656,2,FALSE),""))</x:f>
        <x:v>Mind, Perception, Fate, and Reality Domains</x:v>
      </x:c>
      <x:c r="F561" s="24" t="n">
        <x:v>3</x:v>
      </x:c>
      <x:c r="G561" s="24" t="str">
        <x:v>Compulsion, domination, possession, behavioral rewriting, or enforced obedience.</x:v>
      </x:c>
      <x:c r="H561" s="24" t="str">
        <x:v>Record source, method, cost, limits, access, and social control separately.</x:v>
      </x:c>
      <x:c r="I561" s="24" t="str">
        <x:v>domination; mind control; command</x:v>
      </x:c>
      <x:c r="J561" s="24" t="str">
        <x:v>Information, control, foresight, mobility, metaphysical puzzles, and high-level reality alteration.</x:v>
      </x:c>
      <x:c r="K561" s="24" t="str">
        <x:v>domination; mind control; command</x:v>
      </x:c>
      <x:c r="L561" s="24" t="str">
        <x:v>Preserve each source's ontology, culture, history, and terminology when making comparisons.</x:v>
      </x:c>
      <x:c r="M561" s="24" t="str">
        <x:v>Core Family</x:v>
      </x:c>
    </x:row>
    <x:row r="562" ht="44" customHeight="1">
      <x:c r="A562" s="24" t="str">
        <x:v>PWR-404</x:v>
      </x:c>
      <x:c r="B562" s="24" t="str">
        <x:v>Illusion and Glamour</x:v>
      </x:c>
      <x:c r="C562" s="24" t="str">
        <x:v>Power Traditions</x:v>
      </x:c>
      <x:c r="D562" s="24" t="str">
        <x:v>PWR-400</x:v>
      </x:c>
      <x:c r="E562" s="24" t="str">
        <x:f>IF(D562="","",IFERROR(VLOOKUP(D562,$A$2:$B$1656,2,FALSE),""))</x:f>
        <x:v>Mind, Perception, Fate, and Reality Domains</x:v>
      </x:c>
      <x:c r="F562" s="24" t="n">
        <x:v>3</x:v>
      </x:c>
      <x:c r="G562" s="24" t="str">
        <x:v>Creation or alteration of perception without necessarily changing underlying reality.</x:v>
      </x:c>
      <x:c r="H562" s="24" t="str">
        <x:v>Record source, method, cost, limits, access, and social control separately.</x:v>
      </x:c>
      <x:c r="I562" s="24" t="str">
        <x:v>illusion; glamour; phantasm</x:v>
      </x:c>
      <x:c r="J562" s="24" t="str">
        <x:v>Information, control, foresight, mobility, metaphysical puzzles, and high-level reality alteration.</x:v>
      </x:c>
      <x:c r="K562" s="24" t="str">
        <x:v>illusion; glamour; phantasm</x:v>
      </x:c>
      <x:c r="L562" s="24" t="str">
        <x:v>Preserve each source's ontology, culture, history, and terminology when making comparisons.</x:v>
      </x:c>
      <x:c r="M562" s="24" t="str">
        <x:v>Core Family</x:v>
      </x:c>
    </x:row>
    <x:row r="563" ht="44" customHeight="1">
      <x:c r="A563" s="24" t="str">
        <x:v>PWR-405</x:v>
      </x:c>
      <x:c r="B563" s="24" t="str">
        <x:v>Dream and Nightmare Magic</x:v>
      </x:c>
      <x:c r="C563" s="24" t="str">
        <x:v>Power Traditions</x:v>
      </x:c>
      <x:c r="D563" s="24" t="str">
        <x:v>PWR-400</x:v>
      </x:c>
      <x:c r="E563" s="24" t="str">
        <x:f>IF(D563="","",IFERROR(VLOOKUP(D563,$A$2:$B$1656,2,FALSE),""))</x:f>
        <x:v>Mind, Perception, Fate, and Reality Domains</x:v>
      </x:c>
      <x:c r="F563" s="24" t="n">
        <x:v>3</x:v>
      </x:c>
      <x:c r="G563" s="24" t="str">
        <x:v>Entry into, shaping of, or attacks through dreams and nightmares.</x:v>
      </x:c>
      <x:c r="H563" s="24" t="str">
        <x:v>Record source, method, cost, limits, access, and social control separately.</x:v>
      </x:c>
      <x:c r="I563" s="24" t="str">
        <x:v>oneiromancy; dreamwalking; nightmare magic</x:v>
      </x:c>
      <x:c r="J563" s="24" t="str">
        <x:v>Information, control, foresight, mobility, metaphysical puzzles, and high-level reality alteration.</x:v>
      </x:c>
      <x:c r="K563" s="24" t="str">
        <x:v>oneiromancy; dreamwalking; nightmare magic</x:v>
      </x:c>
      <x:c r="L563" s="24" t="str">
        <x:v>Preserve each source's ontology, culture, history, and terminology when making comparisons.</x:v>
      </x:c>
      <x:c r="M563" s="24" t="str">
        <x:v>Core Family</x:v>
      </x:c>
    </x:row>
    <x:row r="564" ht="44" customHeight="1">
      <x:c r="A564" s="24" t="str">
        <x:v>PWR-406</x:v>
      </x:c>
      <x:c r="B564" s="24" t="str">
        <x:v>Divination</x:v>
      </x:c>
      <x:c r="C564" s="24" t="str">
        <x:v>Power Traditions</x:v>
      </x:c>
      <x:c r="D564" s="24" t="str">
        <x:v>PWR-400</x:v>
      </x:c>
      <x:c r="E564" s="24" t="str">
        <x:f>IF(D564="","",IFERROR(VLOOKUP(D564,$A$2:$B$1656,2,FALSE),""))</x:f>
        <x:v>Mind, Perception, Fate, and Reality Domains</x:v>
      </x:c>
      <x:c r="F564" s="24" t="n">
        <x:v>3</x:v>
      </x:c>
      <x:c r="G564" s="24" t="str">
        <x:v>Acquisition of hidden knowledge through supernatural perception, symbols, omens, or remote viewing.</x:v>
      </x:c>
      <x:c r="H564" s="24" t="str">
        <x:v>Record source, method, cost, limits, access, and social control separately.</x:v>
      </x:c>
      <x:c r="I564" s="24" t="str">
        <x:v>divination; scrying; augury</x:v>
      </x:c>
      <x:c r="J564" s="24" t="str">
        <x:v>Information, control, foresight, mobility, metaphysical puzzles, and high-level reality alteration.</x:v>
      </x:c>
      <x:c r="K564" s="24" t="str">
        <x:v>divination; scrying; augury</x:v>
      </x:c>
      <x:c r="L564" s="24" t="str">
        <x:v>Preserve each source's ontology, culture, history, and terminology when making comparisons.</x:v>
      </x:c>
      <x:c r="M564" s="24" t="str">
        <x:v>Core Family</x:v>
      </x:c>
    </x:row>
    <x:row r="565" ht="44" customHeight="1">
      <x:c r="A565" s="24" t="str">
        <x:v>PWR-407</x:v>
      </x:c>
      <x:c r="B565" s="24" t="str">
        <x:v>Prophecy</x:v>
      </x:c>
      <x:c r="C565" s="24" t="str">
        <x:v>Power Traditions</x:v>
      </x:c>
      <x:c r="D565" s="24" t="str">
        <x:v>PWR-400</x:v>
      </x:c>
      <x:c r="E565" s="24" t="str">
        <x:f>IF(D565="","",IFERROR(VLOOKUP(D565,$A$2:$B$1656,2,FALSE),""))</x:f>
        <x:v>Mind, Perception, Fate, and Reality Domains</x:v>
      </x:c>
      <x:c r="F565" s="24" t="n">
        <x:v>3</x:v>
      </x:c>
      <x:c r="G565" s="24" t="str">
        <x:v>Knowledge or declaration of future events framed as destiny, revelation, probability, or self-fulfilling structure.</x:v>
      </x:c>
      <x:c r="H565" s="24" t="str">
        <x:v>Record source, method, cost, limits, access, and social control separately.</x:v>
      </x:c>
      <x:c r="I565" s="24" t="str">
        <x:v>prophecy; foresight; precognition</x:v>
      </x:c>
      <x:c r="J565" s="24" t="str">
        <x:v>Information, control, foresight, mobility, metaphysical puzzles, and high-level reality alteration.</x:v>
      </x:c>
      <x:c r="K565" s="24" t="str">
        <x:v>prophecy; foresight; precognition</x:v>
      </x:c>
      <x:c r="L565" s="24" t="str">
        <x:v>Preserve each source's ontology, culture, history, and terminology when making comparisons.</x:v>
      </x:c>
      <x:c r="M565" s="24" t="str">
        <x:v>Core Family</x:v>
      </x:c>
    </x:row>
    <x:row r="566" ht="44" customHeight="1">
      <x:c r="A566" s="24" t="str">
        <x:v>PWR-408</x:v>
      </x:c>
      <x:c r="B566" s="24" t="str">
        <x:v>Fate and Destiny Magic</x:v>
      </x:c>
      <x:c r="C566" s="24" t="str">
        <x:v>Power Traditions</x:v>
      </x:c>
      <x:c r="D566" s="24" t="str">
        <x:v>PWR-400</x:v>
      </x:c>
      <x:c r="E566" s="24" t="str">
        <x:f>IF(D566="","",IFERROR(VLOOKUP(D566,$A$2:$B$1656,2,FALSE),""))</x:f>
        <x:v>Mind, Perception, Fate, and Reality Domains</x:v>
      </x:c>
      <x:c r="F566" s="24" t="n">
        <x:v>3</x:v>
      </x:c>
      <x:c r="G566" s="24" t="str">
        <x:v>Manipulation of predetermined outcomes, narrative roles, life paths, or metaphysical necessity.</x:v>
      </x:c>
      <x:c r="H566" s="24" t="str">
        <x:v>Record source, method, cost, limits, access, and social control separately.</x:v>
      </x:c>
      <x:c r="I566" s="24" t="str">
        <x:v>fate magic; destiny; thread cutting</x:v>
      </x:c>
      <x:c r="J566" s="24" t="str">
        <x:v>Information, control, foresight, mobility, metaphysical puzzles, and high-level reality alteration.</x:v>
      </x:c>
      <x:c r="K566" s="24" t="str">
        <x:v>fate magic; destiny; thread cutting</x:v>
      </x:c>
      <x:c r="L566" s="24" t="str">
        <x:v>Preserve each source's ontology, culture, history, and terminology when making comparisons.</x:v>
      </x:c>
      <x:c r="M566" s="24" t="str">
        <x:v>Core Family</x:v>
      </x:c>
    </x:row>
    <x:row r="567" ht="44" customHeight="1">
      <x:c r="A567" s="24" t="str">
        <x:v>PWR-409</x:v>
      </x:c>
      <x:c r="B567" s="24" t="str">
        <x:v>Luck and Probability Magic</x:v>
      </x:c>
      <x:c r="C567" s="24" t="str">
        <x:v>Power Traditions</x:v>
      </x:c>
      <x:c r="D567" s="24" t="str">
        <x:v>PWR-400</x:v>
      </x:c>
      <x:c r="E567" s="24" t="str">
        <x:f>IF(D567="","",IFERROR(VLOOKUP(D567,$A$2:$B$1656,2,FALSE),""))</x:f>
        <x:v>Mind, Perception, Fate, and Reality Domains</x:v>
      </x:c>
      <x:c r="F567" s="24" t="n">
        <x:v>3</x:v>
      </x:c>
      <x:c r="G567" s="24" t="str">
        <x:v>Alteration of chance, coincidence, critical outcomes, risk, and statistical likelihood.</x:v>
      </x:c>
      <x:c r="H567" s="24" t="str">
        <x:v>Record source, method, cost, limits, access, and social control separately.</x:v>
      </x:c>
      <x:c r="I567" s="24" t="str">
        <x:v>luck magic; probability control</x:v>
      </x:c>
      <x:c r="J567" s="24" t="str">
        <x:v>Information, control, foresight, mobility, metaphysical puzzles, and high-level reality alteration.</x:v>
      </x:c>
      <x:c r="K567" s="24" t="str">
        <x:v>luck magic; probability control</x:v>
      </x:c>
      <x:c r="L567" s="24" t="str">
        <x:v>Preserve each source's ontology, culture, history, and terminology when making comparisons.</x:v>
      </x:c>
      <x:c r="M567" s="24" t="str">
        <x:v>Core Family</x:v>
      </x:c>
    </x:row>
    <x:row r="568" ht="44" customHeight="1">
      <x:c r="A568" s="24" t="str">
        <x:v>PWR-410</x:v>
      </x:c>
      <x:c r="B568" s="24" t="str">
        <x:v>Time Magic</x:v>
      </x:c>
      <x:c r="C568" s="24" t="str">
        <x:v>Power Traditions</x:v>
      </x:c>
      <x:c r="D568" s="24" t="str">
        <x:v>PWR-400</x:v>
      </x:c>
      <x:c r="E568" s="24" t="str">
        <x:f>IF(D568="","",IFERROR(VLOOKUP(D568,$A$2:$B$1656,2,FALSE),""))</x:f>
        <x:v>Mind, Perception, Fate, and Reality Domains</x:v>
      </x:c>
      <x:c r="F568" s="24" t="n">
        <x:v>3</x:v>
      </x:c>
      <x:c r="G568" s="24" t="str">
        <x:v>Manipulation of speed, sequence, duration, aging, loops, temporal travel, or causality.</x:v>
      </x:c>
      <x:c r="H568" s="24" t="str">
        <x:v>Record source, method, cost, limits, access, and social control separately.</x:v>
      </x:c>
      <x:c r="I568" s="24" t="str">
        <x:v>chronomancy; haste; slow; time travel</x:v>
      </x:c>
      <x:c r="J568" s="24" t="str">
        <x:v>Information, control, foresight, mobility, metaphysical puzzles, and high-level reality alteration.</x:v>
      </x:c>
      <x:c r="K568" s="24" t="str">
        <x:v>chronomancy; haste; slow; time travel</x:v>
      </x:c>
      <x:c r="L568" s="24" t="str">
        <x:v>Preserve each source's ontology, culture, history, and terminology when making comparisons.</x:v>
      </x:c>
      <x:c r="M568" s="24" t="str">
        <x:v>Core Family</x:v>
      </x:c>
    </x:row>
    <x:row r="569" ht="44" customHeight="1">
      <x:c r="A569" s="24" t="str">
        <x:v>PWR-411</x:v>
      </x:c>
      <x:c r="B569" s="24" t="str">
        <x:v>Space and Portal Magic</x:v>
      </x:c>
      <x:c r="C569" s="24" t="str">
        <x:v>Power Traditions</x:v>
      </x:c>
      <x:c r="D569" s="24" t="str">
        <x:v>PWR-400</x:v>
      </x:c>
      <x:c r="E569" s="24" t="str">
        <x:f>IF(D569="","",IFERROR(VLOOKUP(D569,$A$2:$B$1656,2,FALSE),""))</x:f>
        <x:v>Mind, Perception, Fate, and Reality Domains</x:v>
      </x:c>
      <x:c r="F569" s="24" t="n">
        <x:v>3</x:v>
      </x:c>
      <x:c r="G569" s="24" t="str">
        <x:v>Manipulation of position, distance, gates, dimensions, teleportation, and containment.</x:v>
      </x:c>
      <x:c r="H569" s="24" t="str">
        <x:v>Record source, method, cost, limits, access, and social control separately.</x:v>
      </x:c>
      <x:c r="I569" s="24" t="str">
        <x:v>spatial magic; portal magic; teleportation</x:v>
      </x:c>
      <x:c r="J569" s="24" t="str">
        <x:v>Information, control, foresight, mobility, metaphysical puzzles, and high-level reality alteration.</x:v>
      </x:c>
      <x:c r="K569" s="24" t="str">
        <x:v>spatial magic; portal magic; teleportation</x:v>
      </x:c>
      <x:c r="L569" s="24" t="str">
        <x:v>Preserve each source's ontology, culture, history, and terminology when making comparisons.</x:v>
      </x:c>
      <x:c r="M569" s="24" t="str">
        <x:v>Core Family</x:v>
      </x:c>
    </x:row>
    <x:row r="570" ht="44" customHeight="1">
      <x:c r="A570" s="24" t="str">
        <x:v>PWR-412</x:v>
      </x:c>
      <x:c r="B570" s="24" t="str">
        <x:v>Reality Warping</x:v>
      </x:c>
      <x:c r="C570" s="24" t="str">
        <x:v>Power Traditions</x:v>
      </x:c>
      <x:c r="D570" s="24" t="str">
        <x:v>PWR-400</x:v>
      </x:c>
      <x:c r="E570" s="24" t="str">
        <x:f>IF(D570="","",IFERROR(VLOOKUP(D570,$A$2:$B$1656,2,FALSE),""))</x:f>
        <x:v>Mind, Perception, Fate, and Reality Domains</x:v>
      </x:c>
      <x:c r="F570" s="24" t="n">
        <x:v>3</x:v>
      </x:c>
      <x:c r="G570" s="24" t="str">
        <x:v>Direct alteration of physical, magical, or causal rules beyond a narrower domain.</x:v>
      </x:c>
      <x:c r="H570" s="24" t="str">
        <x:v>Record source, method, cost, limits, access, and social control separately.</x:v>
      </x:c>
      <x:c r="I570" s="24" t="str">
        <x:v>reality warping; wish magic; world editing</x:v>
      </x:c>
      <x:c r="J570" s="24" t="str">
        <x:v>Information, control, foresight, mobility, metaphysical puzzles, and high-level reality alteration.</x:v>
      </x:c>
      <x:c r="K570" s="24" t="str">
        <x:v>reality warping; wish magic; world editing</x:v>
      </x:c>
      <x:c r="L570" s="24" t="str">
        <x:v>Preserve each source's ontology, culture, history, and terminology when making comparisons.</x:v>
      </x:c>
      <x:c r="M570" s="24" t="str">
        <x:v>Core Family</x:v>
      </x:c>
    </x:row>
    <x:row r="571" ht="44" customHeight="1">
      <x:c r="A571" s="24" t="str">
        <x:v>PWR-413</x:v>
      </x:c>
      <x:c r="B571" s="24" t="str">
        <x:v>Creation Magic</x:v>
      </x:c>
      <x:c r="C571" s="24" t="str">
        <x:v>Power Traditions</x:v>
      </x:c>
      <x:c r="D571" s="24" t="str">
        <x:v>PWR-400</x:v>
      </x:c>
      <x:c r="E571" s="24" t="str">
        <x:f>IF(D571="","",IFERROR(VLOOKUP(D571,$A$2:$B$1656,2,FALSE),""))</x:f>
        <x:v>Mind, Perception, Fate, and Reality Domains</x:v>
      </x:c>
      <x:c r="F571" s="24" t="n">
        <x:v>3</x:v>
      </x:c>
      <x:c r="G571" s="24" t="str">
        <x:v>Bringing matter, beings, landscapes, or laws into existence rather than merely transforming existing things.</x:v>
      </x:c>
      <x:c r="H571" s="24" t="str">
        <x:v>Record source, method, cost, limits, access, and social control separately.</x:v>
      </x:c>
      <x:c r="I571" s="24" t="str">
        <x:v>creation; genesis; conjured reality</x:v>
      </x:c>
      <x:c r="J571" s="24" t="str">
        <x:v>Information, control, foresight, mobility, metaphysical puzzles, and high-level reality alteration.</x:v>
      </x:c>
      <x:c r="K571" s="24" t="str">
        <x:v>creation; genesis; conjured reality</x:v>
      </x:c>
      <x:c r="L571" s="24" t="str">
        <x:v>Preserve each source's ontology, culture, history, and terminology when making comparisons.</x:v>
      </x:c>
      <x:c r="M571" s="24" t="str">
        <x:v>Core Family</x:v>
      </x:c>
    </x:row>
    <x:row r="572" ht="44" customHeight="1">
      <x:c r="A572" s="24" t="str">
        <x:v>PWR-414</x:v>
      </x:c>
      <x:c r="B572" s="24" t="str">
        <x:v>Destruction and Disintegration</x:v>
      </x:c>
      <x:c r="C572" s="24" t="str">
        <x:v>Power Traditions</x:v>
      </x:c>
      <x:c r="D572" s="24" t="str">
        <x:v>PWR-400</x:v>
      </x:c>
      <x:c r="E572" s="24" t="str">
        <x:f>IF(D572="","",IFERROR(VLOOKUP(D572,$A$2:$B$1656,2,FALSE),""))</x:f>
        <x:v>Mind, Perception, Fate, and Reality Domains</x:v>
      </x:c>
      <x:c r="F572" s="24" t="n">
        <x:v>3</x:v>
      </x:c>
      <x:c r="G572" s="24" t="str">
        <x:v>Erasure or breakdown of matter, energy, souls, or magical structures.</x:v>
      </x:c>
      <x:c r="H572" s="24" t="str">
        <x:v>Record source, method, cost, limits, access, and social control separately.</x:v>
      </x:c>
      <x:c r="I572" s="24" t="str">
        <x:v>disintegration; annihilation; unmaking</x:v>
      </x:c>
      <x:c r="J572" s="24" t="str">
        <x:v>Information, control, foresight, mobility, metaphysical puzzles, and high-level reality alteration.</x:v>
      </x:c>
      <x:c r="K572" s="24" t="str">
        <x:v>disintegration; annihilation; unmaking</x:v>
      </x:c>
      <x:c r="L572" s="24" t="str">
        <x:v>Preserve each source's ontology, culture, history, and terminology when making comparisons.</x:v>
      </x:c>
      <x:c r="M572" s="24" t="str">
        <x:v>Core Family</x:v>
      </x:c>
    </x:row>
    <x:row r="573" ht="44" customHeight="1">
      <x:c r="A573" s="24" t="str">
        <x:v>PWR-415</x:v>
      </x:c>
      <x:c r="B573" s="24" t="str">
        <x:v>Dream-Reality Manifestation</x:v>
      </x:c>
      <x:c r="C573" s="24" t="str">
        <x:v>Power Traditions</x:v>
      </x:c>
      <x:c r="D573" s="24" t="str">
        <x:v>PWR-400</x:v>
      </x:c>
      <x:c r="E573" s="24" t="str">
        <x:f>IF(D573="","",IFERROR(VLOOKUP(D573,$A$2:$B$1656,2,FALSE),""))</x:f>
        <x:v>Mind, Perception, Fate, and Reality Domains</x:v>
      </x:c>
      <x:c r="F573" s="24" t="n">
        <x:v>3</x:v>
      </x:c>
      <x:c r="G573" s="24" t="str">
        <x:v>Making thoughts, stories, fears, dreams, or imagination materially real.</x:v>
      </x:c>
      <x:c r="H573" s="24" t="str">
        <x:v>Record source, method, cost, limits, access, and social control separately.</x:v>
      </x:c>
      <x:c r="I573" s="24" t="str">
        <x:v>imagination magic; dream made real</x:v>
      </x:c>
      <x:c r="J573" s="24" t="str">
        <x:v>Information, control, foresight, mobility, metaphysical puzzles, and high-level reality alteration.</x:v>
      </x:c>
      <x:c r="K573" s="24" t="str">
        <x:v>imagination magic; dream made real</x:v>
      </x:c>
      <x:c r="L573" s="24" t="str">
        <x:v>Preserve each source's ontology, culture, history, and terminology when making comparisons.</x:v>
      </x:c>
      <x:c r="M573" s="24" t="str">
        <x:v>Core Family</x:v>
      </x:c>
    </x:row>
    <x:row r="574" ht="44" customHeight="1">
      <x:c r="A574" s="24" t="str">
        <x:v>PWR-416</x:v>
      </x:c>
      <x:c r="B574" s="24" t="str">
        <x:v>Conceptual Magic</x:v>
      </x:c>
      <x:c r="C574" s="24" t="str">
        <x:v>Power Traditions</x:v>
      </x:c>
      <x:c r="D574" s="24" t="str">
        <x:v>PWR-400</x:v>
      </x:c>
      <x:c r="E574" s="24" t="str">
        <x:f>IF(D574="","",IFERROR(VLOOKUP(D574,$A$2:$B$1656,2,FALSE),""))</x:f>
        <x:v>Mind, Perception, Fate, and Reality Domains</x:v>
      </x:c>
      <x:c r="F574" s="24" t="n">
        <x:v>3</x:v>
      </x:c>
      <x:c r="G574" s="24" t="str">
        <x:v>Manipulation of abstract properties such as ownership, distance, identity, silence, victory, or names.</x:v>
      </x:c>
      <x:c r="H574" s="24" t="str">
        <x:v>Record source, method, cost, limits, access, and social control separately.</x:v>
      </x:c>
      <x:c r="I574" s="24" t="str">
        <x:v>concept magic; abstract authority</x:v>
      </x:c>
      <x:c r="J574" s="24" t="str">
        <x:v>Information, control, foresight, mobility, metaphysical puzzles, and high-level reality alteration.</x:v>
      </x:c>
      <x:c r="K574" s="24" t="str">
        <x:v>concept magic; abstract authority</x:v>
      </x:c>
      <x:c r="L574" s="24" t="str">
        <x:v>Preserve each source's ontology, culture, history, and terminology when making comparisons.</x:v>
      </x:c>
      <x:c r="M574" s="24" t="str">
        <x:v>Core Family</x:v>
      </x:c>
    </x:row>
    <x:row r="575" ht="44" customHeight="1">
      <x:c r="A575" s="24" t="str">
        <x:v>PWR-417</x:v>
      </x:c>
      <x:c r="B575" s="24" t="str">
        <x:v>Narrative and Story Magic</x:v>
      </x:c>
      <x:c r="C575" s="24" t="str">
        <x:v>Power Traditions</x:v>
      </x:c>
      <x:c r="D575" s="24" t="str">
        <x:v>PWR-400</x:v>
      </x:c>
      <x:c r="E575" s="24" t="str">
        <x:f>IF(D575="","",IFERROR(VLOOKUP(D575,$A$2:$B$1656,2,FALSE),""))</x:f>
        <x:v>Mind, Perception, Fate, and Reality Domains</x:v>
      </x:c>
      <x:c r="F575" s="24" t="n">
        <x:v>3</x:v>
      </x:c>
      <x:c r="G575" s="24" t="str">
        <x:v>Power that operates through stories, tropes, roles, genre expectations, or textual reality.</x:v>
      </x:c>
      <x:c r="H575" s="24" t="str">
        <x:v>Record source, method, cost, limits, access, and social control separately.</x:v>
      </x:c>
      <x:c r="I575" s="24" t="str">
        <x:v>story magic; narrative causality</x:v>
      </x:c>
      <x:c r="J575" s="24" t="str">
        <x:v>Information, control, foresight, mobility, metaphysical puzzles, and high-level reality alteration.</x:v>
      </x:c>
      <x:c r="K575" s="24" t="str">
        <x:v>story magic; narrative causality</x:v>
      </x:c>
      <x:c r="L575" s="24" t="str">
        <x:v>Preserve each source's ontology, culture, history, and terminology when making comparisons.</x:v>
      </x:c>
      <x:c r="M575" s="24" t="str">
        <x:v>Core Family</x:v>
      </x:c>
    </x:row>
    <x:row r="576" ht="44" customHeight="1">
      <x:c r="A576" s="24" t="str">
        <x:v>PWR-418</x:v>
      </x:c>
      <x:c r="B576" s="24" t="str">
        <x:v>Dimensional and Planar Magic</x:v>
      </x:c>
      <x:c r="C576" s="24" t="str">
        <x:v>Power Traditions</x:v>
      </x:c>
      <x:c r="D576" s="24" t="str">
        <x:v>PWR-400</x:v>
      </x:c>
      <x:c r="E576" s="24" t="str">
        <x:f>IF(D576="","",IFERROR(VLOOKUP(D576,$A$2:$B$1656,2,FALSE),""))</x:f>
        <x:v>Mind, Perception, Fate, and Reality Domains</x:v>
      </x:c>
      <x:c r="F576" s="24" t="n">
        <x:v>3</x:v>
      </x:c>
      <x:c r="G576" s="24" t="str">
        <x:v>Travel, binding, alteration, or exploitation of distinct planes and cosmological layers.</x:v>
      </x:c>
      <x:c r="H576" s="24" t="str">
        <x:v>Record source, method, cost, limits, access, and social control separately.</x:v>
      </x:c>
      <x:c r="I576" s="24" t="str">
        <x:v>planar magic; dimension craft</x:v>
      </x:c>
      <x:c r="J576" s="24" t="str">
        <x:v>Information, control, foresight, mobility, metaphysical puzzles, and high-level reality alteration.</x:v>
      </x:c>
      <x:c r="K576" s="24" t="str">
        <x:v>planar magic; dimension craft</x:v>
      </x:c>
      <x:c r="L576" s="24" t="str">
        <x:v>Preserve each source's ontology, culture, history, and terminology when making comparisons.</x:v>
      </x:c>
      <x:c r="M576" s="24" t="str">
        <x:v>Core Family</x:v>
      </x:c>
    </x:row>
    <x:row r="577" ht="44" customHeight="1">
      <x:c r="A577" s="24" t="str">
        <x:v>PWR-419</x:v>
      </x:c>
      <x:c r="B577" s="24" t="str">
        <x:v>Void and Null Magic</x:v>
      </x:c>
      <x:c r="C577" s="24" t="str">
        <x:v>Power Traditions</x:v>
      </x:c>
      <x:c r="D577" s="24" t="str">
        <x:v>PWR-400</x:v>
      </x:c>
      <x:c r="E577" s="24" t="str">
        <x:f>IF(D577="","",IFERROR(VLOOKUP(D577,$A$2:$B$1656,2,FALSE),""))</x:f>
        <x:v>Mind, Perception, Fate, and Reality Domains</x:v>
      </x:c>
      <x:c r="F577" s="24" t="n">
        <x:v>3</x:v>
      </x:c>
      <x:c r="G577" s="24" t="str">
        <x:v>Use of emptiness, anti-magic, anti-reality, silence, or negation as active power.</x:v>
      </x:c>
      <x:c r="H577" s="24" t="str">
        <x:v>Record source, method, cost, limits, access, and social control separately.</x:v>
      </x:c>
      <x:c r="I577" s="24" t="str">
        <x:v>void magic; null power; negation</x:v>
      </x:c>
      <x:c r="J577" s="24" t="str">
        <x:v>Information, control, foresight, mobility, metaphysical puzzles, and high-level reality alteration.</x:v>
      </x:c>
      <x:c r="K577" s="24" t="str">
        <x:v>void magic; null power; negation</x:v>
      </x:c>
      <x:c r="L577" s="24" t="str">
        <x:v>Preserve each source's ontology, culture, history, and terminology when making comparisons.</x:v>
      </x:c>
      <x:c r="M577" s="24" t="str">
        <x:v>Core Family</x:v>
      </x:c>
    </x:row>
    <x:row r="578" ht="44" customHeight="1">
      <x:c r="A578" s="24" t="str">
        <x:v>PWR-420</x:v>
      </x:c>
      <x:c r="B578" s="24" t="str">
        <x:v>Cosmic and Stellar Magic</x:v>
      </x:c>
      <x:c r="C578" s="24" t="str">
        <x:v>Power Traditions</x:v>
      </x:c>
      <x:c r="D578" s="24" t="str">
        <x:v>PWR-400</x:v>
      </x:c>
      <x:c r="E578" s="24" t="str">
        <x:f>IF(D578="","",IFERROR(VLOOKUP(D578,$A$2:$B$1656,2,FALSE),""))</x:f>
        <x:v>Mind, Perception, Fate, and Reality Domains</x:v>
      </x:c>
      <x:c r="F578" s="24" t="n">
        <x:v>3</x:v>
      </x:c>
      <x:c r="G578" s="24" t="str">
        <x:v>Power drawn from stars, constellations, cosmic radiation, deep space, or celestial order.</x:v>
      </x:c>
      <x:c r="H578" s="24" t="str">
        <x:v>Record source, method, cost, limits, access, and social control separately.</x:v>
      </x:c>
      <x:c r="I578" s="24" t="str">
        <x:v>astral magic; star magic; cosmic power</x:v>
      </x:c>
      <x:c r="J578" s="24" t="str">
        <x:v>Information, control, foresight, mobility, metaphysical puzzles, and high-level reality alteration.</x:v>
      </x:c>
      <x:c r="K578" s="24" t="str">
        <x:v>astral magic; star magic; cosmic power</x:v>
      </x:c>
      <x:c r="L578" s="24" t="str">
        <x:v>Preserve each source's ontology, culture, history, and terminology when making comparisons.</x:v>
      </x:c>
      <x:c r="M578" s="24" t="str">
        <x:v>Core Family</x:v>
      </x:c>
    </x:row>
    <x:row r="579" ht="44" customHeight="1">
      <x:c r="A579" s="24" t="str">
        <x:v>PWR-421</x:v>
      </x:c>
      <x:c r="B579" s="24" t="str">
        <x:v>Information and Code Magic</x:v>
      </x:c>
      <x:c r="C579" s="24" t="str">
        <x:v>Power Traditions</x:v>
      </x:c>
      <x:c r="D579" s="24" t="str">
        <x:v>PWR-400</x:v>
      </x:c>
      <x:c r="E579" s="24" t="str">
        <x:f>IF(D579="","",IFERROR(VLOOKUP(D579,$A$2:$B$1656,2,FALSE),""))</x:f>
        <x:v>Mind, Perception, Fate, and Reality Domains</x:v>
      </x:c>
      <x:c r="F579" s="24" t="n">
        <x:v>3</x:v>
      </x:c>
      <x:c r="G579" s="24" t="str">
        <x:v>Power that treats reality, spells, names, memories, or systems as editable information.</x:v>
      </x:c>
      <x:c r="H579" s="24" t="str">
        <x:v>Record source, method, cost, limits, access, and social control separately.</x:v>
      </x:c>
      <x:c r="I579" s="24" t="str">
        <x:v>code magic; information magic; hacking reality</x:v>
      </x:c>
      <x:c r="J579" s="24" t="str">
        <x:v>Information, control, foresight, mobility, metaphysical puzzles, and high-level reality alteration.</x:v>
      </x:c>
      <x:c r="K579" s="24" t="str">
        <x:v>code magic; information magic; hacking reality</x:v>
      </x:c>
      <x:c r="L579" s="24" t="str">
        <x:v>Preserve each source's ontology, culture, history, and terminology when making comparisons.</x:v>
      </x:c>
      <x:c r="M579" s="24" t="str">
        <x:v>Core Family</x:v>
      </x:c>
    </x:row>
    <x:row r="580" ht="44" customHeight="1">
      <x:c r="A580" s="24" t="str">
        <x:v>PWR-422</x:v>
      </x:c>
      <x:c r="B580" s="24" t="str">
        <x:v>Mirror and Reflection Magic</x:v>
      </x:c>
      <x:c r="C580" s="24" t="str">
        <x:v>Power Traditions</x:v>
      </x:c>
      <x:c r="D580" s="24" t="str">
        <x:v>PWR-400</x:v>
      </x:c>
      <x:c r="E580" s="24" t="str">
        <x:f>IF(D580="","",IFERROR(VLOOKUP(D580,$A$2:$B$1656,2,FALSE),""))</x:f>
        <x:v>Mind, Perception, Fate, and Reality Domains</x:v>
      </x:c>
      <x:c r="F580" s="24" t="n">
        <x:v>3</x:v>
      </x:c>
      <x:c r="G580" s="24" t="str">
        <x:v>Power involving mirrors, doubles, reflected attacks, alternate selves, and reversed spaces.</x:v>
      </x:c>
      <x:c r="H580" s="24" t="str">
        <x:v>Record source, method, cost, limits, access, and social control separately.</x:v>
      </x:c>
      <x:c r="I580" s="24" t="str">
        <x:v>mirror magic; reflection; inversion</x:v>
      </x:c>
      <x:c r="J580" s="24" t="str">
        <x:v>Information, control, foresight, mobility, metaphysical puzzles, and high-level reality alteration.</x:v>
      </x:c>
      <x:c r="K580" s="24" t="str">
        <x:v>mirror magic; reflection; inversion</x:v>
      </x:c>
      <x:c r="L580" s="24" t="str">
        <x:v>Preserve each source's ontology, culture, history, and terminology when making comparisons.</x:v>
      </x:c>
      <x:c r="M580" s="24" t="str">
        <x:v>Core Family</x:v>
      </x:c>
    </x:row>
    <x:row r="581" ht="44" customHeight="1">
      <x:c r="A581" s="24" t="str">
        <x:v>PWR-423</x:v>
      </x:c>
      <x:c r="B581" s="24" t="str">
        <x:v>Emotion-Sense and Empathy</x:v>
      </x:c>
      <x:c r="C581" s="24" t="str">
        <x:v>Power Traditions</x:v>
      </x:c>
      <x:c r="D581" s="24" t="str">
        <x:v>PWR-400</x:v>
      </x:c>
      <x:c r="E581" s="24" t="str">
        <x:f>IF(D581="","",IFERROR(VLOOKUP(D581,$A$2:$B$1656,2,FALSE),""))</x:f>
        <x:v>Mind, Perception, Fate, and Reality Domains</x:v>
      </x:c>
      <x:c r="F581" s="24" t="n">
        <x:v>3</x:v>
      </x:c>
      <x:c r="G581" s="24" t="str">
        <x:v>Perception of emotions, intentions, bonds, and social states rather than direct control.</x:v>
      </x:c>
      <x:c r="H581" s="24" t="str">
        <x:v>Record source, method, cost, limits, access, and social control separately.</x:v>
      </x:c>
      <x:c r="I581" s="24" t="str">
        <x:v>empathy; aura reading</x:v>
      </x:c>
      <x:c r="J581" s="24" t="str">
        <x:v>Information, control, foresight, mobility, metaphysical puzzles, and high-level reality alteration.</x:v>
      </x:c>
      <x:c r="K581" s="24" t="str">
        <x:v>empathy; aura reading</x:v>
      </x:c>
      <x:c r="L581" s="24" t="str">
        <x:v>Preserve each source's ontology, culture, history, and terminology when making comparisons.</x:v>
      </x:c>
      <x:c r="M581" s="24" t="str">
        <x:v>Core Family</x:v>
      </x:c>
    </x:row>
    <x:row r="582" ht="44" customHeight="1">
      <x:c r="A582" s="24" t="str">
        <x:v>PWR-424</x:v>
      </x:c>
      <x:c r="B582" s="24" t="str">
        <x:v>Truth and Lie Magic</x:v>
      </x:c>
      <x:c r="C582" s="24" t="str">
        <x:v>Power Traditions</x:v>
      </x:c>
      <x:c r="D582" s="24" t="str">
        <x:v>PWR-400</x:v>
      </x:c>
      <x:c r="E582" s="24" t="str">
        <x:f>IF(D582="","",IFERROR(VLOOKUP(D582,$A$2:$B$1656,2,FALSE),""))</x:f>
        <x:v>Mind, Perception, Fate, and Reality Domains</x:v>
      </x:c>
      <x:c r="F582" s="24" t="n">
        <x:v>3</x:v>
      </x:c>
      <x:c r="G582" s="24" t="str">
        <x:v>Detection, enforcement, concealment, or ontological manipulation of truth and falsehood.</x:v>
      </x:c>
      <x:c r="H582" s="24" t="str">
        <x:v>Record source, method, cost, limits, access, and social control separately.</x:v>
      </x:c>
      <x:c r="I582" s="24" t="str">
        <x:v>truth magic; oath detection; liecraft</x:v>
      </x:c>
      <x:c r="J582" s="24" t="str">
        <x:v>Information, control, foresight, mobility, metaphysical puzzles, and high-level reality alteration.</x:v>
      </x:c>
      <x:c r="K582" s="24" t="str">
        <x:v>truth magic; oath detection; liecraft</x:v>
      </x:c>
      <x:c r="L582" s="24" t="str">
        <x:v>Preserve each source's ontology, culture, history, and terminology when making comparisons.</x:v>
      </x:c>
      <x:c r="M582" s="24" t="str">
        <x:v>Core Family</x:v>
      </x:c>
    </x:row>
    <x:row r="583" ht="44" customHeight="1">
      <x:c r="A583" s="24" t="str">
        <x:v>PWR-501</x:v>
      </x:c>
      <x:c r="B583" s="24" t="str">
        <x:v>Rune Magic</x:v>
      </x:c>
      <x:c r="C583" s="24" t="str">
        <x:v>Power Traditions</x:v>
      </x:c>
      <x:c r="D583" s="24" t="str">
        <x:v>PWR-500</x:v>
      </x:c>
      <x:c r="E583" s="24" t="str">
        <x:f>IF(D583="","",IFERROR(VLOOKUP(D583,$A$2:$B$1656,2,FALSE),""))</x:f>
        <x:v>Symbolic, Performative, and Technical Methods</x:v>
      </x:c>
      <x:c r="F583" s="24" t="n">
        <x:v>3</x:v>
      </x:c>
      <x:c r="G583" s="24" t="str">
        <x:v>Power stored or activated through carved or written runes with culturally specific symbolic systems.</x:v>
      </x:c>
      <x:c r="H583" s="24" t="str">
        <x:v>Record source, method, cost, limits, access, and social control separately.</x:v>
      </x:c>
      <x:c r="I583" s="24" t="str">
        <x:v>runes; runecraft; runic magic</x:v>
      </x:c>
      <x:c r="J583" s="24" t="str">
        <x:v>Encoding, storing, channeling, and institutionalizing power through repeatable media and practices.</x:v>
      </x:c>
      <x:c r="K583" s="24" t="str">
        <x:v>runes; runecraft; runic magic</x:v>
      </x:c>
      <x:c r="L583" s="24" t="str">
        <x:v>Preserve each source's ontology, culture, history, and terminology when making comparisons.</x:v>
      </x:c>
      <x:c r="M583" s="24" t="str">
        <x:v>Core Family</x:v>
      </x:c>
    </x:row>
    <x:row r="584" ht="44" customHeight="1">
      <x:c r="A584" s="24" t="str">
        <x:v>PWR-502</x:v>
      </x:c>
      <x:c r="B584" s="24" t="str">
        <x:v>Sigils, Seals, and Wards</x:v>
      </x:c>
      <x:c r="C584" s="24" t="str">
        <x:v>Power Traditions</x:v>
      </x:c>
      <x:c r="D584" s="24" t="str">
        <x:v>PWR-500</x:v>
      </x:c>
      <x:c r="E584" s="24" t="str">
        <x:f>IF(D584="","",IFERROR(VLOOKUP(D584,$A$2:$B$1656,2,FALSE),""))</x:f>
        <x:v>Symbolic, Performative, and Technical Methods</x:v>
      </x:c>
      <x:c r="F584" s="24" t="n">
        <x:v>3</x:v>
      </x:c>
      <x:c r="G584" s="24" t="str">
        <x:v>Power structured through diagrams, boundaries, written marks, talismans, and protective or binding symbols.</x:v>
      </x:c>
      <x:c r="H584" s="24" t="str">
        <x:v>Record source, method, cost, limits, access, and social control separately.</x:v>
      </x:c>
      <x:c r="I584" s="24" t="str">
        <x:v>sigil magic; seals; wards</x:v>
      </x:c>
      <x:c r="J584" s="24" t="str">
        <x:v>Encoding, storing, channeling, and institutionalizing power through repeatable media and practices.</x:v>
      </x:c>
      <x:c r="K584" s="24" t="str">
        <x:v>sigil magic; seals; wards</x:v>
      </x:c>
      <x:c r="L584" s="24" t="str">
        <x:v>Preserve each source's ontology, culture, history, and terminology when making comparisons.</x:v>
      </x:c>
      <x:c r="M584" s="24" t="str">
        <x:v>Core Family</x:v>
      </x:c>
    </x:row>
    <x:row r="585" ht="44" customHeight="1">
      <x:c r="A585" s="24" t="str">
        <x:v>PWR-503</x:v>
      </x:c>
      <x:c r="B585" s="24" t="str">
        <x:v>True Names and Naming</x:v>
      </x:c>
      <x:c r="C585" s="24" t="str">
        <x:v>Power Traditions</x:v>
      </x:c>
      <x:c r="D585" s="24" t="str">
        <x:v>PWR-500</x:v>
      </x:c>
      <x:c r="E585" s="24" t="str">
        <x:f>IF(D585="","",IFERROR(VLOOKUP(D585,$A$2:$B$1656,2,FALSE),""))</x:f>
        <x:v>Symbolic, Performative, and Technical Methods</x:v>
      </x:c>
      <x:c r="F585" s="24" t="n">
        <x:v>3</x:v>
      </x:c>
      <x:c r="G585" s="24" t="str">
        <x:v>Power gained by knowing, speaking, granting, erasing, or changing a being's true name.</x:v>
      </x:c>
      <x:c r="H585" s="24" t="str">
        <x:v>Record source, method, cost, limits, access, and social control separately.</x:v>
      </x:c>
      <x:c r="I585" s="24" t="str">
        <x:v>true-name magic; naming; name binding</x:v>
      </x:c>
      <x:c r="J585" s="24" t="str">
        <x:v>Encoding, storing, channeling, and institutionalizing power through repeatable media and practices.</x:v>
      </x:c>
      <x:c r="K585" s="24" t="str">
        <x:v>true-name magic; naming; name binding</x:v>
      </x:c>
      <x:c r="L585" s="24" t="str">
        <x:v>Preserve each source's ontology, culture, history, and terminology when making comparisons.</x:v>
      </x:c>
      <x:c r="M585" s="24" t="str">
        <x:v>Core Family</x:v>
      </x:c>
    </x:row>
    <x:row r="586" ht="44" customHeight="1">
      <x:c r="A586" s="24" t="str">
        <x:v>PWR-504</x:v>
      </x:c>
      <x:c r="B586" s="24" t="str">
        <x:v>Word and Language Magic</x:v>
      </x:c>
      <x:c r="C586" s="24" t="str">
        <x:v>Power Traditions</x:v>
      </x:c>
      <x:c r="D586" s="24" t="str">
        <x:v>PWR-500</x:v>
      </x:c>
      <x:c r="E586" s="24" t="str">
        <x:f>IF(D586="","",IFERROR(VLOOKUP(D586,$A$2:$B$1656,2,FALSE),""))</x:f>
        <x:v>Symbolic, Performative, and Technical Methods</x:v>
      </x:c>
      <x:c r="F586" s="24" t="n">
        <x:v>3</x:v>
      </x:c>
      <x:c r="G586" s="24" t="str">
        <x:v>Power exercised through grammar, commands, poetry, sacred speech, or magical languages.</x:v>
      </x:c>
      <x:c r="H586" s="24" t="str">
        <x:v>Record source, method, cost, limits, access, and social control separately.</x:v>
      </x:c>
      <x:c r="I586" s="24" t="str">
        <x:v>word magic; logomancy; power words</x:v>
      </x:c>
      <x:c r="J586" s="24" t="str">
        <x:v>Encoding, storing, channeling, and institutionalizing power through repeatable media and practices.</x:v>
      </x:c>
      <x:c r="K586" s="24" t="str">
        <x:v>word magic; logomancy; power words</x:v>
      </x:c>
      <x:c r="L586" s="24" t="str">
        <x:v>Preserve each source's ontology, culture, history, and terminology when making comparisons.</x:v>
      </x:c>
      <x:c r="M586" s="24" t="str">
        <x:v>Core Family</x:v>
      </x:c>
    </x:row>
    <x:row r="587" ht="44" customHeight="1">
      <x:c r="A587" s="24" t="str">
        <x:v>PWR-505</x:v>
      </x:c>
      <x:c r="B587" s="24" t="str">
        <x:v>Writing and Book Magic</x:v>
      </x:c>
      <x:c r="C587" s="24" t="str">
        <x:v>Power Traditions</x:v>
      </x:c>
      <x:c r="D587" s="24" t="str">
        <x:v>PWR-500</x:v>
      </x:c>
      <x:c r="E587" s="24" t="str">
        <x:f>IF(D587="","",IFERROR(VLOOKUP(D587,$A$2:$B$1656,2,FALSE),""))</x:f>
        <x:v>Symbolic, Performative, and Technical Methods</x:v>
      </x:c>
      <x:c r="F587" s="24" t="n">
        <x:v>3</x:v>
      </x:c>
      <x:c r="G587" s="24" t="str">
        <x:v>Spells or beings stored, summoned, modified, or enacted through texts, grimoires, scrolls, and written narratives.</x:v>
      </x:c>
      <x:c r="H587" s="24" t="str">
        <x:v>Record source, method, cost, limits, access, and social control separately.</x:v>
      </x:c>
      <x:c r="I587" s="24" t="str">
        <x:v>grimoire magic; scrollcraft; living book</x:v>
      </x:c>
      <x:c r="J587" s="24" t="str">
        <x:v>Encoding, storing, channeling, and institutionalizing power through repeatable media and practices.</x:v>
      </x:c>
      <x:c r="K587" s="24" t="str">
        <x:v>grimoire magic; scrollcraft; living book</x:v>
      </x:c>
      <x:c r="L587" s="24" t="str">
        <x:v>Preserve each source's ontology, culture, history, and terminology when making comparisons.</x:v>
      </x:c>
      <x:c r="M587" s="24" t="str">
        <x:v>Core Family</x:v>
      </x:c>
    </x:row>
    <x:row r="588" ht="44" customHeight="1">
      <x:c r="A588" s="24" t="str">
        <x:v>PWR-506</x:v>
      </x:c>
      <x:c r="B588" s="24" t="str">
        <x:v>Talisman and Charm Magic</x:v>
      </x:c>
      <x:c r="C588" s="24" t="str">
        <x:v>Power Traditions</x:v>
      </x:c>
      <x:c r="D588" s="24" t="str">
        <x:v>PWR-500</x:v>
      </x:c>
      <x:c r="E588" s="24" t="str">
        <x:f>IF(D588="","",IFERROR(VLOOKUP(D588,$A$2:$B$1656,2,FALSE),""))</x:f>
        <x:v>Symbolic, Performative, and Technical Methods</x:v>
      </x:c>
      <x:c r="F588" s="24" t="n">
        <x:v>3</x:v>
      </x:c>
      <x:c r="G588" s="24" t="str">
        <x:v>Prepared portable inscriptions, knots, amulets, papers, or tokens that hold specific effects.</x:v>
      </x:c>
      <x:c r="H588" s="24" t="str">
        <x:v>Record source, method, cost, limits, access, and social control separately.</x:v>
      </x:c>
      <x:c r="I588" s="24" t="str">
        <x:v>talisman; charm; amulet; ofuda-like</x:v>
      </x:c>
      <x:c r="J588" s="24" t="str">
        <x:v>Encoding, storing, channeling, and institutionalizing power through repeatable media and practices.</x:v>
      </x:c>
      <x:c r="K588" s="24" t="str">
        <x:v>talisman; charm; amulet; ofuda-like</x:v>
      </x:c>
      <x:c r="L588" s="24" t="str">
        <x:v>Ofuda and related talismans have specific Japanese religious contexts; preserve source distinctions.</x:v>
      </x:c>
      <x:c r="M588" s="24" t="str">
        <x:v>Core Family</x:v>
      </x:c>
    </x:row>
    <x:row r="589" ht="44" customHeight="1">
      <x:c r="A589" s="24" t="str">
        <x:v>PWR-507</x:v>
      </x:c>
      <x:c r="B589" s="24" t="str">
        <x:v>Circle and Geometric Magic</x:v>
      </x:c>
      <x:c r="C589" s="24" t="str">
        <x:v>Power Traditions</x:v>
      </x:c>
      <x:c r="D589" s="24" t="str">
        <x:v>PWR-500</x:v>
      </x:c>
      <x:c r="E589" s="24" t="str">
        <x:f>IF(D589="","",IFERROR(VLOOKUP(D589,$A$2:$B$1656,2,FALSE),""))</x:f>
        <x:v>Symbolic, Performative, and Technical Methods</x:v>
      </x:c>
      <x:c r="F589" s="24" t="n">
        <x:v>3</x:v>
      </x:c>
      <x:c r="G589" s="24" t="str">
        <x:v>Power generated by circles, arrays, sacred geometry, spatial relationships, and formal diagrams.</x:v>
      </x:c>
      <x:c r="H589" s="24" t="str">
        <x:v>Record source, method, cost, limits, access, and social control separately.</x:v>
      </x:c>
      <x:c r="I589" s="24" t="str">
        <x:v>magic circle; array; sacred geometry</x:v>
      </x:c>
      <x:c r="J589" s="24" t="str">
        <x:v>Encoding, storing, channeling, and institutionalizing power through repeatable media and practices.</x:v>
      </x:c>
      <x:c r="K589" s="24" t="str">
        <x:v>magic circle; array; sacred geometry</x:v>
      </x:c>
      <x:c r="L589" s="24" t="str">
        <x:v>Preserve each source's ontology, culture, history, and terminology when making comparisons.</x:v>
      </x:c>
      <x:c r="M589" s="24" t="str">
        <x:v>Core Family</x:v>
      </x:c>
    </x:row>
    <x:row r="590" ht="44" customHeight="1">
      <x:c r="A590" s="24" t="str">
        <x:v>PWR-508</x:v>
      </x:c>
      <x:c r="B590" s="24" t="str">
        <x:v>Mathematical Magic</x:v>
      </x:c>
      <x:c r="C590" s="24" t="str">
        <x:v>Power Traditions</x:v>
      </x:c>
      <x:c r="D590" s="24" t="str">
        <x:v>PWR-500</x:v>
      </x:c>
      <x:c r="E590" s="24" t="str">
        <x:f>IF(D590="","",IFERROR(VLOOKUP(D590,$A$2:$B$1656,2,FALSE),""))</x:f>
        <x:v>Symbolic, Performative, and Technical Methods</x:v>
      </x:c>
      <x:c r="F590" s="24" t="n">
        <x:v>3</x:v>
      </x:c>
      <x:c r="G590" s="24" t="str">
        <x:v>Power controlled through numbers, ratios, equations, calculation, or algorithmic conditions.</x:v>
      </x:c>
      <x:c r="H590" s="24" t="str">
        <x:v>Record source, method, cost, limits, access, and social control separately.</x:v>
      </x:c>
      <x:c r="I590" s="24" t="str">
        <x:v>mathemagic; arithmancy; calculation</x:v>
      </x:c>
      <x:c r="J590" s="24" t="str">
        <x:v>Encoding, storing, channeling, and institutionalizing power through repeatable media and practices.</x:v>
      </x:c>
      <x:c r="K590" s="24" t="str">
        <x:v>mathemagic; arithmancy; calculation</x:v>
      </x:c>
      <x:c r="L590" s="24" t="str">
        <x:v>Preserve each source's ontology, culture, history, and terminology when making comparisons.</x:v>
      </x:c>
      <x:c r="M590" s="24" t="str">
        <x:v>Core Family</x:v>
      </x:c>
    </x:row>
    <x:row r="591" ht="44" customHeight="1">
      <x:c r="A591" s="24" t="str">
        <x:v>PWR-509</x:v>
      </x:c>
      <x:c r="B591" s="24" t="str">
        <x:v>Music and Song Magic</x:v>
      </x:c>
      <x:c r="C591" s="24" t="str">
        <x:v>Power Traditions</x:v>
      </x:c>
      <x:c r="D591" s="24" t="str">
        <x:v>PWR-500</x:v>
      </x:c>
      <x:c r="E591" s="24" t="str">
        <x:f>IF(D591="","",IFERROR(VLOOKUP(D591,$A$2:$B$1656,2,FALSE),""))</x:f>
        <x:v>Symbolic, Performative, and Technical Methods</x:v>
      </x:c>
      <x:c r="F591" s="24" t="n">
        <x:v>3</x:v>
      </x:c>
      <x:c r="G591" s="24" t="str">
        <x:v>Power channeled through melody, rhythm, harmony, voice, instruments, and collective performance.</x:v>
      </x:c>
      <x:c r="H591" s="24" t="str">
        <x:v>Record source, method, cost, limits, access, and social control separately.</x:v>
      </x:c>
      <x:c r="I591" s="24" t="str">
        <x:v>song magic; bardic music; spell-song</x:v>
      </x:c>
      <x:c r="J591" s="24" t="str">
        <x:v>Encoding, storing, channeling, and institutionalizing power through repeatable media and practices.</x:v>
      </x:c>
      <x:c r="K591" s="24" t="str">
        <x:v>song magic; bardic music; spell-song</x:v>
      </x:c>
      <x:c r="L591" s="24" t="str">
        <x:v>Preserve each source's ontology, culture, history, and terminology when making comparisons.</x:v>
      </x:c>
      <x:c r="M591" s="24" t="str">
        <x:v>Core Family</x:v>
      </x:c>
    </x:row>
    <x:row r="592" ht="44" customHeight="1">
      <x:c r="A592" s="24" t="str">
        <x:v>PWR-510</x:v>
      </x:c>
      <x:c r="B592" s="24" t="str">
        <x:v>Dance and Movement Magic</x:v>
      </x:c>
      <x:c r="C592" s="24" t="str">
        <x:v>Power Traditions</x:v>
      </x:c>
      <x:c r="D592" s="24" t="str">
        <x:v>PWR-500</x:v>
      </x:c>
      <x:c r="E592" s="24" t="str">
        <x:f>IF(D592="","",IFERROR(VLOOKUP(D592,$A$2:$B$1656,2,FALSE),""))</x:f>
        <x:v>Symbolic, Performative, and Technical Methods</x:v>
      </x:c>
      <x:c r="F592" s="24" t="n">
        <x:v>3</x:v>
      </x:c>
      <x:c r="G592" s="24" t="str">
        <x:v>Power channeled through choreographed movement, posture, gesture, and embodied rhythm.</x:v>
      </x:c>
      <x:c r="H592" s="24" t="str">
        <x:v>Record source, method, cost, limits, access, and social control separately.</x:v>
      </x:c>
      <x:c r="I592" s="24" t="str">
        <x:v>dance magic; mudra-like gesture; battle dance</x:v>
      </x:c>
      <x:c r="J592" s="24" t="str">
        <x:v>Encoding, storing, channeling, and institutionalizing power through repeatable media and practices.</x:v>
      </x:c>
      <x:c r="K592" s="24" t="str">
        <x:v>dance magic; mudra-like gesture; battle dance</x:v>
      </x:c>
      <x:c r="L592" s="24" t="str">
        <x:v>Preserve each source's ontology, culture, history, and terminology when making comparisons.</x:v>
      </x:c>
      <x:c r="M592" s="24" t="str">
        <x:v>Core Family</x:v>
      </x:c>
    </x:row>
    <x:row r="593" ht="44" customHeight="1">
      <x:c r="A593" s="24" t="str">
        <x:v>PWR-511</x:v>
      </x:c>
      <x:c r="B593" s="24" t="str">
        <x:v>Visual Art and Painting Magic</x:v>
      </x:c>
      <x:c r="C593" s="24" t="str">
        <x:v>Power Traditions</x:v>
      </x:c>
      <x:c r="D593" s="24" t="str">
        <x:v>PWR-500</x:v>
      </x:c>
      <x:c r="E593" s="24" t="str">
        <x:f>IF(D593="","",IFERROR(VLOOKUP(D593,$A$2:$B$1656,2,FALSE),""))</x:f>
        <x:v>Symbolic, Performative, and Technical Methods</x:v>
      </x:c>
      <x:c r="F593" s="24" t="n">
        <x:v>3</x:v>
      </x:c>
      <x:c r="G593" s="24" t="str">
        <x:v>Images, sculpture, calligraphy, or design used to create, trap, animate, or alter reality.</x:v>
      </x:c>
      <x:c r="H593" s="24" t="str">
        <x:v>Record source, method, cost, limits, access, and social control separately.</x:v>
      </x:c>
      <x:c r="I593" s="24" t="str">
        <x:v>painting magic; pictomancy; art sorcery</x:v>
      </x:c>
      <x:c r="J593" s="24" t="str">
        <x:v>Encoding, storing, channeling, and institutionalizing power through repeatable media and practices.</x:v>
      </x:c>
      <x:c r="K593" s="24" t="str">
        <x:v>painting magic; pictomancy; art sorcery</x:v>
      </x:c>
      <x:c r="L593" s="24" t="str">
        <x:v>Preserve each source's ontology, culture, history, and terminology when making comparisons.</x:v>
      </x:c>
      <x:c r="M593" s="24" t="str">
        <x:v>Core Family</x:v>
      </x:c>
    </x:row>
    <x:row r="594" ht="44" customHeight="1">
      <x:c r="A594" s="24" t="str">
        <x:v>PWR-512</x:v>
      </x:c>
      <x:c r="B594" s="24" t="str">
        <x:v>Mask and Costume Magic</x:v>
      </x:c>
      <x:c r="C594" s="24" t="str">
        <x:v>Power Traditions</x:v>
      </x:c>
      <x:c r="D594" s="24" t="str">
        <x:v>PWR-500</x:v>
      </x:c>
      <x:c r="E594" s="24" t="str">
        <x:f>IF(D594="","",IFERROR(VLOOKUP(D594,$A$2:$B$1656,2,FALSE),""))</x:f>
        <x:v>Symbolic, Performative, and Technical Methods</x:v>
      </x:c>
      <x:c r="F594" s="24" t="n">
        <x:v>3</x:v>
      </x:c>
      <x:c r="G594" s="24" t="str">
        <x:v>Power accessed through masks, ritual clothing, identities, personas, and transformation regalia.</x:v>
      </x:c>
      <x:c r="H594" s="24" t="str">
        <x:v>Record source, method, cost, limits, access, and social control separately.</x:v>
      </x:c>
      <x:c r="I594" s="24" t="str">
        <x:v>mask magic; transformation costume</x:v>
      </x:c>
      <x:c r="J594" s="24" t="str">
        <x:v>Encoding, storing, channeling, and institutionalizing power through repeatable media and practices.</x:v>
      </x:c>
      <x:c r="K594" s="24" t="str">
        <x:v>mask magic; transformation costume</x:v>
      </x:c>
      <x:c r="L594" s="24" t="str">
        <x:v>Preserve each source's ontology, culture, history, and terminology when making comparisons.</x:v>
      </x:c>
      <x:c r="M594" s="24" t="str">
        <x:v>Core Family</x:v>
      </x:c>
    </x:row>
    <x:row r="595" ht="44" customHeight="1">
      <x:c r="A595" s="24" t="str">
        <x:v>PWR-513</x:v>
      </x:c>
      <x:c r="B595" s="24" t="str">
        <x:v>Alchemy</x:v>
      </x:c>
      <x:c r="C595" s="24" t="str">
        <x:v>Power Traditions</x:v>
      </x:c>
      <x:c r="D595" s="24" t="str">
        <x:v>PWR-500</x:v>
      </x:c>
      <x:c r="E595" s="24" t="str">
        <x:f>IF(D595="","",IFERROR(VLOOKUP(D595,$A$2:$B$1656,2,FALSE),""))</x:f>
        <x:v>Symbolic, Performative, and Technical Methods</x:v>
      </x:c>
      <x:c r="F595" s="24" t="n">
        <x:v>3</x:v>
      </x:c>
      <x:c r="G595" s="24" t="str">
        <x:v>Systematic transformation of substances, life, and essences through compounds, symbols, reactions, and equivalence.</x:v>
      </x:c>
      <x:c r="H595" s="24" t="str">
        <x:v>Record source, method, cost, limits, access, and social control separately.</x:v>
      </x:c>
      <x:c r="I595" s="24" t="str">
        <x:v>alchemy; potioncraft; transmutation</x:v>
      </x:c>
      <x:c r="J595" s="24" t="str">
        <x:v>Encoding, storing, channeling, and institutionalizing power through repeatable media and practices.</x:v>
      </x:c>
      <x:c r="K595" s="24" t="str">
        <x:v>alchemy; potioncraft; transmutation</x:v>
      </x:c>
      <x:c r="L595" s="24" t="str">
        <x:v>Preserve each source's ontology, culture, history, and terminology when making comparisons.</x:v>
      </x:c>
      <x:c r="M595" s="24" t="str">
        <x:v>Core Family</x:v>
      </x:c>
    </x:row>
    <x:row r="596" ht="44" customHeight="1">
      <x:c r="A596" s="24" t="str">
        <x:v>PWR-514</x:v>
      </x:c>
      <x:c r="B596" s="24" t="str">
        <x:v>Potion and Consumable Magic</x:v>
      </x:c>
      <x:c r="C596" s="24" t="str">
        <x:v>Power Traditions</x:v>
      </x:c>
      <x:c r="D596" s="24" t="str">
        <x:v>PWR-500</x:v>
      </x:c>
      <x:c r="E596" s="24" t="str">
        <x:f>IF(D596="","",IFERROR(VLOOKUP(D596,$A$2:$B$1656,2,FALSE),""))</x:f>
        <x:v>Symbolic, Performative, and Technical Methods</x:v>
      </x:c>
      <x:c r="F596" s="24" t="n">
        <x:v>3</x:v>
      </x:c>
      <x:c r="G596" s="24" t="str">
        <x:v>Prepared single-use substances that store healing, transformation, enhancement, or harmful effects.</x:v>
      </x:c>
      <x:c r="H596" s="24" t="str">
        <x:v>Record source, method, cost, limits, access, and social control separately.</x:v>
      </x:c>
      <x:c r="I596" s="24" t="str">
        <x:v>potioncraft; elixir; bomb</x:v>
      </x:c>
      <x:c r="J596" s="24" t="str">
        <x:v>Encoding, storing, channeling, and institutionalizing power through repeatable media and practices.</x:v>
      </x:c>
      <x:c r="K596" s="24" t="str">
        <x:v>potioncraft; elixir; bomb</x:v>
      </x:c>
      <x:c r="L596" s="24" t="str">
        <x:v>Preserve each source's ontology, culture, history, and terminology when making comparisons.</x:v>
      </x:c>
      <x:c r="M596" s="24" t="str">
        <x:v>Core Family</x:v>
      </x:c>
    </x:row>
    <x:row r="597" ht="44" customHeight="1">
      <x:c r="A597" s="24" t="str">
        <x:v>PWR-515</x:v>
      </x:c>
      <x:c r="B597" s="24" t="str">
        <x:v>Artifice and Enchantment</x:v>
      </x:c>
      <x:c r="C597" s="24" t="str">
        <x:v>Power Traditions</x:v>
      </x:c>
      <x:c r="D597" s="24" t="str">
        <x:v>PWR-500</x:v>
      </x:c>
      <x:c r="E597" s="24" t="str">
        <x:f>IF(D597="","",IFERROR(VLOOKUP(D597,$A$2:$B$1656,2,FALSE),""))</x:f>
        <x:v>Symbolic, Performative, and Technical Methods</x:v>
      </x:c>
      <x:c r="F597" s="24" t="n">
        <x:v>3</x:v>
      </x:c>
      <x:c r="G597" s="24" t="str">
        <x:v>Construction of persistent magical items, devices, constructs, and infused tools.</x:v>
      </x:c>
      <x:c r="H597" s="24" t="str">
        <x:v>Record source, method, cost, limits, access, and social control separately.</x:v>
      </x:c>
      <x:c r="I597" s="24" t="str">
        <x:v>artifice; enchanting; magical engineering</x:v>
      </x:c>
      <x:c r="J597" s="24" t="str">
        <x:v>Encoding, storing, channeling, and institutionalizing power through repeatable media and practices.</x:v>
      </x:c>
      <x:c r="K597" s="24" t="str">
        <x:v>artifice; enchanting; magical engineering</x:v>
      </x:c>
      <x:c r="L597" s="24" t="str">
        <x:v>Preserve each source's ontology, culture, history, and terminology when making comparisons.</x:v>
      </x:c>
      <x:c r="M597" s="24" t="str">
        <x:v>Core Family</x:v>
      </x:c>
    </x:row>
    <x:row r="598" ht="44" customHeight="1">
      <x:c r="A598" s="24" t="str">
        <x:v>PWR-516</x:v>
      </x:c>
      <x:c r="B598" s="24" t="str">
        <x:v>Magitech</x:v>
      </x:c>
      <x:c r="C598" s="24" t="str">
        <x:v>Power Traditions</x:v>
      </x:c>
      <x:c r="D598" s="24" t="str">
        <x:v>PWR-500</x:v>
      </x:c>
      <x:c r="E598" s="24" t="str">
        <x:f>IF(D598="","",IFERROR(VLOOKUP(D598,$A$2:$B$1656,2,FALSE),""))</x:f>
        <x:v>Symbolic, Performative, and Technical Methods</x:v>
      </x:c>
      <x:c r="F598" s="24" t="n">
        <x:v>3</x:v>
      </x:c>
      <x:c r="G598" s="24" t="str">
        <x:v>Integrated magical and technological systems in which spells, crystals, engines, code, and industry interoperate.</x:v>
      </x:c>
      <x:c r="H598" s="24" t="str">
        <x:v>Record source, method, cost, limits, access, and social control separately.</x:v>
      </x:c>
      <x:c r="I598" s="24" t="str">
        <x:v>magitech; arcane technology</x:v>
      </x:c>
      <x:c r="J598" s="24" t="str">
        <x:v>Encoding, storing, channeling, and institutionalizing power through repeatable media and practices.</x:v>
      </x:c>
      <x:c r="K598" s="24" t="str">
        <x:v>magitech; arcane technology</x:v>
      </x:c>
      <x:c r="L598" s="24" t="str">
        <x:v>Preserve each source's ontology, culture, history, and terminology when making comparisons.</x:v>
      </x:c>
      <x:c r="M598" s="24" t="str">
        <x:v>Core Family</x:v>
      </x:c>
    </x:row>
    <x:row r="599" ht="44" customHeight="1">
      <x:c r="A599" s="24" t="str">
        <x:v>PWR-517</x:v>
      </x:c>
      <x:c r="B599" s="24" t="str">
        <x:v>Clockwork and Mechanical Magic</x:v>
      </x:c>
      <x:c r="C599" s="24" t="str">
        <x:v>Power Traditions</x:v>
      </x:c>
      <x:c r="D599" s="24" t="str">
        <x:v>PWR-500</x:v>
      </x:c>
      <x:c r="E599" s="24" t="str">
        <x:f>IF(D599="","",IFERROR(VLOOKUP(D599,$A$2:$B$1656,2,FALSE),""))</x:f>
        <x:v>Symbolic, Performative, and Technical Methods</x:v>
      </x:c>
      <x:c r="F599" s="24" t="n">
        <x:v>3</x:v>
      </x:c>
      <x:c r="G599" s="24" t="str">
        <x:v>Power expressed through gears, automata, precision devices, stored motion, and engineered mechanisms.</x:v>
      </x:c>
      <x:c r="H599" s="24" t="str">
        <x:v>Record source, method, cost, limits, access, and social control separately.</x:v>
      </x:c>
      <x:c r="I599" s="24" t="str">
        <x:v>clockwork magic; mechanical sorcery</x:v>
      </x:c>
      <x:c r="J599" s="24" t="str">
        <x:v>Encoding, storing, channeling, and institutionalizing power through repeatable media and practices.</x:v>
      </x:c>
      <x:c r="K599" s="24" t="str">
        <x:v>clockwork magic; mechanical sorcery</x:v>
      </x:c>
      <x:c r="L599" s="24" t="str">
        <x:v>Preserve each source's ontology, culture, history, and terminology when making comparisons.</x:v>
      </x:c>
      <x:c r="M599" s="24" t="str">
        <x:v>Core Family</x:v>
      </x:c>
    </x:row>
    <x:row r="600" ht="44" customHeight="1">
      <x:c r="A600" s="24" t="str">
        <x:v>PWR-518</x:v>
      </x:c>
      <x:c r="B600" s="24" t="str">
        <x:v>Weapon-Channeling</x:v>
      </x:c>
      <x:c r="C600" s="24" t="str">
        <x:v>Power Traditions</x:v>
      </x:c>
      <x:c r="D600" s="24" t="str">
        <x:v>PWR-500</x:v>
      </x:c>
      <x:c r="E600" s="24" t="str">
        <x:f>IF(D600="","",IFERROR(VLOOKUP(D600,$A$2:$B$1656,2,FALSE),""))</x:f>
        <x:v>Symbolic, Performative, and Technical Methods</x:v>
      </x:c>
      <x:c r="F600" s="24" t="n">
        <x:v>3</x:v>
      </x:c>
      <x:c r="G600" s="24" t="str">
        <x:v>Power delivered or focused through blades, bows, guns, armor, or martial forms.</x:v>
      </x:c>
      <x:c r="H600" s="24" t="str">
        <x:v>Record source, method, cost, limits, access, and social control separately.</x:v>
      </x:c>
      <x:c r="I600" s="24" t="str">
        <x:v>spellblade; weapon art; channeling weapon</x:v>
      </x:c>
      <x:c r="J600" s="24" t="str">
        <x:v>Encoding, storing, channeling, and institutionalizing power through repeatable media and practices.</x:v>
      </x:c>
      <x:c r="K600" s="24" t="str">
        <x:v>spellblade; weapon art; channeling weapon</x:v>
      </x:c>
      <x:c r="L600" s="24" t="str">
        <x:v>Preserve each source's ontology, culture, history, and terminology when making comparisons.</x:v>
      </x:c>
      <x:c r="M600" s="24" t="str">
        <x:v>Core Family</x:v>
      </x:c>
    </x:row>
    <x:row r="601" ht="44" customHeight="1">
      <x:c r="A601" s="24" t="str">
        <x:v>PWR-519</x:v>
      </x:c>
      <x:c r="B601" s="24" t="str">
        <x:v>Card, Dice, and Game Magic</x:v>
      </x:c>
      <x:c r="C601" s="24" t="str">
        <x:v>Power Traditions</x:v>
      </x:c>
      <x:c r="D601" s="24" t="str">
        <x:v>PWR-500</x:v>
      </x:c>
      <x:c r="E601" s="24" t="str">
        <x:f>IF(D601="","",IFERROR(VLOOKUP(D601,$A$2:$B$1656,2,FALSE),""))</x:f>
        <x:v>Symbolic, Performative, and Technical Methods</x:v>
      </x:c>
      <x:c r="F601" s="24" t="n">
        <x:v>3</x:v>
      </x:c>
      <x:c r="G601" s="24" t="str">
        <x:v>Power activated through cards, dice, games, wagers, hands, draws, or symbolic randomness.</x:v>
      </x:c>
      <x:c r="H601" s="24" t="str">
        <x:v>Record source, method, cost, limits, access, and social control separately.</x:v>
      </x:c>
      <x:c r="I601" s="24" t="str">
        <x:v>card magic; dice magic; game sorcery</x:v>
      </x:c>
      <x:c r="J601" s="24" t="str">
        <x:v>Encoding, storing, channeling, and institutionalizing power through repeatable media and practices.</x:v>
      </x:c>
      <x:c r="K601" s="24" t="str">
        <x:v>card magic; dice magic; game sorcery</x:v>
      </x:c>
      <x:c r="L601" s="24" t="str">
        <x:v>Preserve each source's ontology, culture, history, and terminology when making comparisons.</x:v>
      </x:c>
      <x:c r="M601" s="24" t="str">
        <x:v>Core Family</x:v>
      </x:c>
    </x:row>
    <x:row r="602" ht="44" customHeight="1">
      <x:c r="A602" s="24" t="str">
        <x:v>PWR-520</x:v>
      </x:c>
      <x:c r="B602" s="24" t="str">
        <x:v>Cooking and Food Magic</x:v>
      </x:c>
      <x:c r="C602" s="24" t="str">
        <x:v>Power Traditions</x:v>
      </x:c>
      <x:c r="D602" s="24" t="str">
        <x:v>PWR-500</x:v>
      </x:c>
      <x:c r="E602" s="24" t="str">
        <x:f>IF(D602="","",IFERROR(VLOOKUP(D602,$A$2:$B$1656,2,FALSE),""))</x:f>
        <x:v>Symbolic, Performative, and Technical Methods</x:v>
      </x:c>
      <x:c r="F602" s="24" t="n">
        <x:v>3</x:v>
      </x:c>
      <x:c r="G602" s="24" t="str">
        <x:v>Food preparation that heals, buffs, transforms, enchants, or creates social and ritual power.</x:v>
      </x:c>
      <x:c r="H602" s="24" t="str">
        <x:v>Record source, method, cost, limits, access, and social control separately.</x:v>
      </x:c>
      <x:c r="I602" s="24" t="str">
        <x:v>culinary magic; enchanted cuisine</x:v>
      </x:c>
      <x:c r="J602" s="24" t="str">
        <x:v>Encoding, storing, channeling, and institutionalizing power through repeatable media and practices.</x:v>
      </x:c>
      <x:c r="K602" s="24" t="str">
        <x:v>culinary magic; enchanted cuisine</x:v>
      </x:c>
      <x:c r="L602" s="24" t="str">
        <x:v>Preserve each source's ontology, culture, history, and terminology when making comparisons.</x:v>
      </x:c>
      <x:c r="M602" s="24" t="str">
        <x:v>Core Family</x:v>
      </x:c>
    </x:row>
    <x:row r="603" ht="44" customHeight="1">
      <x:c r="A603" s="24" t="str">
        <x:v>PWR-521</x:v>
      </x:c>
      <x:c r="B603" s="24" t="str">
        <x:v>Weaving, Thread, and Knot Magic</x:v>
      </x:c>
      <x:c r="C603" s="24" t="str">
        <x:v>Power Traditions</x:v>
      </x:c>
      <x:c r="D603" s="24" t="str">
        <x:v>PWR-500</x:v>
      </x:c>
      <x:c r="E603" s="24" t="str">
        <x:f>IF(D603="","",IFERROR(VLOOKUP(D603,$A$2:$B$1656,2,FALSE),""))</x:f>
        <x:v>Symbolic, Performative, and Technical Methods</x:v>
      </x:c>
      <x:c r="F603" s="24" t="n">
        <x:v>3</x:v>
      </x:c>
      <x:c r="G603" s="24" t="str">
        <x:v>Power encoded in textiles, threads, knots, fate strings, nets, and patterns.</x:v>
      </x:c>
      <x:c r="H603" s="24" t="str">
        <x:v>Record source, method, cost, limits, access, and social control separately.</x:v>
      </x:c>
      <x:c r="I603" s="24" t="str">
        <x:v>thread magic; knot magic; weaving</x:v>
      </x:c>
      <x:c r="J603" s="24" t="str">
        <x:v>Encoding, storing, channeling, and institutionalizing power through repeatable media and practices.</x:v>
      </x:c>
      <x:c r="K603" s="24" t="str">
        <x:v>thread magic; knot magic; weaving</x:v>
      </x:c>
      <x:c r="L603" s="24" t="str">
        <x:v>Preserve each source's ontology, culture, history, and terminology when making comparisons.</x:v>
      </x:c>
      <x:c r="M603" s="24" t="str">
        <x:v>Core Family</x:v>
      </x:c>
    </x:row>
    <x:row r="604" ht="44" customHeight="1">
      <x:c r="A604" s="24" t="str">
        <x:v>PWR-522</x:v>
      </x:c>
      <x:c r="B604" s="24" t="str">
        <x:v>Tattoo, Scar, and Body-Script Magic</x:v>
      </x:c>
      <x:c r="C604" s="24" t="str">
        <x:v>Power Traditions</x:v>
      </x:c>
      <x:c r="D604" s="24" t="str">
        <x:v>PWR-500</x:v>
      </x:c>
      <x:c r="E604" s="24" t="str">
        <x:f>IF(D604="","",IFERROR(VLOOKUP(D604,$A$2:$B$1656,2,FALSE),""))</x:f>
        <x:v>Symbolic, Performative, and Technical Methods</x:v>
      </x:c>
      <x:c r="F604" s="24" t="n">
        <x:v>3</x:v>
      </x:c>
      <x:c r="G604" s="24" t="str">
        <x:v>Power inscribed directly on the body through tattoos, brands, scars, seals, or circuits.</x:v>
      </x:c>
      <x:c r="H604" s="24" t="str">
        <x:v>Record source, method, cost, limits, access, and social control separately.</x:v>
      </x:c>
      <x:c r="I604" s="24" t="str">
        <x:v>tattoo magic; body runes; brands</x:v>
      </x:c>
      <x:c r="J604" s="24" t="str">
        <x:v>Encoding, storing, channeling, and institutionalizing power through repeatable media and practices.</x:v>
      </x:c>
      <x:c r="K604" s="24" t="str">
        <x:v>tattoo magic; body runes; brands</x:v>
      </x:c>
      <x:c r="L604" s="24" t="str">
        <x:v>Preserve each source's ontology, culture, history, and terminology when making comparisons.</x:v>
      </x:c>
      <x:c r="M604" s="24" t="str">
        <x:v>Core Family</x:v>
      </x:c>
    </x:row>
    <x:row r="605" ht="44" customHeight="1">
      <x:c r="A605" s="24" t="str">
        <x:v>PWR-523</x:v>
      </x:c>
      <x:c r="B605" s="24" t="str">
        <x:v>Relic and Inheritance Magic</x:v>
      </x:c>
      <x:c r="C605" s="24" t="str">
        <x:v>Power Traditions</x:v>
      </x:c>
      <x:c r="D605" s="24" t="str">
        <x:v>PWR-500</x:v>
      </x:c>
      <x:c r="E605" s="24" t="str">
        <x:f>IF(D605="","",IFERROR(VLOOKUP(D605,$A$2:$B$1656,2,FALSE),""))</x:f>
        <x:v>Symbolic, Performative, and Technical Methods</x:v>
      </x:c>
      <x:c r="F605" s="24" t="n">
        <x:v>3</x:v>
      </x:c>
      <x:c r="G605" s="24" t="str">
        <x:v>Power preserved in ancestral objects, crowns, swords, bloodline treasures, and institutional regalia.</x:v>
      </x:c>
      <x:c r="H605" s="24" t="str">
        <x:v>Record source, method, cost, limits, access, and social control separately.</x:v>
      </x:c>
      <x:c r="I605" s="24" t="str">
        <x:v>relic power; heirloom magic</x:v>
      </x:c>
      <x:c r="J605" s="24" t="str">
        <x:v>Encoding, storing, channeling, and institutionalizing power through repeatable media and practices.</x:v>
      </x:c>
      <x:c r="K605" s="24" t="str">
        <x:v>relic power; heirloom magic</x:v>
      </x:c>
      <x:c r="L605" s="24" t="str">
        <x:v>Preserve each source's ontology, culture, history, and terminology when making comparisons.</x:v>
      </x:c>
      <x:c r="M605" s="24" t="str">
        <x:v>Core Family</x:v>
      </x:c>
    </x:row>
    <x:row r="606" ht="44" customHeight="1">
      <x:c r="A606" s="24" t="str">
        <x:v>PWR-524</x:v>
      </x:c>
      <x:c r="B606" s="24" t="str">
        <x:v>Architecture and City Magic</x:v>
      </x:c>
      <x:c r="C606" s="24" t="str">
        <x:v>Power Traditions</x:v>
      </x:c>
      <x:c r="D606" s="24" t="str">
        <x:v>PWR-500</x:v>
      </x:c>
      <x:c r="E606" s="24" t="str">
        <x:f>IF(D606="","",IFERROR(VLOOKUP(D606,$A$2:$B$1656,2,FALSE),""))</x:f>
        <x:v>Symbolic, Performative, and Technical Methods</x:v>
      </x:c>
      <x:c r="F606" s="24" t="n">
        <x:v>3</x:v>
      </x:c>
      <x:c r="G606" s="24" t="str">
        <x:v>Magic embedded in buildings, roads, walls, cities, temples, and spatial infrastructure.</x:v>
      </x:c>
      <x:c r="H606" s="24" t="str">
        <x:v>Record source, method, cost, limits, access, and social control separately.</x:v>
      </x:c>
      <x:c r="I606" s="24" t="str">
        <x:v>architectural magic; warded city; living fortress</x:v>
      </x:c>
      <x:c r="J606" s="24" t="str">
        <x:v>Encoding, storing, channeling, and institutionalizing power through repeatable media and practices.</x:v>
      </x:c>
      <x:c r="K606" s="24" t="str">
        <x:v>architectural magic; warded city; living fortress</x:v>
      </x:c>
      <x:c r="L606" s="24" t="str">
        <x:v>Preserve each source's ontology, culture, history, and terminology when making comparisons.</x:v>
      </x:c>
      <x:c r="M606" s="24" t="str">
        <x:v>Core Family</x:v>
      </x:c>
    </x:row>
    <x:row r="607" ht="44" customHeight="1">
      <x:c r="A607" s="24" t="str">
        <x:v>PWR-525</x:v>
      </x:c>
      <x:c r="B607" s="24" t="str">
        <x:v>Cartographic and Map Magic</x:v>
      </x:c>
      <x:c r="C607" s="24" t="str">
        <x:v>Power Traditions</x:v>
      </x:c>
      <x:c r="D607" s="24" t="str">
        <x:v>PWR-500</x:v>
      </x:c>
      <x:c r="E607" s="24" t="str">
        <x:f>IF(D607="","",IFERROR(VLOOKUP(D607,$A$2:$B$1656,2,FALSE),""))</x:f>
        <x:v>Symbolic, Performative, and Technical Methods</x:v>
      </x:c>
      <x:c r="F607" s="24" t="n">
        <x:v>3</x:v>
      </x:c>
      <x:c r="G607" s="24" t="str">
        <x:v>Maps used to reveal, reshape, navigate, claim, or create territory and dimensions.</x:v>
      </x:c>
      <x:c r="H607" s="24" t="str">
        <x:v>Record source, method, cost, limits, access, and social control separately.</x:v>
      </x:c>
      <x:c r="I607" s="24" t="str">
        <x:v>map magic; cartomancy; wayfinding</x:v>
      </x:c>
      <x:c r="J607" s="24" t="str">
        <x:v>Encoding, storing, channeling, and institutionalizing power through repeatable media and practices.</x:v>
      </x:c>
      <x:c r="K607" s="24" t="str">
        <x:v>map magic; cartomancy; wayfinding</x:v>
      </x:c>
      <x:c r="L607" s="24" t="str">
        <x:v>Preserve each source's ontology, culture, history, and terminology when making comparisons.</x:v>
      </x:c>
      <x:c r="M607" s="24" t="str">
        <x:v>Core Family</x:v>
      </x:c>
    </x:row>
    <x:row r="608" ht="44" customHeight="1">
      <x:c r="A608" s="24" t="str">
        <x:v>PWR-526</x:v>
      </x:c>
      <x:c r="B608" s="24" t="str">
        <x:v>Law, Oath, and Contract Magic</x:v>
      </x:c>
      <x:c r="C608" s="24" t="str">
        <x:v>Power Traditions</x:v>
      </x:c>
      <x:c r="D608" s="24" t="str">
        <x:v>PWR-500</x:v>
      </x:c>
      <x:c r="E608" s="24" t="str">
        <x:f>IF(D608="","",IFERROR(VLOOKUP(D608,$A$2:$B$1656,2,FALSE),""))</x:f>
        <x:v>Symbolic, Performative, and Technical Methods</x:v>
      </x:c>
      <x:c r="F608" s="24" t="n">
        <x:v>3</x:v>
      </x:c>
      <x:c r="G608" s="24" t="str">
        <x:v>Power enforced through sworn promises, legal language, geasa, jurisdiction, and metaphysical contracts.</x:v>
      </x:c>
      <x:c r="H608" s="24" t="str">
        <x:v>Record source, method, cost, limits, access, and social control separately.</x:v>
      </x:c>
      <x:c r="I608" s="24" t="str">
        <x:v>oath magic; geas; contract law</x:v>
      </x:c>
      <x:c r="J608" s="24" t="str">
        <x:v>Encoding, storing, channeling, and institutionalizing power through repeatable media and practices.</x:v>
      </x:c>
      <x:c r="K608" s="24" t="str">
        <x:v>oath magic; geas; contract law</x:v>
      </x:c>
      <x:c r="L608" s="24" t="str">
        <x:v>Preserve each source's ontology, culture, history, and terminology when making comparisons.</x:v>
      </x:c>
      <x:c r="M608" s="24" t="str">
        <x:v>Core Family</x:v>
      </x:c>
    </x:row>
    <x:row r="609" ht="44" customHeight="1">
      <x:c r="A609" s="24" t="str">
        <x:v>PWR-527</x:v>
      </x:c>
      <x:c r="B609" s="24" t="str">
        <x:v>Ritual Sacrifice</x:v>
      </x:c>
      <x:c r="C609" s="24" t="str">
        <x:v>Power Traditions</x:v>
      </x:c>
      <x:c r="D609" s="24" t="str">
        <x:v>PWR-500</x:v>
      </x:c>
      <x:c r="E609" s="24" t="str">
        <x:f>IF(D609="","",IFERROR(VLOOKUP(D609,$A$2:$B$1656,2,FALSE),""))</x:f>
        <x:v>Symbolic, Performative, and Technical Methods</x:v>
      </x:c>
      <x:c r="F609" s="24" t="n">
        <x:v>3</x:v>
      </x:c>
      <x:c r="G609" s="24" t="str">
        <x:v>Ceremonial exchange of life, blood, wealth, memory, or symbolic value for supernatural effect.</x:v>
      </x:c>
      <x:c r="H609" s="24" t="str">
        <x:v>Record source, method, cost, limits, access, and social control separately.</x:v>
      </x:c>
      <x:c r="I609" s="24" t="str">
        <x:v>sacrificial magic; offering; blood rite</x:v>
      </x:c>
      <x:c r="J609" s="24" t="str">
        <x:v>Encoding, storing, channeling, and institutionalizing power through repeatable media and practices.</x:v>
      </x:c>
      <x:c r="K609" s="24" t="str">
        <x:v>sacrificial magic; offering; blood rite</x:v>
      </x:c>
      <x:c r="L609" s="24" t="str">
        <x:v>Preserve each source's ontology, culture, history, and terminology when making comparisons.</x:v>
      </x:c>
      <x:c r="M609" s="24" t="str">
        <x:v>Core Family</x:v>
      </x:c>
    </x:row>
    <x:row r="610" ht="44" customHeight="1">
      <x:c r="A610" s="24" t="str">
        <x:v>PWR-528</x:v>
      </x:c>
      <x:c r="B610" s="24" t="str">
        <x:v>Prayer and Liturgy</x:v>
      </x:c>
      <x:c r="C610" s="24" t="str">
        <x:v>Power Traditions</x:v>
      </x:c>
      <x:c r="D610" s="24" t="str">
        <x:v>PWR-500</x:v>
      </x:c>
      <x:c r="E610" s="24" t="str">
        <x:f>IF(D610="","",IFERROR(VLOOKUP(D610,$A$2:$B$1656,2,FALSE),""))</x:f>
        <x:v>Symbolic, Performative, and Technical Methods</x:v>
      </x:c>
      <x:c r="F610" s="24" t="n">
        <x:v>3</x:v>
      </x:c>
      <x:c r="G610" s="24" t="str">
        <x:v>Power activated through prescribed worship, recitation, communal rite, devotion, and sacred office.</x:v>
      </x:c>
      <x:c r="H610" s="24" t="str">
        <x:v>Record source, method, cost, limits, access, and social control separately.</x:v>
      </x:c>
      <x:c r="I610" s="24" t="str">
        <x:v>prayer; liturgy; hymn</x:v>
      </x:c>
      <x:c r="J610" s="24" t="str">
        <x:v>Encoding, storing, channeling, and institutionalizing power through repeatable media and practices.</x:v>
      </x:c>
      <x:c r="K610" s="24" t="str">
        <x:v>prayer; liturgy; hymn</x:v>
      </x:c>
      <x:c r="L610" s="24" t="str">
        <x:v>Preserve each source's ontology, culture, history, and terminology when making comparisons.</x:v>
      </x:c>
      <x:c r="M610" s="24" t="str">
        <x:v>Core Family</x:v>
      </x:c>
    </x:row>
    <x:row r="611" ht="44" customHeight="1">
      <x:c r="A611" s="24" t="str">
        <x:v>PWR-529</x:v>
      </x:c>
      <x:c r="B611" s="24" t="str">
        <x:v>Meditation and Breath Practice</x:v>
      </x:c>
      <x:c r="C611" s="24" t="str">
        <x:v>Power Traditions</x:v>
      </x:c>
      <x:c r="D611" s="24" t="str">
        <x:v>PWR-500</x:v>
      </x:c>
      <x:c r="E611" s="24" t="str">
        <x:f>IF(D611="","",IFERROR(VLOOKUP(D611,$A$2:$B$1656,2,FALSE),""))</x:f>
        <x:v>Symbolic, Performative, and Technical Methods</x:v>
      </x:c>
      <x:c r="F611" s="24" t="n">
        <x:v>3</x:v>
      </x:c>
      <x:c r="G611" s="24" t="str">
        <x:v>Power developed through concentration, breath, visualization, internal circulation, and disciplined awareness.</x:v>
      </x:c>
      <x:c r="H611" s="24" t="str">
        <x:v>Record source, method, cost, limits, access, and social control separately.</x:v>
      </x:c>
      <x:c r="I611" s="24" t="str">
        <x:v>meditation; breathwork; internal practice</x:v>
      </x:c>
      <x:c r="J611" s="24" t="str">
        <x:v>Encoding, storing, channeling, and institutionalizing power through repeatable media and practices.</x:v>
      </x:c>
      <x:c r="K611" s="24" t="str">
        <x:v>meditation; breathwork; internal practice</x:v>
      </x:c>
      <x:c r="L611" s="24" t="str">
        <x:v>Preserve each source's ontology, culture, history, and terminology when making comparisons.</x:v>
      </x:c>
      <x:c r="M611" s="24" t="str">
        <x:v>Core Family</x:v>
      </x:c>
    </x:row>
    <x:row r="612" ht="44" customHeight="1">
      <x:c r="A612" s="24" t="str">
        <x:v>PWR-530</x:v>
      </x:c>
      <x:c r="B612" s="24" t="str">
        <x:v>Dance-Combat Forms</x:v>
      </x:c>
      <x:c r="C612" s="24" t="str">
        <x:v>Power Traditions</x:v>
      </x:c>
      <x:c r="D612" s="24" t="str">
        <x:v>PWR-500</x:v>
      </x:c>
      <x:c r="E612" s="24" t="str">
        <x:f>IF(D612="","",IFERROR(VLOOKUP(D612,$A$2:$B$1656,2,FALSE),""))</x:f>
        <x:v>Symbolic, Performative, and Technical Methods</x:v>
      </x:c>
      <x:c r="F612" s="24" t="n">
        <x:v>3</x:v>
      </x:c>
      <x:c r="G612" s="24" t="str">
        <x:v>Martial techniques whose effectiveness depends on ritualized movement, cadence, and embodied pattern.</x:v>
      </x:c>
      <x:c r="H612" s="24" t="str">
        <x:v>Record source, method, cost, limits, access, and social control separately.</x:v>
      </x:c>
      <x:c r="I612" s="24" t="str">
        <x:v>battle dance; martial form; kata-like magic</x:v>
      </x:c>
      <x:c r="J612" s="24" t="str">
        <x:v>Encoding, storing, channeling, and institutionalizing power through repeatable media and practices.</x:v>
      </x:c>
      <x:c r="K612" s="24" t="str">
        <x:v>battle dance; martial form; kata-like magic</x:v>
      </x:c>
      <x:c r="L612" s="24" t="str">
        <x:v>Preserve each source's ontology, culture, history, and terminology when making comparisons.</x:v>
      </x:c>
      <x:c r="M612" s="24" t="str">
        <x:v>Core Family</x:v>
      </x:c>
    </x:row>
    <x:row r="613" ht="44" customHeight="1">
      <x:c r="A613" s="24" t="str">
        <x:v>PWR-601</x:v>
      </x:c>
      <x:c r="B613" s="24" t="str">
        <x:v>Copy and Mimicry</x:v>
      </x:c>
      <x:c r="C613" s="24" t="str">
        <x:v>Power Traditions</x:v>
      </x:c>
      <x:c r="D613" s="24" t="str">
        <x:v>PWR-600</x:v>
      </x:c>
      <x:c r="E613" s="24" t="str">
        <x:f>IF(D613="","",IFERROR(VLOOKUP(D613,$A$2:$B$1656,2,FALSE),""))</x:f>
        <x:v>Oppositional and Meta-Magical Traditions</x:v>
      </x:c>
      <x:c r="F613" s="24" t="n">
        <x:v>3</x:v>
      </x:c>
      <x:c r="G613" s="24" t="str">
        <x:v>Acquisition or reproduction of another being's spells, techniques, forms, or traits.</x:v>
      </x:c>
      <x:c r="H613" s="24" t="str">
        <x:v>Record source, method, cost, limits, access, and social control separately.</x:v>
      </x:c>
      <x:c r="I613" s="24" t="str">
        <x:v>copy magic; mimicry; skill theft</x:v>
      </x:c>
      <x:c r="J613" s="24" t="str">
        <x:v>Counters, escalation, copying, corruption, rule modification, and system-level interaction.</x:v>
      </x:c>
      <x:c r="K613" s="24" t="str">
        <x:v>copy magic; mimicry; skill theft</x:v>
      </x:c>
      <x:c r="L613" s="24" t="str">
        <x:v>Preserve each source's ontology, culture, history, and terminology when making comparisons.</x:v>
      </x:c>
      <x:c r="M613" s="24" t="str">
        <x:v>Core Family</x:v>
      </x:c>
    </x:row>
    <x:row r="614" ht="44" customHeight="1">
      <x:c r="A614" s="24" t="str">
        <x:v>PWR-602</x:v>
      </x:c>
      <x:c r="B614" s="24" t="str">
        <x:v>Power Theft and Drain</x:v>
      </x:c>
      <x:c r="C614" s="24" t="str">
        <x:v>Power Traditions</x:v>
      </x:c>
      <x:c r="D614" s="24" t="str">
        <x:v>PWR-600</x:v>
      </x:c>
      <x:c r="E614" s="24" t="str">
        <x:f>IF(D614="","",IFERROR(VLOOKUP(D614,$A$2:$B$1656,2,FALSE),""))</x:f>
        <x:v>Oppositional and Meta-Magical Traditions</x:v>
      </x:c>
      <x:c r="F614" s="24" t="n">
        <x:v>3</x:v>
      </x:c>
      <x:c r="G614" s="24" t="str">
        <x:v>Removal and appropriation of energy, abilities, levels, memories, or supernatural status.</x:v>
      </x:c>
      <x:c r="H614" s="24" t="str">
        <x:v>Record source, method, cost, limits, access, and social control separately.</x:v>
      </x:c>
      <x:c r="I614" s="24" t="str">
        <x:v>power drain; ability theft; siphoning</x:v>
      </x:c>
      <x:c r="J614" s="24" t="str">
        <x:v>Counters, escalation, copying, corruption, rule modification, and system-level interaction.</x:v>
      </x:c>
      <x:c r="K614" s="24" t="str">
        <x:v>power drain; ability theft; siphoning</x:v>
      </x:c>
      <x:c r="L614" s="24" t="str">
        <x:v>Preserve each source's ontology, culture, history, and terminology when making comparisons.</x:v>
      </x:c>
      <x:c r="M614" s="24" t="str">
        <x:v>Core Family</x:v>
      </x:c>
    </x:row>
    <x:row r="615" ht="44" customHeight="1">
      <x:c r="A615" s="24" t="str">
        <x:v>PWR-603</x:v>
      </x:c>
      <x:c r="B615" s="24" t="str">
        <x:v>Anti-Magic and Nullification</x:v>
      </x:c>
      <x:c r="C615" s="24" t="str">
        <x:v>Power Traditions</x:v>
      </x:c>
      <x:c r="D615" s="24" t="str">
        <x:v>PWR-600</x:v>
      </x:c>
      <x:c r="E615" s="24" t="str">
        <x:f>IF(D615="","",IFERROR(VLOOKUP(D615,$A$2:$B$1656,2,FALSE),""))</x:f>
        <x:v>Oppositional and Meta-Magical Traditions</x:v>
      </x:c>
      <x:c r="F615" s="24" t="n">
        <x:v>3</x:v>
      </x:c>
      <x:c r="G615" s="24" t="str">
        <x:v>Suppression, cancellation, resistance, severance, or absence of magic.</x:v>
      </x:c>
      <x:c r="H615" s="24" t="str">
        <x:v>Record source, method, cost, limits, access, and social control separately.</x:v>
      </x:c>
      <x:c r="I615" s="24" t="str">
        <x:v>anti-magic; nullification; silence</x:v>
      </x:c>
      <x:c r="J615" s="24" t="str">
        <x:v>Counters, escalation, copying, corruption, rule modification, and system-level interaction.</x:v>
      </x:c>
      <x:c r="K615" s="24" t="str">
        <x:v>anti-magic; nullification; silence</x:v>
      </x:c>
      <x:c r="L615" s="24" t="str">
        <x:v>Preserve each source's ontology, culture, history, and terminology when making comparisons.</x:v>
      </x:c>
      <x:c r="M615" s="24" t="str">
        <x:v>Core Family</x:v>
      </x:c>
    </x:row>
    <x:row r="616" ht="44" customHeight="1">
      <x:c r="A616" s="24" t="str">
        <x:v>PWR-604</x:v>
      </x:c>
      <x:c r="B616" s="24" t="str">
        <x:v>Dispel and Countermagic</x:v>
      </x:c>
      <x:c r="C616" s="24" t="str">
        <x:v>Power Traditions</x:v>
      </x:c>
      <x:c r="D616" s="24" t="str">
        <x:v>PWR-600</x:v>
      </x:c>
      <x:c r="E616" s="24" t="str">
        <x:f>IF(D616="","",IFERROR(VLOOKUP(D616,$A$2:$B$1656,2,FALSE),""))</x:f>
        <x:v>Oppositional and Meta-Magical Traditions</x:v>
      </x:c>
      <x:c r="F616" s="24" t="n">
        <x:v>3</x:v>
      </x:c>
      <x:c r="G616" s="24" t="str">
        <x:v>Reactive interruption, unraveling, reflection, or removal of active spells and enchantments.</x:v>
      </x:c>
      <x:c r="H616" s="24" t="str">
        <x:v>Record source, method, cost, limits, access, and social control separately.</x:v>
      </x:c>
      <x:c r="I616" s="24" t="str">
        <x:v>dispel; counterspell; spellbreak</x:v>
      </x:c>
      <x:c r="J616" s="24" t="str">
        <x:v>Counters, escalation, copying, corruption, rule modification, and system-level interaction.</x:v>
      </x:c>
      <x:c r="K616" s="24" t="str">
        <x:v>dispel; counterspell; spellbreak</x:v>
      </x:c>
      <x:c r="L616" s="24" t="str">
        <x:v>Preserve each source's ontology, culture, history, and terminology when making comparisons.</x:v>
      </x:c>
      <x:c r="M616" s="24" t="str">
        <x:v>Core Family</x:v>
      </x:c>
    </x:row>
    <x:row r="617" ht="44" customHeight="1">
      <x:c r="A617" s="24" t="str">
        <x:v>PWR-605</x:v>
      </x:c>
      <x:c r="B617" s="24" t="str">
        <x:v>Wild and Chaos Magic</x:v>
      </x:c>
      <x:c r="C617" s="24" t="str">
        <x:v>Power Traditions</x:v>
      </x:c>
      <x:c r="D617" s="24" t="str">
        <x:v>PWR-600</x:v>
      </x:c>
      <x:c r="E617" s="24" t="str">
        <x:f>IF(D617="","",IFERROR(VLOOKUP(D617,$A$2:$B$1656,2,FALSE),""))</x:f>
        <x:v>Oppositional and Meta-Magical Traditions</x:v>
      </x:c>
      <x:c r="F617" s="24" t="n">
        <x:v>3</x:v>
      </x:c>
      <x:c r="G617" s="24" t="str">
        <x:v>Unstable power producing unpredictable, emergent, probabilistic, or reality-warping effects.</x:v>
      </x:c>
      <x:c r="H617" s="24" t="str">
        <x:v>Record source, method, cost, limits, access, and social control separately.</x:v>
      </x:c>
      <x:c r="I617" s="24" t="str">
        <x:v>wild magic; chaos magic</x:v>
      </x:c>
      <x:c r="J617" s="24" t="str">
        <x:v>Counters, escalation, copying, corruption, rule modification, and system-level interaction.</x:v>
      </x:c>
      <x:c r="K617" s="24" t="str">
        <x:v>wild magic; chaos magic</x:v>
      </x:c>
      <x:c r="L617" s="24" t="str">
        <x:v>Preserve each source's ontology, culture, history, and terminology when making comparisons.</x:v>
      </x:c>
      <x:c r="M617" s="24" t="str">
        <x:v>Core Family</x:v>
      </x:c>
    </x:row>
    <x:row r="618" ht="44" customHeight="1">
      <x:c r="A618" s="24" t="str">
        <x:v>PWR-606</x:v>
      </x:c>
      <x:c r="B618" s="24" t="str">
        <x:v>Order and Law Magic</x:v>
      </x:c>
      <x:c r="C618" s="24" t="str">
        <x:v>Power Traditions</x:v>
      </x:c>
      <x:c r="D618" s="24" t="str">
        <x:v>PWR-600</x:v>
      </x:c>
      <x:c r="E618" s="24" t="str">
        <x:f>IF(D618="","",IFERROR(VLOOKUP(D618,$A$2:$B$1656,2,FALSE),""))</x:f>
        <x:v>Oppositional and Meta-Magical Traditions</x:v>
      </x:c>
      <x:c r="F618" s="24" t="n">
        <x:v>3</x:v>
      </x:c>
      <x:c r="G618" s="24" t="str">
        <x:v>Power that stabilizes, binds, regularizes, categorizes, and enforces cosmic or social rules.</x:v>
      </x:c>
      <x:c r="H618" s="24" t="str">
        <x:v>Record source, method, cost, limits, access, and social control separately.</x:v>
      </x:c>
      <x:c r="I618" s="24" t="str">
        <x:v>law magic; order magic; binding</x:v>
      </x:c>
      <x:c r="J618" s="24" t="str">
        <x:v>Counters, escalation, copying, corruption, rule modification, and system-level interaction.</x:v>
      </x:c>
      <x:c r="K618" s="24" t="str">
        <x:v>law magic; order magic; binding</x:v>
      </x:c>
      <x:c r="L618" s="24" t="str">
        <x:v>Preserve each source's ontology, culture, history, and terminology when making comparisons.</x:v>
      </x:c>
      <x:c r="M618" s="24" t="str">
        <x:v>Core Family</x:v>
      </x:c>
    </x:row>
    <x:row r="619" ht="44" customHeight="1">
      <x:c r="A619" s="24" t="str">
        <x:v>PWR-607</x:v>
      </x:c>
      <x:c r="B619" s="24" t="str">
        <x:v>Corruption and Taint</x:v>
      </x:c>
      <x:c r="C619" s="24" t="str">
        <x:v>Power Traditions</x:v>
      </x:c>
      <x:c r="D619" s="24" t="str">
        <x:v>PWR-600</x:v>
      </x:c>
      <x:c r="E619" s="24" t="str">
        <x:f>IF(D619="","",IFERROR(VLOOKUP(D619,$A$2:$B$1656,2,FALSE),""))</x:f>
        <x:v>Oppositional and Meta-Magical Traditions</x:v>
      </x:c>
      <x:c r="F619" s="24" t="n">
        <x:v>3</x:v>
      </x:c>
      <x:c r="G619" s="24" t="str">
        <x:v>Power that spreads metaphysical pollution, mutation, moral compromise, madness, or environmental degradation.</x:v>
      </x:c>
      <x:c r="H619" s="24" t="str">
        <x:v>Record source, method, cost, limits, access, and social control separately.</x:v>
      </x:c>
      <x:c r="I619" s="24" t="str">
        <x:v>corruption; taint; blight</x:v>
      </x:c>
      <x:c r="J619" s="24" t="str">
        <x:v>Counters, escalation, copying, corruption, rule modification, and system-level interaction.</x:v>
      </x:c>
      <x:c r="K619" s="24" t="str">
        <x:v>corruption; taint; blight</x:v>
      </x:c>
      <x:c r="L619" s="24" t="str">
        <x:v>Preserve each source's ontology, culture, history, and terminology when making comparisons.</x:v>
      </x:c>
      <x:c r="M619" s="24" t="str">
        <x:v>Core Family</x:v>
      </x:c>
    </x:row>
    <x:row r="620" ht="44" customHeight="1">
      <x:c r="A620" s="24" t="str">
        <x:v>PWR-608</x:v>
      </x:c>
      <x:c r="B620" s="24" t="str">
        <x:v>Forbidden and Taboo Magic</x:v>
      </x:c>
      <x:c r="C620" s="24" t="str">
        <x:v>Power Traditions</x:v>
      </x:c>
      <x:c r="D620" s="24" t="str">
        <x:v>PWR-600</x:v>
      </x:c>
      <x:c r="E620" s="24" t="str">
        <x:f>IF(D620="","",IFERROR(VLOOKUP(D620,$A$2:$B$1656,2,FALSE),""))</x:f>
        <x:v>Oppositional and Meta-Magical Traditions</x:v>
      </x:c>
      <x:c r="F620" s="24" t="n">
        <x:v>3</x:v>
      </x:c>
      <x:c r="G620" s="24" t="str">
        <x:v>Practices prohibited because of cost, danger, doctrine, social power, or moral boundary.</x:v>
      </x:c>
      <x:c r="H620" s="24" t="str">
        <x:v>Record source, method, cost, limits, access, and social control separately.</x:v>
      </x:c>
      <x:c r="I620" s="24" t="str">
        <x:v>forbidden magic; black arts; taboo spell</x:v>
      </x:c>
      <x:c r="J620" s="24" t="str">
        <x:v>Counters, escalation, copying, corruption, rule modification, and system-level interaction.</x:v>
      </x:c>
      <x:c r="K620" s="24" t="str">
        <x:v>forbidden magic; black arts; taboo spell</x:v>
      </x:c>
      <x:c r="L620" s="24" t="str">
        <x:v>Preserve each source's ontology, culture, history, and terminology when making comparisons.</x:v>
      </x:c>
      <x:c r="M620" s="24" t="str">
        <x:v>Core Family</x:v>
      </x:c>
    </x:row>
    <x:row r="621" ht="44" customHeight="1">
      <x:c r="A621" s="24" t="str">
        <x:v>PWR-609</x:v>
      </x:c>
      <x:c r="B621" s="24" t="str">
        <x:v>Chaos Mutation</x:v>
      </x:c>
      <x:c r="C621" s="24" t="str">
        <x:v>Power Traditions</x:v>
      </x:c>
      <x:c r="D621" s="24" t="str">
        <x:v>PWR-600</x:v>
      </x:c>
      <x:c r="E621" s="24" t="str">
        <x:f>IF(D621="","",IFERROR(VLOOKUP(D621,$A$2:$B$1656,2,FALSE),""))</x:f>
        <x:v>Oppositional and Meta-Magical Traditions</x:v>
      </x:c>
      <x:c r="F621" s="24" t="n">
        <x:v>3</x:v>
      </x:c>
      <x:c r="G621" s="24" t="str">
        <x:v>Power that changes bodies and abilities unpredictably through exposure to disorder or hostile magic.</x:v>
      </x:c>
      <x:c r="H621" s="24" t="str">
        <x:v>Record source, method, cost, limits, access, and social control separately.</x:v>
      </x:c>
      <x:c r="I621" s="24" t="str">
        <x:v>mutation; warp change; chaos gift</x:v>
      </x:c>
      <x:c r="J621" s="24" t="str">
        <x:v>Counters, escalation, copying, corruption, rule modification, and system-level interaction.</x:v>
      </x:c>
      <x:c r="K621" s="24" t="str">
        <x:v>mutation; warp change; chaos gift</x:v>
      </x:c>
      <x:c r="L621" s="24" t="str">
        <x:v>Preserve each source's ontology, culture, history, and terminology when making comparisons.</x:v>
      </x:c>
      <x:c r="M621" s="24" t="str">
        <x:v>Core Family</x:v>
      </x:c>
    </x:row>
    <x:row r="622" ht="44" customHeight="1">
      <x:c r="A622" s="24" t="str">
        <x:v>PWR-610</x:v>
      </x:c>
      <x:c r="B622" s="24" t="str">
        <x:v>Metamagic</x:v>
      </x:c>
      <x:c r="C622" s="24" t="str">
        <x:v>Power Traditions</x:v>
      </x:c>
      <x:c r="D622" s="24" t="str">
        <x:v>PWR-600</x:v>
      </x:c>
      <x:c r="E622" s="24" t="str">
        <x:f>IF(D622="","",IFERROR(VLOOKUP(D622,$A$2:$B$1656,2,FALSE),""))</x:f>
        <x:v>Oppositional and Meta-Magical Traditions</x:v>
      </x:c>
      <x:c r="F622" s="24" t="n">
        <x:v>3</x:v>
      </x:c>
      <x:c r="G622" s="24" t="str">
        <x:v>Techniques that alter a spell's range, duration, target, form, cost, or rule behavior.</x:v>
      </x:c>
      <x:c r="H622" s="24" t="str">
        <x:v>Record source, method, cost, limits, access, and social control separately.</x:v>
      </x:c>
      <x:c r="I622" s="24" t="str">
        <x:v>metamagic; spell shaping</x:v>
      </x:c>
      <x:c r="J622" s="24" t="str">
        <x:v>Counters, escalation, copying, corruption, rule modification, and system-level interaction.</x:v>
      </x:c>
      <x:c r="K622" s="24" t="str">
        <x:v>metamagic; spell shaping</x:v>
      </x:c>
      <x:c r="L622" s="24" t="str">
        <x:v>Preserve each source's ontology, culture, history, and terminology when making comparisons.</x:v>
      </x:c>
      <x:c r="M622" s="24" t="str">
        <x:v>Core Family</x:v>
      </x:c>
    </x:row>
    <x:row r="623" ht="44" customHeight="1">
      <x:c r="A623" s="24" t="str">
        <x:v>PWR-611</x:v>
      </x:c>
      <x:c r="B623" s="24" t="str">
        <x:v>Magic Absorption</x:v>
      </x:c>
      <x:c r="C623" s="24" t="str">
        <x:v>Power Traditions</x:v>
      </x:c>
      <x:c r="D623" s="24" t="str">
        <x:v>PWR-600</x:v>
      </x:c>
      <x:c r="E623" s="24" t="str">
        <x:f>IF(D623="","",IFERROR(VLOOKUP(D623,$A$2:$B$1656,2,FALSE),""))</x:f>
        <x:v>Oppositional and Meta-Magical Traditions</x:v>
      </x:c>
      <x:c r="F623" s="24" t="n">
        <x:v>3</x:v>
      </x:c>
      <x:c r="G623" s="24" t="str">
        <x:v>Conversion of incoming magic into energy, healing, stored power, or immunity.</x:v>
      </x:c>
      <x:c r="H623" s="24" t="str">
        <x:v>Record source, method, cost, limits, access, and social control separately.</x:v>
      </x:c>
      <x:c r="I623" s="24" t="str">
        <x:v>spell absorption; mana drain</x:v>
      </x:c>
      <x:c r="J623" s="24" t="str">
        <x:v>Counters, escalation, copying, corruption, rule modification, and system-level interaction.</x:v>
      </x:c>
      <x:c r="K623" s="24" t="str">
        <x:v>spell absorption; mana drain</x:v>
      </x:c>
      <x:c r="L623" s="24" t="str">
        <x:v>Preserve each source's ontology, culture, history, and terminology when making comparisons.</x:v>
      </x:c>
      <x:c r="M623" s="24" t="str">
        <x:v>Core Family</x:v>
      </x:c>
    </x:row>
    <x:row r="624" ht="44" customHeight="1">
      <x:c r="A624" s="24" t="str">
        <x:v>PWR-612</x:v>
      </x:c>
      <x:c r="B624" s="24" t="str">
        <x:v>Reflection and Redirection</x:v>
      </x:c>
      <x:c r="C624" s="24" t="str">
        <x:v>Power Traditions</x:v>
      </x:c>
      <x:c r="D624" s="24" t="str">
        <x:v>PWR-600</x:v>
      </x:c>
      <x:c r="E624" s="24" t="str">
        <x:f>IF(D624="","",IFERROR(VLOOKUP(D624,$A$2:$B$1656,2,FALSE),""))</x:f>
        <x:v>Oppositional and Meta-Magical Traditions</x:v>
      </x:c>
      <x:c r="F624" s="24" t="n">
        <x:v>3</x:v>
      </x:c>
      <x:c r="G624" s="24" t="str">
        <x:v>Returning, transferring, or retargeting powers and attacks.</x:v>
      </x:c>
      <x:c r="H624" s="24" t="str">
        <x:v>Record source, method, cost, limits, access, and social control separately.</x:v>
      </x:c>
      <x:c r="I624" s="24" t="str">
        <x:v>reflect; redirect; rebound</x:v>
      </x:c>
      <x:c r="J624" s="24" t="str">
        <x:v>Counters, escalation, copying, corruption, rule modification, and system-level interaction.</x:v>
      </x:c>
      <x:c r="K624" s="24" t="str">
        <x:v>reflect; redirect; rebound</x:v>
      </x:c>
      <x:c r="L624" s="24" t="str">
        <x:v>Preserve each source's ontology, culture, history, and terminology when making comparisons.</x:v>
      </x:c>
      <x:c r="M624" s="24" t="str">
        <x:v>Core Family</x:v>
      </x:c>
    </x:row>
    <x:row r="625" ht="44" customHeight="1">
      <x:c r="A625" s="24" t="str">
        <x:v>PWR-613</x:v>
      </x:c>
      <x:c r="B625" s="24" t="str">
        <x:v>Sealing and Binding</x:v>
      </x:c>
      <x:c r="C625" s="24" t="str">
        <x:v>Power Traditions</x:v>
      </x:c>
      <x:c r="D625" s="24" t="str">
        <x:v>PWR-600</x:v>
      </x:c>
      <x:c r="E625" s="24" t="str">
        <x:f>IF(D625="","",IFERROR(VLOOKUP(D625,$A$2:$B$1656,2,FALSE),""))</x:f>
        <x:v>Oppositional and Meta-Magical Traditions</x:v>
      </x:c>
      <x:c r="F625" s="24" t="n">
        <x:v>3</x:v>
      </x:c>
      <x:c r="G625" s="24" t="str">
        <x:v>Restraining beings, powers, memories, portals, or conditions through containment.</x:v>
      </x:c>
      <x:c r="H625" s="24" t="str">
        <x:v>Record source, method, cost, limits, access, and social control separately.</x:v>
      </x:c>
      <x:c r="I625" s="24" t="str">
        <x:v>seal; bind; imprison</x:v>
      </x:c>
      <x:c r="J625" s="24" t="str">
        <x:v>Counters, escalation, copying, corruption, rule modification, and system-level interaction.</x:v>
      </x:c>
      <x:c r="K625" s="24" t="str">
        <x:v>seal; bind; imprison</x:v>
      </x:c>
      <x:c r="L625" s="24" t="str">
        <x:v>Preserve each source's ontology, culture, history, and terminology when making comparisons.</x:v>
      </x:c>
      <x:c r="M625" s="24" t="str">
        <x:v>Core Family</x:v>
      </x:c>
    </x:row>
    <x:row r="626" ht="44" customHeight="1">
      <x:c r="A626" s="24" t="str">
        <x:v>PWR-614</x:v>
      </x:c>
      <x:c r="B626" s="24" t="str">
        <x:v>Exorcism and Banishment</x:v>
      </x:c>
      <x:c r="C626" s="24" t="str">
        <x:v>Power Traditions</x:v>
      </x:c>
      <x:c r="D626" s="24" t="str">
        <x:v>PWR-600</x:v>
      </x:c>
      <x:c r="E626" s="24" t="str">
        <x:f>IF(D626="","",IFERROR(VLOOKUP(D626,$A$2:$B$1656,2,FALSE),""))</x:f>
        <x:v>Oppositional and Meta-Magical Traditions</x:v>
      </x:c>
      <x:c r="F626" s="24" t="n">
        <x:v>3</x:v>
      </x:c>
      <x:c r="G626" s="24" t="str">
        <x:v>Expelling possessing, summoned, undead, or extraplanar beings from a body or realm.</x:v>
      </x:c>
      <x:c r="H626" s="24" t="str">
        <x:v>Record source, method, cost, limits, access, and social control separately.</x:v>
      </x:c>
      <x:c r="I626" s="24" t="str">
        <x:v>banishment; exorcism; dismissal</x:v>
      </x:c>
      <x:c r="J626" s="24" t="str">
        <x:v>Counters, escalation, copying, corruption, rule modification, and system-level interaction.</x:v>
      </x:c>
      <x:c r="K626" s="24" t="str">
        <x:v>banishment; exorcism; dismissal</x:v>
      </x:c>
      <x:c r="L626" s="24" t="str">
        <x:v>Preserve each source's ontology, culture, history, and terminology when making comparisons.</x:v>
      </x:c>
      <x:c r="M626" s="24" t="str">
        <x:v>Core Family</x:v>
      </x:c>
    </x:row>
    <x:row r="627" ht="44" customHeight="1">
      <x:c r="A627" s="24" t="str">
        <x:v>PWR-615</x:v>
      </x:c>
      <x:c r="B627" s="24" t="str">
        <x:v>Power Amplification</x:v>
      </x:c>
      <x:c r="C627" s="24" t="str">
        <x:v>Power Traditions</x:v>
      </x:c>
      <x:c r="D627" s="24" t="str">
        <x:v>PWR-600</x:v>
      </x:c>
      <x:c r="E627" s="24" t="str">
        <x:f>IF(D627="","",IFERROR(VLOOKUP(D627,$A$2:$B$1656,2,FALSE),""))</x:f>
        <x:v>Oppositional and Meta-Magical Traditions</x:v>
      </x:c>
      <x:c r="F627" s="24" t="n">
        <x:v>3</x:v>
      </x:c>
      <x:c r="G627" s="24" t="str">
        <x:v>Increasing another ability's scale, duration, precision, or output through support or resonance.</x:v>
      </x:c>
      <x:c r="H627" s="24" t="str">
        <x:v>Record source, method, cost, limits, access, and social control separately.</x:v>
      </x:c>
      <x:c r="I627" s="24" t="str">
        <x:v>amplification; empower; boost</x:v>
      </x:c>
      <x:c r="J627" s="24" t="str">
        <x:v>Counters, escalation, copying, corruption, rule modification, and system-level interaction.</x:v>
      </x:c>
      <x:c r="K627" s="24" t="str">
        <x:v>amplification; empower; boost</x:v>
      </x:c>
      <x:c r="L627" s="24" t="str">
        <x:v>Preserve each source's ontology, culture, history, and terminology when making comparisons.</x:v>
      </x:c>
      <x:c r="M627" s="24" t="str">
        <x:v>Core Family</x:v>
      </x:c>
    </x:row>
    <x:row r="628" ht="44" customHeight="1">
      <x:c r="A628" s="24" t="str">
        <x:v>PWR-616</x:v>
      </x:c>
      <x:c r="B628" s="24" t="str">
        <x:v>Power Suppression</x:v>
      </x:c>
      <x:c r="C628" s="24" t="str">
        <x:v>Power Traditions</x:v>
      </x:c>
      <x:c r="D628" s="24" t="str">
        <x:v>PWR-600</x:v>
      </x:c>
      <x:c r="E628" s="24" t="str">
        <x:f>IF(D628="","",IFERROR(VLOOKUP(D628,$A$2:$B$1656,2,FALSE),""))</x:f>
        <x:v>Oppositional and Meta-Magical Traditions</x:v>
      </x:c>
      <x:c r="F628" s="24" t="n">
        <x:v>3</x:v>
      </x:c>
      <x:c r="G628" s="24" t="str">
        <x:v>Reducing or preventing another being's access to abilities without fully removing them.</x:v>
      </x:c>
      <x:c r="H628" s="24" t="str">
        <x:v>Record source, method, cost, limits, access, and social control separately.</x:v>
      </x:c>
      <x:c r="I628" s="24" t="str">
        <x:v>suppression; dampening; inhibitor</x:v>
      </x:c>
      <x:c r="J628" s="24" t="str">
        <x:v>Counters, escalation, copying, corruption, rule modification, and system-level interaction.</x:v>
      </x:c>
      <x:c r="K628" s="24" t="str">
        <x:v>suppression; dampening; inhibitor</x:v>
      </x:c>
      <x:c r="L628" s="24" t="str">
        <x:v>Preserve each source's ontology, culture, history, and terminology when making comparisons.</x:v>
      </x:c>
      <x:c r="M628" s="24" t="str">
        <x:v>Core Family</x:v>
      </x:c>
    </x:row>
    <x:row r="629" ht="44" customHeight="1">
      <x:c r="A629" s="24" t="str">
        <x:v>PWR-617</x:v>
      </x:c>
      <x:c r="B629" s="24" t="str">
        <x:v>Adaptive Resistance</x:v>
      </x:c>
      <x:c r="C629" s="24" t="str">
        <x:v>Power Traditions</x:v>
      </x:c>
      <x:c r="D629" s="24" t="str">
        <x:v>PWR-600</x:v>
      </x:c>
      <x:c r="E629" s="24" t="str">
        <x:f>IF(D629="","",IFERROR(VLOOKUP(D629,$A$2:$B$1656,2,FALSE),""))</x:f>
        <x:v>Oppositional and Meta-Magical Traditions</x:v>
      </x:c>
      <x:c r="F629" s="24" t="n">
        <x:v>3</x:v>
      </x:c>
      <x:c r="G629" s="24" t="str">
        <x:v>Developing immunity or counters after exposure to an attack or environment.</x:v>
      </x:c>
      <x:c r="H629" s="24" t="str">
        <x:v>Record source, method, cost, limits, access, and social control separately.</x:v>
      </x:c>
      <x:c r="I629" s="24" t="str">
        <x:v>adaptation; evolving resistance</x:v>
      </x:c>
      <x:c r="J629" s="24" t="str">
        <x:v>Counters, escalation, copying, corruption, rule modification, and system-level interaction.</x:v>
      </x:c>
      <x:c r="K629" s="24" t="str">
        <x:v>adaptation; evolving resistance</x:v>
      </x:c>
      <x:c r="L629" s="24" t="str">
        <x:v>Preserve each source's ontology, culture, history, and terminology when making comparisons.</x:v>
      </x:c>
      <x:c r="M629" s="24" t="str">
        <x:v>Core Family</x:v>
      </x:c>
    </x:row>
    <x:row r="630" ht="44" customHeight="1">
      <x:c r="A630" s="24" t="str">
        <x:v>PWR-618</x:v>
      </x:c>
      <x:c r="B630" s="24" t="str">
        <x:v>Randomized and Luck-Based Power</x:v>
      </x:c>
      <x:c r="C630" s="24" t="str">
        <x:v>Power Traditions</x:v>
      </x:c>
      <x:c r="D630" s="24" t="str">
        <x:v>PWR-600</x:v>
      </x:c>
      <x:c r="E630" s="24" t="str">
        <x:f>IF(D630="","",IFERROR(VLOOKUP(D630,$A$2:$B$1656,2,FALSE),""))</x:f>
        <x:v>Oppositional and Meta-Magical Traditions</x:v>
      </x:c>
      <x:c r="F630" s="24" t="n">
        <x:v>3</x:v>
      </x:c>
      <x:c r="G630" s="24" t="str">
        <x:v>Effects selected or modified by chance, draws, dice, uncertain tables, or probability.</x:v>
      </x:c>
      <x:c r="H630" s="24" t="str">
        <x:v>Record source, method, cost, limits, access, and social control separately.</x:v>
      </x:c>
      <x:c r="I630" s="24" t="str">
        <x:v>random magic; roulette; gamble</x:v>
      </x:c>
      <x:c r="J630" s="24" t="str">
        <x:v>Counters, escalation, copying, corruption, rule modification, and system-level interaction.</x:v>
      </x:c>
      <x:c r="K630" s="24" t="str">
        <x:v>random magic; roulette; gamble</x:v>
      </x:c>
      <x:c r="L630" s="24" t="str">
        <x:v>Preserve each source's ontology, culture, history, and terminology when making comparisons.</x:v>
      </x:c>
      <x:c r="M630" s="24" t="str">
        <x:v>Core Family</x:v>
      </x:c>
    </x:row>
    <x:row r="631" ht="44" customHeight="1">
      <x:c r="A631" s="24" t="str">
        <x:v>PWR-619</x:v>
      </x:c>
      <x:c r="B631" s="24" t="str">
        <x:v>Combination and Fusion</x:v>
      </x:c>
      <x:c r="C631" s="24" t="str">
        <x:v>Power Traditions</x:v>
      </x:c>
      <x:c r="D631" s="24" t="str">
        <x:v>PWR-600</x:v>
      </x:c>
      <x:c r="E631" s="24" t="str">
        <x:f>IF(D631="","",IFERROR(VLOOKUP(D631,$A$2:$B$1656,2,FALSE),""))</x:f>
        <x:v>Oppositional and Meta-Magical Traditions</x:v>
      </x:c>
      <x:c r="F631" s="24" t="n">
        <x:v>3</x:v>
      </x:c>
      <x:c r="G631" s="24" t="str">
        <x:v>Merging beings, powers, spells, elements, or classes into a composite form.</x:v>
      </x:c>
      <x:c r="H631" s="24" t="str">
        <x:v>Record source, method, cost, limits, access, and social control separately.</x:v>
      </x:c>
      <x:c r="I631" s="24" t="str">
        <x:v>fusion; synthesis; combination</x:v>
      </x:c>
      <x:c r="J631" s="24" t="str">
        <x:v>Counters, escalation, copying, corruption, rule modification, and system-level interaction.</x:v>
      </x:c>
      <x:c r="K631" s="24" t="str">
        <x:v>fusion; synthesis; combination</x:v>
      </x:c>
      <x:c r="L631" s="24" t="str">
        <x:v>Preserve each source's ontology, culture, history, and terminology when making comparisons.</x:v>
      </x:c>
      <x:c r="M631" s="24" t="str">
        <x:v>Core Family</x:v>
      </x:c>
    </x:row>
    <x:row r="632" ht="44" customHeight="1">
      <x:c r="A632" s="24" t="str">
        <x:v>PWR-620</x:v>
      </x:c>
      <x:c r="B632" s="24" t="str">
        <x:v>Transformation Sequence</x:v>
      </x:c>
      <x:c r="C632" s="24" t="str">
        <x:v>Power Traditions</x:v>
      </x:c>
      <x:c r="D632" s="24" t="str">
        <x:v>PWR-600</x:v>
      </x:c>
      <x:c r="E632" s="24" t="str">
        <x:f>IF(D632="","",IFERROR(VLOOKUP(D632,$A$2:$B$1656,2,FALSE),""))</x:f>
        <x:v>Oppositional and Meta-Magical Traditions</x:v>
      </x:c>
      <x:c r="F632" s="24" t="n">
        <x:v>3</x:v>
      </x:c>
      <x:c r="G632" s="24" t="str">
        <x:v>Power accessed through a repeatable change of form that also changes equipment, role, and identity.</x:v>
      </x:c>
      <x:c r="H632" s="24" t="str">
        <x:v>Record source, method, cost, limits, access, and social control separately.</x:v>
      </x:c>
      <x:c r="I632" s="24" t="str">
        <x:v>henshin; magical transformation; battle form</x:v>
      </x:c>
      <x:c r="J632" s="24" t="str">
        <x:v>Counters, escalation, copying, corruption, rule modification, and system-level interaction.</x:v>
      </x:c>
      <x:c r="K632" s="24" t="str">
        <x:v>henshin; magical transformation; battle form</x:v>
      </x:c>
      <x:c r="L632" s="24" t="str">
        <x:v>Preserve each source's ontology, culture, history, and terminology when making comparisons.</x:v>
      </x:c>
      <x:c r="M632" s="24" t="str">
        <x:v>Core Family</x:v>
      </x:c>
    </x:row>
    <x:row r="633" ht="44" customHeight="1">
      <x:c r="A633" s="24" t="str">
        <x:v>PWR-621</x:v>
      </x:c>
      <x:c r="B633" s="24" t="str">
        <x:v>Limit Break and Crisis Power</x:v>
      </x:c>
      <x:c r="C633" s="24" t="str">
        <x:v>Power Traditions</x:v>
      </x:c>
      <x:c r="D633" s="24" t="str">
        <x:v>PWR-600</x:v>
      </x:c>
      <x:c r="E633" s="24" t="str">
        <x:f>IF(D633="","",IFERROR(VLOOKUP(D633,$A$2:$B$1656,2,FALSE),""))</x:f>
        <x:v>Oppositional and Meta-Magical Traditions</x:v>
      </x:c>
      <x:c r="F633" s="24" t="n">
        <x:v>3</x:v>
      </x:c>
      <x:c r="G633" s="24" t="str">
        <x:v>Temporary extraordinary output triggered by danger, damage, emotion, or accumulated resource.</x:v>
      </x:c>
      <x:c r="H633" s="24" t="str">
        <x:v>Record source, method, cost, limits, access, and social control separately.</x:v>
      </x:c>
      <x:c r="I633" s="24" t="str">
        <x:v>limit break; desperation move; overdrive</x:v>
      </x:c>
      <x:c r="J633" s="24" t="str">
        <x:v>Counters, escalation, copying, corruption, rule modification, and system-level interaction.</x:v>
      </x:c>
      <x:c r="K633" s="24" t="str">
        <x:v>limit break; desperation move; overdrive</x:v>
      </x:c>
      <x:c r="L633" s="24" t="str">
        <x:v>Preserve each source's ontology, culture, history, and terminology when making comparisons.</x:v>
      </x:c>
      <x:c r="M633" s="24" t="str">
        <x:v>Core Family</x:v>
      </x:c>
    </x:row>
    <x:row r="634" ht="44" customHeight="1">
      <x:c r="A634" s="24" t="str">
        <x:v>PWR-622</x:v>
      </x:c>
      <x:c r="B634" s="24" t="str">
        <x:v>World-System Authority</x:v>
      </x:c>
      <x:c r="C634" s="24" t="str">
        <x:v>Power Traditions</x:v>
      </x:c>
      <x:c r="D634" s="24" t="str">
        <x:v>PWR-600</x:v>
      </x:c>
      <x:c r="E634" s="24" t="str">
        <x:f>IF(D634="","",IFERROR(VLOOKUP(D634,$A$2:$B$1656,2,FALSE),""))</x:f>
        <x:v>Oppositional and Meta-Magical Traditions</x:v>
      </x:c>
      <x:c r="F634" s="24" t="n">
        <x:v>3</x:v>
      </x:c>
      <x:c r="G634" s="24" t="str">
        <x:v>Administrative or interface-like power to inspect, assign, edit, spawn, or override system rules.</x:v>
      </x:c>
      <x:c r="H634" s="24" t="str">
        <x:v>Record source, method, cost, limits, access, and social control separately.</x:v>
      </x:c>
      <x:c r="I634" s="24" t="str">
        <x:v>system authority; administrator power; game master power</x:v>
      </x:c>
      <x:c r="J634" s="24" t="str">
        <x:v>Counters, escalation, copying, corruption, rule modification, and system-level interaction.</x:v>
      </x:c>
      <x:c r="K634" s="24" t="str">
        <x:v>system authority; administrator power; game master power</x:v>
      </x:c>
      <x:c r="L634" s="24" t="str">
        <x:v>Preserve each source's ontology, culture, history, and terminology when making comparisons.</x:v>
      </x:c>
      <x:c r="M634" s="24" t="str">
        <x:v>Core Family</x:v>
      </x:c>
    </x:row>
    <x:row r="635" ht="44" customHeight="1">
      <x:c r="A635" s="24" t="str">
        <x:v>STA-100</x:v>
      </x:c>
      <x:c r="B635" s="24" t="str">
        <x:v>Death and Undeath States</x:v>
      </x:c>
      <x:c r="C635" s="24" t="str">
        <x:v>States &amp; Transformations</x:v>
      </x:c>
      <x:c r="D635" s="24" t="str">
        <x:v>STA-000</x:v>
      </x:c>
      <x:c r="E635" s="24" t="str">
        <x:f>IF(D635="","",IFERROR(VLOOKUP(D635,$A$2:$B$1656,2,FALSE),""))</x:f>
        <x:v>States &amp; Transformations</x:v>
      </x:c>
      <x:c r="F635" s="24" t="n">
        <x:v>2</x:v>
      </x:c>
      <x:c r="G635" s="24" t="str">
        <x:v>Conditions arising from death, interrupted death, postmortem persistence, or necromantic continuation.</x:v>
      </x:c>
      <x:c r="H635" s="24" t="str">
        <x:v>A state is acquired or changeable; do not automatically treat it as a species, culture, or profession.</x:v>
      </x:c>
      <x:c r="I635" s="24" t="str"/>
      <x:c r="J635" s="24" t="str">
        <x:v>Models templates, curses, awakenings, and transformations independently of the base person.</x:v>
      </x:c>
      <x:c r="K635" s="24" t="str">
        <x:v>Death and Undeath States</x:v>
      </x:c>
      <x:c r="L635" s="24" t="str">
        <x:v>Preserve each source's ontology, culture, history, and terminology when making comparisons.</x:v>
      </x:c>
      <x:c r="M635" s="24" t="str">
        <x:v>Category</x:v>
      </x:c>
    </x:row>
    <x:row r="636" ht="44" customHeight="1">
      <x:c r="A636" s="24" t="str">
        <x:v>STA-200</x:v>
      </x:c>
      <x:c r="B636" s="24" t="str">
        <x:v>Bodily Transformation States</x:v>
      </x:c>
      <x:c r="C636" s="24" t="str">
        <x:v>States &amp; Transformations</x:v>
      </x:c>
      <x:c r="D636" s="24" t="str">
        <x:v>STA-000</x:v>
      </x:c>
      <x:c r="E636" s="24" t="str">
        <x:f>IF(D636="","",IFERROR(VLOOKUP(D636,$A$2:$B$1656,2,FALSE),""))</x:f>
        <x:v>States &amp; Transformations</x:v>
      </x:c>
      <x:c r="F636" s="24" t="n">
        <x:v>2</x:v>
      </x:c>
      <x:c r="G636" s="24" t="str">
        <x:v>Changes to species, anatomy, scale, material, health, or biological capability.</x:v>
      </x:c>
      <x:c r="H636" s="24" t="str">
        <x:v>A state is acquired or changeable; do not automatically treat it as a species, culture, or profession.</x:v>
      </x:c>
      <x:c r="I636" s="24" t="str"/>
      <x:c r="J636" s="24" t="str">
        <x:v>Models templates, curses, awakenings, and transformations independently of the base person.</x:v>
      </x:c>
      <x:c r="K636" s="24" t="str">
        <x:v>Bodily Transformation States</x:v>
      </x:c>
      <x:c r="L636" s="24" t="str">
        <x:v>Preserve each source's ontology, culture, history, and terminology when making comparisons.</x:v>
      </x:c>
      <x:c r="M636" s="24" t="str">
        <x:v>Category</x:v>
      </x:c>
    </x:row>
    <x:row r="637" ht="44" customHeight="1">
      <x:c r="A637" s="24" t="str">
        <x:v>STA-300</x:v>
      </x:c>
      <x:c r="B637" s="24" t="str">
        <x:v>Spiritual and Identity States</x:v>
      </x:c>
      <x:c r="C637" s="24" t="str">
        <x:v>States &amp; Transformations</x:v>
      </x:c>
      <x:c r="D637" s="24" t="str">
        <x:v>STA-000</x:v>
      </x:c>
      <x:c r="E637" s="24" t="str">
        <x:f>IF(D637="","",IFERROR(VLOOKUP(D637,$A$2:$B$1656,2,FALSE),""))</x:f>
        <x:v>States &amp; Transformations</x:v>
      </x:c>
      <x:c r="F637" s="24" t="n">
        <x:v>2</x:v>
      </x:c>
      <x:c r="G637" s="24" t="str">
        <x:v>Changes to soul, memory, possession, consciousness, destiny, or continuity of self.</x:v>
      </x:c>
      <x:c r="H637" s="24" t="str">
        <x:v>A state is acquired or changeable; do not automatically treat it as a species, culture, or profession.</x:v>
      </x:c>
      <x:c r="I637" s="24" t="str"/>
      <x:c r="J637" s="24" t="str">
        <x:v>Models templates, curses, awakenings, and transformations independently of the base person.</x:v>
      </x:c>
      <x:c r="K637" s="24" t="str">
        <x:v>Spiritual and Identity States</x:v>
      </x:c>
      <x:c r="L637" s="24" t="str">
        <x:v>Preserve each source's ontology, culture, history, and terminology when making comparisons.</x:v>
      </x:c>
      <x:c r="M637" s="24" t="str">
        <x:v>Category</x:v>
      </x:c>
    </x:row>
    <x:row r="638" ht="44" customHeight="1">
      <x:c r="A638" s="24" t="str">
        <x:v>STA-400</x:v>
      </x:c>
      <x:c r="B638" s="24" t="str">
        <x:v>Empowerment, Bond, and Alignment States</x:v>
      </x:c>
      <x:c r="C638" s="24" t="str">
        <x:v>States &amp; Transformations</x:v>
      </x:c>
      <x:c r="D638" s="24" t="str">
        <x:v>STA-000</x:v>
      </x:c>
      <x:c r="E638" s="24" t="str">
        <x:f>IF(D638="","",IFERROR(VLOOKUP(D638,$A$2:$B$1656,2,FALSE),""))</x:f>
        <x:v>States &amp; Transformations</x:v>
      </x:c>
      <x:c r="F638" s="24" t="n">
        <x:v>2</x:v>
      </x:c>
      <x:c r="G638" s="24" t="str">
        <x:v>Acquired affiliations, awakenings, blessings, pacts, attunements, and power-bearing conditions.</x:v>
      </x:c>
      <x:c r="H638" s="24" t="str">
        <x:v>A state is acquired or changeable; do not automatically treat it as a species, culture, or profession.</x:v>
      </x:c>
      <x:c r="I638" s="24" t="str"/>
      <x:c r="J638" s="24" t="str">
        <x:v>Models templates, curses, awakenings, and transformations independently of the base person.</x:v>
      </x:c>
      <x:c r="K638" s="24" t="str">
        <x:v>Empowerment, Bond, and Alignment States</x:v>
      </x:c>
      <x:c r="L638" s="24" t="str">
        <x:v>Preserve each source's ontology, culture, history, and terminology when making comparisons.</x:v>
      </x:c>
      <x:c r="M638" s="24" t="str">
        <x:v>Category</x:v>
      </x:c>
    </x:row>
    <x:row r="639" ht="44" customHeight="1">
      <x:c r="A639" s="24" t="str">
        <x:v>STA-500</x:v>
      </x:c>
      <x:c r="B639" s="24" t="str">
        <x:v>Displacement and Meta-Narrative States</x:v>
      </x:c>
      <x:c r="C639" s="24" t="str">
        <x:v>States &amp; Transformations</x:v>
      </x:c>
      <x:c r="D639" s="24" t="str">
        <x:v>STA-000</x:v>
      </x:c>
      <x:c r="E639" s="24" t="str">
        <x:f>IF(D639="","",IFERROR(VLOOKUP(D639,$A$2:$B$1656,2,FALSE),""))</x:f>
        <x:v>States &amp; Transformations</x:v>
      </x:c>
      <x:c r="F639" s="24" t="n">
        <x:v>2</x:v>
      </x:c>
      <x:c r="G639" s="24" t="str">
        <x:v>Conditions involving reincarnation, summoning, time travel, systemization, or migration between worlds.</x:v>
      </x:c>
      <x:c r="H639" s="24" t="str">
        <x:v>A state is acquired or changeable; do not automatically treat it as a species, culture, or profession.</x:v>
      </x:c>
      <x:c r="I639" s="24" t="str"/>
      <x:c r="J639" s="24" t="str">
        <x:v>Models templates, curses, awakenings, and transformations independently of the base person.</x:v>
      </x:c>
      <x:c r="K639" s="24" t="str">
        <x:v>Displacement and Meta-Narrative States</x:v>
      </x:c>
      <x:c r="L639" s="24" t="str">
        <x:v>Preserve each source's ontology, culture, history, and terminology when making comparisons.</x:v>
      </x:c>
      <x:c r="M639" s="24" t="str">
        <x:v>Category</x:v>
      </x:c>
    </x:row>
    <x:row r="640" ht="44" customHeight="1">
      <x:c r="A640" s="24" t="str">
        <x:v>STA-101</x:v>
      </x:c>
      <x:c r="B640" s="24" t="str">
        <x:v>Dead</x:v>
      </x:c>
      <x:c r="C640" s="24" t="str">
        <x:v>States &amp; Transformations</x:v>
      </x:c>
      <x:c r="D640" s="24" t="str">
        <x:v>STA-100</x:v>
      </x:c>
      <x:c r="E640" s="24" t="str">
        <x:f>IF(D640="","",IFERROR(VLOOKUP(D640,$A$2:$B$1656,2,FALSE),""))</x:f>
        <x:v>Death and Undeath States</x:v>
      </x:c>
      <x:c r="F640" s="24" t="n">
        <x:v>3</x:v>
      </x:c>
      <x:c r="G640" s="24" t="str">
        <x:v>Biological life has ended and no continuing agency is assumed.</x:v>
      </x:c>
      <x:c r="H640" s="24" t="str">
        <x:v>Record reversibility, agency, transmission, cost, social recognition, and identity continuity.</x:v>
      </x:c>
      <x:c r="I640" s="24" t="str">
        <x:v>death; deceased</x:v>
      </x:c>
      <x:c r="J640" s="24" t="str">
        <x:v>Horror, immortality, grief, persistence, postmortem duty, and life-death cosmology.</x:v>
      </x:c>
      <x:c r="K640" s="24" t="str">
        <x:v>death; deceased</x:v>
      </x:c>
      <x:c r="L640" s="24" t="str">
        <x:v>Preserve each source's ontology, culture, history, and terminology when making comparisons.</x:v>
      </x:c>
      <x:c r="M640" s="24" t="str">
        <x:v>Core Family</x:v>
      </x:c>
    </x:row>
    <x:row r="641" ht="44" customHeight="1">
      <x:c r="A641" s="24" t="str">
        <x:v>STA-102</x:v>
      </x:c>
      <x:c r="B641" s="24" t="str">
        <x:v>Ghosthood</x:v>
      </x:c>
      <x:c r="C641" s="24" t="str">
        <x:v>States &amp; Transformations</x:v>
      </x:c>
      <x:c r="D641" s="24" t="str">
        <x:v>STA-100</x:v>
      </x:c>
      <x:c r="E641" s="24" t="str">
        <x:f>IF(D641="","",IFERROR(VLOOKUP(D641,$A$2:$B$1656,2,FALSE),""))</x:f>
        <x:v>Death and Undeath States</x:v>
      </x:c>
      <x:c r="F641" s="24" t="n">
        <x:v>3</x:v>
      </x:c>
      <x:c r="G641" s="24" t="str">
        <x:v>The deceased persists as a disembodied spirit retaining some identity or attachment.</x:v>
      </x:c>
      <x:c r="H641" s="24" t="str">
        <x:v>Record reversibility, agency, transmission, cost, social recognition, and identity continuity.</x:v>
      </x:c>
      <x:c r="I641" s="24" t="str">
        <x:v>ghost; shade; spirit</x:v>
      </x:c>
      <x:c r="J641" s="24" t="str">
        <x:v>Horror, immortality, grief, persistence, postmortem duty, and life-death cosmology.</x:v>
      </x:c>
      <x:c r="K641" s="24" t="str">
        <x:v>ghost; shade; spirit</x:v>
      </x:c>
      <x:c r="L641" s="24" t="str">
        <x:v>Preserve each source's ontology, culture, history, and terminology when making comparisons.</x:v>
      </x:c>
      <x:c r="M641" s="24" t="str">
        <x:v>Core Family</x:v>
      </x:c>
    </x:row>
    <x:row r="642" ht="44" customHeight="1">
      <x:c r="A642" s="24" t="str">
        <x:v>STA-103</x:v>
      </x:c>
      <x:c r="B642" s="24" t="str">
        <x:v>Revenant Return</x:v>
      </x:c>
      <x:c r="C642" s="24" t="str">
        <x:v>States &amp; Transformations</x:v>
      </x:c>
      <x:c r="D642" s="24" t="str">
        <x:v>STA-100</x:v>
      </x:c>
      <x:c r="E642" s="24" t="str">
        <x:f>IF(D642="","",IFERROR(VLOOKUP(D642,$A$2:$B$1656,2,FALSE),""))</x:f>
        <x:v>Death and Undeath States</x:v>
      </x:c>
      <x:c r="F642" s="24" t="n">
        <x:v>3</x:v>
      </x:c>
      <x:c r="G642" s="24" t="str">
        <x:v>A dead person returns bodily or spiritually to complete a specific purpose.</x:v>
      </x:c>
      <x:c r="H642" s="24" t="str">
        <x:v>Record reversibility, agency, transmission, cost, social recognition, and identity continuity.</x:v>
      </x:c>
      <x:c r="I642" s="24" t="str">
        <x:v>revenant; returned dead</x:v>
      </x:c>
      <x:c r="J642" s="24" t="str">
        <x:v>Horror, immortality, grief, persistence, postmortem duty, and life-death cosmology.</x:v>
      </x:c>
      <x:c r="K642" s="24" t="str">
        <x:v>revenant; returned dead</x:v>
      </x:c>
      <x:c r="L642" s="24" t="str">
        <x:v>Preserve each source's ontology, culture, history, and terminology when making comparisons.</x:v>
      </x:c>
      <x:c r="M642" s="24" t="str">
        <x:v>Core Family</x:v>
      </x:c>
    </x:row>
    <x:row r="643" ht="44" customHeight="1">
      <x:c r="A643" s="24" t="str">
        <x:v>STA-104</x:v>
      </x:c>
      <x:c r="B643" s="24" t="str">
        <x:v>Zombification</x:v>
      </x:c>
      <x:c r="C643" s="24" t="str">
        <x:v>States &amp; Transformations</x:v>
      </x:c>
      <x:c r="D643" s="24" t="str">
        <x:v>STA-100</x:v>
      </x:c>
      <x:c r="E643" s="24" t="str">
        <x:f>IF(D643="","",IFERROR(VLOOKUP(D643,$A$2:$B$1656,2,FALSE),""))</x:f>
        <x:v>Death and Undeath States</x:v>
      </x:c>
      <x:c r="F643" s="24" t="n">
        <x:v>3</x:v>
      </x:c>
      <x:c r="G643" s="24" t="str">
        <x:v>A corpse or living person becomes a decayed, controlled, infected, or hunger-driven undead body.</x:v>
      </x:c>
      <x:c r="H643" s="24" t="str">
        <x:v>Record reversibility, agency, transmission, cost, social recognition, and identity continuity.</x:v>
      </x:c>
      <x:c r="I643" s="24" t="str">
        <x:v>zombie; walking dead; infection</x:v>
      </x:c>
      <x:c r="J643" s="24" t="str">
        <x:v>Horror, immortality, grief, persistence, postmortem duty, and life-death cosmology.</x:v>
      </x:c>
      <x:c r="K643" s="24" t="str">
        <x:v>zombie; walking dead; infection</x:v>
      </x:c>
      <x:c r="L643" s="24" t="str">
        <x:v>Preserve each source's ontology, culture, history, and terminology when making comparisons.</x:v>
      </x:c>
      <x:c r="M643" s="24" t="str">
        <x:v>Core Family</x:v>
      </x:c>
    </x:row>
    <x:row r="644" ht="44" customHeight="1">
      <x:c r="A644" s="24" t="str">
        <x:v>STA-105</x:v>
      </x:c>
      <x:c r="B644" s="24" t="str">
        <x:v>Skeletal Animation</x:v>
      </x:c>
      <x:c r="C644" s="24" t="str">
        <x:v>States &amp; Transformations</x:v>
      </x:c>
      <x:c r="D644" s="24" t="str">
        <x:v>STA-100</x:v>
      </x:c>
      <x:c r="E644" s="24" t="str">
        <x:f>IF(D644="","",IFERROR(VLOOKUP(D644,$A$2:$B$1656,2,FALSE),""))</x:f>
        <x:v>Death and Undeath States</x:v>
      </x:c>
      <x:c r="F644" s="24" t="n">
        <x:v>3</x:v>
      </x:c>
      <x:c r="G644" s="24" t="str">
        <x:v>Bones are animated as a servant, soldier, or autonomous undead form.</x:v>
      </x:c>
      <x:c r="H644" s="24" t="str">
        <x:v>Record reversibility, agency, transmission, cost, social recognition, and identity continuity.</x:v>
      </x:c>
      <x:c r="I644" s="24" t="str">
        <x:v>skeleton; bone animation</x:v>
      </x:c>
      <x:c r="J644" s="24" t="str">
        <x:v>Horror, immortality, grief, persistence, postmortem duty, and life-death cosmology.</x:v>
      </x:c>
      <x:c r="K644" s="24" t="str">
        <x:v>skeleton; bone animation</x:v>
      </x:c>
      <x:c r="L644" s="24" t="str">
        <x:v>Preserve each source's ontology, culture, history, and terminology when making comparisons.</x:v>
      </x:c>
      <x:c r="M644" s="24" t="str">
        <x:v>Core Family</x:v>
      </x:c>
    </x:row>
    <x:row r="645" ht="44" customHeight="1">
      <x:c r="A645" s="24" t="str">
        <x:v>STA-106</x:v>
      </x:c>
      <x:c r="B645" s="24" t="str">
        <x:v>Vampirism</x:v>
      </x:c>
      <x:c r="C645" s="24" t="str">
        <x:v>States &amp; Transformations</x:v>
      </x:c>
      <x:c r="D645" s="24" t="str">
        <x:v>STA-100</x:v>
      </x:c>
      <x:c r="E645" s="24" t="str">
        <x:f>IF(D645="","",IFERROR(VLOOKUP(D645,$A$2:$B$1656,2,FALSE),""))</x:f>
        <x:v>Death and Undeath States</x:v>
      </x:c>
      <x:c r="F645" s="24" t="n">
        <x:v>3</x:v>
      </x:c>
      <x:c r="G645" s="24" t="str">
        <x:v>A person becomes a blood-, life-, emotion-, or soul-feeding immortal or undead being.</x:v>
      </x:c>
      <x:c r="H645" s="24" t="str">
        <x:v>Record reversibility, agency, transmission, cost, social recognition, and identity continuity.</x:v>
      </x:c>
      <x:c r="I645" s="24" t="str">
        <x:v>vampire; blood curse</x:v>
      </x:c>
      <x:c r="J645" s="24" t="str">
        <x:v>Horror, immortality, grief, persistence, postmortem duty, and life-death cosmology.</x:v>
      </x:c>
      <x:c r="K645" s="24" t="str">
        <x:v>vampire; blood curse</x:v>
      </x:c>
      <x:c r="L645" s="24" t="str">
        <x:v>Preserve each source's ontology, culture, history, and terminology when making comparisons.</x:v>
      </x:c>
      <x:c r="M645" s="24" t="str">
        <x:v>Core Family</x:v>
      </x:c>
    </x:row>
    <x:row r="646" ht="44" customHeight="1">
      <x:c r="A646" s="24" t="str">
        <x:v>STA-107</x:v>
      </x:c>
      <x:c r="B646" s="24" t="str">
        <x:v>Lichdom</x:v>
      </x:c>
      <x:c r="C646" s="24" t="str">
        <x:v>States &amp; Transformations</x:v>
      </x:c>
      <x:c r="D646" s="24" t="str">
        <x:v>STA-100</x:v>
      </x:c>
      <x:c r="E646" s="24" t="str">
        <x:f>IF(D646="","",IFERROR(VLOOKUP(D646,$A$2:$B$1656,2,FALSE),""))</x:f>
        <x:v>Death and Undeath States</x:v>
      </x:c>
      <x:c r="F646" s="24" t="n">
        <x:v>3</x:v>
      </x:c>
      <x:c r="G646" s="24" t="str">
        <x:v>A person deliberately converts into an undead, soul-anchored form to preserve intellect and power.</x:v>
      </x:c>
      <x:c r="H646" s="24" t="str">
        <x:v>Record reversibility, agency, transmission, cost, social recognition, and identity continuity.</x:v>
      </x:c>
      <x:c r="I646" s="24" t="str">
        <x:v>lich; soul vessel</x:v>
      </x:c>
      <x:c r="J646" s="24" t="str">
        <x:v>Horror, immortality, grief, persistence, postmortem duty, and life-death cosmology.</x:v>
      </x:c>
      <x:c r="K646" s="24" t="str">
        <x:v>lich; soul vessel</x:v>
      </x:c>
      <x:c r="L646" s="24" t="str">
        <x:v>Preserve each source's ontology, culture, history, and terminology when making comparisons.</x:v>
      </x:c>
      <x:c r="M646" s="24" t="str">
        <x:v>Core Family</x:v>
      </x:c>
    </x:row>
    <x:row r="647" ht="44" customHeight="1">
      <x:c r="A647" s="24" t="str">
        <x:v>STA-108</x:v>
      </x:c>
      <x:c r="B647" s="24" t="str">
        <x:v>Wight or Wraith Transformation</x:v>
      </x:c>
      <x:c r="C647" s="24" t="str">
        <x:v>States &amp; Transformations</x:v>
      </x:c>
      <x:c r="D647" s="24" t="str">
        <x:v>STA-100</x:v>
      </x:c>
      <x:c r="E647" s="24" t="str">
        <x:f>IF(D647="","",IFERROR(VLOOKUP(D647,$A$2:$B$1656,2,FALSE),""))</x:f>
        <x:v>Death and Undeath States</x:v>
      </x:c>
      <x:c r="F647" s="24" t="n">
        <x:v>3</x:v>
      </x:c>
      <x:c r="G647" s="24" t="str">
        <x:v>A person becomes a powerful spectral or preserved undead associated with draining, curse, or barrow power.</x:v>
      </x:c>
      <x:c r="H647" s="24" t="str">
        <x:v>Record reversibility, agency, transmission, cost, social recognition, and identity continuity.</x:v>
      </x:c>
      <x:c r="I647" s="24" t="str">
        <x:v>wight; wraith; shade</x:v>
      </x:c>
      <x:c r="J647" s="24" t="str">
        <x:v>Horror, immortality, grief, persistence, postmortem duty, and life-death cosmology.</x:v>
      </x:c>
      <x:c r="K647" s="24" t="str">
        <x:v>wight; wraith; shade</x:v>
      </x:c>
      <x:c r="L647" s="24" t="str">
        <x:v>Preserve each source's ontology, culture, history, and terminology when making comparisons.</x:v>
      </x:c>
      <x:c r="M647" s="24" t="str">
        <x:v>Core Family</x:v>
      </x:c>
    </x:row>
    <x:row r="648" ht="44" customHeight="1">
      <x:c r="A648" s="24" t="str">
        <x:v>STA-109</x:v>
      </x:c>
      <x:c r="B648" s="24" t="str">
        <x:v>Mummification and Tomb Binding</x:v>
      </x:c>
      <x:c r="C648" s="24" t="str">
        <x:v>States &amp; Transformations</x:v>
      </x:c>
      <x:c r="D648" s="24" t="str">
        <x:v>STA-100</x:v>
      </x:c>
      <x:c r="E648" s="24" t="str">
        <x:f>IF(D648="","",IFERROR(VLOOKUP(D648,$A$2:$B$1656,2,FALSE),""))</x:f>
        <x:v>Death and Undeath States</x:v>
      </x:c>
      <x:c r="F648" s="24" t="n">
        <x:v>3</x:v>
      </x:c>
      <x:c r="G648" s="24" t="str">
        <x:v>A preserved dead body is animated or bound to royal, funerary, or territorial duties.</x:v>
      </x:c>
      <x:c r="H648" s="24" t="str">
        <x:v>Record reversibility, agency, transmission, cost, social recognition, and identity continuity.</x:v>
      </x:c>
      <x:c r="I648" s="24" t="str">
        <x:v>mummy; tomb guardian</x:v>
      </x:c>
      <x:c r="J648" s="24" t="str">
        <x:v>Horror, immortality, grief, persistence, postmortem duty, and life-death cosmology.</x:v>
      </x:c>
      <x:c r="K648" s="24" t="str">
        <x:v>mummy; tomb guardian</x:v>
      </x:c>
      <x:c r="L648" s="24" t="str">
        <x:v>Preserve each source's ontology, culture, history, and terminology when making comparisons.</x:v>
      </x:c>
      <x:c r="M648" s="24" t="str">
        <x:v>Core Family</x:v>
      </x:c>
    </x:row>
    <x:row r="649" ht="44" customHeight="1">
      <x:c r="A649" s="24" t="str">
        <x:v>STA-110</x:v>
      </x:c>
      <x:c r="B649" s="24" t="str">
        <x:v>Death-Knight Transformation</x:v>
      </x:c>
      <x:c r="C649" s="24" t="str">
        <x:v>States &amp; Transformations</x:v>
      </x:c>
      <x:c r="D649" s="24" t="str">
        <x:v>STA-100</x:v>
      </x:c>
      <x:c r="E649" s="24" t="str">
        <x:f>IF(D649="","",IFERROR(VLOOKUP(D649,$A$2:$B$1656,2,FALSE),""))</x:f>
        <x:v>Death and Undeath States</x:v>
      </x:c>
      <x:c r="F649" s="24" t="n">
        <x:v>3</x:v>
      </x:c>
      <x:c r="G649" s="24" t="str">
        <x:v>A martial figure becomes undead or death-bound while retaining skill, armor, and command.</x:v>
      </x:c>
      <x:c r="H649" s="24" t="str">
        <x:v>Record reversibility, agency, transmission, cost, social recognition, and identity continuity.</x:v>
      </x:c>
      <x:c r="I649" s="24" t="str">
        <x:v>death knight; grave knight</x:v>
      </x:c>
      <x:c r="J649" s="24" t="str">
        <x:v>Horror, immortality, grief, persistence, postmortem duty, and life-death cosmology.</x:v>
      </x:c>
      <x:c r="K649" s="24" t="str">
        <x:v>death knight; grave knight</x:v>
      </x:c>
      <x:c r="L649" s="24" t="str">
        <x:v>Preserve each source's ontology, culture, history, and terminology when making comparisons.</x:v>
      </x:c>
      <x:c r="M649" s="24" t="str">
        <x:v>Core Family</x:v>
      </x:c>
    </x:row>
    <x:row r="650" ht="44" customHeight="1">
      <x:c r="A650" s="24" t="str">
        <x:v>STA-111</x:v>
      </x:c>
      <x:c r="B650" s="24" t="str">
        <x:v>Soul Trapping</x:v>
      </x:c>
      <x:c r="C650" s="24" t="str">
        <x:v>States &amp; Transformations</x:v>
      </x:c>
      <x:c r="D650" s="24" t="str">
        <x:v>STA-100</x:v>
      </x:c>
      <x:c r="E650" s="24" t="str">
        <x:f>IF(D650="","",IFERROR(VLOOKUP(D650,$A$2:$B$1656,2,FALSE),""))</x:f>
        <x:v>Death and Undeath States</x:v>
      </x:c>
      <x:c r="F650" s="24" t="n">
        <x:v>3</x:v>
      </x:c>
      <x:c r="G650" s="24" t="str">
        <x:v>A soul is confined in an object, body, location, spell, or captor rather than passing on.</x:v>
      </x:c>
      <x:c r="H650" s="24" t="str">
        <x:v>Record reversibility, agency, transmission, cost, social recognition, and identity continuity.</x:v>
      </x:c>
      <x:c r="I650" s="24" t="str">
        <x:v>soul trap; spirit prison</x:v>
      </x:c>
      <x:c r="J650" s="24" t="str">
        <x:v>Horror, immortality, grief, persistence, postmortem duty, and life-death cosmology.</x:v>
      </x:c>
      <x:c r="K650" s="24" t="str">
        <x:v>soul trap; spirit prison</x:v>
      </x:c>
      <x:c r="L650" s="24" t="str">
        <x:v>Preserve each source's ontology, culture, history, and terminology when making comparisons.</x:v>
      </x:c>
      <x:c r="M650" s="24" t="str">
        <x:v>Core Family</x:v>
      </x:c>
    </x:row>
    <x:row r="651" ht="44" customHeight="1">
      <x:c r="A651" s="24" t="str">
        <x:v>STA-112</x:v>
      </x:c>
      <x:c r="B651" s="24" t="str">
        <x:v>Soul Fragmentation</x:v>
      </x:c>
      <x:c r="C651" s="24" t="str">
        <x:v>States &amp; Transformations</x:v>
      </x:c>
      <x:c r="D651" s="24" t="str">
        <x:v>STA-100</x:v>
      </x:c>
      <x:c r="E651" s="24" t="str">
        <x:f>IF(D651="","",IFERROR(VLOOKUP(D651,$A$2:$B$1656,2,FALSE),""))</x:f>
        <x:v>Death and Undeath States</x:v>
      </x:c>
      <x:c r="F651" s="24" t="n">
        <x:v>3</x:v>
      </x:c>
      <x:c r="G651" s="24" t="str">
        <x:v>A person's soul or identity is divided into pieces, vessels, copies, or incomplete aspects.</x:v>
      </x:c>
      <x:c r="H651" s="24" t="str">
        <x:v>Record reversibility, agency, transmission, cost, social recognition, and identity continuity.</x:v>
      </x:c>
      <x:c r="I651" s="24" t="str">
        <x:v>soul split; horcrux-like division; fragment</x:v>
      </x:c>
      <x:c r="J651" s="24" t="str">
        <x:v>Horror, immortality, grief, persistence, postmortem duty, and life-death cosmology.</x:v>
      </x:c>
      <x:c r="K651" s="24" t="str">
        <x:v>soul split; horcrux-like division; fragment</x:v>
      </x:c>
      <x:c r="L651" s="24" t="str">
        <x:v>Preserve each source's ontology, culture, history, and terminology when making comparisons.</x:v>
      </x:c>
      <x:c r="M651" s="24" t="str">
        <x:v>Core Family</x:v>
      </x:c>
    </x:row>
    <x:row r="652" ht="44" customHeight="1">
      <x:c r="A652" s="24" t="str">
        <x:v>STA-113</x:v>
      </x:c>
      <x:c r="B652" s="24" t="str">
        <x:v>Resurrection</x:v>
      </x:c>
      <x:c r="C652" s="24" t="str">
        <x:v>States &amp; Transformations</x:v>
      </x:c>
      <x:c r="D652" s="24" t="str">
        <x:v>STA-100</x:v>
      </x:c>
      <x:c r="E652" s="24" t="str">
        <x:f>IF(D652="","",IFERROR(VLOOKUP(D652,$A$2:$B$1656,2,FALSE),""))</x:f>
        <x:v>Death and Undeath States</x:v>
      </x:c>
      <x:c r="F652" s="24" t="n">
        <x:v>3</x:v>
      </x:c>
      <x:c r="G652" s="24" t="str">
        <x:v>A dead person is restored to life with some degree of bodily and identity continuity.</x:v>
      </x:c>
      <x:c r="H652" s="24" t="str">
        <x:v>Record reversibility, agency, transmission, cost, social recognition, and identity continuity.</x:v>
      </x:c>
      <x:c r="I652" s="24" t="str">
        <x:v>resurrection; revival</x:v>
      </x:c>
      <x:c r="J652" s="24" t="str">
        <x:v>Horror, immortality, grief, persistence, postmortem duty, and life-death cosmology.</x:v>
      </x:c>
      <x:c r="K652" s="24" t="str">
        <x:v>resurrection; revival</x:v>
      </x:c>
      <x:c r="L652" s="24" t="str">
        <x:v>Preserve each source's ontology, culture, history, and terminology when making comparisons.</x:v>
      </x:c>
      <x:c r="M652" s="24" t="str">
        <x:v>Core Family</x:v>
      </x:c>
    </x:row>
    <x:row r="653" ht="44" customHeight="1">
      <x:c r="A653" s="24" t="str">
        <x:v>STA-114</x:v>
      </x:c>
      <x:c r="B653" s="24" t="str">
        <x:v>Imperfect Resurrection</x:v>
      </x:c>
      <x:c r="C653" s="24" t="str">
        <x:v>States &amp; Transformations</x:v>
      </x:c>
      <x:c r="D653" s="24" t="str">
        <x:v>STA-100</x:v>
      </x:c>
      <x:c r="E653" s="24" t="str">
        <x:f>IF(D653="","",IFERROR(VLOOKUP(D653,$A$2:$B$1656,2,FALSE),""))</x:f>
        <x:v>Death and Undeath States</x:v>
      </x:c>
      <x:c r="F653" s="24" t="n">
        <x:v>3</x:v>
      </x:c>
      <x:c r="G653" s="24" t="str">
        <x:v>Return from death introduces missing memories, altered personality, corruption, decay, or a wrong soul.</x:v>
      </x:c>
      <x:c r="H653" s="24" t="str">
        <x:v>Record reversibility, agency, transmission, cost, social recognition, and identity continuity.</x:v>
      </x:c>
      <x:c r="I653" s="24" t="str">
        <x:v>flawed revival; wrong return</x:v>
      </x:c>
      <x:c r="J653" s="24" t="str">
        <x:v>Horror, immortality, grief, persistence, postmortem duty, and life-death cosmology.</x:v>
      </x:c>
      <x:c r="K653" s="24" t="str">
        <x:v>flawed revival; wrong return</x:v>
      </x:c>
      <x:c r="L653" s="24" t="str">
        <x:v>Preserve each source's ontology, culture, history, and terminology when making comparisons.</x:v>
      </x:c>
      <x:c r="M653" s="24" t="str">
        <x:v>Core Family</x:v>
      </x:c>
    </x:row>
    <x:row r="654" ht="44" customHeight="1">
      <x:c r="A654" s="24" t="str">
        <x:v>STA-115</x:v>
      </x:c>
      <x:c r="B654" s="24" t="str">
        <x:v>Undead Servitude</x:v>
      </x:c>
      <x:c r="C654" s="24" t="str">
        <x:v>States &amp; Transformations</x:v>
      </x:c>
      <x:c r="D654" s="24" t="str">
        <x:v>STA-100</x:v>
      </x:c>
      <x:c r="E654" s="24" t="str">
        <x:f>IF(D654="","",IFERROR(VLOOKUP(D654,$A$2:$B$1656,2,FALSE),""))</x:f>
        <x:v>Death and Undeath States</x:v>
      </x:c>
      <x:c r="F654" s="24" t="n">
        <x:v>3</x:v>
      </x:c>
      <x:c r="G654" s="24" t="str">
        <x:v>An undead being's agency is constrained by a creator, necromancer, oath, object, or command structure.</x:v>
      </x:c>
      <x:c r="H654" s="24" t="str">
        <x:v>Record reversibility, agency, transmission, cost, social recognition, and identity continuity.</x:v>
      </x:c>
      <x:c r="I654" s="24" t="str">
        <x:v>controlled undead; thrall</x:v>
      </x:c>
      <x:c r="J654" s="24" t="str">
        <x:v>Horror, immortality, grief, persistence, postmortem duty, and life-death cosmology.</x:v>
      </x:c>
      <x:c r="K654" s="24" t="str">
        <x:v>controlled undead; thrall</x:v>
      </x:c>
      <x:c r="L654" s="24" t="str">
        <x:v>Preserve each source's ontology, culture, history, and terminology when making comparisons.</x:v>
      </x:c>
      <x:c r="M654" s="24" t="str">
        <x:v>Core Family</x:v>
      </x:c>
    </x:row>
    <x:row r="655" ht="44" customHeight="1">
      <x:c r="A655" s="24" t="str">
        <x:v>STA-116</x:v>
      </x:c>
      <x:c r="B655" s="24" t="str">
        <x:v>Deathlessness</x:v>
      </x:c>
      <x:c r="C655" s="24" t="str">
        <x:v>States &amp; Transformations</x:v>
      </x:c>
      <x:c r="D655" s="24" t="str">
        <x:v>STA-100</x:v>
      </x:c>
      <x:c r="E655" s="24" t="str">
        <x:f>IF(D655="","",IFERROR(VLOOKUP(D655,$A$2:$B$1656,2,FALSE),""))</x:f>
        <x:v>Death and Undeath States</x:v>
      </x:c>
      <x:c r="F655" s="24" t="n">
        <x:v>3</x:v>
      </x:c>
      <x:c r="G655" s="24" t="str">
        <x:v>A person persists beyond death through sacred or metaphysical means without fitting conventional undeath.</x:v>
      </x:c>
      <x:c r="H655" s="24" t="str">
        <x:v>Record reversibility, agency, transmission, cost, social recognition, and identity continuity.</x:v>
      </x:c>
      <x:c r="I655" s="24" t="str">
        <x:v>deathless; blessed immortal; ancestral guardian</x:v>
      </x:c>
      <x:c r="J655" s="24" t="str">
        <x:v>Horror, immortality, grief, persistence, postmortem duty, and life-death cosmology.</x:v>
      </x:c>
      <x:c r="K655" s="24" t="str">
        <x:v>deathless; blessed immortal; ancestral guardian</x:v>
      </x:c>
      <x:c r="L655" s="24" t="str">
        <x:v>Preserve each source's ontology, culture, history, and terminology when making comparisons.</x:v>
      </x:c>
      <x:c r="M655" s="24" t="str">
        <x:v>Core Family</x:v>
      </x:c>
    </x:row>
    <x:row r="656" ht="44" customHeight="1">
      <x:c r="A656" s="24" t="str">
        <x:v>STA-201</x:v>
      </x:c>
      <x:c r="B656" s="24" t="str">
        <x:v>Lycanthropy and Therianthropic Curse</x:v>
      </x:c>
      <x:c r="C656" s="24" t="str">
        <x:v>States &amp; Transformations</x:v>
      </x:c>
      <x:c r="D656" s="24" t="str">
        <x:v>STA-200</x:v>
      </x:c>
      <x:c r="E656" s="24" t="str">
        <x:f>IF(D656="","",IFERROR(VLOOKUP(D656,$A$2:$B$1656,2,FALSE),""))</x:f>
        <x:v>Bodily Transformation States</x:v>
      </x:c>
      <x:c r="F656" s="24" t="n">
        <x:v>3</x:v>
      </x:c>
      <x:c r="G656" s="24" t="str">
        <x:v>A person transforms into an animal or hybrid form through curse, infection, inheritance, ritual, or lunar cycle.</x:v>
      </x:c>
      <x:c r="H656" s="24" t="str">
        <x:v>Record reversibility, agency, transmission, cost, social recognition, and identity continuity.</x:v>
      </x:c>
      <x:c r="I656" s="24" t="str">
        <x:v>lycanthropy; werewolf curse; therianthropy</x:v>
      </x:c>
      <x:c r="J656" s="24" t="str">
        <x:v>Transformation, horror, empowerment, identity, embodiment, and combat-mode change.</x:v>
      </x:c>
      <x:c r="K656" s="24" t="str">
        <x:v>lycanthropy; werewolf curse; therianthropy</x:v>
      </x:c>
      <x:c r="L656" s="24" t="str">
        <x:v>Preserve each source's ontology, culture, history, and terminology when making comparisons.</x:v>
      </x:c>
      <x:c r="M656" s="24" t="str">
        <x:v>Core Family</x:v>
      </x:c>
    </x:row>
    <x:row r="657" ht="44" customHeight="1">
      <x:c r="A657" s="24" t="str">
        <x:v>STA-202</x:v>
      </x:c>
      <x:c r="B657" s="24" t="str">
        <x:v>Voluntary Shapeshifting</x:v>
      </x:c>
      <x:c r="C657" s="24" t="str">
        <x:v>States &amp; Transformations</x:v>
      </x:c>
      <x:c r="D657" s="24" t="str">
        <x:v>STA-200</x:v>
      </x:c>
      <x:c r="E657" s="24" t="str">
        <x:f>IF(D657="","",IFERROR(VLOOKUP(D657,$A$2:$B$1656,2,FALSE),""))</x:f>
        <x:v>Bodily Transformation States</x:v>
      </x:c>
      <x:c r="F657" s="24" t="n">
        <x:v>3</x:v>
      </x:c>
      <x:c r="G657" s="24" t="str">
        <x:v>A person consciously changes form as an ability rather than an involuntary affliction.</x:v>
      </x:c>
      <x:c r="H657" s="24" t="str">
        <x:v>Record reversibility, agency, transmission, cost, social recognition, and identity continuity.</x:v>
      </x:c>
      <x:c r="I657" s="24" t="str">
        <x:v>shapeshift; wildshape; transformation</x:v>
      </x:c>
      <x:c r="J657" s="24" t="str">
        <x:v>Transformation, horror, empowerment, identity, embodiment, and combat-mode change.</x:v>
      </x:c>
      <x:c r="K657" s="24" t="str">
        <x:v>shapeshift; wildshape; transformation</x:v>
      </x:c>
      <x:c r="L657" s="24" t="str">
        <x:v>Preserve each source's ontology, culture, history, and terminology when making comparisons.</x:v>
      </x:c>
      <x:c r="M657" s="24" t="str">
        <x:v>Core Family</x:v>
      </x:c>
    </x:row>
    <x:row r="658" ht="44" customHeight="1">
      <x:c r="A658" s="24" t="str">
        <x:v>STA-203</x:v>
      </x:c>
      <x:c r="B658" s="24" t="str">
        <x:v>Polymorph Enchantment</x:v>
      </x:c>
      <x:c r="C658" s="24" t="str">
        <x:v>States &amp; Transformations</x:v>
      </x:c>
      <x:c r="D658" s="24" t="str">
        <x:v>STA-200</x:v>
      </x:c>
      <x:c r="E658" s="24" t="str">
        <x:f>IF(D658="","",IFERROR(VLOOKUP(D658,$A$2:$B$1656,2,FALSE),""))</x:f>
        <x:v>Bodily Transformation States</x:v>
      </x:c>
      <x:c r="F658" s="24" t="n">
        <x:v>3</x:v>
      </x:c>
      <x:c r="G658" s="24" t="str">
        <x:v>External magic changes a being into another form, temporarily or permanently.</x:v>
      </x:c>
      <x:c r="H658" s="24" t="str">
        <x:v>Record reversibility, agency, transmission, cost, social recognition, and identity continuity.</x:v>
      </x:c>
      <x:c r="I658" s="24" t="str">
        <x:v>polymorph; transfiguration; transformation spell</x:v>
      </x:c>
      <x:c r="J658" s="24" t="str">
        <x:v>Transformation, horror, empowerment, identity, embodiment, and combat-mode change.</x:v>
      </x:c>
      <x:c r="K658" s="24" t="str">
        <x:v>polymorph; transfiguration; transformation spell</x:v>
      </x:c>
      <x:c r="L658" s="24" t="str">
        <x:v>Preserve each source's ontology, culture, history, and terminology when making comparisons.</x:v>
      </x:c>
      <x:c r="M658" s="24" t="str">
        <x:v>Core Family</x:v>
      </x:c>
    </x:row>
    <x:row r="659" ht="44" customHeight="1">
      <x:c r="A659" s="24" t="str">
        <x:v>STA-204</x:v>
      </x:c>
      <x:c r="B659" s="24" t="str">
        <x:v>Petrification</x:v>
      </x:c>
      <x:c r="C659" s="24" t="str">
        <x:v>States &amp; Transformations</x:v>
      </x:c>
      <x:c r="D659" s="24" t="str">
        <x:v>STA-200</x:v>
      </x:c>
      <x:c r="E659" s="24" t="str">
        <x:f>IF(D659="","",IFERROR(VLOOKUP(D659,$A$2:$B$1656,2,FALSE),""))</x:f>
        <x:v>Bodily Transformation States</x:v>
      </x:c>
      <x:c r="F659" s="24" t="n">
        <x:v>3</x:v>
      </x:c>
      <x:c r="G659" s="24" t="str">
        <x:v>A body is converted into stone, crystal, salt, metal, or another immobile material.</x:v>
      </x:c>
      <x:c r="H659" s="24" t="str">
        <x:v>Record reversibility, agency, transmission, cost, social recognition, and identity continuity.</x:v>
      </x:c>
      <x:c r="I659" s="24" t="str">
        <x:v>petrified; turned to stone</x:v>
      </x:c>
      <x:c r="J659" s="24" t="str">
        <x:v>Transformation, horror, empowerment, identity, embodiment, and combat-mode change.</x:v>
      </x:c>
      <x:c r="K659" s="24" t="str">
        <x:v>petrified; turned to stone</x:v>
      </x:c>
      <x:c r="L659" s="24" t="str">
        <x:v>Preserve each source's ontology, culture, history, and terminology when making comparisons.</x:v>
      </x:c>
      <x:c r="M659" s="24" t="str">
        <x:v>Core Family</x:v>
      </x:c>
    </x:row>
    <x:row r="660" ht="44" customHeight="1">
      <x:c r="A660" s="24" t="str">
        <x:v>STA-205</x:v>
      </x:c>
      <x:c r="B660" s="24" t="str">
        <x:v>Miniaturization or Gigantification</x:v>
      </x:c>
      <x:c r="C660" s="24" t="str">
        <x:v>States &amp; Transformations</x:v>
      </x:c>
      <x:c r="D660" s="24" t="str">
        <x:v>STA-200</x:v>
      </x:c>
      <x:c r="E660" s="24" t="str">
        <x:f>IF(D660="","",IFERROR(VLOOKUP(D660,$A$2:$B$1656,2,FALSE),""))</x:f>
        <x:v>Bodily Transformation States</x:v>
      </x:c>
      <x:c r="F660" s="24" t="n">
        <x:v>3</x:v>
      </x:c>
      <x:c r="G660" s="24" t="str">
        <x:v>A being's scale is altered significantly without changing identity.</x:v>
      </x:c>
      <x:c r="H660" s="24" t="str">
        <x:v>Record reversibility, agency, transmission, cost, social recognition, and identity continuity.</x:v>
      </x:c>
      <x:c r="I660" s="24" t="str">
        <x:v>shrink; enlarge; giant form</x:v>
      </x:c>
      <x:c r="J660" s="24" t="str">
        <x:v>Transformation, horror, empowerment, identity, embodiment, and combat-mode change.</x:v>
      </x:c>
      <x:c r="K660" s="24" t="str">
        <x:v>shrink; enlarge; giant form</x:v>
      </x:c>
      <x:c r="L660" s="24" t="str">
        <x:v>Preserve each source's ontology, culture, history, and terminology when making comparisons.</x:v>
      </x:c>
      <x:c r="M660" s="24" t="str">
        <x:v>Core Family</x:v>
      </x:c>
    </x:row>
    <x:row r="661" ht="44" customHeight="1">
      <x:c r="A661" s="24" t="str">
        <x:v>STA-206</x:v>
      </x:c>
      <x:c r="B661" s="24" t="str">
        <x:v>Alchemical Enhancement</x:v>
      </x:c>
      <x:c r="C661" s="24" t="str">
        <x:v>States &amp; Transformations</x:v>
      </x:c>
      <x:c r="D661" s="24" t="str">
        <x:v>STA-200</x:v>
      </x:c>
      <x:c r="E661" s="24" t="str">
        <x:f>IF(D661="","",IFERROR(VLOOKUP(D661,$A$2:$B$1656,2,FALSE),""))</x:f>
        <x:v>Bodily Transformation States</x:v>
      </x:c>
      <x:c r="F661" s="24" t="n">
        <x:v>3</x:v>
      </x:c>
      <x:c r="G661" s="24" t="str">
        <x:v>A body is deliberately altered by potions, mutagens, trials, or alchemical procedures.</x:v>
      </x:c>
      <x:c r="H661" s="24" t="str">
        <x:v>Record reversibility, agency, transmission, cost, social recognition, and identity continuity.</x:v>
      </x:c>
      <x:c r="I661" s="24" t="str">
        <x:v>mutation; witcher-like trial; mutagen</x:v>
      </x:c>
      <x:c r="J661" s="24" t="str">
        <x:v>Transformation, horror, empowerment, identity, embodiment, and combat-mode change.</x:v>
      </x:c>
      <x:c r="K661" s="24" t="str">
        <x:v>mutation; witcher-like trial; mutagen</x:v>
      </x:c>
      <x:c r="L661" s="24" t="str">
        <x:v>Preserve each source's ontology, culture, history, and terminology when making comparisons.</x:v>
      </x:c>
      <x:c r="M661" s="24" t="str">
        <x:v>Core Family</x:v>
      </x:c>
    </x:row>
    <x:row r="662" ht="44" customHeight="1">
      <x:c r="A662" s="24" t="str">
        <x:v>STA-207</x:v>
      </x:c>
      <x:c r="B662" s="24" t="str">
        <x:v>Magical Mutation</x:v>
      </x:c>
      <x:c r="C662" s="24" t="str">
        <x:v>States &amp; Transformations</x:v>
      </x:c>
      <x:c r="D662" s="24" t="str">
        <x:v>STA-200</x:v>
      </x:c>
      <x:c r="E662" s="24" t="str">
        <x:f>IF(D662="","",IFERROR(VLOOKUP(D662,$A$2:$B$1656,2,FALSE),""))</x:f>
        <x:v>Bodily Transformation States</x:v>
      </x:c>
      <x:c r="F662" s="24" t="n">
        <x:v>3</x:v>
      </x:c>
      <x:c r="G662" s="24" t="str">
        <x:v>Exposure to magic produces new anatomy, powers, instability, or species-like traits.</x:v>
      </x:c>
      <x:c r="H662" s="24" t="str">
        <x:v>Record reversibility, agency, transmission, cost, social recognition, and identity continuity.</x:v>
      </x:c>
      <x:c r="I662" s="24" t="str">
        <x:v>mutation; warp change; mana mutation</x:v>
      </x:c>
      <x:c r="J662" s="24" t="str">
        <x:v>Transformation, horror, empowerment, identity, embodiment, and combat-mode change.</x:v>
      </x:c>
      <x:c r="K662" s="24" t="str">
        <x:v>mutation; warp change; mana mutation</x:v>
      </x:c>
      <x:c r="L662" s="24" t="str">
        <x:v>Preserve each source's ontology, culture, history, and terminology when making comparisons.</x:v>
      </x:c>
      <x:c r="M662" s="24" t="str">
        <x:v>Core Family</x:v>
      </x:c>
    </x:row>
    <x:row r="663" ht="44" customHeight="1">
      <x:c r="A663" s="24" t="str">
        <x:v>STA-208</x:v>
      </x:c>
      <x:c r="B663" s="24" t="str">
        <x:v>Demonic Transformation</x:v>
      </x:c>
      <x:c r="C663" s="24" t="str">
        <x:v>States &amp; Transformations</x:v>
      </x:c>
      <x:c r="D663" s="24" t="str">
        <x:v>STA-200</x:v>
      </x:c>
      <x:c r="E663" s="24" t="str">
        <x:f>IF(D663="","",IFERROR(VLOOKUP(D663,$A$2:$B$1656,2,FALSE),""))</x:f>
        <x:v>Bodily Transformation States</x:v>
      </x:c>
      <x:c r="F663" s="24" t="n">
        <x:v>3</x:v>
      </x:c>
      <x:c r="G663" s="24" t="str">
        <x:v>A mortal becomes partly or wholly demonic through pact, corruption, possession, ancestry, or ascension.</x:v>
      </x:c>
      <x:c r="H663" s="24" t="str">
        <x:v>Record reversibility, agency, transmission, cost, social recognition, and identity continuity.</x:v>
      </x:c>
      <x:c r="I663" s="24" t="str">
        <x:v>demon form; fiend transformation</x:v>
      </x:c>
      <x:c r="J663" s="24" t="str">
        <x:v>Transformation, horror, empowerment, identity, embodiment, and combat-mode change.</x:v>
      </x:c>
      <x:c r="K663" s="24" t="str">
        <x:v>demon form; fiend transformation</x:v>
      </x:c>
      <x:c r="L663" s="24" t="str">
        <x:v>Preserve each source's ontology, culture, history, and terminology when making comparisons.</x:v>
      </x:c>
      <x:c r="M663" s="24" t="str">
        <x:v>Core Family</x:v>
      </x:c>
    </x:row>
    <x:row r="664" ht="44" customHeight="1">
      <x:c r="A664" s="24" t="str">
        <x:v>STA-209</x:v>
      </x:c>
      <x:c r="B664" s="24" t="str">
        <x:v>Celestial Transformation</x:v>
      </x:c>
      <x:c r="C664" s="24" t="str">
        <x:v>States &amp; Transformations</x:v>
      </x:c>
      <x:c r="D664" s="24" t="str">
        <x:v>STA-200</x:v>
      </x:c>
      <x:c r="E664" s="24" t="str">
        <x:f>IF(D664="","",IFERROR(VLOOKUP(D664,$A$2:$B$1656,2,FALSE),""))</x:f>
        <x:v>Bodily Transformation States</x:v>
      </x:c>
      <x:c r="F664" s="24" t="n">
        <x:v>3</x:v>
      </x:c>
      <x:c r="G664" s="24" t="str">
        <x:v>A mortal becomes angelic, saintly, radiant, or aligned with a celestial order.</x:v>
      </x:c>
      <x:c r="H664" s="24" t="str">
        <x:v>Record reversibility, agency, transmission, cost, social recognition, and identity continuity.</x:v>
      </x:c>
      <x:c r="I664" s="24" t="str">
        <x:v>angelic ascension; celestial form</x:v>
      </x:c>
      <x:c r="J664" s="24" t="str">
        <x:v>Transformation, horror, empowerment, identity, embodiment, and combat-mode change.</x:v>
      </x:c>
      <x:c r="K664" s="24" t="str">
        <x:v>angelic ascension; celestial form</x:v>
      </x:c>
      <x:c r="L664" s="24" t="str">
        <x:v>Preserve each source's ontology, culture, history, and terminology when making comparisons.</x:v>
      </x:c>
      <x:c r="M664" s="24" t="str">
        <x:v>Core Family</x:v>
      </x:c>
    </x:row>
    <x:row r="665" ht="44" customHeight="1">
      <x:c r="A665" s="24" t="str">
        <x:v>STA-210</x:v>
      </x:c>
      <x:c r="B665" s="24" t="str">
        <x:v>Draconic Transformation</x:v>
      </x:c>
      <x:c r="C665" s="24" t="str">
        <x:v>States &amp; Transformations</x:v>
      </x:c>
      <x:c r="D665" s="24" t="str">
        <x:v>STA-200</x:v>
      </x:c>
      <x:c r="E665" s="24" t="str">
        <x:f>IF(D665="","",IFERROR(VLOOKUP(D665,$A$2:$B$1656,2,FALSE),""))</x:f>
        <x:v>Bodily Transformation States</x:v>
      </x:c>
      <x:c r="F665" s="24" t="n">
        <x:v>3</x:v>
      </x:c>
      <x:c r="G665" s="24" t="str">
        <x:v>A being acquires dragon traits or becomes a dragon through lineage, magic, curse, or cultivation.</x:v>
      </x:c>
      <x:c r="H665" s="24" t="str">
        <x:v>Record reversibility, agency, transmission, cost, social recognition, and identity continuity.</x:v>
      </x:c>
      <x:c r="I665" s="24" t="str">
        <x:v>dragon form; half-dragon; dragon ascension</x:v>
      </x:c>
      <x:c r="J665" s="24" t="str">
        <x:v>Transformation, horror, empowerment, identity, embodiment, and combat-mode change.</x:v>
      </x:c>
      <x:c r="K665" s="24" t="str">
        <x:v>dragon form; half-dragon; dragon ascension</x:v>
      </x:c>
      <x:c r="L665" s="24" t="str">
        <x:v>Preserve each source's ontology, culture, history, and terminology when making comparisons.</x:v>
      </x:c>
      <x:c r="M665" s="24" t="str">
        <x:v>Core Family</x:v>
      </x:c>
    </x:row>
    <x:row r="666" ht="44" customHeight="1">
      <x:c r="A666" s="24" t="str">
        <x:v>STA-211</x:v>
      </x:c>
      <x:c r="B666" s="24" t="str">
        <x:v>Beast Transformation</x:v>
      </x:c>
      <x:c r="C666" s="24" t="str">
        <x:v>States &amp; Transformations</x:v>
      </x:c>
      <x:c r="D666" s="24" t="str">
        <x:v>STA-200</x:v>
      </x:c>
      <x:c r="E666" s="24" t="str">
        <x:f>IF(D666="","",IFERROR(VLOOKUP(D666,$A$2:$B$1656,2,FALSE),""))</x:f>
        <x:v>Bodily Transformation States</x:v>
      </x:c>
      <x:c r="F666" s="24" t="n">
        <x:v>3</x:v>
      </x:c>
      <x:c r="G666" s="24" t="str">
        <x:v>A person develops permanent or temporary animal traits outside classic lycanthropy.</x:v>
      </x:c>
      <x:c r="H666" s="24" t="str">
        <x:v>Record reversibility, agency, transmission, cost, social recognition, and identity continuity.</x:v>
      </x:c>
      <x:c r="I666" s="24" t="str">
        <x:v>beast form; feral transformation</x:v>
      </x:c>
      <x:c r="J666" s="24" t="str">
        <x:v>Transformation, horror, empowerment, identity, embodiment, and combat-mode change.</x:v>
      </x:c>
      <x:c r="K666" s="24" t="str">
        <x:v>beast form; feral transformation</x:v>
      </x:c>
      <x:c r="L666" s="24" t="str">
        <x:v>Preserve each source's ontology, culture, history, and terminology when making comparisons.</x:v>
      </x:c>
      <x:c r="M666" s="24" t="str">
        <x:v>Core Family</x:v>
      </x:c>
    </x:row>
    <x:row r="667" ht="44" customHeight="1">
      <x:c r="A667" s="24" t="str">
        <x:v>STA-212</x:v>
      </x:c>
      <x:c r="B667" s="24" t="str">
        <x:v>Plant Transformation</x:v>
      </x:c>
      <x:c r="C667" s="24" t="str">
        <x:v>States &amp; Transformations</x:v>
      </x:c>
      <x:c r="D667" s="24" t="str">
        <x:v>STA-200</x:v>
      </x:c>
      <x:c r="E667" s="24" t="str">
        <x:f>IF(D667="","",IFERROR(VLOOKUP(D667,$A$2:$B$1656,2,FALSE),""))</x:f>
        <x:v>Bodily Transformation States</x:v>
      </x:c>
      <x:c r="F667" s="24" t="n">
        <x:v>3</x:v>
      </x:c>
      <x:c r="G667" s="24" t="str">
        <x:v>A person becomes plantlike, tree-bound, fungal, or integrated with an ecosystem.</x:v>
      </x:c>
      <x:c r="H667" s="24" t="str">
        <x:v>Record reversibility, agency, transmission, cost, social recognition, and identity continuity.</x:v>
      </x:c>
      <x:c r="I667" s="24" t="str">
        <x:v>tree form; plant curse; fungal change</x:v>
      </x:c>
      <x:c r="J667" s="24" t="str">
        <x:v>Transformation, horror, empowerment, identity, embodiment, and combat-mode change.</x:v>
      </x:c>
      <x:c r="K667" s="24" t="str">
        <x:v>tree form; plant curse; fungal change</x:v>
      </x:c>
      <x:c r="L667" s="24" t="str">
        <x:v>Preserve each source's ontology, culture, history, and terminology when making comparisons.</x:v>
      </x:c>
      <x:c r="M667" s="24" t="str">
        <x:v>Core Family</x:v>
      </x:c>
    </x:row>
    <x:row r="668" ht="44" customHeight="1">
      <x:c r="A668" s="24" t="str">
        <x:v>STA-213</x:v>
      </x:c>
      <x:c r="B668" s="24" t="str">
        <x:v>Construct Conversion</x:v>
      </x:c>
      <x:c r="C668" s="24" t="str">
        <x:v>States &amp; Transformations</x:v>
      </x:c>
      <x:c r="D668" s="24" t="str">
        <x:v>STA-200</x:v>
      </x:c>
      <x:c r="E668" s="24" t="str">
        <x:f>IF(D668="","",IFERROR(VLOOKUP(D668,$A$2:$B$1656,2,FALSE),""))</x:f>
        <x:v>Bodily Transformation States</x:v>
      </x:c>
      <x:c r="F668" s="24" t="n">
        <x:v>3</x:v>
      </x:c>
      <x:c r="G668" s="24" t="str">
        <x:v>A biological person is transferred into armor, a machine, golem, doll, or artificial body.</x:v>
      </x:c>
      <x:c r="H668" s="24" t="str">
        <x:v>Record reversibility, agency, transmission, cost, social recognition, and identity continuity.</x:v>
      </x:c>
      <x:c r="I668" s="24" t="str">
        <x:v>mechanization; soul armor; construct body</x:v>
      </x:c>
      <x:c r="J668" s="24" t="str">
        <x:v>Transformation, horror, empowerment, identity, embodiment, and combat-mode change.</x:v>
      </x:c>
      <x:c r="K668" s="24" t="str">
        <x:v>mechanization; soul armor; construct body</x:v>
      </x:c>
      <x:c r="L668" s="24" t="str">
        <x:v>Preserve each source's ontology, culture, history, and terminology when making comparisons.</x:v>
      </x:c>
      <x:c r="M668" s="24" t="str">
        <x:v>Core Family</x:v>
      </x:c>
    </x:row>
    <x:row r="669" ht="44" customHeight="1">
      <x:c r="A669" s="24" t="str">
        <x:v>STA-214</x:v>
      </x:c>
      <x:c r="B669" s="24" t="str">
        <x:v>Cyborg or Magitech Augmentation</x:v>
      </x:c>
      <x:c r="C669" s="24" t="str">
        <x:v>States &amp; Transformations</x:v>
      </x:c>
      <x:c r="D669" s="24" t="str">
        <x:v>STA-200</x:v>
      </x:c>
      <x:c r="E669" s="24" t="str">
        <x:f>IF(D669="","",IFERROR(VLOOKUP(D669,$A$2:$B$1656,2,FALSE),""))</x:f>
        <x:v>Bodily Transformation States</x:v>
      </x:c>
      <x:c r="F669" s="24" t="n">
        <x:v>3</x:v>
      </x:c>
      <x:c r="G669" s="24" t="str">
        <x:v>A person gains mechanical, magical, or artificial replacement parts and enhanced capabilities.</x:v>
      </x:c>
      <x:c r="H669" s="24" t="str">
        <x:v>Record reversibility, agency, transmission, cost, social recognition, and identity continuity.</x:v>
      </x:c>
      <x:c r="I669" s="24" t="str">
        <x:v>cyborg; prosthetic enhancement; magitech augmentation</x:v>
      </x:c>
      <x:c r="J669" s="24" t="str">
        <x:v>Transformation, horror, empowerment, identity, embodiment, and combat-mode change.</x:v>
      </x:c>
      <x:c r="K669" s="24" t="str">
        <x:v>cyborg; prosthetic enhancement; magitech augmentation</x:v>
      </x:c>
      <x:c r="L669" s="24" t="str">
        <x:v>Preserve each source's ontology, culture, history, and terminology when making comparisons.</x:v>
      </x:c>
      <x:c r="M669" s="24" t="str">
        <x:v>Core Family</x:v>
      </x:c>
    </x:row>
    <x:row r="670" ht="44" customHeight="1">
      <x:c r="A670" s="24" t="str">
        <x:v>STA-215</x:v>
      </x:c>
      <x:c r="B670" s="24" t="str">
        <x:v>Body Swap</x:v>
      </x:c>
      <x:c r="C670" s="24" t="str">
        <x:v>States &amp; Transformations</x:v>
      </x:c>
      <x:c r="D670" s="24" t="str">
        <x:v>STA-200</x:v>
      </x:c>
      <x:c r="E670" s="24" t="str">
        <x:f>IF(D670="","",IFERROR(VLOOKUP(D670,$A$2:$B$1656,2,FALSE),""))</x:f>
        <x:v>Bodily Transformation States</x:v>
      </x:c>
      <x:c r="F670" s="24" t="n">
        <x:v>3</x:v>
      </x:c>
      <x:c r="G670" s="24" t="str">
        <x:v>Two or more minds exchange bodies while retaining some identity continuity.</x:v>
      </x:c>
      <x:c r="H670" s="24" t="str">
        <x:v>Record reversibility, agency, transmission, cost, social recognition, and identity continuity.</x:v>
      </x:c>
      <x:c r="I670" s="24" t="str">
        <x:v>body swap; exchanged bodies</x:v>
      </x:c>
      <x:c r="J670" s="24" t="str">
        <x:v>Transformation, horror, empowerment, identity, embodiment, and combat-mode change.</x:v>
      </x:c>
      <x:c r="K670" s="24" t="str">
        <x:v>body swap; exchanged bodies</x:v>
      </x:c>
      <x:c r="L670" s="24" t="str">
        <x:v>Preserve each source's ontology, culture, history, and terminology when making comparisons.</x:v>
      </x:c>
      <x:c r="M670" s="24" t="str">
        <x:v>Core Family</x:v>
      </x:c>
    </x:row>
    <x:row r="671" ht="44" customHeight="1">
      <x:c r="A671" s="24" t="str">
        <x:v>STA-216</x:v>
      </x:c>
      <x:c r="B671" s="24" t="str">
        <x:v>Age Transformation</x:v>
      </x:c>
      <x:c r="C671" s="24" t="str">
        <x:v>States &amp; Transformations</x:v>
      </x:c>
      <x:c r="D671" s="24" t="str">
        <x:v>STA-200</x:v>
      </x:c>
      <x:c r="E671" s="24" t="str">
        <x:f>IF(D671="","",IFERROR(VLOOKUP(D671,$A$2:$B$1656,2,FALSE),""))</x:f>
        <x:v>Bodily Transformation States</x:v>
      </x:c>
      <x:c r="F671" s="24" t="n">
        <x:v>3</x:v>
      </x:c>
      <x:c r="G671" s="24" t="str">
        <x:v>A person is magically aged, rejuvenated, frozen at an age, or shifted along their lifespan.</x:v>
      </x:c>
      <x:c r="H671" s="24" t="str">
        <x:v>Record reversibility, agency, transmission, cost, social recognition, and identity continuity.</x:v>
      </x:c>
      <x:c r="I671" s="24" t="str">
        <x:v>de-aging; rapid aging; youth curse</x:v>
      </x:c>
      <x:c r="J671" s="24" t="str">
        <x:v>Transformation, horror, empowerment, identity, embodiment, and combat-mode change.</x:v>
      </x:c>
      <x:c r="K671" s="24" t="str">
        <x:v>de-aging; rapid aging; youth curse</x:v>
      </x:c>
      <x:c r="L671" s="24" t="str">
        <x:v>Preserve each source's ontology, culture, history, and terminology when making comparisons.</x:v>
      </x:c>
      <x:c r="M671" s="24" t="str">
        <x:v>Core Family</x:v>
      </x:c>
    </x:row>
    <x:row r="672" ht="44" customHeight="1">
      <x:c r="A672" s="24" t="str">
        <x:v>STA-217</x:v>
      </x:c>
      <x:c r="B672" s="24" t="str">
        <x:v>Sex or Gendered Embodiment Change</x:v>
      </x:c>
      <x:c r="C672" s="24" t="str">
        <x:v>States &amp; Transformations</x:v>
      </x:c>
      <x:c r="D672" s="24" t="str">
        <x:v>STA-200</x:v>
      </x:c>
      <x:c r="E672" s="24" t="str">
        <x:f>IF(D672="","",IFERROR(VLOOKUP(D672,$A$2:$B$1656,2,FALSE),""))</x:f>
        <x:v>Bodily Transformation States</x:v>
      </x:c>
      <x:c r="F672" s="24" t="n">
        <x:v>3</x:v>
      </x:c>
      <x:c r="G672" s="24" t="str">
        <x:v>A person's bodily sex or gendered form changes through magic, biology, curse, or transformation.</x:v>
      </x:c>
      <x:c r="H672" s="24" t="str">
        <x:v>Record reversibility, agency, transmission, cost, social recognition, and identity continuity.</x:v>
      </x:c>
      <x:c r="I672" s="24" t="str">
        <x:v>sex change; gender transformation; form change</x:v>
      </x:c>
      <x:c r="J672" s="24" t="str">
        <x:v>Transformation, horror, empowerment, identity, embodiment, and combat-mode change.</x:v>
      </x:c>
      <x:c r="K672" s="24" t="str">
        <x:v>sex change; gender transformation; form change</x:v>
      </x:c>
      <x:c r="L672" s="24" t="str">
        <x:v>Preserve each source's ontology, culture, history, and terminology when making comparisons.</x:v>
      </x:c>
      <x:c r="M672" s="24" t="str">
        <x:v>Core Family</x:v>
      </x:c>
    </x:row>
    <x:row r="673" ht="44" customHeight="1">
      <x:c r="A673" s="24" t="str">
        <x:v>STA-218</x:v>
      </x:c>
      <x:c r="B673" s="24" t="str">
        <x:v>Disease or Magical Illness</x:v>
      </x:c>
      <x:c r="C673" s="24" t="str">
        <x:v>States &amp; Transformations</x:v>
      </x:c>
      <x:c r="D673" s="24" t="str">
        <x:v>STA-200</x:v>
      </x:c>
      <x:c r="E673" s="24" t="str">
        <x:f>IF(D673="","",IFERROR(VLOOKUP(D673,$A$2:$B$1656,2,FALSE),""))</x:f>
        <x:v>Bodily Transformation States</x:v>
      </x:c>
      <x:c r="F673" s="24" t="n">
        <x:v>3</x:v>
      </x:c>
      <x:c r="G673" s="24" t="str">
        <x:v>A supernatural or mundane disease alters function, identity, social status, or powers.</x:v>
      </x:c>
      <x:c r="H673" s="24" t="str">
        <x:v>Record reversibility, agency, transmission, cost, social recognition, and identity continuity.</x:v>
      </x:c>
      <x:c r="I673" s="24" t="str">
        <x:v>plague; magical disease; curse sickness</x:v>
      </x:c>
      <x:c r="J673" s="24" t="str">
        <x:v>Transformation, horror, empowerment, identity, embodiment, and combat-mode change.</x:v>
      </x:c>
      <x:c r="K673" s="24" t="str">
        <x:v>plague; magical disease; curse sickness</x:v>
      </x:c>
      <x:c r="L673" s="24" t="str">
        <x:v>Preserve each source's ontology, culture, history, and terminology when making comparisons.</x:v>
      </x:c>
      <x:c r="M673" s="24" t="str">
        <x:v>Core Family</x:v>
      </x:c>
    </x:row>
    <x:row r="674" ht="44" customHeight="1">
      <x:c r="A674" s="24" t="str">
        <x:v>STA-219</x:v>
      </x:c>
      <x:c r="B674" s="24" t="str">
        <x:v>Parasitic Infection</x:v>
      </x:c>
      <x:c r="C674" s="24" t="str">
        <x:v>States &amp; Transformations</x:v>
      </x:c>
      <x:c r="D674" s="24" t="str">
        <x:v>STA-200</x:v>
      </x:c>
      <x:c r="E674" s="24" t="str">
        <x:f>IF(D674="","",IFERROR(VLOOKUP(D674,$A$2:$B$1656,2,FALSE),""))</x:f>
        <x:v>Bodily Transformation States</x:v>
      </x:c>
      <x:c r="F674" s="24" t="n">
        <x:v>3</x:v>
      </x:c>
      <x:c r="G674" s="24" t="str">
        <x:v>An organism or supernatural agent inhabits and changes a host body.</x:v>
      </x:c>
      <x:c r="H674" s="24" t="str">
        <x:v>Record reversibility, agency, transmission, cost, social recognition, and identity continuity.</x:v>
      </x:c>
      <x:c r="I674" s="24" t="str">
        <x:v>parasite; infection; host state</x:v>
      </x:c>
      <x:c r="J674" s="24" t="str">
        <x:v>Transformation, horror, empowerment, identity, embodiment, and combat-mode change.</x:v>
      </x:c>
      <x:c r="K674" s="24" t="str">
        <x:v>parasite; infection; host state</x:v>
      </x:c>
      <x:c r="L674" s="24" t="str">
        <x:v>Preserve each source's ontology, culture, history, and terminology when making comparisons.</x:v>
      </x:c>
      <x:c r="M674" s="24" t="str">
        <x:v>Core Family</x:v>
      </x:c>
    </x:row>
    <x:row r="675" ht="44" customHeight="1">
      <x:c r="A675" s="24" t="str">
        <x:v>STA-220</x:v>
      </x:c>
      <x:c r="B675" s="24" t="str">
        <x:v>Symbiotic Bond</x:v>
      </x:c>
      <x:c r="C675" s="24" t="str">
        <x:v>States &amp; Transformations</x:v>
      </x:c>
      <x:c r="D675" s="24" t="str">
        <x:v>STA-200</x:v>
      </x:c>
      <x:c r="E675" s="24" t="str">
        <x:f>IF(D675="","",IFERROR(VLOOKUP(D675,$A$2:$B$1656,2,FALSE),""))</x:f>
        <x:v>Bodily Transformation States</x:v>
      </x:c>
      <x:c r="F675" s="24" t="n">
        <x:v>3</x:v>
      </x:c>
      <x:c r="G675" s="24" t="str">
        <x:v>A host and another being form a mutually sustaining bodily and power relationship.</x:v>
      </x:c>
      <x:c r="H675" s="24" t="str">
        <x:v>Record reversibility, agency, transmission, cost, social recognition, and identity continuity.</x:v>
      </x:c>
      <x:c r="I675" s="24" t="str">
        <x:v>symbiote; bonded organism</x:v>
      </x:c>
      <x:c r="J675" s="24" t="str">
        <x:v>Transformation, horror, empowerment, identity, embodiment, and combat-mode change.</x:v>
      </x:c>
      <x:c r="K675" s="24" t="str">
        <x:v>symbiote; bonded organism</x:v>
      </x:c>
      <x:c r="L675" s="24" t="str">
        <x:v>Preserve each source's ontology, culture, history, and terminology when making comparisons.</x:v>
      </x:c>
      <x:c r="M675" s="24" t="str">
        <x:v>Core Family</x:v>
      </x:c>
    </x:row>
    <x:row r="676" ht="44" customHeight="1">
      <x:c r="A676" s="24" t="str">
        <x:v>STA-221</x:v>
      </x:c>
      <x:c r="B676" s="24" t="str">
        <x:v>Possessed Body</x:v>
      </x:c>
      <x:c r="C676" s="24" t="str">
        <x:v>States &amp; Transformations</x:v>
      </x:c>
      <x:c r="D676" s="24" t="str">
        <x:v>STA-200</x:v>
      </x:c>
      <x:c r="E676" s="24" t="str">
        <x:f>IF(D676="","",IFERROR(VLOOKUP(D676,$A$2:$B$1656,2,FALSE),""))</x:f>
        <x:v>Bodily Transformation States</x:v>
      </x:c>
      <x:c r="F676" s="24" t="n">
        <x:v>3</x:v>
      </x:c>
      <x:c r="G676" s="24" t="str">
        <x:v>An external being occupies or shares the body, with degrees of control and coexistence.</x:v>
      </x:c>
      <x:c r="H676" s="24" t="str">
        <x:v>Record reversibility, agency, transmission, cost, social recognition, and identity continuity.</x:v>
      </x:c>
      <x:c r="I676" s="24" t="str">
        <x:v>possession; vessel; ridden</x:v>
      </x:c>
      <x:c r="J676" s="24" t="str">
        <x:v>Transformation, horror, empowerment, identity, embodiment, and combat-mode change.</x:v>
      </x:c>
      <x:c r="K676" s="24" t="str">
        <x:v>possession; vessel; ridden</x:v>
      </x:c>
      <x:c r="L676" s="24" t="str">
        <x:v>Preserve each source's ontology, culture, history, and terminology when making comparisons.</x:v>
      </x:c>
      <x:c r="M676" s="24" t="str">
        <x:v>Core Family</x:v>
      </x:c>
    </x:row>
    <x:row r="677" ht="44" customHeight="1">
      <x:c r="A677" s="24" t="str">
        <x:v>STA-222</x:v>
      </x:c>
      <x:c r="B677" s="24" t="str">
        <x:v>Cloned or Replicated Body</x:v>
      </x:c>
      <x:c r="C677" s="24" t="str">
        <x:v>States &amp; Transformations</x:v>
      </x:c>
      <x:c r="D677" s="24" t="str">
        <x:v>STA-200</x:v>
      </x:c>
      <x:c r="E677" s="24" t="str">
        <x:f>IF(D677="","",IFERROR(VLOOKUP(D677,$A$2:$B$1656,2,FALSE),""))</x:f>
        <x:v>Bodily Transformation States</x:v>
      </x:c>
      <x:c r="F677" s="24" t="n">
        <x:v>3</x:v>
      </x:c>
      <x:c r="G677" s="24" t="str">
        <x:v>A person exists in a copied, reconstructed, or duplicate biological form.</x:v>
      </x:c>
      <x:c r="H677" s="24" t="str">
        <x:v>Record reversibility, agency, transmission, cost, social recognition, and identity continuity.</x:v>
      </x:c>
      <x:c r="I677" s="24" t="str">
        <x:v>clone body; replica; vat-grown</x:v>
      </x:c>
      <x:c r="J677" s="24" t="str">
        <x:v>Transformation, horror, empowerment, identity, embodiment, and combat-mode change.</x:v>
      </x:c>
      <x:c r="K677" s="24" t="str">
        <x:v>clone body; replica; vat-grown</x:v>
      </x:c>
      <x:c r="L677" s="24" t="str">
        <x:v>Preserve each source's ontology, culture, history, and terminology when making comparisons.</x:v>
      </x:c>
      <x:c r="M677" s="24" t="str">
        <x:v>Core Family</x:v>
      </x:c>
    </x:row>
    <x:row r="678" ht="44" customHeight="1">
      <x:c r="A678" s="24" t="str">
        <x:v>STA-223</x:v>
      </x:c>
      <x:c r="B678" s="24" t="str">
        <x:v>Artificial Rebirth</x:v>
      </x:c>
      <x:c r="C678" s="24" t="str">
        <x:v>States &amp; Transformations</x:v>
      </x:c>
      <x:c r="D678" s="24" t="str">
        <x:v>STA-200</x:v>
      </x:c>
      <x:c r="E678" s="24" t="str">
        <x:f>IF(D678="","",IFERROR(VLOOKUP(D678,$A$2:$B$1656,2,FALSE),""))</x:f>
        <x:v>Bodily Transformation States</x:v>
      </x:c>
      <x:c r="F678" s="24" t="n">
        <x:v>3</x:v>
      </x:c>
      <x:c r="G678" s="24" t="str">
        <x:v>A person is recreated in an engineered or manufactured body after death or destruction.</x:v>
      </x:c>
      <x:c r="H678" s="24" t="str">
        <x:v>Record reversibility, agency, transmission, cost, social recognition, and identity continuity.</x:v>
      </x:c>
      <x:c r="I678" s="24" t="str">
        <x:v>reconstruction; synthetic resurrection</x:v>
      </x:c>
      <x:c r="J678" s="24" t="str">
        <x:v>Transformation, horror, empowerment, identity, embodiment, and combat-mode change.</x:v>
      </x:c>
      <x:c r="K678" s="24" t="str">
        <x:v>reconstruction; synthetic resurrection</x:v>
      </x:c>
      <x:c r="L678" s="24" t="str">
        <x:v>Preserve each source's ontology, culture, history, and terminology when making comparisons.</x:v>
      </x:c>
      <x:c r="M678" s="24" t="str">
        <x:v>Core Family</x:v>
      </x:c>
    </x:row>
    <x:row r="679" ht="44" customHeight="1">
      <x:c r="A679" s="24" t="str">
        <x:v>STA-224</x:v>
      </x:c>
      <x:c r="B679" s="24" t="str">
        <x:v>Berserk State</x:v>
      </x:c>
      <x:c r="C679" s="24" t="str">
        <x:v>States &amp; Transformations</x:v>
      </x:c>
      <x:c r="D679" s="24" t="str">
        <x:v>STA-200</x:v>
      </x:c>
      <x:c r="E679" s="24" t="str">
        <x:f>IF(D679="","",IFERROR(VLOOKUP(D679,$A$2:$B$1656,2,FALSE),""))</x:f>
        <x:v>Bodily Transformation States</x:v>
      </x:c>
      <x:c r="F679" s="24" t="n">
        <x:v>3</x:v>
      </x:c>
      <x:c r="G679" s="24" t="str">
        <x:v>A temporary form grants heightened power while reducing judgment, control, safety, or identity.</x:v>
      </x:c>
      <x:c r="H679" s="24" t="str">
        <x:v>Record reversibility, agency, transmission, cost, social recognition, and identity continuity.</x:v>
      </x:c>
      <x:c r="I679" s="24" t="str">
        <x:v>berserk; rage form; frenzy</x:v>
      </x:c>
      <x:c r="J679" s="24" t="str">
        <x:v>Transformation, horror, empowerment, identity, embodiment, and combat-mode change.</x:v>
      </x:c>
      <x:c r="K679" s="24" t="str">
        <x:v>berserk; rage form; frenzy</x:v>
      </x:c>
      <x:c r="L679" s="24" t="str">
        <x:v>Preserve each source's ontology, culture, history, and terminology when making comparisons.</x:v>
      </x:c>
      <x:c r="M679" s="24" t="str">
        <x:v>Core Family</x:v>
      </x:c>
    </x:row>
    <x:row r="680" ht="44" customHeight="1">
      <x:c r="A680" s="24" t="str">
        <x:v>STA-225</x:v>
      </x:c>
      <x:c r="B680" s="24" t="str">
        <x:v>Overdrive or Limit State</x:v>
      </x:c>
      <x:c r="C680" s="24" t="str">
        <x:v>States &amp; Transformations</x:v>
      </x:c>
      <x:c r="D680" s="24" t="str">
        <x:v>STA-200</x:v>
      </x:c>
      <x:c r="E680" s="24" t="str">
        <x:f>IF(D680="","",IFERROR(VLOOKUP(D680,$A$2:$B$1656,2,FALSE),""))</x:f>
        <x:v>Bodily Transformation States</x:v>
      </x:c>
      <x:c r="F680" s="24" t="n">
        <x:v>3</x:v>
      </x:c>
      <x:c r="G680" s="24" t="str">
        <x:v>Accumulated stress or resource unlocks temporary exceptional output beyond normal limits.</x:v>
      </x:c>
      <x:c r="H680" s="24" t="str">
        <x:v>Record reversibility, agency, transmission, cost, social recognition, and identity continuity.</x:v>
      </x:c>
      <x:c r="I680" s="24" t="str">
        <x:v>limit break; overdrive; crisis form</x:v>
      </x:c>
      <x:c r="J680" s="24" t="str">
        <x:v>Transformation, horror, empowerment, identity, embodiment, and combat-mode change.</x:v>
      </x:c>
      <x:c r="K680" s="24" t="str">
        <x:v>limit break; overdrive; crisis form</x:v>
      </x:c>
      <x:c r="L680" s="24" t="str">
        <x:v>Preserve each source's ontology, culture, history, and terminology when making comparisons.</x:v>
      </x:c>
      <x:c r="M680" s="24" t="str">
        <x:v>Core Family</x:v>
      </x:c>
    </x:row>
    <x:row r="681" ht="44" customHeight="1">
      <x:c r="A681" s="24" t="str">
        <x:v>STA-226</x:v>
      </x:c>
      <x:c r="B681" s="24" t="str">
        <x:v>Elemental Attunement</x:v>
      </x:c>
      <x:c r="C681" s="24" t="str">
        <x:v>States &amp; Transformations</x:v>
      </x:c>
      <x:c r="D681" s="24" t="str">
        <x:v>STA-200</x:v>
      </x:c>
      <x:c r="E681" s="24" t="str">
        <x:f>IF(D681="","",IFERROR(VLOOKUP(D681,$A$2:$B$1656,2,FALSE),""))</x:f>
        <x:v>Bodily Transformation States</x:v>
      </x:c>
      <x:c r="F681" s="24" t="n">
        <x:v>3</x:v>
      </x:c>
      <x:c r="G681" s="24" t="str">
        <x:v>A body becomes aligned with or partially composed of an element.</x:v>
      </x:c>
      <x:c r="H681" s="24" t="str">
        <x:v>Record reversibility, agency, transmission, cost, social recognition, and identity continuity.</x:v>
      </x:c>
      <x:c r="I681" s="24" t="str">
        <x:v>fire-touched; frostbound; elemental form</x:v>
      </x:c>
      <x:c r="J681" s="24" t="str">
        <x:v>Transformation, horror, empowerment, identity, embodiment, and combat-mode change.</x:v>
      </x:c>
      <x:c r="K681" s="24" t="str">
        <x:v>fire-touched; frostbound; elemental form</x:v>
      </x:c>
      <x:c r="L681" s="24" t="str">
        <x:v>Preserve each source's ontology, culture, history, and terminology when making comparisons.</x:v>
      </x:c>
      <x:c r="M681" s="24" t="str">
        <x:v>Core Family</x:v>
      </x:c>
    </x:row>
    <x:row r="682" ht="44" customHeight="1">
      <x:c r="A682" s="24" t="str">
        <x:v>STA-227</x:v>
      </x:c>
      <x:c r="B682" s="24" t="str">
        <x:v>Corrupted or Blighted Body</x:v>
      </x:c>
      <x:c r="C682" s="24" t="str">
        <x:v>States &amp; Transformations</x:v>
      </x:c>
      <x:c r="D682" s="24" t="str">
        <x:v>STA-200</x:v>
      </x:c>
      <x:c r="E682" s="24" t="str">
        <x:f>IF(D682="","",IFERROR(VLOOKUP(D682,$A$2:$B$1656,2,FALSE),""))</x:f>
        <x:v>Bodily Transformation States</x:v>
      </x:c>
      <x:c r="F682" s="24" t="n">
        <x:v>3</x:v>
      </x:c>
      <x:c r="G682" s="24" t="str">
        <x:v>Hostile magic, taint, or environmental force deforms and empowers the body while imposing cost.</x:v>
      </x:c>
      <x:c r="H682" s="24" t="str">
        <x:v>Record reversibility, agency, transmission, cost, social recognition, and identity continuity.</x:v>
      </x:c>
      <x:c r="I682" s="24" t="str">
        <x:v>corruption; blight; taint</x:v>
      </x:c>
      <x:c r="J682" s="24" t="str">
        <x:v>Transformation, horror, empowerment, identity, embodiment, and combat-mode change.</x:v>
      </x:c>
      <x:c r="K682" s="24" t="str">
        <x:v>corruption; blight; taint</x:v>
      </x:c>
      <x:c r="L682" s="24" t="str">
        <x:v>Preserve each source's ontology, culture, history, and terminology when making comparisons.</x:v>
      </x:c>
      <x:c r="M682" s="24" t="str">
        <x:v>Core Family</x:v>
      </x:c>
    </x:row>
    <x:row r="683" ht="44" customHeight="1">
      <x:c r="A683" s="24" t="str">
        <x:v>STA-228</x:v>
      </x:c>
      <x:c r="B683" s="24" t="str">
        <x:v>Cursed Mark or Brand</x:v>
      </x:c>
      <x:c r="C683" s="24" t="str">
        <x:v>States &amp; Transformations</x:v>
      </x:c>
      <x:c r="D683" s="24" t="str">
        <x:v>STA-200</x:v>
      </x:c>
      <x:c r="E683" s="24" t="str">
        <x:f>IF(D683="","",IFERROR(VLOOKUP(D683,$A$2:$B$1656,2,FALSE),""))</x:f>
        <x:v>Bodily Transformation States</x:v>
      </x:c>
      <x:c r="F683" s="24" t="n">
        <x:v>3</x:v>
      </x:c>
      <x:c r="G683" s="24" t="str">
        <x:v>A visible or hidden inscription changes abilities, obligations, fate, or bodily integrity.</x:v>
      </x:c>
      <x:c r="H683" s="24" t="str">
        <x:v>Record reversibility, agency, transmission, cost, social recognition, and identity continuity.</x:v>
      </x:c>
      <x:c r="I683" s="24" t="str">
        <x:v>curse mark; brand; seal</x:v>
      </x:c>
      <x:c r="J683" s="24" t="str">
        <x:v>Transformation, horror, empowerment, identity, embodiment, and combat-mode change.</x:v>
      </x:c>
      <x:c r="K683" s="24" t="str">
        <x:v>curse mark; brand; seal</x:v>
      </x:c>
      <x:c r="L683" s="24" t="str">
        <x:v>Preserve each source's ontology, culture, history, and terminology when making comparisons.</x:v>
      </x:c>
      <x:c r="M683" s="24" t="str">
        <x:v>Core Family</x:v>
      </x:c>
    </x:row>
    <x:row r="684" ht="44" customHeight="1">
      <x:c r="A684" s="24" t="str">
        <x:v>STA-229</x:v>
      </x:c>
      <x:c r="B684" s="24" t="str">
        <x:v>Living Weapon State</x:v>
      </x:c>
      <x:c r="C684" s="24" t="str">
        <x:v>States &amp; Transformations</x:v>
      </x:c>
      <x:c r="D684" s="24" t="str">
        <x:v>STA-200</x:v>
      </x:c>
      <x:c r="E684" s="24" t="str">
        <x:f>IF(D684="","",IFERROR(VLOOKUP(D684,$A$2:$B$1656,2,FALSE),""))</x:f>
        <x:v>Bodily Transformation States</x:v>
      </x:c>
      <x:c r="F684" s="24" t="n">
        <x:v>3</x:v>
      </x:c>
      <x:c r="G684" s="24" t="str">
        <x:v>A person becomes or can transform into a weapon, armor, or tool.</x:v>
      </x:c>
      <x:c r="H684" s="24" t="str">
        <x:v>Record reversibility, agency, transmission, cost, social recognition, and identity continuity.</x:v>
      </x:c>
      <x:c r="I684" s="24" t="str">
        <x:v>weapon form; living blade</x:v>
      </x:c>
      <x:c r="J684" s="24" t="str">
        <x:v>Transformation, horror, empowerment, identity, embodiment, and combat-mode change.</x:v>
      </x:c>
      <x:c r="K684" s="24" t="str">
        <x:v>weapon form; living blade</x:v>
      </x:c>
      <x:c r="L684" s="24" t="str">
        <x:v>Preserve each source's ontology, culture, history, and terminology when making comparisons.</x:v>
      </x:c>
      <x:c r="M684" s="24" t="str">
        <x:v>Core Family</x:v>
      </x:c>
    </x:row>
    <x:row r="685" ht="44" customHeight="1">
      <x:c r="A685" s="24" t="str">
        <x:v>STA-230</x:v>
      </x:c>
      <x:c r="B685" s="24" t="str">
        <x:v>Hybridization</x:v>
      </x:c>
      <x:c r="C685" s="24" t="str">
        <x:v>States &amp; Transformations</x:v>
      </x:c>
      <x:c r="D685" s="24" t="str">
        <x:v>STA-200</x:v>
      </x:c>
      <x:c r="E685" s="24" t="str">
        <x:f>IF(D685="","",IFERROR(VLOOKUP(D685,$A$2:$B$1656,2,FALSE),""))</x:f>
        <x:v>Bodily Transformation States</x:v>
      </x:c>
      <x:c r="F685" s="24" t="n">
        <x:v>3</x:v>
      </x:c>
      <x:c r="G685" s="24" t="str">
        <x:v>A person permanently combines biological or metaphysical traits from multiple kinds.</x:v>
      </x:c>
      <x:c r="H685" s="24" t="str">
        <x:v>Record reversibility, agency, transmission, cost, social recognition, and identity continuity.</x:v>
      </x:c>
      <x:c r="I685" s="24" t="str">
        <x:v>hybrid; splice; chimera state</x:v>
      </x:c>
      <x:c r="J685" s="24" t="str">
        <x:v>Transformation, horror, empowerment, identity, embodiment, and combat-mode change.</x:v>
      </x:c>
      <x:c r="K685" s="24" t="str">
        <x:v>hybrid; splice; chimera state</x:v>
      </x:c>
      <x:c r="L685" s="24" t="str">
        <x:v>Preserve each source's ontology, culture, history, and terminology when making comparisons.</x:v>
      </x:c>
      <x:c r="M685" s="24" t="str">
        <x:v>Core Family</x:v>
      </x:c>
    </x:row>
    <x:row r="686" ht="44" customHeight="1">
      <x:c r="A686" s="24" t="str">
        <x:v>STA-301</x:v>
      </x:c>
      <x:c r="B686" s="24" t="str">
        <x:v>Possession</x:v>
      </x:c>
      <x:c r="C686" s="24" t="str">
        <x:v>States &amp; Transformations</x:v>
      </x:c>
      <x:c r="D686" s="24" t="str">
        <x:v>STA-300</x:v>
      </x:c>
      <x:c r="E686" s="24" t="str">
        <x:f>IF(D686="","",IFERROR(VLOOKUP(D686,$A$2:$B$1656,2,FALSE),""))</x:f>
        <x:v>Spiritual and Identity States</x:v>
      </x:c>
      <x:c r="F686" s="24" t="n">
        <x:v>3</x:v>
      </x:c>
      <x:c r="G686" s="24" t="str">
        <x:v>A spirit, demon, deity, ancestor, or alien intelligence enters and influences a person.</x:v>
      </x:c>
      <x:c r="H686" s="24" t="str">
        <x:v>Record reversibility, agency, transmission, cost, social recognition, and identity continuity.</x:v>
      </x:c>
      <x:c r="I686" s="24" t="str">
        <x:v>possessed; ridden; vessel</x:v>
      </x:c>
      <x:c r="J686" s="24" t="str">
        <x:v>Agency, identity, obligation, memory, corruption, sacred status, and interpersonal metaphysics.</x:v>
      </x:c>
      <x:c r="K686" s="24" t="str">
        <x:v>possessed; ridden; vessel</x:v>
      </x:c>
      <x:c r="L686" s="24" t="str">
        <x:v>Preserve each source's ontology, culture, history, and terminology when making comparisons.</x:v>
      </x:c>
      <x:c r="M686" s="24" t="str">
        <x:v>Core Family</x:v>
      </x:c>
    </x:row>
    <x:row r="687" ht="44" customHeight="1">
      <x:c r="A687" s="24" t="str">
        <x:v>STA-302</x:v>
      </x:c>
      <x:c r="B687" s="24" t="str">
        <x:v>Co-Possession and Shared Body</x:v>
      </x:c>
      <x:c r="C687" s="24" t="str">
        <x:v>States &amp; Transformations</x:v>
      </x:c>
      <x:c r="D687" s="24" t="str">
        <x:v>STA-300</x:v>
      </x:c>
      <x:c r="E687" s="24" t="str">
        <x:f>IF(D687="","",IFERROR(VLOOKUP(D687,$A$2:$B$1656,2,FALSE),""))</x:f>
        <x:v>Spiritual and Identity States</x:v>
      </x:c>
      <x:c r="F687" s="24" t="n">
        <x:v>3</x:v>
      </x:c>
      <x:c r="G687" s="24" t="str">
        <x:v>Multiple minds or souls coexist in one body with negotiated or shifting control.</x:v>
      </x:c>
      <x:c r="H687" s="24" t="str">
        <x:v>Record reversibility, agency, transmission, cost, social recognition, and identity continuity.</x:v>
      </x:c>
      <x:c r="I687" s="24" t="str">
        <x:v>shared body; cohabitation; plural vessel</x:v>
      </x:c>
      <x:c r="J687" s="24" t="str">
        <x:v>Agency, identity, obligation, memory, corruption, sacred status, and interpersonal metaphysics.</x:v>
      </x:c>
      <x:c r="K687" s="24" t="str">
        <x:v>shared body; cohabitation; plural vessel</x:v>
      </x:c>
      <x:c r="L687" s="24" t="str">
        <x:v>Preserve each source's ontology, culture, history, and terminology when making comparisons.</x:v>
      </x:c>
      <x:c r="M687" s="24" t="str">
        <x:v>Core Family</x:v>
      </x:c>
    </x:row>
    <x:row r="688" ht="44" customHeight="1">
      <x:c r="A688" s="24" t="str">
        <x:v>STA-303</x:v>
      </x:c>
      <x:c r="B688" s="24" t="str">
        <x:v>Mind Control</x:v>
      </x:c>
      <x:c r="C688" s="24" t="str">
        <x:v>States &amp; Transformations</x:v>
      </x:c>
      <x:c r="D688" s="24" t="str">
        <x:v>STA-300</x:v>
      </x:c>
      <x:c r="E688" s="24" t="str">
        <x:f>IF(D688="","",IFERROR(VLOOKUP(D688,$A$2:$B$1656,2,FALSE),""))</x:f>
        <x:v>Spiritual and Identity States</x:v>
      </x:c>
      <x:c r="F688" s="24" t="n">
        <x:v>3</x:v>
      </x:c>
      <x:c r="G688" s="24" t="str">
        <x:v>A person's choices are externally compelled, overwritten, or constrained.</x:v>
      </x:c>
      <x:c r="H688" s="24" t="str">
        <x:v>Record reversibility, agency, transmission, cost, social recognition, and identity continuity.</x:v>
      </x:c>
      <x:c r="I688" s="24" t="str">
        <x:v>dominated; enthralled; controlled</x:v>
      </x:c>
      <x:c r="J688" s="24" t="str">
        <x:v>Agency, identity, obligation, memory, corruption, sacred status, and interpersonal metaphysics.</x:v>
      </x:c>
      <x:c r="K688" s="24" t="str">
        <x:v>dominated; enthralled; controlled</x:v>
      </x:c>
      <x:c r="L688" s="24" t="str">
        <x:v>Preserve each source's ontology, culture, history, and terminology when making comparisons.</x:v>
      </x:c>
      <x:c r="M688" s="24" t="str">
        <x:v>Core Family</x:v>
      </x:c>
    </x:row>
    <x:row r="689" ht="44" customHeight="1">
      <x:c r="A689" s="24" t="str">
        <x:v>STA-304</x:v>
      </x:c>
      <x:c r="B689" s="24" t="str">
        <x:v>Charm and Enchantment</x:v>
      </x:c>
      <x:c r="C689" s="24" t="str">
        <x:v>States &amp; Transformations</x:v>
      </x:c>
      <x:c r="D689" s="24" t="str">
        <x:v>STA-300</x:v>
      </x:c>
      <x:c r="E689" s="24" t="str">
        <x:f>IF(D689="","",IFERROR(VLOOKUP(D689,$A$2:$B$1656,2,FALSE),""))</x:f>
        <x:v>Spiritual and Identity States</x:v>
      </x:c>
      <x:c r="F689" s="24" t="n">
        <x:v>3</x:v>
      </x:c>
      <x:c r="G689" s="24" t="str">
        <x:v>A person's emotions, loyalties, perceptions, or desires are supernaturally altered.</x:v>
      </x:c>
      <x:c r="H689" s="24" t="str">
        <x:v>Record reversibility, agency, transmission, cost, social recognition, and identity continuity.</x:v>
      </x:c>
      <x:c r="I689" s="24" t="str">
        <x:v>charmed; bewitched; enchanted</x:v>
      </x:c>
      <x:c r="J689" s="24" t="str">
        <x:v>Agency, identity, obligation, memory, corruption, sacred status, and interpersonal metaphysics.</x:v>
      </x:c>
      <x:c r="K689" s="24" t="str">
        <x:v>charmed; bewitched; enchanted</x:v>
      </x:c>
      <x:c r="L689" s="24" t="str">
        <x:v>Preserve each source's ontology, culture, history, and terminology when making comparisons.</x:v>
      </x:c>
      <x:c r="M689" s="24" t="str">
        <x:v>Core Family</x:v>
      </x:c>
    </x:row>
    <x:row r="690" ht="44" customHeight="1">
      <x:c r="A690" s="24" t="str">
        <x:v>STA-305</x:v>
      </x:c>
      <x:c r="B690" s="24" t="str">
        <x:v>Memory Loss</x:v>
      </x:c>
      <x:c r="C690" s="24" t="str">
        <x:v>States &amp; Transformations</x:v>
      </x:c>
      <x:c r="D690" s="24" t="str">
        <x:v>STA-300</x:v>
      </x:c>
      <x:c r="E690" s="24" t="str">
        <x:f>IF(D690="","",IFERROR(VLOOKUP(D690,$A$2:$B$1656,2,FALSE),""))</x:f>
        <x:v>Spiritual and Identity States</x:v>
      </x:c>
      <x:c r="F690" s="24" t="n">
        <x:v>3</x:v>
      </x:c>
      <x:c r="G690" s="24" t="str">
        <x:v>Identity-relevant memory is removed, sealed, damaged, or inaccessible.</x:v>
      </x:c>
      <x:c r="H690" s="24" t="str">
        <x:v>Record reversibility, agency, transmission, cost, social recognition, and identity continuity.</x:v>
      </x:c>
      <x:c r="I690" s="24" t="str">
        <x:v>amnesia; memory seal</x:v>
      </x:c>
      <x:c r="J690" s="24" t="str">
        <x:v>Agency, identity, obligation, memory, corruption, sacred status, and interpersonal metaphysics.</x:v>
      </x:c>
      <x:c r="K690" s="24" t="str">
        <x:v>amnesia; memory seal</x:v>
      </x:c>
      <x:c r="L690" s="24" t="str">
        <x:v>Preserve each source's ontology, culture, history, and terminology when making comparisons.</x:v>
      </x:c>
      <x:c r="M690" s="24" t="str">
        <x:v>Core Family</x:v>
      </x:c>
    </x:row>
    <x:row r="691" ht="44" customHeight="1">
      <x:c r="A691" s="24" t="str">
        <x:v>STA-306</x:v>
      </x:c>
      <x:c r="B691" s="24" t="str">
        <x:v>Memory Implantation</x:v>
      </x:c>
      <x:c r="C691" s="24" t="str">
        <x:v>States &amp; Transformations</x:v>
      </x:c>
      <x:c r="D691" s="24" t="str">
        <x:v>STA-300</x:v>
      </x:c>
      <x:c r="E691" s="24" t="str">
        <x:f>IF(D691="","",IFERROR(VLOOKUP(D691,$A$2:$B$1656,2,FALSE),""))</x:f>
        <x:v>Spiritual and Identity States</x:v>
      </x:c>
      <x:c r="F691" s="24" t="n">
        <x:v>3</x:v>
      </x:c>
      <x:c r="G691" s="24" t="str">
        <x:v>False or external memories are inserted, creating altered identity or allegiance.</x:v>
      </x:c>
      <x:c r="H691" s="24" t="str">
        <x:v>Record reversibility, agency, transmission, cost, social recognition, and identity continuity.</x:v>
      </x:c>
      <x:c r="I691" s="24" t="str">
        <x:v>implanted memory; fabricated past</x:v>
      </x:c>
      <x:c r="J691" s="24" t="str">
        <x:v>Agency, identity, obligation, memory, corruption, sacred status, and interpersonal metaphysics.</x:v>
      </x:c>
      <x:c r="K691" s="24" t="str">
        <x:v>implanted memory; fabricated past</x:v>
      </x:c>
      <x:c r="L691" s="24" t="str">
        <x:v>Preserve each source's ontology, culture, history, and terminology when making comparisons.</x:v>
      </x:c>
      <x:c r="M691" s="24" t="str">
        <x:v>Core Family</x:v>
      </x:c>
    </x:row>
    <x:row r="692" ht="44" customHeight="1">
      <x:c r="A692" s="24" t="str">
        <x:v>STA-307</x:v>
      </x:c>
      <x:c r="B692" s="24" t="str">
        <x:v>Soul Bond</x:v>
      </x:c>
      <x:c r="C692" s="24" t="str">
        <x:v>States &amp; Transformations</x:v>
      </x:c>
      <x:c r="D692" s="24" t="str">
        <x:v>STA-300</x:v>
      </x:c>
      <x:c r="E692" s="24" t="str">
        <x:f>IF(D692="","",IFERROR(VLOOKUP(D692,$A$2:$B$1656,2,FALSE),""))</x:f>
        <x:v>Spiritual and Identity States</x:v>
      </x:c>
      <x:c r="F692" s="24" t="n">
        <x:v>3</x:v>
      </x:c>
      <x:c r="G692" s="24" t="str">
        <x:v>Two or more beings share life, sensation, fate, power, or mortality through a spiritual connection.</x:v>
      </x:c>
      <x:c r="H692" s="24" t="str">
        <x:v>Record reversibility, agency, transmission, cost, social recognition, and identity continuity.</x:v>
      </x:c>
      <x:c r="I692" s="24" t="str">
        <x:v>soul bond; life link; fated pair</x:v>
      </x:c>
      <x:c r="J692" s="24" t="str">
        <x:v>Agency, identity, obligation, memory, corruption, sacred status, and interpersonal metaphysics.</x:v>
      </x:c>
      <x:c r="K692" s="24" t="str">
        <x:v>soul bond; life link; fated pair</x:v>
      </x:c>
      <x:c r="L692" s="24" t="str">
        <x:v>Preserve each source's ontology, culture, history, and terminology when making comparisons.</x:v>
      </x:c>
      <x:c r="M692" s="24" t="str">
        <x:v>Core Family</x:v>
      </x:c>
    </x:row>
    <x:row r="693" ht="44" customHeight="1">
      <x:c r="A693" s="24" t="str">
        <x:v>STA-308</x:v>
      </x:c>
      <x:c r="B693" s="24" t="str">
        <x:v>Familiar Bond</x:v>
      </x:c>
      <x:c r="C693" s="24" t="str">
        <x:v>States &amp; Transformations</x:v>
      </x:c>
      <x:c r="D693" s="24" t="str">
        <x:v>STA-300</x:v>
      </x:c>
      <x:c r="E693" s="24" t="str">
        <x:f>IF(D693="","",IFERROR(VLOOKUP(D693,$A$2:$B$1656,2,FALSE),""))</x:f>
        <x:v>Spiritual and Identity States</x:v>
      </x:c>
      <x:c r="F693" s="24" t="n">
        <x:v>3</x:v>
      </x:c>
      <x:c r="G693" s="24" t="str">
        <x:v>A practitioner and companion spirit or creature share communication, power, senses, or life force.</x:v>
      </x:c>
      <x:c r="H693" s="24" t="str">
        <x:v>Record reversibility, agency, transmission, cost, social recognition, and identity continuity.</x:v>
      </x:c>
      <x:c r="I693" s="24" t="str">
        <x:v>familiar bond; companion link</x:v>
      </x:c>
      <x:c r="J693" s="24" t="str">
        <x:v>Agency, identity, obligation, memory, corruption, sacred status, and interpersonal metaphysics.</x:v>
      </x:c>
      <x:c r="K693" s="24" t="str">
        <x:v>familiar bond; companion link</x:v>
      </x:c>
      <x:c r="L693" s="24" t="str">
        <x:v>Preserve each source's ontology, culture, history, and terminology when making comparisons.</x:v>
      </x:c>
      <x:c r="M693" s="24" t="str">
        <x:v>Core Family</x:v>
      </x:c>
    </x:row>
    <x:row r="694" ht="44" customHeight="1">
      <x:c r="A694" s="24" t="str">
        <x:v>STA-309</x:v>
      </x:c>
      <x:c r="B694" s="24" t="str">
        <x:v>Oathbound State</x:v>
      </x:c>
      <x:c r="C694" s="24" t="str">
        <x:v>States &amp; Transformations</x:v>
      </x:c>
      <x:c r="D694" s="24" t="str">
        <x:v>STA-300</x:v>
      </x:c>
      <x:c r="E694" s="24" t="str">
        <x:f>IF(D694="","",IFERROR(VLOOKUP(D694,$A$2:$B$1656,2,FALSE),""))</x:f>
        <x:v>Spiritual and Identity States</x:v>
      </x:c>
      <x:c r="F694" s="24" t="n">
        <x:v>3</x:v>
      </x:c>
      <x:c r="G694" s="24" t="str">
        <x:v>A vow or geas grants power and imposes metaphysical consequences for violation.</x:v>
      </x:c>
      <x:c r="H694" s="24" t="str">
        <x:v>Record reversibility, agency, transmission, cost, social recognition, and identity continuity.</x:v>
      </x:c>
      <x:c r="I694" s="24" t="str">
        <x:v>oathbound; geas; vow</x:v>
      </x:c>
      <x:c r="J694" s="24" t="str">
        <x:v>Agency, identity, obligation, memory, corruption, sacred status, and interpersonal metaphysics.</x:v>
      </x:c>
      <x:c r="K694" s="24" t="str">
        <x:v>oathbound; geas; vow</x:v>
      </x:c>
      <x:c r="L694" s="24" t="str">
        <x:v>Preserve each source's ontology, culture, history, and terminology when making comparisons.</x:v>
      </x:c>
      <x:c r="M694" s="24" t="str">
        <x:v>Core Family</x:v>
      </x:c>
    </x:row>
    <x:row r="695" ht="44" customHeight="1">
      <x:c r="A695" s="24" t="str">
        <x:v>STA-310</x:v>
      </x:c>
      <x:c r="B695" s="24" t="str">
        <x:v>Pact-Bound State</x:v>
      </x:c>
      <x:c r="C695" s="24" t="str">
        <x:v>States &amp; Transformations</x:v>
      </x:c>
      <x:c r="D695" s="24" t="str">
        <x:v>STA-300</x:v>
      </x:c>
      <x:c r="E695" s="24" t="str">
        <x:f>IF(D695="","",IFERROR(VLOOKUP(D695,$A$2:$B$1656,2,FALSE),""))</x:f>
        <x:v>Spiritual and Identity States</x:v>
      </x:c>
      <x:c r="F695" s="24" t="n">
        <x:v>3</x:v>
      </x:c>
      <x:c r="G695" s="24" t="str">
        <x:v>A person is contractually linked to a patron, spirit, fiend, or artifact.</x:v>
      </x:c>
      <x:c r="H695" s="24" t="str">
        <x:v>Record reversibility, agency, transmission, cost, social recognition, and identity continuity.</x:v>
      </x:c>
      <x:c r="I695" s="24" t="str">
        <x:v>pactbound; warlock pact; contract</x:v>
      </x:c>
      <x:c r="J695" s="24" t="str">
        <x:v>Agency, identity, obligation, memory, corruption, sacred status, and interpersonal metaphysics.</x:v>
      </x:c>
      <x:c r="K695" s="24" t="str">
        <x:v>pactbound; warlock pact; contract</x:v>
      </x:c>
      <x:c r="L695" s="24" t="str">
        <x:v>Preserve each source's ontology, culture, history, and terminology when making comparisons.</x:v>
      </x:c>
      <x:c r="M695" s="24" t="str">
        <x:v>Core Family</x:v>
      </x:c>
    </x:row>
    <x:row r="696" ht="44" customHeight="1">
      <x:c r="A696" s="24" t="str">
        <x:v>STA-311</x:v>
      </x:c>
      <x:c r="B696" s="24" t="str">
        <x:v>Cursed State</x:v>
      </x:c>
      <x:c r="C696" s="24" t="str">
        <x:v>States &amp; Transformations</x:v>
      </x:c>
      <x:c r="D696" s="24" t="str">
        <x:v>STA-300</x:v>
      </x:c>
      <x:c r="E696" s="24" t="str">
        <x:f>IF(D696="","",IFERROR(VLOOKUP(D696,$A$2:$B$1656,2,FALSE),""))</x:f>
        <x:v>Spiritual and Identity States</x:v>
      </x:c>
      <x:c r="F696" s="24" t="n">
        <x:v>3</x:v>
      </x:c>
      <x:c r="G696" s="24" t="str">
        <x:v>A persistent hostile condition is imposed through magic, fate, taboo, inheritance, or transgression.</x:v>
      </x:c>
      <x:c r="H696" s="24" t="str">
        <x:v>Record reversibility, agency, transmission, cost, social recognition, and identity continuity.</x:v>
      </x:c>
      <x:c r="I696" s="24" t="str">
        <x:v>curse; hex; malediction</x:v>
      </x:c>
      <x:c r="J696" s="24" t="str">
        <x:v>Agency, identity, obligation, memory, corruption, sacred status, and interpersonal metaphysics.</x:v>
      </x:c>
      <x:c r="K696" s="24" t="str">
        <x:v>curse; hex; malediction</x:v>
      </x:c>
      <x:c r="L696" s="24" t="str">
        <x:v>Preserve each source's ontology, culture, history, and terminology when making comparisons.</x:v>
      </x:c>
      <x:c r="M696" s="24" t="str">
        <x:v>Core Family</x:v>
      </x:c>
    </x:row>
    <x:row r="697" ht="44" customHeight="1">
      <x:c r="A697" s="24" t="str">
        <x:v>STA-312</x:v>
      </x:c>
      <x:c r="B697" s="24" t="str">
        <x:v>Blessed State</x:v>
      </x:c>
      <x:c r="C697" s="24" t="str">
        <x:v>States &amp; Transformations</x:v>
      </x:c>
      <x:c r="D697" s="24" t="str">
        <x:v>STA-300</x:v>
      </x:c>
      <x:c r="E697" s="24" t="str">
        <x:f>IF(D697="","",IFERROR(VLOOKUP(D697,$A$2:$B$1656,2,FALSE),""))</x:f>
        <x:v>Spiritual and Identity States</x:v>
      </x:c>
      <x:c r="F697" s="24" t="n">
        <x:v>3</x:v>
      </x:c>
      <x:c r="G697" s="24" t="str">
        <x:v>A persistent beneficial condition is granted by sacred, cosmic, ancestral, or social authority.</x:v>
      </x:c>
      <x:c r="H697" s="24" t="str">
        <x:v>Record reversibility, agency, transmission, cost, social recognition, and identity continuity.</x:v>
      </x:c>
      <x:c r="I697" s="24" t="str">
        <x:v>blessing; benediction; favor</x:v>
      </x:c>
      <x:c r="J697" s="24" t="str">
        <x:v>Agency, identity, obligation, memory, corruption, sacred status, and interpersonal metaphysics.</x:v>
      </x:c>
      <x:c r="K697" s="24" t="str">
        <x:v>blessing; benediction; favor</x:v>
      </x:c>
      <x:c r="L697" s="24" t="str">
        <x:v>Preserve each source's ontology, culture, history, and terminology when making comparisons.</x:v>
      </x:c>
      <x:c r="M697" s="24" t="str">
        <x:v>Core Family</x:v>
      </x:c>
    </x:row>
    <x:row r="698" ht="44" customHeight="1">
      <x:c r="A698" s="24" t="str">
        <x:v>STA-313</x:v>
      </x:c>
      <x:c r="B698" s="24" t="str">
        <x:v>Marked by Destiny</x:v>
      </x:c>
      <x:c r="C698" s="24" t="str">
        <x:v>States &amp; Transformations</x:v>
      </x:c>
      <x:c r="D698" s="24" t="str">
        <x:v>STA-300</x:v>
      </x:c>
      <x:c r="E698" s="24" t="str">
        <x:f>IF(D698="","",IFERROR(VLOOKUP(D698,$A$2:$B$1656,2,FALSE),""))</x:f>
        <x:v>Spiritual and Identity States</x:v>
      </x:c>
      <x:c r="F698" s="24" t="n">
        <x:v>3</x:v>
      </x:c>
      <x:c r="G698" s="24" t="str">
        <x:v>A person is identified by prophecy, fate, symbol, birth sign, or cosmic role.</x:v>
      </x:c>
      <x:c r="H698" s="24" t="str">
        <x:v>Record reversibility, agency, transmission, cost, social recognition, and identity continuity.</x:v>
      </x:c>
      <x:c r="I698" s="24" t="str">
        <x:v>chosen one; destined; marked</x:v>
      </x:c>
      <x:c r="J698" s="24" t="str">
        <x:v>Agency, identity, obligation, memory, corruption, sacred status, and interpersonal metaphysics.</x:v>
      </x:c>
      <x:c r="K698" s="24" t="str">
        <x:v>chosen one; destined; marked</x:v>
      </x:c>
      <x:c r="L698" s="24" t="str">
        <x:v>Preserve each source's ontology, culture, history, and terminology when making comparisons.</x:v>
      </x:c>
      <x:c r="M698" s="24" t="str">
        <x:v>Core Family</x:v>
      </x:c>
    </x:row>
    <x:row r="699" ht="44" customHeight="1">
      <x:c r="A699" s="24" t="str">
        <x:v>STA-314</x:v>
      </x:c>
      <x:c r="B699" s="24" t="str">
        <x:v>Corrupted Mind or Soul</x:v>
      </x:c>
      <x:c r="C699" s="24" t="str">
        <x:v>States &amp; Transformations</x:v>
      </x:c>
      <x:c r="D699" s="24" t="str">
        <x:v>STA-300</x:v>
      </x:c>
      <x:c r="E699" s="24" t="str">
        <x:f>IF(D699="","",IFERROR(VLOOKUP(D699,$A$2:$B$1656,2,FALSE),""))</x:f>
        <x:v>Spiritual and Identity States</x:v>
      </x:c>
      <x:c r="F699" s="24" t="n">
        <x:v>3</x:v>
      </x:c>
      <x:c r="G699" s="24" t="str">
        <x:v>A person's values, perceptions, agency, or spiritual integrity are eroded by hostile power.</x:v>
      </x:c>
      <x:c r="H699" s="24" t="str">
        <x:v>Record reversibility, agency, transmission, cost, social recognition, and identity continuity.</x:v>
      </x:c>
      <x:c r="I699" s="24" t="str">
        <x:v>corruption; madness; taint</x:v>
      </x:c>
      <x:c r="J699" s="24" t="str">
        <x:v>Agency, identity, obligation, memory, corruption, sacred status, and interpersonal metaphysics.</x:v>
      </x:c>
      <x:c r="K699" s="24" t="str">
        <x:v>corruption; madness; taint</x:v>
      </x:c>
      <x:c r="L699" s="24" t="str">
        <x:v>Preserve each source's ontology, culture, history, and terminology when making comparisons.</x:v>
      </x:c>
      <x:c r="M699" s="24" t="str">
        <x:v>Core Family</x:v>
      </x:c>
    </x:row>
    <x:row r="700" ht="44" customHeight="1">
      <x:c r="A700" s="24" t="str">
        <x:v>STA-315</x:v>
      </x:c>
      <x:c r="B700" s="24" t="str">
        <x:v>Madness or Altered Perception</x:v>
      </x:c>
      <x:c r="C700" s="24" t="str">
        <x:v>States &amp; Transformations</x:v>
      </x:c>
      <x:c r="D700" s="24" t="str">
        <x:v>STA-300</x:v>
      </x:c>
      <x:c r="E700" s="24" t="str">
        <x:f>IF(D700="","",IFERROR(VLOOKUP(D700,$A$2:$B$1656,2,FALSE),""))</x:f>
        <x:v>Spiritual and Identity States</x:v>
      </x:c>
      <x:c r="F700" s="24" t="n">
        <x:v>3</x:v>
      </x:c>
      <x:c r="G700" s="24" t="str">
        <x:v>A person experiences reality through a destabilized or supernaturally expanded mental state.</x:v>
      </x:c>
      <x:c r="H700" s="24" t="str">
        <x:v>Record reversibility, agency, transmission, cost, social recognition, and identity continuity.</x:v>
      </x:c>
      <x:c r="I700" s="24" t="str">
        <x:v>madness; insanity; eldritch perception</x:v>
      </x:c>
      <x:c r="J700" s="24" t="str">
        <x:v>Agency, identity, obligation, memory, corruption, sacred status, and interpersonal metaphysics.</x:v>
      </x:c>
      <x:c r="K700" s="24" t="str">
        <x:v>madness; insanity; eldritch perception</x:v>
      </x:c>
      <x:c r="L700" s="24" t="str">
        <x:v>Avoid using mental illness as shorthand for evil or cosmic insight; distinguish clinical, magical, and narrative states.</x:v>
      </x:c>
      <x:c r="M700" s="24" t="str">
        <x:v>Core Family</x:v>
      </x:c>
    </x:row>
    <x:row r="701" ht="44" customHeight="1">
      <x:c r="A701" s="24" t="str">
        <x:v>STA-316</x:v>
      </x:c>
      <x:c r="B701" s="24" t="str">
        <x:v>Ascension</x:v>
      </x:c>
      <x:c r="C701" s="24" t="str">
        <x:v>States &amp; Transformations</x:v>
      </x:c>
      <x:c r="D701" s="24" t="str">
        <x:v>STA-300</x:v>
      </x:c>
      <x:c r="E701" s="24" t="str">
        <x:f>IF(D701="","",IFERROR(VLOOKUP(D701,$A$2:$B$1656,2,FALSE),""))</x:f>
        <x:v>Spiritual and Identity States</x:v>
      </x:c>
      <x:c r="F701" s="24" t="n">
        <x:v>3</x:v>
      </x:c>
      <x:c r="G701" s="24" t="str">
        <x:v>A person crosses into a higher metaphysical, divine, immortal, or cosmological state.</x:v>
      </x:c>
      <x:c r="H701" s="24" t="str">
        <x:v>Record reversibility, agency, transmission, cost, social recognition, and identity continuity.</x:v>
      </x:c>
      <x:c r="I701" s="24" t="str">
        <x:v>ascended; apotheosis; transcendence</x:v>
      </x:c>
      <x:c r="J701" s="24" t="str">
        <x:v>Agency, identity, obligation, memory, corruption, sacred status, and interpersonal metaphysics.</x:v>
      </x:c>
      <x:c r="K701" s="24" t="str">
        <x:v>ascended; apotheosis; transcendence</x:v>
      </x:c>
      <x:c r="L701" s="24" t="str">
        <x:v>Preserve each source's ontology, culture, history, and terminology when making comparisons.</x:v>
      </x:c>
      <x:c r="M701" s="24" t="str">
        <x:v>Core Family</x:v>
      </x:c>
    </x:row>
    <x:row r="702" ht="44" customHeight="1">
      <x:c r="A702" s="24" t="str">
        <x:v>STA-317</x:v>
      </x:c>
      <x:c r="B702" s="24" t="str">
        <x:v>Fall or Spiritual Inversion</x:v>
      </x:c>
      <x:c r="C702" s="24" t="str">
        <x:v>States &amp; Transformations</x:v>
      </x:c>
      <x:c r="D702" s="24" t="str">
        <x:v>STA-300</x:v>
      </x:c>
      <x:c r="E702" s="24" t="str">
        <x:f>IF(D702="","",IFERROR(VLOOKUP(D702,$A$2:$B$1656,2,FALSE),""))</x:f>
        <x:v>Spiritual and Identity States</x:v>
      </x:c>
      <x:c r="F702" s="24" t="n">
        <x:v>3</x:v>
      </x:c>
      <x:c r="G702" s="24" t="str">
        <x:v>A sacred, heroic, or ordered being becomes corrupted, exiled, demonic, or opposed to former purpose.</x:v>
      </x:c>
      <x:c r="H702" s="24" t="str">
        <x:v>Record reversibility, agency, transmission, cost, social recognition, and identity continuity.</x:v>
      </x:c>
      <x:c r="I702" s="24" t="str">
        <x:v>fallen; corrupted angel; dark transformation</x:v>
      </x:c>
      <x:c r="J702" s="24" t="str">
        <x:v>Agency, identity, obligation, memory, corruption, sacred status, and interpersonal metaphysics.</x:v>
      </x:c>
      <x:c r="K702" s="24" t="str">
        <x:v>fallen; corrupted angel; dark transformation</x:v>
      </x:c>
      <x:c r="L702" s="24" t="str">
        <x:v>Preserve each source's ontology, culture, history, and terminology when making comparisons.</x:v>
      </x:c>
      <x:c r="M702" s="24" t="str">
        <x:v>Core Family</x:v>
      </x:c>
    </x:row>
    <x:row r="703" ht="44" customHeight="1">
      <x:c r="A703" s="24" t="str">
        <x:v>STA-318</x:v>
      </x:c>
      <x:c r="B703" s="24" t="str">
        <x:v>Awakening</x:v>
      </x:c>
      <x:c r="C703" s="24" t="str">
        <x:v>States &amp; Transformations</x:v>
      </x:c>
      <x:c r="D703" s="24" t="str">
        <x:v>STA-300</x:v>
      </x:c>
      <x:c r="E703" s="24" t="str">
        <x:f>IF(D703="","",IFERROR(VLOOKUP(D703,$A$2:$B$1656,2,FALSE),""))</x:f>
        <x:v>Spiritual and Identity States</x:v>
      </x:c>
      <x:c r="F703" s="24" t="n">
        <x:v>3</x:v>
      </x:c>
      <x:c r="G703" s="24" t="str">
        <x:v>Dormant power, memory, species identity, or cosmic role becomes active.</x:v>
      </x:c>
      <x:c r="H703" s="24" t="str">
        <x:v>Record reversibility, agency, transmission, cost, social recognition, and identity continuity.</x:v>
      </x:c>
      <x:c r="I703" s="24" t="str">
        <x:v>awakening; power activation; true self</x:v>
      </x:c>
      <x:c r="J703" s="24" t="str">
        <x:v>Agency, identity, obligation, memory, corruption, sacred status, and interpersonal metaphysics.</x:v>
      </x:c>
      <x:c r="K703" s="24" t="str">
        <x:v>awakening; power activation; true self</x:v>
      </x:c>
      <x:c r="L703" s="24" t="str">
        <x:v>Preserve each source's ontology, culture, history, and terminology when making comparisons.</x:v>
      </x:c>
      <x:c r="M703" s="24" t="str">
        <x:v>Core Family</x:v>
      </x:c>
    </x:row>
    <x:row r="704" ht="44" customHeight="1">
      <x:c r="A704" s="24" t="str">
        <x:v>STA-319</x:v>
      </x:c>
      <x:c r="B704" s="24" t="str">
        <x:v>Sealed Power</x:v>
      </x:c>
      <x:c r="C704" s="24" t="str">
        <x:v>States &amp; Transformations</x:v>
      </x:c>
      <x:c r="D704" s="24" t="str">
        <x:v>STA-300</x:v>
      </x:c>
      <x:c r="E704" s="24" t="str">
        <x:f>IF(D704="","",IFERROR(VLOOKUP(D704,$A$2:$B$1656,2,FALSE),""))</x:f>
        <x:v>Spiritual and Identity States</x:v>
      </x:c>
      <x:c r="F704" s="24" t="n">
        <x:v>3</x:v>
      </x:c>
      <x:c r="G704" s="24" t="str">
        <x:v>A person's abilities, identity, memories, or dangerous entity are suppressed by a seal.</x:v>
      </x:c>
      <x:c r="H704" s="24" t="str">
        <x:v>Record reversibility, agency, transmission, cost, social recognition, and identity continuity.</x:v>
      </x:c>
      <x:c r="I704" s="24" t="str">
        <x:v>sealed; bound power; limiter</x:v>
      </x:c>
      <x:c r="J704" s="24" t="str">
        <x:v>Agency, identity, obligation, memory, corruption, sacred status, and interpersonal metaphysics.</x:v>
      </x:c>
      <x:c r="K704" s="24" t="str">
        <x:v>sealed; bound power; limiter</x:v>
      </x:c>
      <x:c r="L704" s="24" t="str">
        <x:v>Preserve each source's ontology, culture, history, and terminology when making comparisons.</x:v>
      </x:c>
      <x:c r="M704" s="24" t="str">
        <x:v>Core Family</x:v>
      </x:c>
    </x:row>
    <x:row r="705" ht="44" customHeight="1">
      <x:c r="A705" s="24" t="str">
        <x:v>STA-320</x:v>
      </x:c>
      <x:c r="B705" s="24" t="str">
        <x:v>Fragmented Identity</x:v>
      </x:c>
      <x:c r="C705" s="24" t="str">
        <x:v>States &amp; Transformations</x:v>
      </x:c>
      <x:c r="D705" s="24" t="str">
        <x:v>STA-300</x:v>
      </x:c>
      <x:c r="E705" s="24" t="str">
        <x:f>IF(D705="","",IFERROR(VLOOKUP(D705,$A$2:$B$1656,2,FALSE),""))</x:f>
        <x:v>Spiritual and Identity States</x:v>
      </x:c>
      <x:c r="F705" s="24" t="n">
        <x:v>3</x:v>
      </x:c>
      <x:c r="G705" s="24" t="str">
        <x:v>A person contains separated personas, reincarnated selves, clones, echoes, or magical partitions.</x:v>
      </x:c>
      <x:c r="H705" s="24" t="str">
        <x:v>Record reversibility, agency, transmission, cost, social recognition, and identity continuity.</x:v>
      </x:c>
      <x:c r="I705" s="24" t="str">
        <x:v>split identity; multiple selves; shard</x:v>
      </x:c>
      <x:c r="J705" s="24" t="str">
        <x:v>Agency, identity, obligation, memory, corruption, sacred status, and interpersonal metaphysics.</x:v>
      </x:c>
      <x:c r="K705" s="24" t="str">
        <x:v>split identity; multiple selves; shard</x:v>
      </x:c>
      <x:c r="L705" s="24" t="str">
        <x:v>Preserve each source's ontology, culture, history, and terminology when making comparisons.</x:v>
      </x:c>
      <x:c r="M705" s="24" t="str">
        <x:v>Core Family</x:v>
      </x:c>
    </x:row>
    <x:row r="706" ht="44" customHeight="1">
      <x:c r="A706" s="24" t="str">
        <x:v>STA-321</x:v>
      </x:c>
      <x:c r="B706" s="24" t="str">
        <x:v>Merged Identity</x:v>
      </x:c>
      <x:c r="C706" s="24" t="str">
        <x:v>States &amp; Transformations</x:v>
      </x:c>
      <x:c r="D706" s="24" t="str">
        <x:v>STA-300</x:v>
      </x:c>
      <x:c r="E706" s="24" t="str">
        <x:f>IF(D706="","",IFERROR(VLOOKUP(D706,$A$2:$B$1656,2,FALSE),""))</x:f>
        <x:v>Spiritual and Identity States</x:v>
      </x:c>
      <x:c r="F706" s="24" t="n">
        <x:v>3</x:v>
      </x:c>
      <x:c r="G706" s="24" t="str">
        <x:v>Multiple persons, souls, memories, or timelines fuse into one continuing self.</x:v>
      </x:c>
      <x:c r="H706" s="24" t="str">
        <x:v>Record reversibility, agency, transmission, cost, social recognition, and identity continuity.</x:v>
      </x:c>
      <x:c r="I706" s="24" t="str">
        <x:v>fusion; gestalt; composite self</x:v>
      </x:c>
      <x:c r="J706" s="24" t="str">
        <x:v>Agency, identity, obligation, memory, corruption, sacred status, and interpersonal metaphysics.</x:v>
      </x:c>
      <x:c r="K706" s="24" t="str">
        <x:v>fusion; gestalt; composite self</x:v>
      </x:c>
      <x:c r="L706" s="24" t="str">
        <x:v>Preserve each source's ontology, culture, history, and terminology when making comparisons.</x:v>
      </x:c>
      <x:c r="M706" s="24" t="str">
        <x:v>Core Family</x:v>
      </x:c>
    </x:row>
    <x:row r="707" ht="44" customHeight="1">
      <x:c r="A707" s="24" t="str">
        <x:v>STA-322</x:v>
      </x:c>
      <x:c r="B707" s="24" t="str">
        <x:v>Name Loss or Identity Erasure</x:v>
      </x:c>
      <x:c r="C707" s="24" t="str">
        <x:v>States &amp; Transformations</x:v>
      </x:c>
      <x:c r="D707" s="24" t="str">
        <x:v>STA-300</x:v>
      </x:c>
      <x:c r="E707" s="24" t="str">
        <x:f>IF(D707="","",IFERROR(VLOOKUP(D707,$A$2:$B$1656,2,FALSE),""))</x:f>
        <x:v>Spiritual and Identity States</x:v>
      </x:c>
      <x:c r="F707" s="24" t="n">
        <x:v>3</x:v>
      </x:c>
      <x:c r="G707" s="24" t="str">
        <x:v>A person's name, social existence, memory in others, or metaphysical identity is removed.</x:v>
      </x:c>
      <x:c r="H707" s="24" t="str">
        <x:v>Record reversibility, agency, transmission, cost, social recognition, and identity continuity.</x:v>
      </x:c>
      <x:c r="I707" s="24" t="str">
        <x:v>nameless; erased; forgotten</x:v>
      </x:c>
      <x:c r="J707" s="24" t="str">
        <x:v>Agency, identity, obligation, memory, corruption, sacred status, and interpersonal metaphysics.</x:v>
      </x:c>
      <x:c r="K707" s="24" t="str">
        <x:v>nameless; erased; forgotten</x:v>
      </x:c>
      <x:c r="L707" s="24" t="str">
        <x:v>Preserve each source's ontology, culture, history, and terminology when making comparisons.</x:v>
      </x:c>
      <x:c r="M707" s="24" t="str">
        <x:v>Core Family</x:v>
      </x:c>
    </x:row>
    <x:row r="708" ht="44" customHeight="1">
      <x:c r="A708" s="24" t="str">
        <x:v>STA-323</x:v>
      </x:c>
      <x:c r="B708" s="24" t="str">
        <x:v>True-Name Binding</x:v>
      </x:c>
      <x:c r="C708" s="24" t="str">
        <x:v>States &amp; Transformations</x:v>
      </x:c>
      <x:c r="D708" s="24" t="str">
        <x:v>STA-300</x:v>
      </x:c>
      <x:c r="E708" s="24" t="str">
        <x:f>IF(D708="","",IFERROR(VLOOKUP(D708,$A$2:$B$1656,2,FALSE),""))</x:f>
        <x:v>Spiritual and Identity States</x:v>
      </x:c>
      <x:c r="F708" s="24" t="n">
        <x:v>3</x:v>
      </x:c>
      <x:c r="G708" s="24" t="str">
        <x:v>Knowledge or ownership of a true name constrains or empowers another being.</x:v>
      </x:c>
      <x:c r="H708" s="24" t="str">
        <x:v>Record reversibility, agency, transmission, cost, social recognition, and identity continuity.</x:v>
      </x:c>
      <x:c r="I708" s="24" t="str">
        <x:v>name-bound; true-name pact</x:v>
      </x:c>
      <x:c r="J708" s="24" t="str">
        <x:v>Agency, identity, obligation, memory, corruption, sacred status, and interpersonal metaphysics.</x:v>
      </x:c>
      <x:c r="K708" s="24" t="str">
        <x:v>name-bound; true-name pact</x:v>
      </x:c>
      <x:c r="L708" s="24" t="str">
        <x:v>Preserve each source's ontology, culture, history, and terminology when making comparisons.</x:v>
      </x:c>
      <x:c r="M708" s="24" t="str">
        <x:v>Core Family</x:v>
      </x:c>
    </x:row>
    <x:row r="709" ht="44" customHeight="1">
      <x:c r="A709" s="24" t="str">
        <x:v>STA-324</x:v>
      </x:c>
      <x:c r="B709" s="24" t="str">
        <x:v>Soul Debt</x:v>
      </x:c>
      <x:c r="C709" s="24" t="str">
        <x:v>States &amp; Transformations</x:v>
      </x:c>
      <x:c r="D709" s="24" t="str">
        <x:v>STA-300</x:v>
      </x:c>
      <x:c r="E709" s="24" t="str">
        <x:f>IF(D709="","",IFERROR(VLOOKUP(D709,$A$2:$B$1656,2,FALSE),""))</x:f>
        <x:v>Spiritual and Identity States</x:v>
      </x:c>
      <x:c r="F709" s="24" t="n">
        <x:v>3</x:v>
      </x:c>
      <x:c r="G709" s="24" t="str">
        <x:v>A person's soul, afterlife, reincarnation, or service is owed under contract or judgment.</x:v>
      </x:c>
      <x:c r="H709" s="24" t="str">
        <x:v>Record reversibility, agency, transmission, cost, social recognition, and identity continuity.</x:v>
      </x:c>
      <x:c r="I709" s="24" t="str">
        <x:v>soul debt; damned; claimed</x:v>
      </x:c>
      <x:c r="J709" s="24" t="str">
        <x:v>Agency, identity, obligation, memory, corruption, sacred status, and interpersonal metaphysics.</x:v>
      </x:c>
      <x:c r="K709" s="24" t="str">
        <x:v>soul debt; damned; claimed</x:v>
      </x:c>
      <x:c r="L709" s="24" t="str">
        <x:v>Preserve each source's ontology, culture, history, and terminology when making comparisons.</x:v>
      </x:c>
      <x:c r="M709" s="24" t="str">
        <x:v>Core Family</x:v>
      </x:c>
    </x:row>
    <x:row r="710" ht="44" customHeight="1">
      <x:c r="A710" s="24" t="str">
        <x:v>STA-325</x:v>
      </x:c>
      <x:c r="B710" s="24" t="str">
        <x:v>Haunted State</x:v>
      </x:c>
      <x:c r="C710" s="24" t="str">
        <x:v>States &amp; Transformations</x:v>
      </x:c>
      <x:c r="D710" s="24" t="str">
        <x:v>STA-300</x:v>
      </x:c>
      <x:c r="E710" s="24" t="str">
        <x:f>IF(D710="","",IFERROR(VLOOKUP(D710,$A$2:$B$1656,2,FALSE),""))</x:f>
        <x:v>Spiritual and Identity States</x:v>
      </x:c>
      <x:c r="F710" s="24" t="n">
        <x:v>3</x:v>
      </x:c>
      <x:c r="G710" s="24" t="str">
        <x:v>A living person or place is persistently accompanied or affected by the dead.</x:v>
      </x:c>
      <x:c r="H710" s="24" t="str">
        <x:v>Record reversibility, agency, transmission, cost, social recognition, and identity continuity.</x:v>
      </x:c>
      <x:c r="I710" s="24" t="str">
        <x:v>haunted; ghost-bound</x:v>
      </x:c>
      <x:c r="J710" s="24" t="str">
        <x:v>Agency, identity, obligation, memory, corruption, sacred status, and interpersonal metaphysics.</x:v>
      </x:c>
      <x:c r="K710" s="24" t="str">
        <x:v>haunted; ghost-bound</x:v>
      </x:c>
      <x:c r="L710" s="24" t="str">
        <x:v>Preserve each source's ontology, culture, history, and terminology when making comparisons.</x:v>
      </x:c>
      <x:c r="M710" s="24" t="str">
        <x:v>Core Family</x:v>
      </x:c>
    </x:row>
    <x:row r="711" ht="44" customHeight="1">
      <x:c r="A711" s="24" t="str">
        <x:v>STA-326</x:v>
      </x:c>
      <x:c r="B711" s="24" t="str">
        <x:v>Channeling State</x:v>
      </x:c>
      <x:c r="C711" s="24" t="str">
        <x:v>States &amp; Transformations</x:v>
      </x:c>
      <x:c r="D711" s="24" t="str">
        <x:v>STA-300</x:v>
      </x:c>
      <x:c r="E711" s="24" t="str">
        <x:f>IF(D711="","",IFERROR(VLOOKUP(D711,$A$2:$B$1656,2,FALSE),""))</x:f>
        <x:v>Spiritual and Identity States</x:v>
      </x:c>
      <x:c r="F711" s="24" t="n">
        <x:v>3</x:v>
      </x:c>
      <x:c r="G711" s="24" t="str">
        <x:v>A person temporarily allows a spirit, deity, ancestor, or archetypal power to act through them.</x:v>
      </x:c>
      <x:c r="H711" s="24" t="str">
        <x:v>Record reversibility, agency, transmission, cost, social recognition, and identity continuity.</x:v>
      </x:c>
      <x:c r="I711" s="24" t="str">
        <x:v>channeling; invocation; mounted by spirit</x:v>
      </x:c>
      <x:c r="J711" s="24" t="str">
        <x:v>Agency, identity, obligation, memory, corruption, sacred status, and interpersonal metaphysics.</x:v>
      </x:c>
      <x:c r="K711" s="24" t="str">
        <x:v>channeling; invocation; mounted by spirit</x:v>
      </x:c>
      <x:c r="L711" s="24" t="str">
        <x:v>Preserve each source's ontology, culture, history, and terminology when making comparisons.</x:v>
      </x:c>
      <x:c r="M711" s="24" t="str">
        <x:v>Core Family</x:v>
      </x:c>
    </x:row>
    <x:row r="712" ht="44" customHeight="1">
      <x:c r="A712" s="24" t="str">
        <x:v>STA-401</x:v>
      </x:c>
      <x:c r="B712" s="24" t="str">
        <x:v>Chosen Champion</x:v>
      </x:c>
      <x:c r="C712" s="24" t="str">
        <x:v>States &amp; Transformations</x:v>
      </x:c>
      <x:c r="D712" s="24" t="str">
        <x:v>STA-400</x:v>
      </x:c>
      <x:c r="E712" s="24" t="str">
        <x:f>IF(D712="","",IFERROR(VLOOKUP(D712,$A$2:$B$1656,2,FALSE),""))</x:f>
        <x:v>Empowerment, Bond, and Alignment States</x:v>
      </x:c>
      <x:c r="F712" s="24" t="n">
        <x:v>3</x:v>
      </x:c>
      <x:c r="G712" s="24" t="str">
        <x:v>A person is formally selected by deity, artifact, institution, prophecy, or people to bear power and responsibility.</x:v>
      </x:c>
      <x:c r="H712" s="24" t="str">
        <x:v>Record reversibility, agency, transmission, cost, social recognition, and identity continuity.</x:v>
      </x:c>
      <x:c r="I712" s="24" t="str">
        <x:v>chosen; champion; bearer</x:v>
      </x:c>
      <x:c r="J712" s="24" t="str">
        <x:v>Status, access, duty, progression, patronage, and role-based empowerment.</x:v>
      </x:c>
      <x:c r="K712" s="24" t="str">
        <x:v>chosen; champion; bearer</x:v>
      </x:c>
      <x:c r="L712" s="24" t="str">
        <x:v>Preserve each source's ontology, culture, history, and terminology when making comparisons.</x:v>
      </x:c>
      <x:c r="M712" s="24" t="str">
        <x:v>Core Family</x:v>
      </x:c>
    </x:row>
    <x:row r="713" ht="44" customHeight="1">
      <x:c r="A713" s="24" t="str">
        <x:v>STA-402</x:v>
      </x:c>
      <x:c r="B713" s="24" t="str">
        <x:v>Relic Bearer</x:v>
      </x:c>
      <x:c r="C713" s="24" t="str">
        <x:v>States &amp; Transformations</x:v>
      </x:c>
      <x:c r="D713" s="24" t="str">
        <x:v>STA-400</x:v>
      </x:c>
      <x:c r="E713" s="24" t="str">
        <x:f>IF(D713="","",IFERROR(VLOOKUP(D713,$A$2:$B$1656,2,FALSE),""))</x:f>
        <x:v>Empowerment, Bond, and Alignment States</x:v>
      </x:c>
      <x:c r="F713" s="24" t="n">
        <x:v>3</x:v>
      </x:c>
      <x:c r="G713" s="24" t="str">
        <x:v>A person's role and abilities depend on possession or acceptance by a unique artifact.</x:v>
      </x:c>
      <x:c r="H713" s="24" t="str">
        <x:v>Record reversibility, agency, transmission, cost, social recognition, and identity continuity.</x:v>
      </x:c>
      <x:c r="I713" s="24" t="str">
        <x:v>ring bearer; sword bearer; relic host</x:v>
      </x:c>
      <x:c r="J713" s="24" t="str">
        <x:v>Status, access, duty, progression, patronage, and role-based empowerment.</x:v>
      </x:c>
      <x:c r="K713" s="24" t="str">
        <x:v>ring bearer; sword bearer; relic host</x:v>
      </x:c>
      <x:c r="L713" s="24" t="str">
        <x:v>Preserve each source's ontology, culture, history, and terminology when making comparisons.</x:v>
      </x:c>
      <x:c r="M713" s="24" t="str">
        <x:v>Core Family</x:v>
      </x:c>
    </x:row>
    <x:row r="714" ht="44" customHeight="1">
      <x:c r="A714" s="24" t="str">
        <x:v>STA-403</x:v>
      </x:c>
      <x:c r="B714" s="24" t="str">
        <x:v>Crowned or Invested Sovereign</x:v>
      </x:c>
      <x:c r="C714" s="24" t="str">
        <x:v>States &amp; Transformations</x:v>
      </x:c>
      <x:c r="D714" s="24" t="str">
        <x:v>STA-400</x:v>
      </x:c>
      <x:c r="E714" s="24" t="str">
        <x:f>IF(D714="","",IFERROR(VLOOKUP(D714,$A$2:$B$1656,2,FALSE),""))</x:f>
        <x:v>Empowerment, Bond, and Alignment States</x:v>
      </x:c>
      <x:c r="F714" s="24" t="n">
        <x:v>3</x:v>
      </x:c>
      <x:c r="G714" s="24" t="str">
        <x:v>A ruler gains metaphysical or magical authority through coronation, mantle, office, or regalia.</x:v>
      </x:c>
      <x:c r="H714" s="24" t="str">
        <x:v>Record reversibility, agency, transmission, cost, social recognition, and identity continuity.</x:v>
      </x:c>
      <x:c r="I714" s="24" t="str">
        <x:v>invested king; crown-bonded; mantle</x:v>
      </x:c>
      <x:c r="J714" s="24" t="str">
        <x:v>Status, access, duty, progression, patronage, and role-based empowerment.</x:v>
      </x:c>
      <x:c r="K714" s="24" t="str">
        <x:v>invested king; crown-bonded; mantle</x:v>
      </x:c>
      <x:c r="L714" s="24" t="str">
        <x:v>Preserve each source's ontology, culture, history, and terminology when making comparisons.</x:v>
      </x:c>
      <x:c r="M714" s="24" t="str">
        <x:v>Core Family</x:v>
      </x:c>
    </x:row>
    <x:row r="715" ht="44" customHeight="1">
      <x:c r="A715" s="24" t="str">
        <x:v>STA-404</x:v>
      </x:c>
      <x:c r="B715" s="24" t="str">
        <x:v>Class Awakening</x:v>
      </x:c>
      <x:c r="C715" s="24" t="str">
        <x:v>States &amp; Transformations</x:v>
      </x:c>
      <x:c r="D715" s="24" t="str">
        <x:v>STA-400</x:v>
      </x:c>
      <x:c r="E715" s="24" t="str">
        <x:f>IF(D715="","",IFERROR(VLOOKUP(D715,$A$2:$B$1656,2,FALSE),""))</x:f>
        <x:v>Empowerment, Bond, and Alignment States</x:v>
      </x:c>
      <x:c r="F715" s="24" t="n">
        <x:v>3</x:v>
      </x:c>
      <x:c r="G715" s="24" t="str">
        <x:v>A formal class, job, or vocation becomes available through system recognition or personal breakthrough.</x:v>
      </x:c>
      <x:c r="H715" s="24" t="str">
        <x:v>Record reversibility, agency, transmission, cost, social recognition, and identity continuity.</x:v>
      </x:c>
      <x:c r="I715" s="24" t="str">
        <x:v>class awakening; job unlock</x:v>
      </x:c>
      <x:c r="J715" s="24" t="str">
        <x:v>Status, access, duty, progression, patronage, and role-based empowerment.</x:v>
      </x:c>
      <x:c r="K715" s="24" t="str">
        <x:v>class awakening; job unlock</x:v>
      </x:c>
      <x:c r="L715" s="24" t="str">
        <x:v>Preserve each source's ontology, culture, history, and terminology when making comparisons.</x:v>
      </x:c>
      <x:c r="M715" s="24" t="str">
        <x:v>Core Family</x:v>
      </x:c>
    </x:row>
    <x:row r="716" ht="44" customHeight="1">
      <x:c r="A716" s="24" t="str">
        <x:v>STA-405</x:v>
      </x:c>
      <x:c r="B716" s="24" t="str">
        <x:v>Hidden-Class State</x:v>
      </x:c>
      <x:c r="C716" s="24" t="str">
        <x:v>States &amp; Transformations</x:v>
      </x:c>
      <x:c r="D716" s="24" t="str">
        <x:v>STA-400</x:v>
      </x:c>
      <x:c r="E716" s="24" t="str">
        <x:f>IF(D716="","",IFERROR(VLOOKUP(D716,$A$2:$B$1656,2,FALSE),""))</x:f>
        <x:v>Empowerment, Bond, and Alignment States</x:v>
      </x:c>
      <x:c r="F716" s="24" t="n">
        <x:v>3</x:v>
      </x:c>
      <x:c r="G716" s="24" t="str">
        <x:v>A rare or unique class is acquired under exceptional conditions.</x:v>
      </x:c>
      <x:c r="H716" s="24" t="str">
        <x:v>Record reversibility, agency, transmission, cost, social recognition, and identity continuity.</x:v>
      </x:c>
      <x:c r="I716" s="24" t="str">
        <x:v>hidden class; unique profession</x:v>
      </x:c>
      <x:c r="J716" s="24" t="str">
        <x:v>Status, access, duty, progression, patronage, and role-based empowerment.</x:v>
      </x:c>
      <x:c r="K716" s="24" t="str">
        <x:v>hidden class; unique profession</x:v>
      </x:c>
      <x:c r="L716" s="24" t="str">
        <x:v>Preserve each source's ontology, culture, history, and terminology when making comparisons.</x:v>
      </x:c>
      <x:c r="M716" s="24" t="str">
        <x:v>Core Family</x:v>
      </x:c>
    </x:row>
    <x:row r="717" ht="44" customHeight="1">
      <x:c r="A717" s="24" t="str">
        <x:v>STA-406</x:v>
      </x:c>
      <x:c r="B717" s="24" t="str">
        <x:v>Divine Favor</x:v>
      </x:c>
      <x:c r="C717" s="24" t="str">
        <x:v>States &amp; Transformations</x:v>
      </x:c>
      <x:c r="D717" s="24" t="str">
        <x:v>STA-400</x:v>
      </x:c>
      <x:c r="E717" s="24" t="str">
        <x:f>IF(D717="","",IFERROR(VLOOKUP(D717,$A$2:$B$1656,2,FALSE),""))</x:f>
        <x:v>Empowerment, Bond, and Alignment States</x:v>
      </x:c>
      <x:c r="F717" s="24" t="n">
        <x:v>3</x:v>
      </x:c>
      <x:c r="G717" s="24" t="str">
        <x:v>A deity or sacred power actively supports, protects, or empowers a person.</x:v>
      </x:c>
      <x:c r="H717" s="24" t="str">
        <x:v>Record reversibility, agency, transmission, cost, social recognition, and identity continuity.</x:v>
      </x:c>
      <x:c r="I717" s="24" t="str">
        <x:v>favored; blessed; god-touched</x:v>
      </x:c>
      <x:c r="J717" s="24" t="str">
        <x:v>Status, access, duty, progression, patronage, and role-based empowerment.</x:v>
      </x:c>
      <x:c r="K717" s="24" t="str">
        <x:v>favored; blessed; god-touched</x:v>
      </x:c>
      <x:c r="L717" s="24" t="str">
        <x:v>Preserve each source's ontology, culture, history, and terminology when making comparisons.</x:v>
      </x:c>
      <x:c r="M717" s="24" t="str">
        <x:v>Core Family</x:v>
      </x:c>
    </x:row>
    <x:row r="718" ht="44" customHeight="1">
      <x:c r="A718" s="24" t="str">
        <x:v>STA-407</x:v>
      </x:c>
      <x:c r="B718" s="24" t="str">
        <x:v>Divine Disfavor</x:v>
      </x:c>
      <x:c r="C718" s="24" t="str">
        <x:v>States &amp; Transformations</x:v>
      </x:c>
      <x:c r="D718" s="24" t="str">
        <x:v>STA-400</x:v>
      </x:c>
      <x:c r="E718" s="24" t="str">
        <x:f>IF(D718="","",IFERROR(VLOOKUP(D718,$A$2:$B$1656,2,FALSE),""))</x:f>
        <x:v>Empowerment, Bond, and Alignment States</x:v>
      </x:c>
      <x:c r="F718" s="24" t="n">
        <x:v>3</x:v>
      </x:c>
      <x:c r="G718" s="24" t="str">
        <x:v>A deity or sacred order withdraws power, curses, exiles, or marks a person.</x:v>
      </x:c>
      <x:c r="H718" s="24" t="str">
        <x:v>Record reversibility, agency, transmission, cost, social recognition, and identity continuity.</x:v>
      </x:c>
      <x:c r="I718" s="24" t="str">
        <x:v>forsaken; cursed by god; fallen from grace</x:v>
      </x:c>
      <x:c r="J718" s="24" t="str">
        <x:v>Status, access, duty, progression, patronage, and role-based empowerment.</x:v>
      </x:c>
      <x:c r="K718" s="24" t="str">
        <x:v>forsaken; cursed by god; fallen from grace</x:v>
      </x:c>
      <x:c r="L718" s="24" t="str">
        <x:v>Preserve each source's ontology, culture, history, and terminology when making comparisons.</x:v>
      </x:c>
      <x:c r="M718" s="24" t="str">
        <x:v>Core Family</x:v>
      </x:c>
    </x:row>
    <x:row r="719" ht="44" customHeight="1">
      <x:c r="A719" s="24" t="str">
        <x:v>STA-408</x:v>
      </x:c>
      <x:c r="B719" s="24" t="str">
        <x:v>Elemental Bond</x:v>
      </x:c>
      <x:c r="C719" s="24" t="str">
        <x:v>States &amp; Transformations</x:v>
      </x:c>
      <x:c r="D719" s="24" t="str">
        <x:v>STA-400</x:v>
      </x:c>
      <x:c r="E719" s="24" t="str">
        <x:f>IF(D719="","",IFERROR(VLOOKUP(D719,$A$2:$B$1656,2,FALSE),""))</x:f>
        <x:v>Empowerment, Bond, and Alignment States</x:v>
      </x:c>
      <x:c r="F719" s="24" t="n">
        <x:v>3</x:v>
      </x:c>
      <x:c r="G719" s="24" t="str">
        <x:v>A person forms a persistent connection with an elemental, spirit, or natural domain.</x:v>
      </x:c>
      <x:c r="H719" s="24" t="str">
        <x:v>Record reversibility, agency, transmission, cost, social recognition, and identity continuity.</x:v>
      </x:c>
      <x:c r="I719" s="24" t="str">
        <x:v>element-bonded; fire chosen; tidebound</x:v>
      </x:c>
      <x:c r="J719" s="24" t="str">
        <x:v>Status, access, duty, progression, patronage, and role-based empowerment.</x:v>
      </x:c>
      <x:c r="K719" s="24" t="str">
        <x:v>element-bonded; fire chosen; tidebound</x:v>
      </x:c>
      <x:c r="L719" s="24" t="str">
        <x:v>Preserve each source's ontology, culture, history, and terminology when making comparisons.</x:v>
      </x:c>
      <x:c r="M719" s="24" t="str">
        <x:v>Core Family</x:v>
      </x:c>
    </x:row>
    <x:row r="720" ht="44" customHeight="1">
      <x:c r="A720" s="24" t="str">
        <x:v>STA-409</x:v>
      </x:c>
      <x:c r="B720" s="24" t="str">
        <x:v>Dragon Bond</x:v>
      </x:c>
      <x:c r="C720" s="24" t="str">
        <x:v>States &amp; Transformations</x:v>
      </x:c>
      <x:c r="D720" s="24" t="str">
        <x:v>STA-400</x:v>
      </x:c>
      <x:c r="E720" s="24" t="str">
        <x:f>IF(D720="","",IFERROR(VLOOKUP(D720,$A$2:$B$1656,2,FALSE),""))</x:f>
        <x:v>Empowerment, Bond, and Alignment States</x:v>
      </x:c>
      <x:c r="F720" s="24" t="n">
        <x:v>3</x:v>
      </x:c>
      <x:c r="G720" s="24" t="str">
        <x:v>A person and dragon share loyalty, sensation, power, life, or magical resonance.</x:v>
      </x:c>
      <x:c r="H720" s="24" t="str">
        <x:v>Record reversibility, agency, transmission, cost, social recognition, and identity continuity.</x:v>
      </x:c>
      <x:c r="I720" s="24" t="str">
        <x:v>dragon rider bond; dragonmarked; draconic pact</x:v>
      </x:c>
      <x:c r="J720" s="24" t="str">
        <x:v>Status, access, duty, progression, patronage, and role-based empowerment.</x:v>
      </x:c>
      <x:c r="K720" s="24" t="str">
        <x:v>dragon rider bond; dragonmarked; draconic pact</x:v>
      </x:c>
      <x:c r="L720" s="24" t="str">
        <x:v>Preserve each source's ontology, culture, history, and terminology when making comparisons.</x:v>
      </x:c>
      <x:c r="M720" s="24" t="str">
        <x:v>Core Family</x:v>
      </x:c>
    </x:row>
    <x:row r="721" ht="44" customHeight="1">
      <x:c r="A721" s="24" t="str">
        <x:v>STA-410</x:v>
      </x:c>
      <x:c r="B721" s="24" t="str">
        <x:v>Monster Bond</x:v>
      </x:c>
      <x:c r="C721" s="24" t="str">
        <x:v>States &amp; Transformations</x:v>
      </x:c>
      <x:c r="D721" s="24" t="str">
        <x:v>STA-400</x:v>
      </x:c>
      <x:c r="E721" s="24" t="str">
        <x:f>IF(D721="","",IFERROR(VLOOKUP(D721,$A$2:$B$1656,2,FALSE),""))</x:f>
        <x:v>Empowerment, Bond, and Alignment States</x:v>
      </x:c>
      <x:c r="F721" s="24" t="n">
        <x:v>3</x:v>
      </x:c>
      <x:c r="G721" s="24" t="str">
        <x:v>A person is linked with a specific monster or companion that defines powers and identity.</x:v>
      </x:c>
      <x:c r="H721" s="24" t="str">
        <x:v>Record reversibility, agency, transmission, cost, social recognition, and identity continuity.</x:v>
      </x:c>
      <x:c r="I721" s="24" t="str">
        <x:v>monster tamer bond; beast partner</x:v>
      </x:c>
      <x:c r="J721" s="24" t="str">
        <x:v>Status, access, duty, progression, patronage, and role-based empowerment.</x:v>
      </x:c>
      <x:c r="K721" s="24" t="str">
        <x:v>monster tamer bond; beast partner</x:v>
      </x:c>
      <x:c r="L721" s="24" t="str">
        <x:v>Preserve each source's ontology, culture, history, and terminology when making comparisons.</x:v>
      </x:c>
      <x:c r="M721" s="24" t="str">
        <x:v>Core Family</x:v>
      </x:c>
    </x:row>
    <x:row r="722" ht="44" customHeight="1">
      <x:c r="A722" s="24" t="str">
        <x:v>STA-411</x:v>
      </x:c>
      <x:c r="B722" s="24" t="str">
        <x:v>Weapon Bond</x:v>
      </x:c>
      <x:c r="C722" s="24" t="str">
        <x:v>States &amp; Transformations</x:v>
      </x:c>
      <x:c r="D722" s="24" t="str">
        <x:v>STA-400</x:v>
      </x:c>
      <x:c r="E722" s="24" t="str">
        <x:f>IF(D722="","",IFERROR(VLOOKUP(D722,$A$2:$B$1656,2,FALSE),""))</x:f>
        <x:v>Empowerment, Bond, and Alignment States</x:v>
      </x:c>
      <x:c r="F722" s="24" t="n">
        <x:v>3</x:v>
      </x:c>
      <x:c r="G722" s="24" t="str">
        <x:v>A weapon chooses, recognizes, feeds on, or shares power with its wielder.</x:v>
      </x:c>
      <x:c r="H722" s="24" t="str">
        <x:v>Record reversibility, agency, transmission, cost, social recognition, and identity continuity.</x:v>
      </x:c>
      <x:c r="I722" s="24" t="str">
        <x:v>soulbound weapon; cursed sword bond</x:v>
      </x:c>
      <x:c r="J722" s="24" t="str">
        <x:v>Status, access, duty, progression, patronage, and role-based empowerment.</x:v>
      </x:c>
      <x:c r="K722" s="24" t="str">
        <x:v>soulbound weapon; cursed sword bond</x:v>
      </x:c>
      <x:c r="L722" s="24" t="str">
        <x:v>Preserve each source's ontology, culture, history, and terminology when making comparisons.</x:v>
      </x:c>
      <x:c r="M722" s="24" t="str">
        <x:v>Core Family</x:v>
      </x:c>
    </x:row>
    <x:row r="723" ht="44" customHeight="1">
      <x:c r="A723" s="24" t="str">
        <x:v>STA-412</x:v>
      </x:c>
      <x:c r="B723" s="24" t="str">
        <x:v>Armor or Suit Bond</x:v>
      </x:c>
      <x:c r="C723" s="24" t="str">
        <x:v>States &amp; Transformations</x:v>
      </x:c>
      <x:c r="D723" s="24" t="str">
        <x:v>STA-400</x:v>
      </x:c>
      <x:c r="E723" s="24" t="str">
        <x:f>IF(D723="","",IFERROR(VLOOKUP(D723,$A$2:$B$1656,2,FALSE),""))</x:f>
        <x:v>Empowerment, Bond, and Alignment States</x:v>
      </x:c>
      <x:c r="F723" s="24" t="n">
        <x:v>3</x:v>
      </x:c>
      <x:c r="G723" s="24" t="str">
        <x:v>A person is linked with magical armor, a powered suit, or a living defensive system.</x:v>
      </x:c>
      <x:c r="H723" s="24" t="str">
        <x:v>Record reversibility, agency, transmission, cost, social recognition, and identity continuity.</x:v>
      </x:c>
      <x:c r="I723" s="24" t="str">
        <x:v>living armor; bonded suit</x:v>
      </x:c>
      <x:c r="J723" s="24" t="str">
        <x:v>Status, access, duty, progression, patronage, and role-based empowerment.</x:v>
      </x:c>
      <x:c r="K723" s="24" t="str">
        <x:v>living armor; bonded suit</x:v>
      </x:c>
      <x:c r="L723" s="24" t="str">
        <x:v>Preserve each source's ontology, culture, history, and terminology when making comparisons.</x:v>
      </x:c>
      <x:c r="M723" s="24" t="str">
        <x:v>Core Family</x:v>
      </x:c>
    </x:row>
    <x:row r="724" ht="44" customHeight="1">
      <x:c r="A724" s="24" t="str">
        <x:v>STA-413</x:v>
      </x:c>
      <x:c r="B724" s="24" t="str">
        <x:v>Familiar Bond</x:v>
      </x:c>
      <x:c r="C724" s="24" t="str">
        <x:v>States &amp; Transformations</x:v>
      </x:c>
      <x:c r="D724" s="24" t="str">
        <x:v>STA-400</x:v>
      </x:c>
      <x:c r="E724" s="24" t="str">
        <x:f>IF(D724="","",IFERROR(VLOOKUP(D724,$A$2:$B$1656,2,FALSE),""))</x:f>
        <x:v>Empowerment, Bond, and Alignment States</x:v>
      </x:c>
      <x:c r="F724" s="24" t="n">
        <x:v>3</x:v>
      </x:c>
      <x:c r="G724" s="24" t="str">
        <x:v>A practitioner shares senses, power, or life with a small spirit or magical creature.</x:v>
      </x:c>
      <x:c r="H724" s="24" t="str">
        <x:v>Record reversibility, agency, transmission, cost, social recognition, and identity continuity.</x:v>
      </x:c>
      <x:c r="I724" s="24" t="str">
        <x:v>familiar; pact companion</x:v>
      </x:c>
      <x:c r="J724" s="24" t="str">
        <x:v>Status, access, duty, progression, patronage, and role-based empowerment.</x:v>
      </x:c>
      <x:c r="K724" s="24" t="str">
        <x:v>familiar; pact companion</x:v>
      </x:c>
      <x:c r="L724" s="24" t="str">
        <x:v>Preserve each source's ontology, culture, history, and terminology when making comparisons.</x:v>
      </x:c>
      <x:c r="M724" s="24" t="str">
        <x:v>Core Family</x:v>
      </x:c>
    </x:row>
    <x:row r="725" ht="44" customHeight="1">
      <x:c r="A725" s="24" t="str">
        <x:v>STA-414</x:v>
      </x:c>
      <x:c r="B725" s="24" t="str">
        <x:v>Patronage</x:v>
      </x:c>
      <x:c r="C725" s="24" t="str">
        <x:v>States &amp; Transformations</x:v>
      </x:c>
      <x:c r="D725" s="24" t="str">
        <x:v>STA-400</x:v>
      </x:c>
      <x:c r="E725" s="24" t="str">
        <x:f>IF(D725="","",IFERROR(VLOOKUP(D725,$A$2:$B$1656,2,FALSE),""))</x:f>
        <x:v>Empowerment, Bond, and Alignment States</x:v>
      </x:c>
      <x:c r="F725" s="24" t="n">
        <x:v>3</x:v>
      </x:c>
      <x:c r="G725" s="24" t="str">
        <x:v>A powerful entity supplies resources, protection, or supernatural ability in exchange for service or alignment.</x:v>
      </x:c>
      <x:c r="H725" s="24" t="str">
        <x:v>Record reversibility, agency, transmission, cost, social recognition, and identity continuity.</x:v>
      </x:c>
      <x:c r="I725" s="24" t="str">
        <x:v>patron; sponsor; warlock patron</x:v>
      </x:c>
      <x:c r="J725" s="24" t="str">
        <x:v>Status, access, duty, progression, patronage, and role-based empowerment.</x:v>
      </x:c>
      <x:c r="K725" s="24" t="str">
        <x:v>patron; sponsor; warlock patron</x:v>
      </x:c>
      <x:c r="L725" s="24" t="str">
        <x:v>Preserve each source's ontology, culture, history, and terminology when making comparisons.</x:v>
      </x:c>
      <x:c r="M725" s="24" t="str">
        <x:v>Core Family</x:v>
      </x:c>
    </x:row>
    <x:row r="726" ht="44" customHeight="1">
      <x:c r="A726" s="24" t="str">
        <x:v>STA-415</x:v>
      </x:c>
      <x:c r="B726" s="24" t="str">
        <x:v>Initiation</x:v>
      </x:c>
      <x:c r="C726" s="24" t="str">
        <x:v>States &amp; Transformations</x:v>
      </x:c>
      <x:c r="D726" s="24" t="str">
        <x:v>STA-400</x:v>
      </x:c>
      <x:c r="E726" s="24" t="str">
        <x:f>IF(D726="","",IFERROR(VLOOKUP(D726,$A$2:$B$1656,2,FALSE),""))</x:f>
        <x:v>Empowerment, Bond, and Alignment States</x:v>
      </x:c>
      <x:c r="F726" s="24" t="n">
        <x:v>3</x:v>
      </x:c>
      <x:c r="G726" s="24" t="str">
        <x:v>A person is ritually admitted into a tradition and gains new knowledge, status, or power.</x:v>
      </x:c>
      <x:c r="H726" s="24" t="str">
        <x:v>Record reversibility, agency, transmission, cost, social recognition, and identity continuity.</x:v>
      </x:c>
      <x:c r="I726" s="24" t="str">
        <x:v>initiate; inducted; mystery rite</x:v>
      </x:c>
      <x:c r="J726" s="24" t="str">
        <x:v>Status, access, duty, progression, patronage, and role-based empowerment.</x:v>
      </x:c>
      <x:c r="K726" s="24" t="str">
        <x:v>initiate; inducted; mystery rite</x:v>
      </x:c>
      <x:c r="L726" s="24" t="str">
        <x:v>Preserve each source's ontology, culture, history, and terminology when making comparisons.</x:v>
      </x:c>
      <x:c r="M726" s="24" t="str">
        <x:v>Core Family</x:v>
      </x:c>
    </x:row>
    <x:row r="727" ht="44" customHeight="1">
      <x:c r="A727" s="24" t="str">
        <x:v>STA-416</x:v>
      </x:c>
      <x:c r="B727" s="24" t="str">
        <x:v>Ordination</x:v>
      </x:c>
      <x:c r="C727" s="24" t="str">
        <x:v>States &amp; Transformations</x:v>
      </x:c>
      <x:c r="D727" s="24" t="str">
        <x:v>STA-400</x:v>
      </x:c>
      <x:c r="E727" s="24" t="str">
        <x:f>IF(D727="","",IFERROR(VLOOKUP(D727,$A$2:$B$1656,2,FALSE),""))</x:f>
        <x:v>Empowerment, Bond, and Alignment States</x:v>
      </x:c>
      <x:c r="F727" s="24" t="n">
        <x:v>3</x:v>
      </x:c>
      <x:c r="G727" s="24" t="str">
        <x:v>A person receives formal religious authority and access to sacred functions.</x:v>
      </x:c>
      <x:c r="H727" s="24" t="str">
        <x:v>Record reversibility, agency, transmission, cost, social recognition, and identity continuity.</x:v>
      </x:c>
      <x:c r="I727" s="24" t="str">
        <x:v>ordained; consecrated</x:v>
      </x:c>
      <x:c r="J727" s="24" t="str">
        <x:v>Status, access, duty, progression, patronage, and role-based empowerment.</x:v>
      </x:c>
      <x:c r="K727" s="24" t="str">
        <x:v>ordained; consecrated</x:v>
      </x:c>
      <x:c r="L727" s="24" t="str">
        <x:v>Preserve each source's ontology, culture, history, and terminology when making comparisons.</x:v>
      </x:c>
      <x:c r="M727" s="24" t="str">
        <x:v>Core Family</x:v>
      </x:c>
    </x:row>
    <x:row r="728" ht="44" customHeight="1">
      <x:c r="A728" s="24" t="str">
        <x:v>STA-417</x:v>
      </x:c>
      <x:c r="B728" s="24" t="str">
        <x:v>Knighthood or Oath Investiture</x:v>
      </x:c>
      <x:c r="C728" s="24" t="str">
        <x:v>States &amp; Transformations</x:v>
      </x:c>
      <x:c r="D728" s="24" t="str">
        <x:v>STA-400</x:v>
      </x:c>
      <x:c r="E728" s="24" t="str">
        <x:f>IF(D728="","",IFERROR(VLOOKUP(D728,$A$2:$B$1656,2,FALSE),""))</x:f>
        <x:v>Empowerment, Bond, and Alignment States</x:v>
      </x:c>
      <x:c r="F728" s="24" t="n">
        <x:v>3</x:v>
      </x:c>
      <x:c r="G728" s="24" t="str">
        <x:v>A person receives martial-social status through oath, accolade, or order membership.</x:v>
      </x:c>
      <x:c r="H728" s="24" t="str">
        <x:v>Record reversibility, agency, transmission, cost, social recognition, and identity continuity.</x:v>
      </x:c>
      <x:c r="I728" s="24" t="str">
        <x:v>knighted; sworn; dubbed</x:v>
      </x:c>
      <x:c r="J728" s="24" t="str">
        <x:v>Status, access, duty, progression, patronage, and role-based empowerment.</x:v>
      </x:c>
      <x:c r="K728" s="24" t="str">
        <x:v>knighted; sworn; dubbed</x:v>
      </x:c>
      <x:c r="L728" s="24" t="str">
        <x:v>Preserve each source's ontology, culture, history, and terminology when making comparisons.</x:v>
      </x:c>
      <x:c r="M728" s="24" t="str">
        <x:v>Core Family</x:v>
      </x:c>
    </x:row>
    <x:row r="729" ht="44" customHeight="1">
      <x:c r="A729" s="24" t="str">
        <x:v>STA-418</x:v>
      </x:c>
      <x:c r="B729" s="24" t="str">
        <x:v>Cultivation Breakthrough</x:v>
      </x:c>
      <x:c r="C729" s="24" t="str">
        <x:v>States &amp; Transformations</x:v>
      </x:c>
      <x:c r="D729" s="24" t="str">
        <x:v>STA-400</x:v>
      </x:c>
      <x:c r="E729" s="24" t="str">
        <x:f>IF(D729="","",IFERROR(VLOOKUP(D729,$A$2:$B$1656,2,FALSE),""))</x:f>
        <x:v>Empowerment, Bond, and Alignment States</x:v>
      </x:c>
      <x:c r="F729" s="24" t="n">
        <x:v>3</x:v>
      </x:c>
      <x:c r="G729" s="24" t="str">
        <x:v>A practitioner crosses a defined stage or realm of internal development.</x:v>
      </x:c>
      <x:c r="H729" s="24" t="str">
        <x:v>Record reversibility, agency, transmission, cost, social recognition, and identity continuity.</x:v>
      </x:c>
      <x:c r="I729" s="24" t="str">
        <x:v>breakthrough; realm advancement</x:v>
      </x:c>
      <x:c r="J729" s="24" t="str">
        <x:v>Status, access, duty, progression, patronage, and role-based empowerment.</x:v>
      </x:c>
      <x:c r="K729" s="24" t="str">
        <x:v>breakthrough; realm advancement</x:v>
      </x:c>
      <x:c r="L729" s="24" t="str">
        <x:v>Preserve each source's ontology, culture, history, and terminology when making comparisons.</x:v>
      </x:c>
      <x:c r="M729" s="24" t="str">
        <x:v>Core Family</x:v>
      </x:c>
    </x:row>
    <x:row r="730" ht="44" customHeight="1">
      <x:c r="A730" s="24" t="str">
        <x:v>STA-419</x:v>
      </x:c>
      <x:c r="B730" s="24" t="str">
        <x:v>Level-Up or Rank-Up</x:v>
      </x:c>
      <x:c r="C730" s="24" t="str">
        <x:v>States &amp; Transformations</x:v>
      </x:c>
      <x:c r="D730" s="24" t="str">
        <x:v>STA-400</x:v>
      </x:c>
      <x:c r="E730" s="24" t="str">
        <x:f>IF(D730="","",IFERROR(VLOOKUP(D730,$A$2:$B$1656,2,FALSE),""))</x:f>
        <x:v>Empowerment, Bond, and Alignment States</x:v>
      </x:c>
      <x:c r="F730" s="24" t="n">
        <x:v>3</x:v>
      </x:c>
      <x:c r="G730" s="24" t="str">
        <x:v>A system recognizes accumulated experience or achievement with increased capability or status.</x:v>
      </x:c>
      <x:c r="H730" s="24" t="str">
        <x:v>Record reversibility, agency, transmission, cost, social recognition, and identity continuity.</x:v>
      </x:c>
      <x:c r="I730" s="24" t="str">
        <x:v>level up; rank up; promotion</x:v>
      </x:c>
      <x:c r="J730" s="24" t="str">
        <x:v>Status, access, duty, progression, patronage, and role-based empowerment.</x:v>
      </x:c>
      <x:c r="K730" s="24" t="str">
        <x:v>level up; rank up; promotion</x:v>
      </x:c>
      <x:c r="L730" s="24" t="str">
        <x:v>Preserve each source's ontology, culture, history, and terminology when making comparisons.</x:v>
      </x:c>
      <x:c r="M730" s="24" t="str">
        <x:v>Core Family</x:v>
      </x:c>
    </x:row>
    <x:row r="731" ht="44" customHeight="1">
      <x:c r="A731" s="24" t="str">
        <x:v>STA-420</x:v>
      </x:c>
      <x:c r="B731" s="24" t="str">
        <x:v>Blessed Bloodline Activation</x:v>
      </x:c>
      <x:c r="C731" s="24" t="str">
        <x:v>States &amp; Transformations</x:v>
      </x:c>
      <x:c r="D731" s="24" t="str">
        <x:v>STA-400</x:v>
      </x:c>
      <x:c r="E731" s="24" t="str">
        <x:f>IF(D731="","",IFERROR(VLOOKUP(D731,$A$2:$B$1656,2,FALSE),""))</x:f>
        <x:v>Empowerment, Bond, and Alignment States</x:v>
      </x:c>
      <x:c r="F731" s="24" t="n">
        <x:v>3</x:v>
      </x:c>
      <x:c r="G731" s="24" t="str">
        <x:v>Dormant inherited power manifests due to age, crisis, ritual, or contact.</x:v>
      </x:c>
      <x:c r="H731" s="24" t="str">
        <x:v>Record reversibility, agency, transmission, cost, social recognition, and identity continuity.</x:v>
      </x:c>
      <x:c r="I731" s="24" t="str">
        <x:v>bloodline awakening; heritage power</x:v>
      </x:c>
      <x:c r="J731" s="24" t="str">
        <x:v>Status, access, duty, progression, patronage, and role-based empowerment.</x:v>
      </x:c>
      <x:c r="K731" s="24" t="str">
        <x:v>bloodline awakening; heritage power</x:v>
      </x:c>
      <x:c r="L731" s="24" t="str">
        <x:v>Preserve each source's ontology, culture, history, and terminology when making comparisons.</x:v>
      </x:c>
      <x:c r="M731" s="24" t="str">
        <x:v>Core Family</x:v>
      </x:c>
    </x:row>
    <x:row r="732" ht="44" customHeight="1">
      <x:c r="A732" s="24" t="str">
        <x:v>STA-421</x:v>
      </x:c>
      <x:c r="B732" s="24" t="str">
        <x:v>Corruption Empowerment</x:v>
      </x:c>
      <x:c r="C732" s="24" t="str">
        <x:v>States &amp; Transformations</x:v>
      </x:c>
      <x:c r="D732" s="24" t="str">
        <x:v>STA-400</x:v>
      </x:c>
      <x:c r="E732" s="24" t="str">
        <x:f>IF(D732="","",IFERROR(VLOOKUP(D732,$A$2:$B$1656,2,FALSE),""))</x:f>
        <x:v>Empowerment, Bond, and Alignment States</x:v>
      </x:c>
      <x:c r="F732" s="24" t="n">
        <x:v>3</x:v>
      </x:c>
      <x:c r="G732" s="24" t="str">
        <x:v>A hostile force grants real power while deepening dependence, mutation, or moral risk.</x:v>
      </x:c>
      <x:c r="H732" s="24" t="str">
        <x:v>Record reversibility, agency, transmission, cost, social recognition, and identity continuity.</x:v>
      </x:c>
      <x:c r="I732" s="24" t="str">
        <x:v>dark gift; corruption boon; tainted power</x:v>
      </x:c>
      <x:c r="J732" s="24" t="str">
        <x:v>Status, access, duty, progression, patronage, and role-based empowerment.</x:v>
      </x:c>
      <x:c r="K732" s="24" t="str">
        <x:v>dark gift; corruption boon; tainted power</x:v>
      </x:c>
      <x:c r="L732" s="24" t="str">
        <x:v>Preserve each source's ontology, culture, history, and terminology when making comparisons.</x:v>
      </x:c>
      <x:c r="M732" s="24" t="str">
        <x:v>Core Family</x:v>
      </x:c>
    </x:row>
    <x:row r="733" ht="44" customHeight="1">
      <x:c r="A733" s="24" t="str">
        <x:v>STA-422</x:v>
      </x:c>
      <x:c r="B733" s="24" t="str">
        <x:v>Sacrificial Empowerment</x:v>
      </x:c>
      <x:c r="C733" s="24" t="str">
        <x:v>States &amp; Transformations</x:v>
      </x:c>
      <x:c r="D733" s="24" t="str">
        <x:v>STA-400</x:v>
      </x:c>
      <x:c r="E733" s="24" t="str">
        <x:f>IF(D733="","",IFERROR(VLOOKUP(D733,$A$2:$B$1656,2,FALSE),""))</x:f>
        <x:v>Empowerment, Bond, and Alignment States</x:v>
      </x:c>
      <x:c r="F733" s="24" t="n">
        <x:v>3</x:v>
      </x:c>
      <x:c r="G733" s="24" t="str">
        <x:v>A person gains power by permanently surrendering life, memory, body, relationship, or future.</x:v>
      </x:c>
      <x:c r="H733" s="24" t="str">
        <x:v>Record reversibility, agency, transmission, cost, social recognition, and identity continuity.</x:v>
      </x:c>
      <x:c r="I733" s="24" t="str">
        <x:v>sacrifice; equivalent exchange; burned lifespan</x:v>
      </x:c>
      <x:c r="J733" s="24" t="str">
        <x:v>Status, access, duty, progression, patronage, and role-based empowerment.</x:v>
      </x:c>
      <x:c r="K733" s="24" t="str">
        <x:v>sacrifice; equivalent exchange; burned lifespan</x:v>
      </x:c>
      <x:c r="L733" s="24" t="str">
        <x:v>Preserve each source's ontology, culture, history, and terminology when making comparisons.</x:v>
      </x:c>
      <x:c r="M733" s="24" t="str">
        <x:v>Core Family</x:v>
      </x:c>
    </x:row>
    <x:row r="734" ht="44" customHeight="1">
      <x:c r="A734" s="24" t="str">
        <x:v>STA-423</x:v>
      </x:c>
      <x:c r="B734" s="24" t="str">
        <x:v>Collective Empowerment</x:v>
      </x:c>
      <x:c r="C734" s="24" t="str">
        <x:v>States &amp; Transformations</x:v>
      </x:c>
      <x:c r="D734" s="24" t="str">
        <x:v>STA-400</x:v>
      </x:c>
      <x:c r="E734" s="24" t="str">
        <x:f>IF(D734="","",IFERROR(VLOOKUP(D734,$A$2:$B$1656,2,FALSE),""))</x:f>
        <x:v>Empowerment, Bond, and Alignment States</x:v>
      </x:c>
      <x:c r="F734" s="24" t="n">
        <x:v>3</x:v>
      </x:c>
      <x:c r="G734" s="24" t="str">
        <x:v>A person's power depends on followers, worshipers, social recognition, or group synchronization.</x:v>
      </x:c>
      <x:c r="H734" s="24" t="str">
        <x:v>Record reversibility, agency, transmission, cost, social recognition, and identity continuity.</x:v>
      </x:c>
      <x:c r="I734" s="24" t="str">
        <x:v>faith power; leader aura; collective resonance</x:v>
      </x:c>
      <x:c r="J734" s="24" t="str">
        <x:v>Status, access, duty, progression, patronage, and role-based empowerment.</x:v>
      </x:c>
      <x:c r="K734" s="24" t="str">
        <x:v>faith power; leader aura; collective resonance</x:v>
      </x:c>
      <x:c r="L734" s="24" t="str">
        <x:v>Preserve each source's ontology, culture, history, and terminology when making comparisons.</x:v>
      </x:c>
      <x:c r="M734" s="24" t="str">
        <x:v>Core Family</x:v>
      </x:c>
    </x:row>
    <x:row r="735" ht="44" customHeight="1">
      <x:c r="A735" s="24" t="str">
        <x:v>STA-424</x:v>
      </x:c>
      <x:c r="B735" s="24" t="str">
        <x:v>Territorial Attunement</x:v>
      </x:c>
      <x:c r="C735" s="24" t="str">
        <x:v>States &amp; Transformations</x:v>
      </x:c>
      <x:c r="D735" s="24" t="str">
        <x:v>STA-400</x:v>
      </x:c>
      <x:c r="E735" s="24" t="str">
        <x:f>IF(D735="","",IFERROR(VLOOKUP(D735,$A$2:$B$1656,2,FALSE),""))</x:f>
        <x:v>Empowerment, Bond, and Alignment States</x:v>
      </x:c>
      <x:c r="F735" s="24" t="n">
        <x:v>3</x:v>
      </x:c>
      <x:c r="G735" s="24" t="str">
        <x:v>A person's authority and power increase within a bound land, city, dungeon, or domain.</x:v>
      </x:c>
      <x:c r="H735" s="24" t="str">
        <x:v>Record reversibility, agency, transmission, cost, social recognition, and identity continuity.</x:v>
      </x:c>
      <x:c r="I735" s="24" t="str">
        <x:v>domain lord; land bond; lair power</x:v>
      </x:c>
      <x:c r="J735" s="24" t="str">
        <x:v>Status, access, duty, progression, patronage, and role-based empowerment.</x:v>
      </x:c>
      <x:c r="K735" s="24" t="str">
        <x:v>domain lord; land bond; lair power</x:v>
      </x:c>
      <x:c r="L735" s="24" t="str">
        <x:v>Preserve each source's ontology, culture, history, and terminology when making comparisons.</x:v>
      </x:c>
      <x:c r="M735" s="24" t="str">
        <x:v>Core Family</x:v>
      </x:c>
    </x:row>
    <x:row r="736" ht="44" customHeight="1">
      <x:c r="A736" s="24" t="str">
        <x:v>STA-425</x:v>
      </x:c>
      <x:c r="B736" s="24" t="str">
        <x:v>Mantle or Office Power</x:v>
      </x:c>
      <x:c r="C736" s="24" t="str">
        <x:v>States &amp; Transformations</x:v>
      </x:c>
      <x:c r="D736" s="24" t="str">
        <x:v>STA-400</x:v>
      </x:c>
      <x:c r="E736" s="24" t="str">
        <x:f>IF(D736="","",IFERROR(VLOOKUP(D736,$A$2:$B$1656,2,FALSE),""))</x:f>
        <x:v>Empowerment, Bond, and Alignment States</x:v>
      </x:c>
      <x:c r="F736" s="24" t="n">
        <x:v>3</x:v>
      </x:c>
      <x:c r="G736" s="24" t="str">
        <x:v>An office, title, role, or archetype grants powers independent of the holder's prior abilities.</x:v>
      </x:c>
      <x:c r="H736" s="24" t="str">
        <x:v>Record reversibility, agency, transmission, cost, social recognition, and identity continuity.</x:v>
      </x:c>
      <x:c r="I736" s="24" t="str">
        <x:v>mantle; office power; inherited role</x:v>
      </x:c>
      <x:c r="J736" s="24" t="str">
        <x:v>Status, access, duty, progression, patronage, and role-based empowerment.</x:v>
      </x:c>
      <x:c r="K736" s="24" t="str">
        <x:v>mantle; office power; inherited role</x:v>
      </x:c>
      <x:c r="L736" s="24" t="str">
        <x:v>Preserve each source's ontology, culture, history, and terminology when making comparisons.</x:v>
      </x:c>
      <x:c r="M736" s="24" t="str">
        <x:v>Core Family</x:v>
      </x:c>
    </x:row>
    <x:row r="737" ht="44" customHeight="1">
      <x:c r="A737" s="24" t="str">
        <x:v>STA-501</x:v>
      </x:c>
      <x:c r="B737" s="24" t="str">
        <x:v>Reincarnated</x:v>
      </x:c>
      <x:c r="C737" s="24" t="str">
        <x:v>States &amp; Transformations</x:v>
      </x:c>
      <x:c r="D737" s="24" t="str">
        <x:v>STA-500</x:v>
      </x:c>
      <x:c r="E737" s="24" t="str">
        <x:f>IF(D737="","",IFERROR(VLOOKUP(D737,$A$2:$B$1656,2,FALSE),""))</x:f>
        <x:v>Displacement and Meta-Narrative States</x:v>
      </x:c>
      <x:c r="F737" s="24" t="n">
        <x:v>3</x:v>
      </x:c>
      <x:c r="G737" s="24" t="str">
        <x:v>A person is born again in another life, sometimes retaining memory, skills, or destiny.</x:v>
      </x:c>
      <x:c r="H737" s="24" t="str">
        <x:v>Record reversibility, agency, transmission, cost, social recognition, and identity continuity.</x:v>
      </x:c>
      <x:c r="I737" s="24" t="str">
        <x:v>reincarnated; reborn; second life</x:v>
      </x:c>
      <x:c r="J737" s="24" t="str">
        <x:v>Second-life narratives, portal fantasy, game systems, time travel, and alternate identity.</x:v>
      </x:c>
      <x:c r="K737" s="24" t="str">
        <x:v>reincarnated; reborn; second life</x:v>
      </x:c>
      <x:c r="L737" s="24" t="str">
        <x:v>Preserve each source's ontology, culture, history, and terminology when making comparisons.</x:v>
      </x:c>
      <x:c r="M737" s="24" t="str">
        <x:v>Core Family</x:v>
      </x:c>
    </x:row>
    <x:row r="738" ht="44" customHeight="1">
      <x:c r="A738" s="24" t="str">
        <x:v>STA-502</x:v>
      </x:c>
      <x:c r="B738" s="24" t="str">
        <x:v>Transmigrated or Isekai-Displaced</x:v>
      </x:c>
      <x:c r="C738" s="24" t="str">
        <x:v>States &amp; Transformations</x:v>
      </x:c>
      <x:c r="D738" s="24" t="str">
        <x:v>STA-500</x:v>
      </x:c>
      <x:c r="E738" s="24" t="str">
        <x:f>IF(D738="","",IFERROR(VLOOKUP(D738,$A$2:$B$1656,2,FALSE),""))</x:f>
        <x:v>Displacement and Meta-Narrative States</x:v>
      </x:c>
      <x:c r="F738" s="24" t="n">
        <x:v>3</x:v>
      </x:c>
      <x:c r="G738" s="24" t="str">
        <x:v>A person moves from one world to another in the same or a new body.</x:v>
      </x:c>
      <x:c r="H738" s="24" t="str">
        <x:v>Record reversibility, agency, transmission, cost, social recognition, and identity continuity.</x:v>
      </x:c>
      <x:c r="I738" s="24" t="str">
        <x:v>isekai; transmigration; world transfer</x:v>
      </x:c>
      <x:c r="J738" s="24" t="str">
        <x:v>Second-life narratives, portal fantasy, game systems, time travel, and alternate identity.</x:v>
      </x:c>
      <x:c r="K738" s="24" t="str">
        <x:v>isekai; transmigration; world transfer</x:v>
      </x:c>
      <x:c r="L738" s="24" t="str">
        <x:v>Preserve each source's ontology, culture, history, and terminology when making comparisons.</x:v>
      </x:c>
      <x:c r="M738" s="24" t="str">
        <x:v>Core Family</x:v>
      </x:c>
    </x:row>
    <x:row r="739" ht="44" customHeight="1">
      <x:c r="A739" s="24" t="str">
        <x:v>STA-503</x:v>
      </x:c>
      <x:c r="B739" s="24" t="str">
        <x:v>Summoned</x:v>
      </x:c>
      <x:c r="C739" s="24" t="str">
        <x:v>States &amp; Transformations</x:v>
      </x:c>
      <x:c r="D739" s="24" t="str">
        <x:v>STA-500</x:v>
      </x:c>
      <x:c r="E739" s="24" t="str">
        <x:f>IF(D739="","",IFERROR(VLOOKUP(D739,$A$2:$B$1656,2,FALSE),""))</x:f>
        <x:v>Displacement and Meta-Narrative States</x:v>
      </x:c>
      <x:c r="F739" s="24" t="n">
        <x:v>3</x:v>
      </x:c>
      <x:c r="G739" s="24" t="str">
        <x:v>A person or being is called into another place or world by ritual, system, deity, or crisis.</x:v>
      </x:c>
      <x:c r="H739" s="24" t="str">
        <x:v>Record reversibility, agency, transmission, cost, social recognition, and identity continuity.</x:v>
      </x:c>
      <x:c r="I739" s="24" t="str">
        <x:v>summoned hero; called being</x:v>
      </x:c>
      <x:c r="J739" s="24" t="str">
        <x:v>Second-life narratives, portal fantasy, game systems, time travel, and alternate identity.</x:v>
      </x:c>
      <x:c r="K739" s="24" t="str">
        <x:v>summoned hero; called being</x:v>
      </x:c>
      <x:c r="L739" s="24" t="str">
        <x:v>Preserve each source's ontology, culture, history, and terminology when making comparisons.</x:v>
      </x:c>
      <x:c r="M739" s="24" t="str">
        <x:v>Core Family</x:v>
      </x:c>
    </x:row>
    <x:row r="740" ht="44" customHeight="1">
      <x:c r="A740" s="24" t="str">
        <x:v>STA-504</x:v>
      </x:c>
      <x:c r="B740" s="24" t="str">
        <x:v>Banished or Exiled Across Realms</x:v>
      </x:c>
      <x:c r="C740" s="24" t="str">
        <x:v>States &amp; Transformations</x:v>
      </x:c>
      <x:c r="D740" s="24" t="str">
        <x:v>STA-500</x:v>
      </x:c>
      <x:c r="E740" s="24" t="str">
        <x:f>IF(D740="","",IFERROR(VLOOKUP(D740,$A$2:$B$1656,2,FALSE),""))</x:f>
        <x:v>Displacement and Meta-Narrative States</x:v>
      </x:c>
      <x:c r="F740" s="24" t="n">
        <x:v>3</x:v>
      </x:c>
      <x:c r="G740" s="24" t="str">
        <x:v>A person is forcibly removed to another land, plane, time, or world.</x:v>
      </x:c>
      <x:c r="H740" s="24" t="str">
        <x:v>Record reversibility, agency, transmission, cost, social recognition, and identity continuity.</x:v>
      </x:c>
      <x:c r="I740" s="24" t="str">
        <x:v>banished; planar exile</x:v>
      </x:c>
      <x:c r="J740" s="24" t="str">
        <x:v>Second-life narratives, portal fantasy, game systems, time travel, and alternate identity.</x:v>
      </x:c>
      <x:c r="K740" s="24" t="str">
        <x:v>banished; planar exile</x:v>
      </x:c>
      <x:c r="L740" s="24" t="str">
        <x:v>Preserve each source's ontology, culture, history, and terminology when making comparisons.</x:v>
      </x:c>
      <x:c r="M740" s="24" t="str">
        <x:v>Core Family</x:v>
      </x:c>
    </x:row>
    <x:row r="741" ht="44" customHeight="1">
      <x:c r="A741" s="24" t="str">
        <x:v>STA-505</x:v>
      </x:c>
      <x:c r="B741" s="24" t="str">
        <x:v>Time-Displaced</x:v>
      </x:c>
      <x:c r="C741" s="24" t="str">
        <x:v>States &amp; Transformations</x:v>
      </x:c>
      <x:c r="D741" s="24" t="str">
        <x:v>STA-500</x:v>
      </x:c>
      <x:c r="E741" s="24" t="str">
        <x:f>IF(D741="","",IFERROR(VLOOKUP(D741,$A$2:$B$1656,2,FALSE),""))</x:f>
        <x:v>Displacement and Meta-Narrative States</x:v>
      </x:c>
      <x:c r="F741" s="24" t="n">
        <x:v>3</x:v>
      </x:c>
      <x:c r="G741" s="24" t="str">
        <x:v>A person travels or is stranded in another era.</x:v>
      </x:c>
      <x:c r="H741" s="24" t="str">
        <x:v>Record reversibility, agency, transmission, cost, social recognition, and identity continuity.</x:v>
      </x:c>
      <x:c r="I741" s="24" t="str">
        <x:v>time traveler; frozen survivor; temporal exile</x:v>
      </x:c>
      <x:c r="J741" s="24" t="str">
        <x:v>Second-life narratives, portal fantasy, game systems, time travel, and alternate identity.</x:v>
      </x:c>
      <x:c r="K741" s="24" t="str">
        <x:v>time traveler; frozen survivor; temporal exile</x:v>
      </x:c>
      <x:c r="L741" s="24" t="str">
        <x:v>Preserve each source's ontology, culture, history, and terminology when making comparisons.</x:v>
      </x:c>
      <x:c r="M741" s="24" t="str">
        <x:v>Core Family</x:v>
      </x:c>
    </x:row>
    <x:row r="742" ht="44" customHeight="1">
      <x:c r="A742" s="24" t="str">
        <x:v>STA-506</x:v>
      </x:c>
      <x:c r="B742" s="24" t="str">
        <x:v>Time-Looped</x:v>
      </x:c>
      <x:c r="C742" s="24" t="str">
        <x:v>States &amp; Transformations</x:v>
      </x:c>
      <x:c r="D742" s="24" t="str">
        <x:v>STA-500</x:v>
      </x:c>
      <x:c r="E742" s="24" t="str">
        <x:f>IF(D742="","",IFERROR(VLOOKUP(D742,$A$2:$B$1656,2,FALSE),""))</x:f>
        <x:v>Displacement and Meta-Narrative States</x:v>
      </x:c>
      <x:c r="F742" s="24" t="n">
        <x:v>3</x:v>
      </x:c>
      <x:c r="G742" s="24" t="str">
        <x:v>A person repeatedly experiences a bounded sequence while retaining some memory or change.</x:v>
      </x:c>
      <x:c r="H742" s="24" t="str">
        <x:v>Record reversibility, agency, transmission, cost, social recognition, and identity continuity.</x:v>
      </x:c>
      <x:c r="I742" s="24" t="str">
        <x:v>time loop; regression; reset</x:v>
      </x:c>
      <x:c r="J742" s="24" t="str">
        <x:v>Second-life narratives, portal fantasy, game systems, time travel, and alternate identity.</x:v>
      </x:c>
      <x:c r="K742" s="24" t="str">
        <x:v>time loop; regression; reset</x:v>
      </x:c>
      <x:c r="L742" s="24" t="str">
        <x:v>Preserve each source's ontology, culture, history, and terminology when making comparisons.</x:v>
      </x:c>
      <x:c r="M742" s="24" t="str">
        <x:v>Core Family</x:v>
      </x:c>
    </x:row>
    <x:row r="743" ht="44" customHeight="1">
      <x:c r="A743" s="24" t="str">
        <x:v>STA-507</x:v>
      </x:c>
      <x:c r="B743" s="24" t="str">
        <x:v>Regressor</x:v>
      </x:c>
      <x:c r="C743" s="24" t="str">
        <x:v>States &amp; Transformations</x:v>
      </x:c>
      <x:c r="D743" s="24" t="str">
        <x:v>STA-500</x:v>
      </x:c>
      <x:c r="E743" s="24" t="str">
        <x:f>IF(D743="","",IFERROR(VLOOKUP(D743,$A$2:$B$1656,2,FALSE),""))</x:f>
        <x:v>Displacement and Meta-Narrative States</x:v>
      </x:c>
      <x:c r="F743" s="24" t="n">
        <x:v>3</x:v>
      </x:c>
      <x:c r="G743" s="24" t="str">
        <x:v>A person returns to an earlier point in their own life with knowledge of the prior timeline.</x:v>
      </x:c>
      <x:c r="H743" s="24" t="str">
        <x:v>Record reversibility, agency, transmission, cost, social recognition, and identity continuity.</x:v>
      </x:c>
      <x:c r="I743" s="24" t="str">
        <x:v>regressor; returner; second chance</x:v>
      </x:c>
      <x:c r="J743" s="24" t="str">
        <x:v>Second-life narratives, portal fantasy, game systems, time travel, and alternate identity.</x:v>
      </x:c>
      <x:c r="K743" s="24" t="str">
        <x:v>regressor; returner; second chance</x:v>
      </x:c>
      <x:c r="L743" s="24" t="str">
        <x:v>Preserve each source's ontology, culture, history, and terminology when making comparisons.</x:v>
      </x:c>
      <x:c r="M743" s="24" t="str">
        <x:v>Core Family</x:v>
      </x:c>
    </x:row>
    <x:row r="744" ht="44" customHeight="1">
      <x:c r="A744" s="24" t="str">
        <x:v>STA-508</x:v>
      </x:c>
      <x:c r="B744" s="24" t="str">
        <x:v>Body-Reincarnated</x:v>
      </x:c>
      <x:c r="C744" s="24" t="str">
        <x:v>States &amp; Transformations</x:v>
      </x:c>
      <x:c r="D744" s="24" t="str">
        <x:v>STA-500</x:v>
      </x:c>
      <x:c r="E744" s="24" t="str">
        <x:f>IF(D744="","",IFERROR(VLOOKUP(D744,$A$2:$B$1656,2,FALSE),""))</x:f>
        <x:v>Displacement and Meta-Narrative States</x:v>
      </x:c>
      <x:c r="F744" s="24" t="n">
        <x:v>3</x:v>
      </x:c>
      <x:c r="G744" s="24" t="str">
        <x:v>A person's mind or soul awakens in the body of another person, creature, or fictional character.</x:v>
      </x:c>
      <x:c r="H744" s="24" t="str">
        <x:v>Record reversibility, agency, transmission, cost, social recognition, and identity continuity.</x:v>
      </x:c>
      <x:c r="I744" s="24" t="str">
        <x:v>body transmigration; possession reincarnation</x:v>
      </x:c>
      <x:c r="J744" s="24" t="str">
        <x:v>Second-life narratives, portal fantasy, game systems, time travel, and alternate identity.</x:v>
      </x:c>
      <x:c r="K744" s="24" t="str">
        <x:v>body transmigration; possession reincarnation</x:v>
      </x:c>
      <x:c r="L744" s="24" t="str">
        <x:v>Preserve each source's ontology, culture, history, and terminology when making comparisons.</x:v>
      </x:c>
      <x:c r="M744" s="24" t="str">
        <x:v>Core Family</x:v>
      </x:c>
    </x:row>
    <x:row r="745" ht="44" customHeight="1">
      <x:c r="A745" s="24" t="str">
        <x:v>STA-509</x:v>
      </x:c>
      <x:c r="B745" s="24" t="str">
        <x:v>Monster Reincarnation</x:v>
      </x:c>
      <x:c r="C745" s="24" t="str">
        <x:v>States &amp; Transformations</x:v>
      </x:c>
      <x:c r="D745" s="24" t="str">
        <x:v>STA-500</x:v>
      </x:c>
      <x:c r="E745" s="24" t="str">
        <x:f>IF(D745="","",IFERROR(VLOOKUP(D745,$A$2:$B$1656,2,FALSE),""))</x:f>
        <x:v>Displacement and Meta-Narrative States</x:v>
      </x:c>
      <x:c r="F745" s="24" t="n">
        <x:v>3</x:v>
      </x:c>
      <x:c r="G745" s="24" t="str">
        <x:v>A person is reborn as a monster, nonhuman species, object, or low-status being.</x:v>
      </x:c>
      <x:c r="H745" s="24" t="str">
        <x:v>Record reversibility, agency, transmission, cost, social recognition, and identity continuity.</x:v>
      </x:c>
      <x:c r="I745" s="24" t="str">
        <x:v>slime reincarnation; monster rebirth; object isekai</x:v>
      </x:c>
      <x:c r="J745" s="24" t="str">
        <x:v>Second-life narratives, portal fantasy, game systems, time travel, and alternate identity.</x:v>
      </x:c>
      <x:c r="K745" s="24" t="str">
        <x:v>slime reincarnation; monster rebirth; object isekai</x:v>
      </x:c>
      <x:c r="L745" s="24" t="str">
        <x:v>Preserve each source's ontology, culture, history, and terminology when making comparisons.</x:v>
      </x:c>
      <x:c r="M745" s="24" t="str">
        <x:v>Core Family</x:v>
      </x:c>
    </x:row>
    <x:row r="746" ht="44" customHeight="1">
      <x:c r="A746" s="24" t="str">
        <x:v>STA-510</x:v>
      </x:c>
      <x:c r="B746" s="24" t="str">
        <x:v>Systemized</x:v>
      </x:c>
      <x:c r="C746" s="24" t="str">
        <x:v>States &amp; Transformations</x:v>
      </x:c>
      <x:c r="D746" s="24" t="str">
        <x:v>STA-500</x:v>
      </x:c>
      <x:c r="E746" s="24" t="str">
        <x:f>IF(D746="","",IFERROR(VLOOKUP(D746,$A$2:$B$1656,2,FALSE),""))</x:f>
        <x:v>Displacement and Meta-Narrative States</x:v>
      </x:c>
      <x:c r="F746" s="24" t="n">
        <x:v>3</x:v>
      </x:c>
      <x:c r="G746" s="24" t="str">
        <x:v>A person becomes subject to visible statistics, quests, levels, classes, or interface rules.</x:v>
      </x:c>
      <x:c r="H746" s="24" t="str">
        <x:v>Record reversibility, agency, transmission, cost, social recognition, and identity continuity.</x:v>
      </x:c>
      <x:c r="I746" s="24" t="str">
        <x:v>system user; status window; gamified existence</x:v>
      </x:c>
      <x:c r="J746" s="24" t="str">
        <x:v>Second-life narratives, portal fantasy, game systems, time travel, and alternate identity.</x:v>
      </x:c>
      <x:c r="K746" s="24" t="str">
        <x:v>system user; status window; gamified existence</x:v>
      </x:c>
      <x:c r="L746" s="24" t="str">
        <x:v>Preserve each source's ontology, culture, history, and terminology when making comparisons.</x:v>
      </x:c>
      <x:c r="M746" s="24" t="str">
        <x:v>Core Family</x:v>
      </x:c>
    </x:row>
    <x:row r="747" ht="44" customHeight="1">
      <x:c r="A747" s="24" t="str">
        <x:v>STA-511</x:v>
      </x:c>
      <x:c r="B747" s="24" t="str">
        <x:v>Player Avatar State</x:v>
      </x:c>
      <x:c r="C747" s="24" t="str">
        <x:v>States &amp; Transformations</x:v>
      </x:c>
      <x:c r="D747" s="24" t="str">
        <x:v>STA-500</x:v>
      </x:c>
      <x:c r="E747" s="24" t="str">
        <x:f>IF(D747="","",IFERROR(VLOOKUP(D747,$A$2:$B$1656,2,FALSE),""))</x:f>
        <x:v>Displacement and Meta-Narrative States</x:v>
      </x:c>
      <x:c r="F747" s="24" t="n">
        <x:v>3</x:v>
      </x:c>
      <x:c r="G747" s="24" t="str">
        <x:v>A person's agency is mediated through a game avatar, virtual body, summoned vessel, or remote projection.</x:v>
      </x:c>
      <x:c r="H747" s="24" t="str">
        <x:v>Record reversibility, agency, transmission, cost, social recognition, and identity continuity.</x:v>
      </x:c>
      <x:c r="I747" s="24" t="str">
        <x:v>avatar; player character; logged-in body</x:v>
      </x:c>
      <x:c r="J747" s="24" t="str">
        <x:v>Second-life narratives, portal fantasy, game systems, time travel, and alternate identity.</x:v>
      </x:c>
      <x:c r="K747" s="24" t="str">
        <x:v>avatar; player character; logged-in body</x:v>
      </x:c>
      <x:c r="L747" s="24" t="str">
        <x:v>Preserve each source's ontology, culture, history, and terminology when making comparisons.</x:v>
      </x:c>
      <x:c r="M747" s="24" t="str">
        <x:v>Core Family</x:v>
      </x:c>
    </x:row>
    <x:row r="748" ht="44" customHeight="1">
      <x:c r="A748" s="24" t="str">
        <x:v>STA-512</x:v>
      </x:c>
      <x:c r="B748" s="24" t="str">
        <x:v>NPC Awakening</x:v>
      </x:c>
      <x:c r="C748" s="24" t="str">
        <x:v>States &amp; Transformations</x:v>
      </x:c>
      <x:c r="D748" s="24" t="str">
        <x:v>STA-500</x:v>
      </x:c>
      <x:c r="E748" s="24" t="str">
        <x:f>IF(D748="","",IFERROR(VLOOKUP(D748,$A$2:$B$1656,2,FALSE),""))</x:f>
        <x:v>Displacement and Meta-Narrative States</x:v>
      </x:c>
      <x:c r="F748" s="24" t="n">
        <x:v>3</x:v>
      </x:c>
      <x:c r="G748" s="24" t="str">
        <x:v>A game-like or scripted character becomes self-aware, autonomous, or aware of narrative constraints.</x:v>
      </x:c>
      <x:c r="H748" s="24" t="str">
        <x:v>Record reversibility, agency, transmission, cost, social recognition, and identity continuity.</x:v>
      </x:c>
      <x:c r="I748" s="24" t="str">
        <x:v>awakened NPC; self-aware construct</x:v>
      </x:c>
      <x:c r="J748" s="24" t="str">
        <x:v>Second-life narratives, portal fantasy, game systems, time travel, and alternate identity.</x:v>
      </x:c>
      <x:c r="K748" s="24" t="str">
        <x:v>awakened NPC; self-aware construct</x:v>
      </x:c>
      <x:c r="L748" s="24" t="str">
        <x:v>Preserve each source's ontology, culture, history, and terminology when making comparisons.</x:v>
      </x:c>
      <x:c r="M748" s="24" t="str">
        <x:v>Core Family</x:v>
      </x:c>
    </x:row>
    <x:row r="749" ht="44" customHeight="1">
      <x:c r="A749" s="24" t="str">
        <x:v>STA-513</x:v>
      </x:c>
      <x:c r="B749" s="24" t="str">
        <x:v>Narrative Possession</x:v>
      </x:c>
      <x:c r="C749" s="24" t="str">
        <x:v>States &amp; Transformations</x:v>
      </x:c>
      <x:c r="D749" s="24" t="str">
        <x:v>STA-500</x:v>
      </x:c>
      <x:c r="E749" s="24" t="str">
        <x:f>IF(D749="","",IFERROR(VLOOKUP(D749,$A$2:$B$1656,2,FALSE),""))</x:f>
        <x:v>Displacement and Meta-Narrative States</x:v>
      </x:c>
      <x:c r="F749" s="24" t="n">
        <x:v>3</x:v>
      </x:c>
      <x:c r="G749" s="24" t="str">
        <x:v>A person enters, replaces, or influences a character within a known story.</x:v>
      </x:c>
      <x:c r="H749" s="24" t="str">
        <x:v>Record reversibility, agency, transmission, cost, social recognition, and identity continuity.</x:v>
      </x:c>
      <x:c r="I749" s="24" t="str">
        <x:v>novel transmigration; character possession</x:v>
      </x:c>
      <x:c r="J749" s="24" t="str">
        <x:v>Second-life narratives, portal fantasy, game systems, time travel, and alternate identity.</x:v>
      </x:c>
      <x:c r="K749" s="24" t="str">
        <x:v>novel transmigration; character possession</x:v>
      </x:c>
      <x:c r="L749" s="24" t="str">
        <x:v>Preserve each source's ontology, culture, history, and terminology when making comparisons.</x:v>
      </x:c>
      <x:c r="M749" s="24" t="str">
        <x:v>Core Family</x:v>
      </x:c>
    </x:row>
    <x:row r="750" ht="44" customHeight="1">
      <x:c r="A750" s="24" t="str">
        <x:v>STA-514</x:v>
      </x:c>
      <x:c r="B750" s="24" t="str">
        <x:v>Parallel-Self Contact</x:v>
      </x:c>
      <x:c r="C750" s="24" t="str">
        <x:v>States &amp; Transformations</x:v>
      </x:c>
      <x:c r="D750" s="24" t="str">
        <x:v>STA-500</x:v>
      </x:c>
      <x:c r="E750" s="24" t="str">
        <x:f>IF(D750="","",IFERROR(VLOOKUP(D750,$A$2:$B$1656,2,FALSE),""))</x:f>
        <x:v>Displacement and Meta-Narrative States</x:v>
      </x:c>
      <x:c r="F750" s="24" t="n">
        <x:v>3</x:v>
      </x:c>
      <x:c r="G750" s="24" t="str">
        <x:v>A person meets, merges with, or exchanges information with alternate timeline versions of themselves.</x:v>
      </x:c>
      <x:c r="H750" s="24" t="str">
        <x:v>Record reversibility, agency, transmission, cost, social recognition, and identity continuity.</x:v>
      </x:c>
      <x:c r="I750" s="24" t="str">
        <x:v>alternate self; multiverse double</x:v>
      </x:c>
      <x:c r="J750" s="24" t="str">
        <x:v>Second-life narratives, portal fantasy, game systems, time travel, and alternate identity.</x:v>
      </x:c>
      <x:c r="K750" s="24" t="str">
        <x:v>alternate self; multiverse double</x:v>
      </x:c>
      <x:c r="L750" s="24" t="str">
        <x:v>Preserve each source's ontology, culture, history, and terminology when making comparisons.</x:v>
      </x:c>
      <x:c r="M750" s="24" t="str">
        <x:v>Core Family</x:v>
      </x:c>
    </x:row>
    <x:row r="751" ht="44" customHeight="1">
      <x:c r="A751" s="24" t="str">
        <x:v>STA-515</x:v>
      </x:c>
      <x:c r="B751" s="24" t="str">
        <x:v>World Reset Survivor</x:v>
      </x:c>
      <x:c r="C751" s="24" t="str">
        <x:v>States &amp; Transformations</x:v>
      </x:c>
      <x:c r="D751" s="24" t="str">
        <x:v>STA-500</x:v>
      </x:c>
      <x:c r="E751" s="24" t="str">
        <x:f>IF(D751="","",IFERROR(VLOOKUP(D751,$A$2:$B$1656,2,FALSE),""))</x:f>
        <x:v>Displacement and Meta-Narrative States</x:v>
      </x:c>
      <x:c r="F751" s="24" t="n">
        <x:v>3</x:v>
      </x:c>
      <x:c r="G751" s="24" t="str">
        <x:v>A person retains identity or memory through a cosmic, historical, or system-wide reset.</x:v>
      </x:c>
      <x:c r="H751" s="24" t="str">
        <x:v>Record reversibility, agency, transmission, cost, social recognition, and identity continuity.</x:v>
      </x:c>
      <x:c r="I751" s="24" t="str">
        <x:v>reset survivor; loop survivor</x:v>
      </x:c>
      <x:c r="J751" s="24" t="str">
        <x:v>Second-life narratives, portal fantasy, game systems, time travel, and alternate identity.</x:v>
      </x:c>
      <x:c r="K751" s="24" t="str">
        <x:v>reset survivor; loop survivor</x:v>
      </x:c>
      <x:c r="L751" s="24" t="str">
        <x:v>Preserve each source's ontology, culture, history, and terminology when making comparisons.</x:v>
      </x:c>
      <x:c r="M751" s="24" t="str">
        <x:v>Core Family</x:v>
      </x:c>
    </x:row>
    <x:row r="752" ht="44" customHeight="1">
      <x:c r="A752" s="24" t="str">
        <x:v>STA-516</x:v>
      </x:c>
      <x:c r="B752" s="24" t="str">
        <x:v>Sealed or Sleeping Age</x:v>
      </x:c>
      <x:c r="C752" s="24" t="str">
        <x:v>States &amp; Transformations</x:v>
      </x:c>
      <x:c r="D752" s="24" t="str">
        <x:v>STA-500</x:v>
      </x:c>
      <x:c r="E752" s="24" t="str">
        <x:f>IF(D752="","",IFERROR(VLOOKUP(D752,$A$2:$B$1656,2,FALSE),""))</x:f>
        <x:v>Displacement and Meta-Narrative States</x:v>
      </x:c>
      <x:c r="F752" s="24" t="n">
        <x:v>3</x:v>
      </x:c>
      <x:c r="G752" s="24" t="str">
        <x:v>A person survives across eras through stasis, enchanted sleep, petrification, or burial.</x:v>
      </x:c>
      <x:c r="H752" s="24" t="str">
        <x:v>Record reversibility, agency, transmission, cost, social recognition, and identity continuity.</x:v>
      </x:c>
      <x:c r="I752" s="24" t="str">
        <x:v>sleeping hero; stasis; sealed ancient</x:v>
      </x:c>
      <x:c r="J752" s="24" t="str">
        <x:v>Second-life narratives, portal fantasy, game systems, time travel, and alternate identity.</x:v>
      </x:c>
      <x:c r="K752" s="24" t="str">
        <x:v>sleeping hero; stasis; sealed ancient</x:v>
      </x:c>
      <x:c r="L752" s="24" t="str">
        <x:v>Preserve each source's ontology, culture, history, and terminology when making comparisons.</x:v>
      </x:c>
      <x:c r="M752" s="24" t="str">
        <x:v>Core Family</x:v>
      </x:c>
    </x:row>
    <x:row r="753" ht="44" customHeight="1">
      <x:c r="A753" s="24" t="str">
        <x:v>STA-517</x:v>
      </x:c>
      <x:c r="B753" s="24" t="str">
        <x:v>Planar Refugee</x:v>
      </x:c>
      <x:c r="C753" s="24" t="str">
        <x:v>States &amp; Transformations</x:v>
      </x:c>
      <x:c r="D753" s="24" t="str">
        <x:v>STA-500</x:v>
      </x:c>
      <x:c r="E753" s="24" t="str">
        <x:f>IF(D753="","",IFERROR(VLOOKUP(D753,$A$2:$B$1656,2,FALSE),""))</x:f>
        <x:v>Displacement and Meta-Narrative States</x:v>
      </x:c>
      <x:c r="F753" s="24" t="n">
        <x:v>3</x:v>
      </x:c>
      <x:c r="G753" s="24" t="str">
        <x:v>A person or people relocates because their world or plane is destroyed, inaccessible, or hostile.</x:v>
      </x:c>
      <x:c r="H753" s="24" t="str">
        <x:v>Record reversibility, agency, transmission, cost, social recognition, and identity continuity.</x:v>
      </x:c>
      <x:c r="I753" s="24" t="str">
        <x:v>world refugee; planar diaspora</x:v>
      </x:c>
      <x:c r="J753" s="24" t="str">
        <x:v>Second-life narratives, portal fantasy, game systems, time travel, and alternate identity.</x:v>
      </x:c>
      <x:c r="K753" s="24" t="str">
        <x:v>world refugee; planar diaspora</x:v>
      </x:c>
      <x:c r="L753" s="24" t="str">
        <x:v>Preserve each source's ontology, culture, history, and terminology when making comparisons.</x:v>
      </x:c>
      <x:c r="M753" s="24" t="str">
        <x:v>Core Family</x:v>
      </x:c>
    </x:row>
    <x:row r="754" ht="44" customHeight="1">
      <x:c r="A754" s="24" t="str">
        <x:v>STA-518</x:v>
      </x:c>
      <x:c r="B754" s="24" t="str">
        <x:v>Summoned Familiar State</x:v>
      </x:c>
      <x:c r="C754" s="24" t="str">
        <x:v>States &amp; Transformations</x:v>
      </x:c>
      <x:c r="D754" s="24" t="str">
        <x:v>STA-500</x:v>
      </x:c>
      <x:c r="E754" s="24" t="str">
        <x:f>IF(D754="","",IFERROR(VLOOKUP(D754,$A$2:$B$1656,2,FALSE),""))</x:f>
        <x:v>Displacement and Meta-Narrative States</x:v>
      </x:c>
      <x:c r="F754" s="24" t="n">
        <x:v>3</x:v>
      </x:c>
      <x:c r="G754" s="24" t="str">
        <x:v>A being is called into service under binding rules and may be returned or dismissed.</x:v>
      </x:c>
      <x:c r="H754" s="24" t="str">
        <x:v>Record reversibility, agency, transmission, cost, social recognition, and identity continuity.</x:v>
      </x:c>
      <x:c r="I754" s="24" t="str">
        <x:v>summoned creature; familiar; eidolon</x:v>
      </x:c>
      <x:c r="J754" s="24" t="str">
        <x:v>Second-life narratives, portal fantasy, game systems, time travel, and alternate identity.</x:v>
      </x:c>
      <x:c r="K754" s="24" t="str">
        <x:v>summoned creature; familiar; eidolon</x:v>
      </x:c>
      <x:c r="L754" s="24" t="str">
        <x:v>Preserve each source's ontology, culture, history, and terminology when making comparisons.</x:v>
      </x:c>
      <x:c r="M754" s="24" t="str">
        <x:v>Core Family</x:v>
      </x:c>
    </x:row>
    <x:row r="755" ht="44" customHeight="1">
      <x:c r="A755" s="24" t="str">
        <x:v>STA-519</x:v>
      </x:c>
      <x:c r="B755" s="24" t="str">
        <x:v>Copy or Echo Incarnation</x:v>
      </x:c>
      <x:c r="C755" s="24" t="str">
        <x:v>States &amp; Transformations</x:v>
      </x:c>
      <x:c r="D755" s="24" t="str">
        <x:v>STA-500</x:v>
      </x:c>
      <x:c r="E755" s="24" t="str">
        <x:f>IF(D755="","",IFERROR(VLOOKUP(D755,$A$2:$B$1656,2,FALSE),""))</x:f>
        <x:v>Displacement and Meta-Narrative States</x:v>
      </x:c>
      <x:c r="F755" s="24" t="n">
        <x:v>3</x:v>
      </x:c>
      <x:c r="G755" s="24" t="str">
        <x:v>A new person is generated from another's data, memory, soul fragment, or recorded pattern.</x:v>
      </x:c>
      <x:c r="H755" s="24" t="str">
        <x:v>Record reversibility, agency, transmission, cost, social recognition, and identity continuity.</x:v>
      </x:c>
      <x:c r="I755" s="24" t="str">
        <x:v>echo; digital soul; magical copy</x:v>
      </x:c>
      <x:c r="J755" s="24" t="str">
        <x:v>Second-life narratives, portal fantasy, game systems, time travel, and alternate identity.</x:v>
      </x:c>
      <x:c r="K755" s="24" t="str">
        <x:v>echo; digital soul; magical copy</x:v>
      </x:c>
      <x:c r="L755" s="24" t="str">
        <x:v>Preserve each source's ontology, culture, history, and terminology when making comparisons.</x:v>
      </x:c>
      <x:c r="M755" s="24" t="str">
        <x:v>Core Family</x:v>
      </x:c>
    </x:row>
    <x:row r="756" ht="44" customHeight="1">
      <x:c r="A756" s="24" t="str">
        <x:v>STA-520</x:v>
      </x:c>
      <x:c r="B756" s="24" t="str">
        <x:v>Dream Incarnation</x:v>
      </x:c>
      <x:c r="C756" s="24" t="str">
        <x:v>States &amp; Transformations</x:v>
      </x:c>
      <x:c r="D756" s="24" t="str">
        <x:v>STA-500</x:v>
      </x:c>
      <x:c r="E756" s="24" t="str">
        <x:f>IF(D756="","",IFERROR(VLOOKUP(D756,$A$2:$B$1656,2,FALSE),""))</x:f>
        <x:v>Displacement and Meta-Narrative States</x:v>
      </x:c>
      <x:c r="F756" s="24" t="n">
        <x:v>3</x:v>
      </x:c>
      <x:c r="G756" s="24" t="str">
        <x:v>A person or being manifests from dream, story, imagination, or collective belief.</x:v>
      </x:c>
      <x:c r="H756" s="24" t="str">
        <x:v>Record reversibility, agency, transmission, cost, social recognition, and identity continuity.</x:v>
      </x:c>
      <x:c r="I756" s="24" t="str">
        <x:v>dreamborn; thoughtform; tulpa-like</x:v>
      </x:c>
      <x:c r="J756" s="24" t="str">
        <x:v>Second-life narratives, portal fantasy, game systems, time travel, and alternate identity.</x:v>
      </x:c>
      <x:c r="K756" s="24" t="str">
        <x:v>dreamborn; thoughtform; tulpa-like</x:v>
      </x:c>
      <x:c r="L756" s="24" t="str">
        <x:v>The term 'tulpa' has specific Tibetan Buddhist roots and a modern occult history; use with care.</x:v>
      </x:c>
      <x:c r="M756" s="24" t="str">
        <x:v>Core Family</x:v>
      </x:c>
    </x:row>
    <x:row r="757" ht="44" customHeight="1">
      <x:c r="A757" s="24" t="str">
        <x:v>INS-100</x:v>
      </x:c>
      <x:c r="B757" s="24" t="str">
        <x:v>Professional and Economic Organizations</x:v>
      </x:c>
      <x:c r="C757" s="24" t="str">
        <x:v>Institutions &amp; Affiliations</x:v>
      </x:c>
      <x:c r="D757" s="24" t="str">
        <x:v>INS-000</x:v>
      </x:c>
      <x:c r="E757" s="24" t="str">
        <x:f>IF(D757="","",IFERROR(VLOOKUP(D757,$A$2:$B$1656,2,FALSE),""))</x:f>
        <x:v>Institutions &amp; Affiliations</x:v>
      </x:c>
      <x:c r="F757" s="24" t="n">
        <x:v>2</x:v>
      </x:c>
      <x:c r="G757" s="24" t="str">
        <x:v>Guilds, companies, colleges, and networks organized around work, trade, craft, or adventure.</x:v>
      </x:c>
      <x:c r="H757" s="24" t="str">
        <x:v>An institution is an organized collective; membership may confer a role, identity, power, or status without being any of those itself.</x:v>
      </x:c>
      <x:c r="I757" s="24" t="str"/>
      <x:c r="J757" s="24" t="str">
        <x:v>Supports comparison of guilds, orders, schools, factions, and political structures.</x:v>
      </x:c>
      <x:c r="K757" s="24" t="str">
        <x:v>Professional and Economic Organizations</x:v>
      </x:c>
      <x:c r="L757" s="24" t="str">
        <x:v>Preserve each source's ontology, culture, history, and terminology when making comparisons.</x:v>
      </x:c>
      <x:c r="M757" s="24" t="str">
        <x:v>Category</x:v>
      </x:c>
    </x:row>
    <x:row r="758" ht="44" customHeight="1">
      <x:c r="A758" s="24" t="str">
        <x:v>INS-200</x:v>
      </x:c>
      <x:c r="B758" s="24" t="str">
        <x:v>Martial and Protective Organizations</x:v>
      </x:c>
      <x:c r="C758" s="24" t="str">
        <x:v>Institutions &amp; Affiliations</x:v>
      </x:c>
      <x:c r="D758" s="24" t="str">
        <x:v>INS-000</x:v>
      </x:c>
      <x:c r="E758" s="24" t="str">
        <x:f>IF(D758="","",IFERROR(VLOOKUP(D758,$A$2:$B$1656,2,FALSE),""))</x:f>
        <x:v>Institutions &amp; Affiliations</x:v>
      </x:c>
      <x:c r="F758" s="24" t="n">
        <x:v>2</x:v>
      </x:c>
      <x:c r="G758" s="24" t="str">
        <x:v>Armies, knightly orders, guards, ranger lodges, mercenary companies, and specialist hunters.</x:v>
      </x:c>
      <x:c r="H758" s="24" t="str">
        <x:v>An institution is an organized collective; membership may confer a role, identity, power, or status without being any of those itself.</x:v>
      </x:c>
      <x:c r="I758" s="24" t="str"/>
      <x:c r="J758" s="24" t="str">
        <x:v>Supports comparison of guilds, orders, schools, factions, and political structures.</x:v>
      </x:c>
      <x:c r="K758" s="24" t="str">
        <x:v>Martial and Protective Organizations</x:v>
      </x:c>
      <x:c r="L758" s="24" t="str">
        <x:v>Preserve each source's ontology, culture, history, and terminology when making comparisons.</x:v>
      </x:c>
      <x:c r="M758" s="24" t="str">
        <x:v>Category</x:v>
      </x:c>
    </x:row>
    <x:row r="759" ht="44" customHeight="1">
      <x:c r="A759" s="24" t="str">
        <x:v>INS-300</x:v>
      </x:c>
      <x:c r="B759" s="24" t="str">
        <x:v>Religious and Magical Organizations</x:v>
      </x:c>
      <x:c r="C759" s="24" t="str">
        <x:v>Institutions &amp; Affiliations</x:v>
      </x:c>
      <x:c r="D759" s="24" t="str">
        <x:v>INS-000</x:v>
      </x:c>
      <x:c r="E759" s="24" t="str">
        <x:f>IF(D759="","",IFERROR(VLOOKUP(D759,$A$2:$B$1656,2,FALSE),""))</x:f>
        <x:v>Institutions &amp; Affiliations</x:v>
      </x:c>
      <x:c r="F759" s="24" t="n">
        <x:v>2</x:v>
      </x:c>
      <x:c r="G759" s="24" t="str">
        <x:v>Churches, cults, temples, covens, circles, academies, sects, and initiatory traditions.</x:v>
      </x:c>
      <x:c r="H759" s="24" t="str">
        <x:v>An institution is an organized collective; membership may confer a role, identity, power, or status without being any of those itself.</x:v>
      </x:c>
      <x:c r="I759" s="24" t="str"/>
      <x:c r="J759" s="24" t="str">
        <x:v>Supports comparison of guilds, orders, schools, factions, and political structures.</x:v>
      </x:c>
      <x:c r="K759" s="24" t="str">
        <x:v>Religious and Magical Organizations</x:v>
      </x:c>
      <x:c r="L759" s="24" t="str">
        <x:v>Preserve each source's ontology, culture, history, and terminology when making comparisons.</x:v>
      </x:c>
      <x:c r="M759" s="24" t="str">
        <x:v>Category</x:v>
      </x:c>
    </x:row>
    <x:row r="760" ht="44" customHeight="1">
      <x:c r="A760" s="24" t="str">
        <x:v>INS-400</x:v>
      </x:c>
      <x:c r="B760" s="24" t="str">
        <x:v>Kinship, Political, and Secret Organizations</x:v>
      </x:c>
      <x:c r="C760" s="24" t="str">
        <x:v>Institutions &amp; Affiliations</x:v>
      </x:c>
      <x:c r="D760" s="24" t="str">
        <x:v>INS-000</x:v>
      </x:c>
      <x:c r="E760" s="24" t="str">
        <x:f>IF(D760="","",IFERROR(VLOOKUP(D760,$A$2:$B$1656,2,FALSE),""))</x:f>
        <x:v>Institutions &amp; Affiliations</x:v>
      </x:c>
      <x:c r="F760" s="24" t="n">
        <x:v>2</x:v>
      </x:c>
      <x:c r="G760" s="24" t="str">
        <x:v>Clans, houses, tribes, courts, castes, councils, conspiracies, and covert networks.</x:v>
      </x:c>
      <x:c r="H760" s="24" t="str">
        <x:v>An institution is an organized collective; membership may confer a role, identity, power, or status without being any of those itself.</x:v>
      </x:c>
      <x:c r="I760" s="24" t="str"/>
      <x:c r="J760" s="24" t="str">
        <x:v>Supports comparison of guilds, orders, schools, factions, and political structures.</x:v>
      </x:c>
      <x:c r="K760" s="24" t="str">
        <x:v>Kinship, Political, and Secret Organizations</x:v>
      </x:c>
      <x:c r="L760" s="24" t="str">
        <x:v>Preserve each source's ontology, culture, history, and terminology when making comparisons.</x:v>
      </x:c>
      <x:c r="M760" s="24" t="str">
        <x:v>Category</x:v>
      </x:c>
    </x:row>
    <x:row r="761" ht="44" customHeight="1">
      <x:c r="A761" s="24" t="str">
        <x:v>INS-101</x:v>
      </x:c>
      <x:c r="B761" s="24" t="str">
        <x:v>Adventurers' Guild</x:v>
      </x:c>
      <x:c r="C761" s="24" t="str">
        <x:v>Institutions &amp; Affiliations</x:v>
      </x:c>
      <x:c r="D761" s="24" t="str">
        <x:v>INS-100</x:v>
      </x:c>
      <x:c r="E761" s="24" t="str">
        <x:f>IF(D761="","",IFERROR(VLOOKUP(D761,$A$2:$B$1656,2,FALSE),""))</x:f>
        <x:v>Professional and Economic Organizations</x:v>
      </x:c>
      <x:c r="F761" s="24" t="n">
        <x:v>3</x:v>
      </x:c>
      <x:c r="G761" s="24" t="str">
        <x:v>Organization that registers, ranks, contracts, equips, regulates, or rewards adventurers.</x:v>
      </x:c>
      <x:c r="H761" s="24" t="str">
        <x:v>Record membership rules, hierarchy, resources, jurisdiction, ideology, and relation to the state.</x:v>
      </x:c>
      <x:c r="I761" s="24" t="str">
        <x:v>adventurer guild; quest guild; hunters' association</x:v>
      </x:c>
      <x:c r="J761" s="24" t="str">
        <x:v>Labor regulation, training, contracting, economic coordination, and social mobility.</x:v>
      </x:c>
      <x:c r="K761" s="24" t="str">
        <x:v>adventurer guild; quest guild; hunters' association</x:v>
      </x:c>
      <x:c r="L761" s="24" t="str">
        <x:v>Preserve each source's ontology, culture, history, and terminology when making comparisons.</x:v>
      </x:c>
      <x:c r="M761" s="24" t="str">
        <x:v>Core Family</x:v>
      </x:c>
    </x:row>
    <x:row r="762" ht="44" customHeight="1">
      <x:c r="A762" s="24" t="str">
        <x:v>INS-102</x:v>
      </x:c>
      <x:c r="B762" s="24" t="str">
        <x:v>Mage Guild</x:v>
      </x:c>
      <x:c r="C762" s="24" t="str">
        <x:v>Institutions &amp; Affiliations</x:v>
      </x:c>
      <x:c r="D762" s="24" t="str">
        <x:v>INS-100</x:v>
      </x:c>
      <x:c r="E762" s="24" t="str">
        <x:f>IF(D762="","",IFERROR(VLOOKUP(D762,$A$2:$B$1656,2,FALSE),""))</x:f>
        <x:v>Professional and Economic Organizations</x:v>
      </x:c>
      <x:c r="F762" s="24" t="n">
        <x:v>3</x:v>
      </x:c>
      <x:c r="G762" s="24" t="str">
        <x:v>Professional body that licenses, trains, employs, protects, or controls magic users.</x:v>
      </x:c>
      <x:c r="H762" s="24" t="str">
        <x:v>Record membership rules, hierarchy, resources, jurisdiction, ideology, and relation to the state.</x:v>
      </x:c>
      <x:c r="I762" s="24" t="str">
        <x:v>mages' guild; wizard guild; arcane association</x:v>
      </x:c>
      <x:c r="J762" s="24" t="str">
        <x:v>Labor regulation, training, contracting, economic coordination, and social mobility.</x:v>
      </x:c>
      <x:c r="K762" s="24" t="str">
        <x:v>mages' guild; wizard guild; arcane association</x:v>
      </x:c>
      <x:c r="L762" s="24" t="str">
        <x:v>Preserve each source's ontology, culture, history, and terminology when making comparisons.</x:v>
      </x:c>
      <x:c r="M762" s="24" t="str">
        <x:v>Core Family</x:v>
      </x:c>
    </x:row>
    <x:row r="763" ht="44" customHeight="1">
      <x:c r="A763" s="24" t="str">
        <x:v>INS-103</x:v>
      </x:c>
      <x:c r="B763" s="24" t="str">
        <x:v>Thieves' Guild</x:v>
      </x:c>
      <x:c r="C763" s="24" t="str">
        <x:v>Institutions &amp; Affiliations</x:v>
      </x:c>
      <x:c r="D763" s="24" t="str">
        <x:v>INS-100</x:v>
      </x:c>
      <x:c r="E763" s="24" t="str">
        <x:f>IF(D763="","",IFERROR(VLOOKUP(D763,$A$2:$B$1656,2,FALSE),""))</x:f>
        <x:v>Professional and Economic Organizations</x:v>
      </x:c>
      <x:c r="F763" s="24" t="n">
        <x:v>3</x:v>
      </x:c>
      <x:c r="G763" s="24" t="str">
        <x:v>Organized network that coordinates theft, fences goods, enforces territory, and regulates underworld conduct.</x:v>
      </x:c>
      <x:c r="H763" s="24" t="str">
        <x:v>Record membership rules, hierarchy, resources, jurisdiction, ideology, and relation to the state.</x:v>
      </x:c>
      <x:c r="I763" s="24" t="str">
        <x:v>thieves guild; criminal guild</x:v>
      </x:c>
      <x:c r="J763" s="24" t="str">
        <x:v>Labor regulation, training, contracting, economic coordination, and social mobility.</x:v>
      </x:c>
      <x:c r="K763" s="24" t="str">
        <x:v>thieves guild; criminal guild</x:v>
      </x:c>
      <x:c r="L763" s="24" t="str">
        <x:v>Preserve each source's ontology, culture, history, and terminology when making comparisons.</x:v>
      </x:c>
      <x:c r="M763" s="24" t="str">
        <x:v>Core Family</x:v>
      </x:c>
    </x:row>
    <x:row r="764" ht="44" customHeight="1">
      <x:c r="A764" s="24" t="str">
        <x:v>INS-104</x:v>
      </x:c>
      <x:c r="B764" s="24" t="str">
        <x:v>Assassins' Guild</x:v>
      </x:c>
      <x:c r="C764" s="24" t="str">
        <x:v>Institutions &amp; Affiliations</x:v>
      </x:c>
      <x:c r="D764" s="24" t="str">
        <x:v>INS-100</x:v>
      </x:c>
      <x:c r="E764" s="24" t="str">
        <x:f>IF(D764="","",IFERROR(VLOOKUP(D764,$A$2:$B$1656,2,FALSE),""))</x:f>
        <x:v>Professional and Economic Organizations</x:v>
      </x:c>
      <x:c r="F764" s="24" t="n">
        <x:v>3</x:v>
      </x:c>
      <x:c r="G764" s="24" t="str">
        <x:v>Institution that trains, contracts, legitimizes, or ritualizes professional killing.</x:v>
      </x:c>
      <x:c r="H764" s="24" t="str">
        <x:v>Record membership rules, hierarchy, resources, jurisdiction, ideology, and relation to the state.</x:v>
      </x:c>
      <x:c r="I764" s="24" t="str">
        <x:v>assassin guild; killers' order</x:v>
      </x:c>
      <x:c r="J764" s="24" t="str">
        <x:v>Labor regulation, training, contracting, economic coordination, and social mobility.</x:v>
      </x:c>
      <x:c r="K764" s="24" t="str">
        <x:v>assassin guild; killers' order</x:v>
      </x:c>
      <x:c r="L764" s="24" t="str">
        <x:v>Preserve each source's ontology, culture, history, and terminology when making comparisons.</x:v>
      </x:c>
      <x:c r="M764" s="24" t="str">
        <x:v>Core Family</x:v>
      </x:c>
    </x:row>
    <x:row r="765" ht="44" customHeight="1">
      <x:c r="A765" s="24" t="str">
        <x:v>INS-105</x:v>
      </x:c>
      <x:c r="B765" s="24" t="str">
        <x:v>Merchants' Guild</x:v>
      </x:c>
      <x:c r="C765" s="24" t="str">
        <x:v>Institutions &amp; Affiliations</x:v>
      </x:c>
      <x:c r="D765" s="24" t="str">
        <x:v>INS-100</x:v>
      </x:c>
      <x:c r="E765" s="24" t="str">
        <x:f>IF(D765="","",IFERROR(VLOOKUP(D765,$A$2:$B$1656,2,FALSE),""))</x:f>
        <x:v>Professional and Economic Organizations</x:v>
      </x:c>
      <x:c r="F765" s="24" t="n">
        <x:v>3</x:v>
      </x:c>
      <x:c r="G765" s="24" t="str">
        <x:v>Association coordinating trade rights, prices, caravans, credit, lobbying, and commercial protection.</x:v>
      </x:c>
      <x:c r="H765" s="24" t="str">
        <x:v>Record membership rules, hierarchy, resources, jurisdiction, ideology, and relation to the state.</x:v>
      </x:c>
      <x:c r="I765" s="24" t="str">
        <x:v>merchant guild; trade league</x:v>
      </x:c>
      <x:c r="J765" s="24" t="str">
        <x:v>Labor regulation, training, contracting, economic coordination, and social mobility.</x:v>
      </x:c>
      <x:c r="K765" s="24" t="str">
        <x:v>merchant guild; trade league</x:v>
      </x:c>
      <x:c r="L765" s="24" t="str">
        <x:v>Preserve each source's ontology, culture, history, and terminology when making comparisons.</x:v>
      </x:c>
      <x:c r="M765" s="24" t="str">
        <x:v>Core Family</x:v>
      </x:c>
    </x:row>
    <x:row r="766" ht="44" customHeight="1">
      <x:c r="A766" s="24" t="str">
        <x:v>INS-106</x:v>
      </x:c>
      <x:c r="B766" s="24" t="str">
        <x:v>Artisans' Guild</x:v>
      </x:c>
      <x:c r="C766" s="24" t="str">
        <x:v>Institutions &amp; Affiliations</x:v>
      </x:c>
      <x:c r="D766" s="24" t="str">
        <x:v>INS-100</x:v>
      </x:c>
      <x:c r="E766" s="24" t="str">
        <x:f>IF(D766="","",IFERROR(VLOOKUP(D766,$A$2:$B$1656,2,FALSE),""))</x:f>
        <x:v>Professional and Economic Organizations</x:v>
      </x:c>
      <x:c r="F766" s="24" t="n">
        <x:v>3</x:v>
      </x:c>
      <x:c r="G766" s="24" t="str">
        <x:v>Professional association controlling training, quality, markets, and status within a craft.</x:v>
      </x:c>
      <x:c r="H766" s="24" t="str">
        <x:v>Record membership rules, hierarchy, resources, jurisdiction, ideology, and relation to the state.</x:v>
      </x:c>
      <x:c r="I766" s="24" t="str">
        <x:v>craft guild; smiths' guild; builders' guild</x:v>
      </x:c>
      <x:c r="J766" s="24" t="str">
        <x:v>Labor regulation, training, contracting, economic coordination, and social mobility.</x:v>
      </x:c>
      <x:c r="K766" s="24" t="str">
        <x:v>craft guild; smiths' guild; builders' guild</x:v>
      </x:c>
      <x:c r="L766" s="24" t="str">
        <x:v>Preserve each source's ontology, culture, history, and terminology when making comparisons.</x:v>
      </x:c>
      <x:c r="M766" s="24" t="str">
        <x:v>Core Family</x:v>
      </x:c>
    </x:row>
    <x:row r="767" ht="44" customHeight="1">
      <x:c r="A767" s="24" t="str">
        <x:v>INS-107</x:v>
      </x:c>
      <x:c r="B767" s="24" t="str">
        <x:v>Bardic College</x:v>
      </x:c>
      <x:c r="C767" s="24" t="str">
        <x:v>Institutions &amp; Affiliations</x:v>
      </x:c>
      <x:c r="D767" s="24" t="str">
        <x:v>INS-100</x:v>
      </x:c>
      <x:c r="E767" s="24" t="str">
        <x:f>IF(D767="","",IFERROR(VLOOKUP(D767,$A$2:$B$1656,2,FALSE),""))</x:f>
        <x:v>Professional and Economic Organizations</x:v>
      </x:c>
      <x:c r="F767" s="24" t="n">
        <x:v>3</x:v>
      </x:c>
      <x:c r="G767" s="24" t="str">
        <x:v>Institution preserving performance traditions, lore, magical music, and professional networks.</x:v>
      </x:c>
      <x:c r="H767" s="24" t="str">
        <x:v>Record membership rules, hierarchy, resources, jurisdiction, ideology, and relation to the state.</x:v>
      </x:c>
      <x:c r="I767" s="24" t="str">
        <x:v>bard college; minstrel guild</x:v>
      </x:c>
      <x:c r="J767" s="24" t="str">
        <x:v>Labor regulation, training, contracting, economic coordination, and social mobility.</x:v>
      </x:c>
      <x:c r="K767" s="24" t="str">
        <x:v>bard college; minstrel guild</x:v>
      </x:c>
      <x:c r="L767" s="24" t="str">
        <x:v>Preserve each source's ontology, culture, history, and terminology when making comparisons.</x:v>
      </x:c>
      <x:c r="M767" s="24" t="str">
        <x:v>Core Family</x:v>
      </x:c>
    </x:row>
    <x:row r="768" ht="44" customHeight="1">
      <x:c r="A768" s="24" t="str">
        <x:v>INS-108</x:v>
      </x:c>
      <x:c r="B768" s="24" t="str">
        <x:v>Scholarly Society</x:v>
      </x:c>
      <x:c r="C768" s="24" t="str">
        <x:v>Institutions &amp; Affiliations</x:v>
      </x:c>
      <x:c r="D768" s="24" t="str">
        <x:v>INS-100</x:v>
      </x:c>
      <x:c r="E768" s="24" t="str">
        <x:f>IF(D768="","",IFERROR(VLOOKUP(D768,$A$2:$B$1656,2,FALSE),""))</x:f>
        <x:v>Professional and Economic Organizations</x:v>
      </x:c>
      <x:c r="F768" s="24" t="n">
        <x:v>3</x:v>
      </x:c>
      <x:c r="G768" s="24" t="str">
        <x:v>Association devoted to research, antiquities, natural philosophy, magic, history, or exploration.</x:v>
      </x:c>
      <x:c r="H768" s="24" t="str">
        <x:v>Record membership rules, hierarchy, resources, jurisdiction, ideology, and relation to the state.</x:v>
      </x:c>
      <x:c r="I768" s="24" t="str">
        <x:v>learned society; academy; research order</x:v>
      </x:c>
      <x:c r="J768" s="24" t="str">
        <x:v>Labor regulation, training, contracting, economic coordination, and social mobility.</x:v>
      </x:c>
      <x:c r="K768" s="24" t="str">
        <x:v>learned society; academy; research order</x:v>
      </x:c>
      <x:c r="L768" s="24" t="str">
        <x:v>Preserve each source's ontology, culture, history, and terminology when making comparisons.</x:v>
      </x:c>
      <x:c r="M768" s="24" t="str">
        <x:v>Core Family</x:v>
      </x:c>
    </x:row>
    <x:row r="769" ht="44" customHeight="1">
      <x:c r="A769" s="24" t="str">
        <x:v>INS-109</x:v>
      </x:c>
      <x:c r="B769" s="24" t="str">
        <x:v>Explorers' Society</x:v>
      </x:c>
      <x:c r="C769" s="24" t="str">
        <x:v>Institutions &amp; Affiliations</x:v>
      </x:c>
      <x:c r="D769" s="24" t="str">
        <x:v>INS-100</x:v>
      </x:c>
      <x:c r="E769" s="24" t="str">
        <x:f>IF(D769="","",IFERROR(VLOOKUP(D769,$A$2:$B$1656,2,FALSE),""))</x:f>
        <x:v>Professional and Economic Organizations</x:v>
      </x:c>
      <x:c r="F769" s="24" t="n">
        <x:v>3</x:v>
      </x:c>
      <x:c r="G769" s="24" t="str">
        <x:v>Institution funding and coordinating expeditions, maps, discoveries, and colonial or scientific projects.</x:v>
      </x:c>
      <x:c r="H769" s="24" t="str">
        <x:v>Record membership rules, hierarchy, resources, jurisdiction, ideology, and relation to the state.</x:v>
      </x:c>
      <x:c r="I769" s="24" t="str">
        <x:v>explorers guild; geographical society</x:v>
      </x:c>
      <x:c r="J769" s="24" t="str">
        <x:v>Labor regulation, training, contracting, economic coordination, and social mobility.</x:v>
      </x:c>
      <x:c r="K769" s="24" t="str">
        <x:v>explorers guild; geographical society</x:v>
      </x:c>
      <x:c r="L769" s="24" t="str">
        <x:v>Preserve each source's ontology, culture, history, and terminology when making comparisons.</x:v>
      </x:c>
      <x:c r="M769" s="24" t="str">
        <x:v>Core Family</x:v>
      </x:c>
    </x:row>
    <x:row r="770" ht="44" customHeight="1">
      <x:c r="A770" s="24" t="str">
        <x:v>INS-110</x:v>
      </x:c>
      <x:c r="B770" s="24" t="str">
        <x:v>Caravan Consortium</x:v>
      </x:c>
      <x:c r="C770" s="24" t="str">
        <x:v>Institutions &amp; Affiliations</x:v>
      </x:c>
      <x:c r="D770" s="24" t="str">
        <x:v>INS-100</x:v>
      </x:c>
      <x:c r="E770" s="24" t="str">
        <x:f>IF(D770="","",IFERROR(VLOOKUP(D770,$A$2:$B$1656,2,FALSE),""))</x:f>
        <x:v>Professional and Economic Organizations</x:v>
      </x:c>
      <x:c r="F770" s="24" t="n">
        <x:v>3</x:v>
      </x:c>
      <x:c r="G770" s="24" t="str">
        <x:v>Network of merchants, guards, guides, and financiers managing long-distance overland trade.</x:v>
      </x:c>
      <x:c r="H770" s="24" t="str">
        <x:v>Record membership rules, hierarchy, resources, jurisdiction, ideology, and relation to the state.</x:v>
      </x:c>
      <x:c r="I770" s="24" t="str">
        <x:v>caravan league; trade consortium</x:v>
      </x:c>
      <x:c r="J770" s="24" t="str">
        <x:v>Labor regulation, training, contracting, economic coordination, and social mobility.</x:v>
      </x:c>
      <x:c r="K770" s="24" t="str">
        <x:v>caravan league; trade consortium</x:v>
      </x:c>
      <x:c r="L770" s="24" t="str">
        <x:v>Preserve each source's ontology, culture, history, and terminology when making comparisons.</x:v>
      </x:c>
      <x:c r="M770" s="24" t="str">
        <x:v>Core Family</x:v>
      </x:c>
    </x:row>
    <x:row r="771" ht="44" customHeight="1">
      <x:c r="A771" s="24" t="str">
        <x:v>INS-111</x:v>
      </x:c>
      <x:c r="B771" s="24" t="str">
        <x:v>Banking or Moneylending House</x:v>
      </x:c>
      <x:c r="C771" s="24" t="str">
        <x:v>Institutions &amp; Affiliations</x:v>
      </x:c>
      <x:c r="D771" s="24" t="str">
        <x:v>INS-100</x:v>
      </x:c>
      <x:c r="E771" s="24" t="str">
        <x:f>IF(D771="","",IFERROR(VLOOKUP(D771,$A$2:$B$1656,2,FALSE),""))</x:f>
        <x:v>Professional and Economic Organizations</x:v>
      </x:c>
      <x:c r="F771" s="24" t="n">
        <x:v>3</x:v>
      </x:c>
      <x:c r="G771" s="24" t="str">
        <x:v>Institution controlling credit, currency, debt, exchange, and political leverage.</x:v>
      </x:c>
      <x:c r="H771" s="24" t="str">
        <x:v>Record membership rules, hierarchy, resources, jurisdiction, ideology, and relation to the state.</x:v>
      </x:c>
      <x:c r="I771" s="24" t="str">
        <x:v>banking house; iron bank analogue; moneylenders</x:v>
      </x:c>
      <x:c r="J771" s="24" t="str">
        <x:v>Labor regulation, training, contracting, economic coordination, and social mobility.</x:v>
      </x:c>
      <x:c r="K771" s="24" t="str">
        <x:v>banking house; iron bank analogue; moneylenders</x:v>
      </x:c>
      <x:c r="L771" s="24" t="str">
        <x:v>Preserve each source's ontology, culture, history, and terminology when making comparisons.</x:v>
      </x:c>
      <x:c r="M771" s="24" t="str">
        <x:v>Core Family</x:v>
      </x:c>
    </x:row>
    <x:row r="772" ht="44" customHeight="1">
      <x:c r="A772" s="24" t="str">
        <x:v>INS-112</x:v>
      </x:c>
      <x:c r="B772" s="24" t="str">
        <x:v>Crafting Company</x:v>
      </x:c>
      <x:c r="C772" s="24" t="str">
        <x:v>Institutions &amp; Affiliations</x:v>
      </x:c>
      <x:c r="D772" s="24" t="str">
        <x:v>INS-100</x:v>
      </x:c>
      <x:c r="E772" s="24" t="str">
        <x:f>IF(D772="","",IFERROR(VLOOKUP(D772,$A$2:$B$1656,2,FALSE),""))</x:f>
        <x:v>Professional and Economic Organizations</x:v>
      </x:c>
      <x:c r="F772" s="24" t="n">
        <x:v>3</x:v>
      </x:c>
      <x:c r="G772" s="24" t="str">
        <x:v>Organized production enterprise combining artisans, capital, magical labor, and distribution.</x:v>
      </x:c>
      <x:c r="H772" s="24" t="str">
        <x:v>Record membership rules, hierarchy, resources, jurisdiction, ideology, and relation to the state.</x:v>
      </x:c>
      <x:c r="I772" s="24" t="str">
        <x:v>workshop company; manufactury; atelier</x:v>
      </x:c>
      <x:c r="J772" s="24" t="str">
        <x:v>Labor regulation, training, contracting, economic coordination, and social mobility.</x:v>
      </x:c>
      <x:c r="K772" s="24" t="str">
        <x:v>workshop company; manufactury; atelier</x:v>
      </x:c>
      <x:c r="L772" s="24" t="str">
        <x:v>Preserve each source's ontology, culture, history, and terminology when making comparisons.</x:v>
      </x:c>
      <x:c r="M772" s="24" t="str">
        <x:v>Core Family</x:v>
      </x:c>
    </x:row>
    <x:row r="773" ht="44" customHeight="1">
      <x:c r="A773" s="24" t="str">
        <x:v>INS-113</x:v>
      </x:c>
      <x:c r="B773" s="24" t="str">
        <x:v>Hunters' Association</x:v>
      </x:c>
      <x:c r="C773" s="24" t="str">
        <x:v>Institutions &amp; Affiliations</x:v>
      </x:c>
      <x:c r="D773" s="24" t="str">
        <x:v>INS-100</x:v>
      </x:c>
      <x:c r="E773" s="24" t="str">
        <x:f>IF(D773="","",IFERROR(VLOOKUP(D773,$A$2:$B$1656,2,FALSE),""))</x:f>
        <x:v>Professional and Economic Organizations</x:v>
      </x:c>
      <x:c r="F773" s="24" t="n">
        <x:v>3</x:v>
      </x:c>
      <x:c r="G773" s="24" t="str">
        <x:v>Professional registry that ranks and dispatches hunters against monsters, gates, bounties, or supernatural threats.</x:v>
      </x:c>
      <x:c r="H773" s="24" t="str">
        <x:v>Record membership rules, hierarchy, resources, jurisdiction, ideology, and relation to the state.</x:v>
      </x:c>
      <x:c r="I773" s="24" t="str">
        <x:v>hunter association; slayer guild</x:v>
      </x:c>
      <x:c r="J773" s="24" t="str">
        <x:v>Labor regulation, training, contracting, economic coordination, and social mobility.</x:v>
      </x:c>
      <x:c r="K773" s="24" t="str">
        <x:v>hunter association; slayer guild</x:v>
      </x:c>
      <x:c r="L773" s="24" t="str">
        <x:v>Preserve each source's ontology, culture, history, and terminology when making comparisons.</x:v>
      </x:c>
      <x:c r="M773" s="24" t="str">
        <x:v>Core Family</x:v>
      </x:c>
    </x:row>
    <x:row r="774" ht="44" customHeight="1">
      <x:c r="A774" s="24" t="str">
        <x:v>INS-114</x:v>
      </x:c>
      <x:c r="B774" s="24" t="str">
        <x:v>Courier Network</x:v>
      </x:c>
      <x:c r="C774" s="24" t="str">
        <x:v>Institutions &amp; Affiliations</x:v>
      </x:c>
      <x:c r="D774" s="24" t="str">
        <x:v>INS-100</x:v>
      </x:c>
      <x:c r="E774" s="24" t="str">
        <x:f>IF(D774="","",IFERROR(VLOOKUP(D774,$A$2:$B$1656,2,FALSE),""))</x:f>
        <x:v>Professional and Economic Organizations</x:v>
      </x:c>
      <x:c r="F774" s="24" t="n">
        <x:v>3</x:v>
      </x:c>
      <x:c r="G774" s="24" t="str">
        <x:v>Organization specializing in rapid, secure, magical, aerial, or interplanar communication.</x:v>
      </x:c>
      <x:c r="H774" s="24" t="str">
        <x:v>Record membership rules, hierarchy, resources, jurisdiction, ideology, and relation to the state.</x:v>
      </x:c>
      <x:c r="I774" s="24" t="str">
        <x:v>messenger guild; postal order</x:v>
      </x:c>
      <x:c r="J774" s="24" t="str">
        <x:v>Labor regulation, training, contracting, economic coordination, and social mobility.</x:v>
      </x:c>
      <x:c r="K774" s="24" t="str">
        <x:v>messenger guild; postal order</x:v>
      </x:c>
      <x:c r="L774" s="24" t="str">
        <x:v>Preserve each source's ontology, culture, history, and terminology when making comparisons.</x:v>
      </x:c>
      <x:c r="M774" s="24" t="str">
        <x:v>Core Family</x:v>
      </x:c>
    </x:row>
    <x:row r="775" ht="44" customHeight="1">
      <x:c r="A775" s="24" t="str">
        <x:v>INS-115</x:v>
      </x:c>
      <x:c r="B775" s="24" t="str">
        <x:v>Healers' College</x:v>
      </x:c>
      <x:c r="C775" s="24" t="str">
        <x:v>Institutions &amp; Affiliations</x:v>
      </x:c>
      <x:c r="D775" s="24" t="str">
        <x:v>INS-100</x:v>
      </x:c>
      <x:c r="E775" s="24" t="str">
        <x:f>IF(D775="","",IFERROR(VLOOKUP(D775,$A$2:$B$1656,2,FALSE),""))</x:f>
        <x:v>Professional and Economic Organizations</x:v>
      </x:c>
      <x:c r="F775" s="24" t="n">
        <x:v>3</x:v>
      </x:c>
      <x:c r="G775" s="24" t="str">
        <x:v>Institution training and regulating physicians, apothecaries, clerics, or magical healers.</x:v>
      </x:c>
      <x:c r="H775" s="24" t="str">
        <x:v>Record membership rules, hierarchy, resources, jurisdiction, ideology, and relation to the state.</x:v>
      </x:c>
      <x:c r="I775" s="24" t="str">
        <x:v>healers guild; medical college</x:v>
      </x:c>
      <x:c r="J775" s="24" t="str">
        <x:v>Labor regulation, training, contracting, economic coordination, and social mobility.</x:v>
      </x:c>
      <x:c r="K775" s="24" t="str">
        <x:v>healers guild; medical college</x:v>
      </x:c>
      <x:c r="L775" s="24" t="str">
        <x:v>Preserve each source's ontology, culture, history, and terminology when making comparisons.</x:v>
      </x:c>
      <x:c r="M775" s="24" t="str">
        <x:v>Core Family</x:v>
      </x:c>
    </x:row>
    <x:row r="776" ht="44" customHeight="1">
      <x:c r="A776" s="24" t="str">
        <x:v>INS-201</x:v>
      </x:c>
      <x:c r="B776" s="24" t="str">
        <x:v>Army or Legion</x:v>
      </x:c>
      <x:c r="C776" s="24" t="str">
        <x:v>Institutions &amp; Affiliations</x:v>
      </x:c>
      <x:c r="D776" s="24" t="str">
        <x:v>INS-200</x:v>
      </x:c>
      <x:c r="E776" s="24" t="str">
        <x:f>IF(D776="","",IFERROR(VLOOKUP(D776,$A$2:$B$1656,2,FALSE),""))</x:f>
        <x:v>Martial and Protective Organizations</x:v>
      </x:c>
      <x:c r="F776" s="24" t="n">
        <x:v>3</x:v>
      </x:c>
      <x:c r="G776" s="24" t="str">
        <x:v>Formal standing or mobilized military organized into hierarchy, units, logistics, and state service.</x:v>
      </x:c>
      <x:c r="H776" s="24" t="str">
        <x:v>Record membership rules, hierarchy, resources, jurisdiction, ideology, and relation to the state.</x:v>
      </x:c>
      <x:c r="I776" s="24" t="str">
        <x:v>army; legion; host</x:v>
      </x:c>
      <x:c r="J776" s="24" t="str">
        <x:v>Defense, conquest, policing, specialist threat response, and military identity.</x:v>
      </x:c>
      <x:c r="K776" s="24" t="str">
        <x:v>army; legion; host</x:v>
      </x:c>
      <x:c r="L776" s="24" t="str">
        <x:v>Preserve each source's ontology, culture, history, and terminology when making comparisons.</x:v>
      </x:c>
      <x:c r="M776" s="24" t="str">
        <x:v>Core Family</x:v>
      </x:c>
    </x:row>
    <x:row r="777" ht="44" customHeight="1">
      <x:c r="A777" s="24" t="str">
        <x:v>INS-202</x:v>
      </x:c>
      <x:c r="B777" s="24" t="str">
        <x:v>Royal Guard</x:v>
      </x:c>
      <x:c r="C777" s="24" t="str">
        <x:v>Institutions &amp; Affiliations</x:v>
      </x:c>
      <x:c r="D777" s="24" t="str">
        <x:v>INS-200</x:v>
      </x:c>
      <x:c r="E777" s="24" t="str">
        <x:f>IF(D777="","",IFERROR(VLOOKUP(D777,$A$2:$B$1656,2,FALSE),""))</x:f>
        <x:v>Martial and Protective Organizations</x:v>
      </x:c>
      <x:c r="F777" s="24" t="n">
        <x:v>3</x:v>
      </x:c>
      <x:c r="G777" s="24" t="str">
        <x:v>Elite military unit charged with protecting a sovereign, dynasty, palace, or sacred capital.</x:v>
      </x:c>
      <x:c r="H777" s="24" t="str">
        <x:v>Record membership rules, hierarchy, resources, jurisdiction, ideology, and relation to the state.</x:v>
      </x:c>
      <x:c r="I777" s="24" t="str">
        <x:v>royal guard; kingsguard; praetorian guard analogue</x:v>
      </x:c>
      <x:c r="J777" s="24" t="str">
        <x:v>Defense, conquest, policing, specialist threat response, and military identity.</x:v>
      </x:c>
      <x:c r="K777" s="24" t="str">
        <x:v>royal guard; kingsguard; praetorian guard analogue</x:v>
      </x:c>
      <x:c r="L777" s="24" t="str">
        <x:v>Preserve each source's ontology, culture, history, and terminology when making comparisons.</x:v>
      </x:c>
      <x:c r="M777" s="24" t="str">
        <x:v>Core Family</x:v>
      </x:c>
    </x:row>
    <x:row r="778" ht="44" customHeight="1">
      <x:c r="A778" s="24" t="str">
        <x:v>INS-203</x:v>
      </x:c>
      <x:c r="B778" s="24" t="str">
        <x:v>City Watch</x:v>
      </x:c>
      <x:c r="C778" s="24" t="str">
        <x:v>Institutions &amp; Affiliations</x:v>
      </x:c>
      <x:c r="D778" s="24" t="str">
        <x:v>INS-200</x:v>
      </x:c>
      <x:c r="E778" s="24" t="str">
        <x:f>IF(D778="","",IFERROR(VLOOKUP(D778,$A$2:$B$1656,2,FALSE),""))</x:f>
        <x:v>Martial and Protective Organizations</x:v>
      </x:c>
      <x:c r="F778" s="24" t="n">
        <x:v>3</x:v>
      </x:c>
      <x:c r="G778" s="24" t="str">
        <x:v>Urban force responsible for policing, fire response, defense, and public order.</x:v>
      </x:c>
      <x:c r="H778" s="24" t="str">
        <x:v>Record membership rules, hierarchy, resources, jurisdiction, ideology, and relation to the state.</x:v>
      </x:c>
      <x:c r="I778" s="24" t="str">
        <x:v>city watch; town guard; constabulary</x:v>
      </x:c>
      <x:c r="J778" s="24" t="str">
        <x:v>Defense, conquest, policing, specialist threat response, and military identity.</x:v>
      </x:c>
      <x:c r="K778" s="24" t="str">
        <x:v>city watch; town guard; constabulary</x:v>
      </x:c>
      <x:c r="L778" s="24" t="str">
        <x:v>Preserve each source's ontology, culture, history, and terminology when making comparisons.</x:v>
      </x:c>
      <x:c r="M778" s="24" t="str">
        <x:v>Core Family</x:v>
      </x:c>
    </x:row>
    <x:row r="779" ht="44" customHeight="1">
      <x:c r="A779" s="24" t="str">
        <x:v>INS-204</x:v>
      </x:c>
      <x:c r="B779" s="24" t="str">
        <x:v>Knightly Order</x:v>
      </x:c>
      <x:c r="C779" s="24" t="str">
        <x:v>Institutions &amp; Affiliations</x:v>
      </x:c>
      <x:c r="D779" s="24" t="str">
        <x:v>INS-200</x:v>
      </x:c>
      <x:c r="E779" s="24" t="str">
        <x:f>IF(D779="","",IFERROR(VLOOKUP(D779,$A$2:$B$1656,2,FALSE),""))</x:f>
        <x:v>Martial and Protective Organizations</x:v>
      </x:c>
      <x:c r="F779" s="24" t="n">
        <x:v>3</x:v>
      </x:c>
      <x:c r="G779" s="24" t="str">
        <x:v>Oath-bound fraternity or institution of elite warriors organized around service, chivalry, faith, or territory.</x:v>
      </x:c>
      <x:c r="H779" s="24" t="str">
        <x:v>Record membership rules, hierarchy, resources, jurisdiction, ideology, and relation to the state.</x:v>
      </x:c>
      <x:c r="I779" s="24" t="str">
        <x:v>knightly order; order of knights</x:v>
      </x:c>
      <x:c r="J779" s="24" t="str">
        <x:v>Defense, conquest, policing, specialist threat response, and military identity.</x:v>
      </x:c>
      <x:c r="K779" s="24" t="str">
        <x:v>knightly order; order of knights</x:v>
      </x:c>
      <x:c r="L779" s="24" t="str">
        <x:v>Preserve each source's ontology, culture, history, and terminology when making comparisons.</x:v>
      </x:c>
      <x:c r="M779" s="24" t="str">
        <x:v>Core Family</x:v>
      </x:c>
    </x:row>
    <x:row r="780" ht="44" customHeight="1">
      <x:c r="A780" s="24" t="str">
        <x:v>INS-205</x:v>
      </x:c>
      <x:c r="B780" s="24" t="str">
        <x:v>Holy Military Order</x:v>
      </x:c>
      <x:c r="C780" s="24" t="str">
        <x:v>Institutions &amp; Affiliations</x:v>
      </x:c>
      <x:c r="D780" s="24" t="str">
        <x:v>INS-200</x:v>
      </x:c>
      <x:c r="E780" s="24" t="str">
        <x:f>IF(D780="","",IFERROR(VLOOKUP(D780,$A$2:$B$1656,2,FALSE),""))</x:f>
        <x:v>Martial and Protective Organizations</x:v>
      </x:c>
      <x:c r="F780" s="24" t="n">
        <x:v>3</x:v>
      </x:c>
      <x:c r="G780" s="24" t="str">
        <x:v>Religiously authorized armed institution combining warfare, sacred vows, and institutional mission.</x:v>
      </x:c>
      <x:c r="H780" s="24" t="str">
        <x:v>Record membership rules, hierarchy, resources, jurisdiction, ideology, and relation to the state.</x:v>
      </x:c>
      <x:c r="I780" s="24" t="str">
        <x:v>holy order; templars; crusading order</x:v>
      </x:c>
      <x:c r="J780" s="24" t="str">
        <x:v>Defense, conquest, policing, specialist threat response, and military identity.</x:v>
      </x:c>
      <x:c r="K780" s="24" t="str">
        <x:v>holy order; templars; crusading order</x:v>
      </x:c>
      <x:c r="L780" s="24" t="str">
        <x:v>Preserve each source's ontology, culture, history, and terminology when making comparisons.</x:v>
      </x:c>
      <x:c r="M780" s="24" t="str">
        <x:v>Core Family</x:v>
      </x:c>
    </x:row>
    <x:row r="781" ht="44" customHeight="1">
      <x:c r="A781" s="24" t="str">
        <x:v>INS-206</x:v>
      </x:c>
      <x:c r="B781" s="24" t="str">
        <x:v>Mercenary Company</x:v>
      </x:c>
      <x:c r="C781" s="24" t="str">
        <x:v>Institutions &amp; Affiliations</x:v>
      </x:c>
      <x:c r="D781" s="24" t="str">
        <x:v>INS-200</x:v>
      </x:c>
      <x:c r="E781" s="24" t="str">
        <x:f>IF(D781="","",IFERROR(VLOOKUP(D781,$A$2:$B$1656,2,FALSE),""))</x:f>
        <x:v>Martial and Protective Organizations</x:v>
      </x:c>
      <x:c r="F781" s="24" t="n">
        <x:v>3</x:v>
      </x:c>
      <x:c r="G781" s="24" t="str">
        <x:v>Contract military organization with internal identity, leadership, logistics, and market reputation.</x:v>
      </x:c>
      <x:c r="H781" s="24" t="str">
        <x:v>Record membership rules, hierarchy, resources, jurisdiction, ideology, and relation to the state.</x:v>
      </x:c>
      <x:c r="I781" s="24" t="str">
        <x:v>free company; mercenary band; sellsword company</x:v>
      </x:c>
      <x:c r="J781" s="24" t="str">
        <x:v>Defense, conquest, policing, specialist threat response, and military identity.</x:v>
      </x:c>
      <x:c r="K781" s="24" t="str">
        <x:v>free company; mercenary band; sellsword company</x:v>
      </x:c>
      <x:c r="L781" s="24" t="str">
        <x:v>Preserve each source's ontology, culture, history, and terminology when making comparisons.</x:v>
      </x:c>
      <x:c r="M781" s="24" t="str">
        <x:v>Core Family</x:v>
      </x:c>
    </x:row>
    <x:row r="782" ht="44" customHeight="1">
      <x:c r="A782" s="24" t="str">
        <x:v>INS-207</x:v>
      </x:c>
      <x:c r="B782" s="24" t="str">
        <x:v>Ranger Lodge</x:v>
      </x:c>
      <x:c r="C782" s="24" t="str">
        <x:v>Institutions &amp; Affiliations</x:v>
      </x:c>
      <x:c r="D782" s="24" t="str">
        <x:v>INS-200</x:v>
      </x:c>
      <x:c r="E782" s="24" t="str">
        <x:f>IF(D782="","",IFERROR(VLOOKUP(D782,$A$2:$B$1656,2,FALSE),""))</x:f>
        <x:v>Martial and Protective Organizations</x:v>
      </x:c>
      <x:c r="F782" s="24" t="n">
        <x:v>3</x:v>
      </x:c>
      <x:c r="G782" s="24" t="str">
        <x:v>Distributed organization of scouts, wardens, hunters, and frontier guardians.</x:v>
      </x:c>
      <x:c r="H782" s="24" t="str">
        <x:v>Record membership rules, hierarchy, resources, jurisdiction, ideology, and relation to the state.</x:v>
      </x:c>
      <x:c r="I782" s="24" t="str">
        <x:v>ranger lodge; wardens; border watch</x:v>
      </x:c>
      <x:c r="J782" s="24" t="str">
        <x:v>Defense, conquest, policing, specialist threat response, and military identity.</x:v>
      </x:c>
      <x:c r="K782" s="24" t="str">
        <x:v>ranger lodge; wardens; border watch</x:v>
      </x:c>
      <x:c r="L782" s="24" t="str">
        <x:v>Preserve each source's ontology, culture, history, and terminology when making comparisons.</x:v>
      </x:c>
      <x:c r="M782" s="24" t="str">
        <x:v>Core Family</x:v>
      </x:c>
    </x:row>
    <x:row r="783" ht="44" customHeight="1">
      <x:c r="A783" s="24" t="str">
        <x:v>INS-208</x:v>
      </x:c>
      <x:c r="B783" s="24" t="str">
        <x:v>Monster-Hunter Order</x:v>
      </x:c>
      <x:c r="C783" s="24" t="str">
        <x:v>Institutions &amp; Affiliations</x:v>
      </x:c>
      <x:c r="D783" s="24" t="str">
        <x:v>INS-200</x:v>
      </x:c>
      <x:c r="E783" s="24" t="str">
        <x:f>IF(D783="","",IFERROR(VLOOKUP(D783,$A$2:$B$1656,2,FALSE),""))</x:f>
        <x:v>Martial and Protective Organizations</x:v>
      </x:c>
      <x:c r="F783" s="24" t="n">
        <x:v>3</x:v>
      </x:c>
      <x:c r="G783" s="24" t="str">
        <x:v>Institution that trains specialists, preserves monster lore, and manages contracts or existential threats.</x:v>
      </x:c>
      <x:c r="H783" s="24" t="str">
        <x:v>Record membership rules, hierarchy, resources, jurisdiction, ideology, and relation to the state.</x:v>
      </x:c>
      <x:c r="I783" s="24" t="str">
        <x:v>monster hunters; slayer order; witchers analogue</x:v>
      </x:c>
      <x:c r="J783" s="24" t="str">
        <x:v>Defense, conquest, policing, specialist threat response, and military identity.</x:v>
      </x:c>
      <x:c r="K783" s="24" t="str">
        <x:v>monster hunters; slayer order; witchers analogue</x:v>
      </x:c>
      <x:c r="L783" s="24" t="str">
        <x:v>Preserve each source's ontology, culture, history, and terminology when making comparisons.</x:v>
      </x:c>
      <x:c r="M783" s="24" t="str">
        <x:v>Core Family</x:v>
      </x:c>
    </x:row>
    <x:row r="784" ht="44" customHeight="1">
      <x:c r="A784" s="24" t="str">
        <x:v>INS-209</x:v>
      </x:c>
      <x:c r="B784" s="24" t="str">
        <x:v>Witcher School</x:v>
      </x:c>
      <x:c r="C784" s="24" t="str">
        <x:v>Institutions &amp; Affiliations</x:v>
      </x:c>
      <x:c r="D784" s="24" t="str">
        <x:v>INS-200</x:v>
      </x:c>
      <x:c r="E784" s="24" t="str">
        <x:f>IF(D784="","",IFERROR(VLOOKUP(D784,$A$2:$B$1656,2,FALSE),""))</x:f>
        <x:v>Martial and Protective Organizations</x:v>
      </x:c>
      <x:c r="F784" s="24" t="n">
        <x:v>3</x:v>
      </x:c>
      <x:c r="G784" s="24" t="str">
        <x:v>Source-specific school lineage that trains and mutates witchers, with distinctive techniques and symbols.</x:v>
      </x:c>
      <x:c r="H784" s="24" t="str">
        <x:v>Record membership rules, hierarchy, resources, jurisdiction, ideology, and relation to the state.</x:v>
      </x:c>
      <x:c r="I784" s="24" t="str">
        <x:v>School of the Wolf; witcher school</x:v>
      </x:c>
      <x:c r="J784" s="24" t="str">
        <x:v>Defense, conquest, policing, specialist threat response, and military identity.</x:v>
      </x:c>
      <x:c r="K784" s="24" t="str">
        <x:v>School of the Wolf; witcher school</x:v>
      </x:c>
      <x:c r="L784" s="24" t="str">
        <x:v>Reserve 'witcher school' for Witcher continuities; use monster-hunter school for analogues.</x:v>
      </x:c>
      <x:c r="M784" s="24" t="str">
        <x:v>Core Family</x:v>
      </x:c>
    </x:row>
    <x:row r="785" ht="44" customHeight="1">
      <x:c r="A785" s="24" t="str">
        <x:v>INS-210</x:v>
      </x:c>
      <x:c r="B785" s="24" t="str">
        <x:v>Mage-Hunter or Witch-Hunter Order</x:v>
      </x:c>
      <x:c r="C785" s="24" t="str">
        <x:v>Institutions &amp; Affiliations</x:v>
      </x:c>
      <x:c r="D785" s="24" t="str">
        <x:v>INS-200</x:v>
      </x:c>
      <x:c r="E785" s="24" t="str">
        <x:f>IF(D785="","",IFERROR(VLOOKUP(D785,$A$2:$B$1656,2,FALSE),""))</x:f>
        <x:v>Martial and Protective Organizations</x:v>
      </x:c>
      <x:c r="F785" s="24" t="n">
        <x:v>3</x:v>
      </x:c>
      <x:c r="G785" s="24" t="str">
        <x:v>Organization authorized to police, capture, suppress, or kill magic users and forbidden practitioners.</x:v>
      </x:c>
      <x:c r="H785" s="24" t="str">
        <x:v>Record membership rules, hierarchy, resources, jurisdiction, ideology, and relation to the state.</x:v>
      </x:c>
      <x:c r="I785" s="24" t="str">
        <x:v>witch hunters; spellbreakers; templars</x:v>
      </x:c>
      <x:c r="J785" s="24" t="str">
        <x:v>Defense, conquest, policing, specialist threat response, and military identity.</x:v>
      </x:c>
      <x:c r="K785" s="24" t="str">
        <x:v>witch hunters; spellbreakers; templars</x:v>
      </x:c>
      <x:c r="L785" s="24" t="str">
        <x:v>Preserve each source's ontology, culture, history, and terminology when making comparisons.</x:v>
      </x:c>
      <x:c r="M785" s="24" t="str">
        <x:v>Core Family</x:v>
      </x:c>
    </x:row>
    <x:row r="786" ht="44" customHeight="1">
      <x:c r="A786" s="24" t="str">
        <x:v>INS-211</x:v>
      </x:c>
      <x:c r="B786" s="24" t="str">
        <x:v>Assassin Order</x:v>
      </x:c>
      <x:c r="C786" s="24" t="str">
        <x:v>Institutions &amp; Affiliations</x:v>
      </x:c>
      <x:c r="D786" s="24" t="str">
        <x:v>INS-200</x:v>
      </x:c>
      <x:c r="E786" s="24" t="str">
        <x:f>IF(D786="","",IFERROR(VLOOKUP(D786,$A$2:$B$1656,2,FALSE),""))</x:f>
        <x:v>Martial and Protective Organizations</x:v>
      </x:c>
      <x:c r="F786" s="24" t="n">
        <x:v>3</x:v>
      </x:c>
      <x:c r="G786" s="24" t="str">
        <x:v>Secretive or state-linked martial institution specializing in targeted killing, infiltration, and political intervention.</x:v>
      </x:c>
      <x:c r="H786" s="24" t="str">
        <x:v>Record membership rules, hierarchy, resources, jurisdiction, ideology, and relation to the state.</x:v>
      </x:c>
      <x:c r="I786" s="24" t="str">
        <x:v>assassin order; hidden blades; faceless order analogue</x:v>
      </x:c>
      <x:c r="J786" s="24" t="str">
        <x:v>Defense, conquest, policing, specialist threat response, and military identity.</x:v>
      </x:c>
      <x:c r="K786" s="24" t="str">
        <x:v>assassin order; hidden blades; faceless order analogue</x:v>
      </x:c>
      <x:c r="L786" s="24" t="str">
        <x:v>Preserve each source's ontology, culture, history, and terminology when making comparisons.</x:v>
      </x:c>
      <x:c r="M786" s="24" t="str">
        <x:v>Core Family</x:v>
      </x:c>
    </x:row>
    <x:row r="787" ht="44" customHeight="1">
      <x:c r="A787" s="24" t="str">
        <x:v>INS-212</x:v>
      </x:c>
      <x:c r="B787" s="24" t="str">
        <x:v>Spy Service</x:v>
      </x:c>
      <x:c r="C787" s="24" t="str">
        <x:v>Institutions &amp; Affiliations</x:v>
      </x:c>
      <x:c r="D787" s="24" t="str">
        <x:v>INS-200</x:v>
      </x:c>
      <x:c r="E787" s="24" t="str">
        <x:f>IF(D787="","",IFERROR(VLOOKUP(D787,$A$2:$B$1656,2,FALSE),""))</x:f>
        <x:v>Martial and Protective Organizations</x:v>
      </x:c>
      <x:c r="F787" s="24" t="n">
        <x:v>3</x:v>
      </x:c>
      <x:c r="G787" s="24" t="str">
        <x:v>State or faction organization for intelligence, covert action, surveillance, and counterintelligence.</x:v>
      </x:c>
      <x:c r="H787" s="24" t="str">
        <x:v>Record membership rules, hierarchy, resources, jurisdiction, ideology, and relation to the state.</x:v>
      </x:c>
      <x:c r="I787" s="24" t="str">
        <x:v>secret service; spy network; intelligence bureau</x:v>
      </x:c>
      <x:c r="J787" s="24" t="str">
        <x:v>Defense, conquest, policing, specialist threat response, and military identity.</x:v>
      </x:c>
      <x:c r="K787" s="24" t="str">
        <x:v>secret service; spy network; intelligence bureau</x:v>
      </x:c>
      <x:c r="L787" s="24" t="str">
        <x:v>Preserve each source's ontology, culture, history, and terminology when making comparisons.</x:v>
      </x:c>
      <x:c r="M787" s="24" t="str">
        <x:v>Core Family</x:v>
      </x:c>
    </x:row>
    <x:row r="788" ht="44" customHeight="1">
      <x:c r="A788" s="24" t="str">
        <x:v>INS-213</x:v>
      </x:c>
      <x:c r="B788" s="24" t="str">
        <x:v>Rebel Army</x:v>
      </x:c>
      <x:c r="C788" s="24" t="str">
        <x:v>Institutions &amp; Affiliations</x:v>
      </x:c>
      <x:c r="D788" s="24" t="str">
        <x:v>INS-200</x:v>
      </x:c>
      <x:c r="E788" s="24" t="str">
        <x:f>IF(D788="","",IFERROR(VLOOKUP(D788,$A$2:$B$1656,2,FALSE),""))</x:f>
        <x:v>Martial and Protective Organizations</x:v>
      </x:c>
      <x:c r="F788" s="24" t="n">
        <x:v>3</x:v>
      </x:c>
      <x:c r="G788" s="24" t="str">
        <x:v>Military-political organization opposing an empire, tyrant, occupier, caste, or ruling dynasty.</x:v>
      </x:c>
      <x:c r="H788" s="24" t="str">
        <x:v>Record membership rules, hierarchy, resources, jurisdiction, ideology, and relation to the state.</x:v>
      </x:c>
      <x:c r="I788" s="24" t="str">
        <x:v>resistance; rebellion; liberation army</x:v>
      </x:c>
      <x:c r="J788" s="24" t="str">
        <x:v>Defense, conquest, policing, specialist threat response, and military identity.</x:v>
      </x:c>
      <x:c r="K788" s="24" t="str">
        <x:v>resistance; rebellion; liberation army</x:v>
      </x:c>
      <x:c r="L788" s="24" t="str">
        <x:v>Preserve each source's ontology, culture, history, and terminology when making comparisons.</x:v>
      </x:c>
      <x:c r="M788" s="24" t="str">
        <x:v>Core Family</x:v>
      </x:c>
    </x:row>
    <x:row r="789" ht="44" customHeight="1">
      <x:c r="A789" s="24" t="str">
        <x:v>INS-214</x:v>
      </x:c>
      <x:c r="B789" s="24" t="str">
        <x:v>Warband</x:v>
      </x:c>
      <x:c r="C789" s="24" t="str">
        <x:v>Institutions &amp; Affiliations</x:v>
      </x:c>
      <x:c r="D789" s="24" t="str">
        <x:v>INS-200</x:v>
      </x:c>
      <x:c r="E789" s="24" t="str">
        <x:f>IF(D789="","",IFERROR(VLOOKUP(D789,$A$2:$B$1656,2,FALSE),""))</x:f>
        <x:v>Martial and Protective Organizations</x:v>
      </x:c>
      <x:c r="F789" s="24" t="n">
        <x:v>3</x:v>
      </x:c>
      <x:c r="G789" s="24" t="str">
        <x:v>Small or medium force held together by personal loyalty, kinship, plunder, prestige, or charismatic command.</x:v>
      </x:c>
      <x:c r="H789" s="24" t="str">
        <x:v>Record membership rules, hierarchy, resources, jurisdiction, ideology, and relation to the state.</x:v>
      </x:c>
      <x:c r="I789" s="24" t="str">
        <x:v>warband; retinue; raiding host</x:v>
      </x:c>
      <x:c r="J789" s="24" t="str">
        <x:v>Defense, conquest, policing, specialist threat response, and military identity.</x:v>
      </x:c>
      <x:c r="K789" s="24" t="str">
        <x:v>warband; retinue; raiding host</x:v>
      </x:c>
      <x:c r="L789" s="24" t="str">
        <x:v>Preserve each source's ontology, culture, history, and terminology when making comparisons.</x:v>
      </x:c>
      <x:c r="M789" s="24" t="str">
        <x:v>Core Family</x:v>
      </x:c>
    </x:row>
    <x:row r="790" ht="44" customHeight="1">
      <x:c r="A790" s="24" t="str">
        <x:v>INS-215</x:v>
      </x:c>
      <x:c r="B790" s="24" t="str">
        <x:v>Tribal Warrior Society</x:v>
      </x:c>
      <x:c r="C790" s="24" t="str">
        <x:v>Institutions &amp; Affiliations</x:v>
      </x:c>
      <x:c r="D790" s="24" t="str">
        <x:v>INS-200</x:v>
      </x:c>
      <x:c r="E790" s="24" t="str">
        <x:f>IF(D790="","",IFERROR(VLOOKUP(D790,$A$2:$B$1656,2,FALSE),""))</x:f>
        <x:v>Martial and Protective Organizations</x:v>
      </x:c>
      <x:c r="F790" s="24" t="n">
        <x:v>3</x:v>
      </x:c>
      <x:c r="G790" s="24" t="str">
        <x:v>Age-grade, kinship, ritual, or prestige organization through which a community structures warfare.</x:v>
      </x:c>
      <x:c r="H790" s="24" t="str">
        <x:v>Record membership rules, hierarchy, resources, jurisdiction, ideology, and relation to the state.</x:v>
      </x:c>
      <x:c r="I790" s="24" t="str">
        <x:v>warrior society; age set; clan guard</x:v>
      </x:c>
      <x:c r="J790" s="24" t="str">
        <x:v>Defense, conquest, policing, specialist threat response, and military identity.</x:v>
      </x:c>
      <x:c r="K790" s="24" t="str">
        <x:v>warrior society; age set; clan guard</x:v>
      </x:c>
      <x:c r="L790" s="24" t="str">
        <x:v>Preserve each source's ontology, culture, history, and terminology when making comparisons.</x:v>
      </x:c>
      <x:c r="M790" s="24" t="str">
        <x:v>Core Family</x:v>
      </x:c>
    </x:row>
    <x:row r="791" ht="44" customHeight="1">
      <x:c r="A791" s="24" t="str">
        <x:v>INS-216</x:v>
      </x:c>
      <x:c r="B791" s="24" t="str">
        <x:v>Dragon-Rider Order</x:v>
      </x:c>
      <x:c r="C791" s="24" t="str">
        <x:v>Institutions &amp; Affiliations</x:v>
      </x:c>
      <x:c r="D791" s="24" t="str">
        <x:v>INS-200</x:v>
      </x:c>
      <x:c r="E791" s="24" t="str">
        <x:f>IF(D791="","",IFERROR(VLOOKUP(D791,$A$2:$B$1656,2,FALSE),""))</x:f>
        <x:v>Martial and Protective Organizations</x:v>
      </x:c>
      <x:c r="F791" s="24" t="n">
        <x:v>3</x:v>
      </x:c>
      <x:c r="G791" s="24" t="str">
        <x:v>Elite institution organized around bonding, training, and deploying dragon-mounted warriors.</x:v>
      </x:c>
      <x:c r="H791" s="24" t="str">
        <x:v>Record membership rules, hierarchy, resources, jurisdiction, ideology, and relation to the state.</x:v>
      </x:c>
      <x:c r="I791" s="24" t="str">
        <x:v>dragon riders; dragon corps</x:v>
      </x:c>
      <x:c r="J791" s="24" t="str">
        <x:v>Defense, conquest, policing, specialist threat response, and military identity.</x:v>
      </x:c>
      <x:c r="K791" s="24" t="str">
        <x:v>dragon riders; dragon corps</x:v>
      </x:c>
      <x:c r="L791" s="24" t="str">
        <x:v>Preserve each source's ontology, culture, history, and terminology when making comparisons.</x:v>
      </x:c>
      <x:c r="M791" s="24" t="str">
        <x:v>Core Family</x:v>
      </x:c>
    </x:row>
    <x:row r="792" ht="44" customHeight="1">
      <x:c r="A792" s="24" t="str">
        <x:v>INS-217</x:v>
      </x:c>
      <x:c r="B792" s="24" t="str">
        <x:v>Beast Cavalry Corps</x:v>
      </x:c>
      <x:c r="C792" s="24" t="str">
        <x:v>Institutions &amp; Affiliations</x:v>
      </x:c>
      <x:c r="D792" s="24" t="str">
        <x:v>INS-200</x:v>
      </x:c>
      <x:c r="E792" s="24" t="str">
        <x:f>IF(D792="","",IFERROR(VLOOKUP(D792,$A$2:$B$1656,2,FALSE),""))</x:f>
        <x:v>Martial and Protective Organizations</x:v>
      </x:c>
      <x:c r="F792" s="24" t="n">
        <x:v>3</x:v>
      </x:c>
      <x:c r="G792" s="24" t="str">
        <x:v>Military unit specialized in nonhuman mounts and their care, breeding, and tactics.</x:v>
      </x:c>
      <x:c r="H792" s="24" t="str">
        <x:v>Record membership rules, hierarchy, resources, jurisdiction, ideology, and relation to the state.</x:v>
      </x:c>
      <x:c r="I792" s="24" t="str">
        <x:v>griffin riders; wolf cavalry; chocobo knights</x:v>
      </x:c>
      <x:c r="J792" s="24" t="str">
        <x:v>Defense, conquest, policing, specialist threat response, and military identity.</x:v>
      </x:c>
      <x:c r="K792" s="24" t="str">
        <x:v>griffin riders; wolf cavalry; chocobo knights</x:v>
      </x:c>
      <x:c r="L792" s="24" t="str">
        <x:v>Preserve each source's ontology, culture, history, and terminology when making comparisons.</x:v>
      </x:c>
      <x:c r="M792" s="24" t="str">
        <x:v>Core Family</x:v>
      </x:c>
    </x:row>
    <x:row r="793" ht="44" customHeight="1">
      <x:c r="A793" s="24" t="str">
        <x:v>INS-218</x:v>
      </x:c>
      <x:c r="B793" s="24" t="str">
        <x:v>Necromantic Army</x:v>
      </x:c>
      <x:c r="C793" s="24" t="str">
        <x:v>Institutions &amp; Affiliations</x:v>
      </x:c>
      <x:c r="D793" s="24" t="str">
        <x:v>INS-200</x:v>
      </x:c>
      <x:c r="E793" s="24" t="str">
        <x:f>IF(D793="","",IFERROR(VLOOKUP(D793,$A$2:$B$1656,2,FALSE),""))</x:f>
        <x:v>Martial and Protective Organizations</x:v>
      </x:c>
      <x:c r="F793" s="24" t="n">
        <x:v>3</x:v>
      </x:c>
      <x:c r="G793" s="24" t="str">
        <x:v>Military institution whose manpower, logistics, and command structure depend on undead forces.</x:v>
      </x:c>
      <x:c r="H793" s="24" t="str">
        <x:v>Record membership rules, hierarchy, resources, jurisdiction, ideology, and relation to the state.</x:v>
      </x:c>
      <x:c r="I793" s="24" t="str">
        <x:v>undead legion; corpse army; bone host</x:v>
      </x:c>
      <x:c r="J793" s="24" t="str">
        <x:v>Defense, conquest, policing, specialist threat response, and military identity.</x:v>
      </x:c>
      <x:c r="K793" s="24" t="str">
        <x:v>undead legion; corpse army; bone host</x:v>
      </x:c>
      <x:c r="L793" s="24" t="str">
        <x:v>Preserve each source's ontology, culture, history, and terminology when making comparisons.</x:v>
      </x:c>
      <x:c r="M793" s="24" t="str">
        <x:v>Core Family</x:v>
      </x:c>
    </x:row>
    <x:row r="794" ht="44" customHeight="1">
      <x:c r="A794" s="24" t="str">
        <x:v>INS-219</x:v>
      </x:c>
      <x:c r="B794" s="24" t="str">
        <x:v>Construct Legion</x:v>
      </x:c>
      <x:c r="C794" s="24" t="str">
        <x:v>Institutions &amp; Affiliations</x:v>
      </x:c>
      <x:c r="D794" s="24" t="str">
        <x:v>INS-200</x:v>
      </x:c>
      <x:c r="E794" s="24" t="str">
        <x:f>IF(D794="","",IFERROR(VLOOKUP(D794,$A$2:$B$1656,2,FALSE),""))</x:f>
        <x:v>Martial and Protective Organizations</x:v>
      </x:c>
      <x:c r="F794" s="24" t="n">
        <x:v>3</x:v>
      </x:c>
      <x:c r="G794" s="24" t="str">
        <x:v>Military force composed substantially of golems, automata, summoned weapons, or artificial soldiers.</x:v>
      </x:c>
      <x:c r="H794" s="24" t="str">
        <x:v>Record membership rules, hierarchy, resources, jurisdiction, ideology, and relation to the state.</x:v>
      </x:c>
      <x:c r="I794" s="24" t="str">
        <x:v>golem army; clockwork legion</x:v>
      </x:c>
      <x:c r="J794" s="24" t="str">
        <x:v>Defense, conquest, policing, specialist threat response, and military identity.</x:v>
      </x:c>
      <x:c r="K794" s="24" t="str">
        <x:v>golem army; clockwork legion</x:v>
      </x:c>
      <x:c r="L794" s="24" t="str">
        <x:v>Preserve each source's ontology, culture, history, and terminology when making comparisons.</x:v>
      </x:c>
      <x:c r="M794" s="24" t="str">
        <x:v>Core Family</x:v>
      </x:c>
    </x:row>
    <x:row r="795" ht="44" customHeight="1">
      <x:c r="A795" s="24" t="str">
        <x:v>INS-220</x:v>
      </x:c>
      <x:c r="B795" s="24" t="str">
        <x:v>Adventuring Company</x:v>
      </x:c>
      <x:c r="C795" s="24" t="str">
        <x:v>Institutions &amp; Affiliations</x:v>
      </x:c>
      <x:c r="D795" s="24" t="str">
        <x:v>INS-200</x:v>
      </x:c>
      <x:c r="E795" s="24" t="str">
        <x:f>IF(D795="","",IFERROR(VLOOKUP(D795,$A$2:$B$1656,2,FALSE),""))</x:f>
        <x:v>Martial and Protective Organizations</x:v>
      </x:c>
      <x:c r="F795" s="24" t="n">
        <x:v>3</x:v>
      </x:c>
      <x:c r="G795" s="24" t="str">
        <x:v>Persistent party or organization that undertakes quests, exploration, contracts, and combat as a collective enterprise.</x:v>
      </x:c>
      <x:c r="H795" s="24" t="str">
        <x:v>Record membership rules, hierarchy, resources, jurisdiction, ideology, and relation to the state.</x:v>
      </x:c>
      <x:c r="I795" s="24" t="str">
        <x:v>adventuring company; fellowship; party</x:v>
      </x:c>
      <x:c r="J795" s="24" t="str">
        <x:v>Defense, conquest, policing, specialist threat response, and military identity.</x:v>
      </x:c>
      <x:c r="K795" s="24" t="str">
        <x:v>adventuring company; fellowship; party</x:v>
      </x:c>
      <x:c r="L795" s="24" t="str">
        <x:v>Preserve each source's ontology, culture, history, and terminology when making comparisons.</x:v>
      </x:c>
      <x:c r="M795" s="24" t="str">
        <x:v>Core Family</x:v>
      </x:c>
    </x:row>
    <x:row r="796" ht="44" customHeight="1">
      <x:c r="A796" s="24" t="str">
        <x:v>INS-301</x:v>
      </x:c>
      <x:c r="B796" s="24" t="str">
        <x:v>Church</x:v>
      </x:c>
      <x:c r="C796" s="24" t="str">
        <x:v>Institutions &amp; Affiliations</x:v>
      </x:c>
      <x:c r="D796" s="24" t="str">
        <x:v>INS-300</x:v>
      </x:c>
      <x:c r="E796" s="24" t="str">
        <x:f>IF(D796="","",IFERROR(VLOOKUP(D796,$A$2:$B$1656,2,FALSE),""))</x:f>
        <x:v>Religious and Magical Organizations</x:v>
      </x:c>
      <x:c r="F796" s="24" t="n">
        <x:v>3</x:v>
      </x:c>
      <x:c r="G796" s="24" t="str">
        <x:v>Large organized religious institution with doctrine, clergy, property, hierarchy, and public authority.</x:v>
      </x:c>
      <x:c r="H796" s="24" t="str">
        <x:v>Record membership rules, hierarchy, resources, jurisdiction, ideology, and relation to the state.</x:v>
      </x:c>
      <x:c r="I796" s="24" t="str">
        <x:v>church; organized faith; ecclesia</x:v>
      </x:c>
      <x:c r="J796" s="24" t="str">
        <x:v>Doctrine, initiation, training, ritual authority, magical knowledge, and spiritual governance.</x:v>
      </x:c>
      <x:c r="K796" s="24" t="str">
        <x:v>church; organized faith; ecclesia</x:v>
      </x:c>
      <x:c r="L796" s="24" t="str">
        <x:v>Preserve each source's ontology, culture, history, and terminology when making comparisons.</x:v>
      </x:c>
      <x:c r="M796" s="24" t="str">
        <x:v>Core Family</x:v>
      </x:c>
    </x:row>
    <x:row r="797" ht="44" customHeight="1">
      <x:c r="A797" s="24" t="str">
        <x:v>INS-302</x:v>
      </x:c>
      <x:c r="B797" s="24" t="str">
        <x:v>Temple Institution</x:v>
      </x:c>
      <x:c r="C797" s="24" t="str">
        <x:v>Institutions &amp; Affiliations</x:v>
      </x:c>
      <x:c r="D797" s="24" t="str">
        <x:v>INS-300</x:v>
      </x:c>
      <x:c r="E797" s="24" t="str">
        <x:f>IF(D797="","",IFERROR(VLOOKUP(D797,$A$2:$B$1656,2,FALSE),""))</x:f>
        <x:v>Religious and Magical Organizations</x:v>
      </x:c>
      <x:c r="F797" s="24" t="n">
        <x:v>3</x:v>
      </x:c>
      <x:c r="G797" s="24" t="str">
        <x:v>Sacred complex and its personnel organized around worship, offerings, festivals, or divine service.</x:v>
      </x:c>
      <x:c r="H797" s="24" t="str">
        <x:v>Record membership rules, hierarchy, resources, jurisdiction, ideology, and relation to the state.</x:v>
      </x:c>
      <x:c r="I797" s="24" t="str">
        <x:v>temple; shrine network; priesthood</x:v>
      </x:c>
      <x:c r="J797" s="24" t="str">
        <x:v>Doctrine, initiation, training, ritual authority, magical knowledge, and spiritual governance.</x:v>
      </x:c>
      <x:c r="K797" s="24" t="str">
        <x:v>temple; shrine network; priesthood</x:v>
      </x:c>
      <x:c r="L797" s="24" t="str">
        <x:v>Preserve each source's ontology, culture, history, and terminology when making comparisons.</x:v>
      </x:c>
      <x:c r="M797" s="24" t="str">
        <x:v>Core Family</x:v>
      </x:c>
    </x:row>
    <x:row r="798" ht="44" customHeight="1">
      <x:c r="A798" s="24" t="str">
        <x:v>INS-303</x:v>
      </x:c>
      <x:c r="B798" s="24" t="str">
        <x:v>Cult</x:v>
      </x:c>
      <x:c r="C798" s="24" t="str">
        <x:v>Institutions &amp; Affiliations</x:v>
      </x:c>
      <x:c r="D798" s="24" t="str">
        <x:v>INS-300</x:v>
      </x:c>
      <x:c r="E798" s="24" t="str">
        <x:f>IF(D798="","",IFERROR(VLOOKUP(D798,$A$2:$B$1656,2,FALSE),""))</x:f>
        <x:v>Religious and Magical Organizations</x:v>
      </x:c>
      <x:c r="F798" s="24" t="n">
        <x:v>3</x:v>
      </x:c>
      <x:c r="G798" s="24" t="str">
        <x:v>Initiatory, secret, marginal, localized, or antagonist-framed religious organization.</x:v>
      </x:c>
      <x:c r="H798" s="24" t="str">
        <x:v>Record membership rules, hierarchy, resources, jurisdiction, ideology, and relation to the state.</x:v>
      </x:c>
      <x:c r="I798" s="24" t="str">
        <x:v>cult; mystery cult; dark cult</x:v>
      </x:c>
      <x:c r="J798" s="24" t="str">
        <x:v>Doctrine, initiation, training, ritual authority, magical knowledge, and spiritual governance.</x:v>
      </x:c>
      <x:c r="K798" s="24" t="str">
        <x:v>cult; mystery cult; dark cult</x:v>
      </x:c>
      <x:c r="L798" s="24" t="str">
        <x:v>Use descriptively rather than as an automatic synonym for irrational or evil religion.</x:v>
      </x:c>
      <x:c r="M798" s="24" t="str">
        <x:v>Core Family</x:v>
      </x:c>
    </x:row>
    <x:row r="799" ht="44" customHeight="1">
      <x:c r="A799" s="24" t="str">
        <x:v>INS-304</x:v>
      </x:c>
      <x:c r="B799" s="24" t="str">
        <x:v>Monastery</x:v>
      </x:c>
      <x:c r="C799" s="24" t="str">
        <x:v>Institutions &amp; Affiliations</x:v>
      </x:c>
      <x:c r="D799" s="24" t="str">
        <x:v>INS-300</x:v>
      </x:c>
      <x:c r="E799" s="24" t="str">
        <x:f>IF(D799="","",IFERROR(VLOOKUP(D799,$A$2:$B$1656,2,FALSE),""))</x:f>
        <x:v>Religious and Magical Organizations</x:v>
      </x:c>
      <x:c r="F799" s="24" t="n">
        <x:v>3</x:v>
      </x:c>
      <x:c r="G799" s="24" t="str">
        <x:v>Residential religious community organized around discipline, vows, study, labor, and spiritual practice.</x:v>
      </x:c>
      <x:c r="H799" s="24" t="str">
        <x:v>Record membership rules, hierarchy, resources, jurisdiction, ideology, and relation to the state.</x:v>
      </x:c>
      <x:c r="I799" s="24" t="str">
        <x:v>monastery; abbey; cloister</x:v>
      </x:c>
      <x:c r="J799" s="24" t="str">
        <x:v>Doctrine, initiation, training, ritual authority, magical knowledge, and spiritual governance.</x:v>
      </x:c>
      <x:c r="K799" s="24" t="str">
        <x:v>monastery; abbey; cloister</x:v>
      </x:c>
      <x:c r="L799" s="24" t="str">
        <x:v>Preserve each source's ontology, culture, history, and terminology when making comparisons.</x:v>
      </x:c>
      <x:c r="M799" s="24" t="str">
        <x:v>Core Family</x:v>
      </x:c>
    </x:row>
    <x:row r="800" ht="44" customHeight="1">
      <x:c r="A800" s="24" t="str">
        <x:v>INS-305</x:v>
      </x:c>
      <x:c r="B800" s="24" t="str">
        <x:v>Convent or Nunnery</x:v>
      </x:c>
      <x:c r="C800" s="24" t="str">
        <x:v>Institutions &amp; Affiliations</x:v>
      </x:c>
      <x:c r="D800" s="24" t="str">
        <x:v>INS-300</x:v>
      </x:c>
      <x:c r="E800" s="24" t="str">
        <x:f>IF(D800="","",IFERROR(VLOOKUP(D800,$A$2:$B$1656,2,FALSE),""))</x:f>
        <x:v>Religious and Magical Organizations</x:v>
      </x:c>
      <x:c r="F800" s="24" t="n">
        <x:v>3</x:v>
      </x:c>
      <x:c r="G800" s="24" t="str">
        <x:v>Residential community of women or gender-specific religious practitioners.</x:v>
      </x:c>
      <x:c r="H800" s="24" t="str">
        <x:v>Record membership rules, hierarchy, resources, jurisdiction, ideology, and relation to the state.</x:v>
      </x:c>
      <x:c r="I800" s="24" t="str">
        <x:v>convent; nunnery; sisterhood</x:v>
      </x:c>
      <x:c r="J800" s="24" t="str">
        <x:v>Doctrine, initiation, training, ritual authority, magical knowledge, and spiritual governance.</x:v>
      </x:c>
      <x:c r="K800" s="24" t="str">
        <x:v>convent; nunnery; sisterhood</x:v>
      </x:c>
      <x:c r="L800" s="24" t="str">
        <x:v>Preserve each source's ontology, culture, history, and terminology when making comparisons.</x:v>
      </x:c>
      <x:c r="M800" s="24" t="str">
        <x:v>Core Family</x:v>
      </x:c>
    </x:row>
    <x:row r="801" ht="44" customHeight="1">
      <x:c r="A801" s="24" t="str">
        <x:v>INS-306</x:v>
      </x:c>
      <x:c r="B801" s="24" t="str">
        <x:v>Coven</x:v>
      </x:c>
      <x:c r="C801" s="24" t="str">
        <x:v>Institutions &amp; Affiliations</x:v>
      </x:c>
      <x:c r="D801" s="24" t="str">
        <x:v>INS-300</x:v>
      </x:c>
      <x:c r="E801" s="24" t="str">
        <x:f>IF(D801="","",IFERROR(VLOOKUP(D801,$A$2:$B$1656,2,FALSE),""))</x:f>
        <x:v>Religious and Magical Organizations</x:v>
      </x:c>
      <x:c r="F801" s="24" t="n">
        <x:v>3</x:v>
      </x:c>
      <x:c r="G801" s="24" t="str">
        <x:v>Small group of witches or magical practitioners joined for ritual, mutual protection, lineage, or teaching.</x:v>
      </x:c>
      <x:c r="H801" s="24" t="str">
        <x:v>Record membership rules, hierarchy, resources, jurisdiction, ideology, and relation to the state.</x:v>
      </x:c>
      <x:c r="I801" s="24" t="str">
        <x:v>coven; witch circle</x:v>
      </x:c>
      <x:c r="J801" s="24" t="str">
        <x:v>Doctrine, initiation, training, ritual authority, magical knowledge, and spiritual governance.</x:v>
      </x:c>
      <x:c r="K801" s="24" t="str">
        <x:v>coven; witch circle</x:v>
      </x:c>
      <x:c r="L801" s="24" t="str">
        <x:v>Preserve each source's ontology, culture, history, and terminology when making comparisons.</x:v>
      </x:c>
      <x:c r="M801" s="24" t="str">
        <x:v>Core Family</x:v>
      </x:c>
    </x:row>
    <x:row r="802" ht="44" customHeight="1">
      <x:c r="A802" s="24" t="str">
        <x:v>INS-307</x:v>
      </x:c>
      <x:c r="B802" s="24" t="str">
        <x:v>Druid Circle</x:v>
      </x:c>
      <x:c r="C802" s="24" t="str">
        <x:v>Institutions &amp; Affiliations</x:v>
      </x:c>
      <x:c r="D802" s="24" t="str">
        <x:v>INS-300</x:v>
      </x:c>
      <x:c r="E802" s="24" t="str">
        <x:f>IF(D802="","",IFERROR(VLOOKUP(D802,$A$2:$B$1656,2,FALSE),""))</x:f>
        <x:v>Religious and Magical Organizations</x:v>
      </x:c>
      <x:c r="F802" s="24" t="n">
        <x:v>3</x:v>
      </x:c>
      <x:c r="G802" s="24" t="str">
        <x:v>Community or council of nature practitioners organized around groves, seasons, land, and initiatory ranks.</x:v>
      </x:c>
      <x:c r="H802" s="24" t="str">
        <x:v>Record membership rules, hierarchy, resources, jurisdiction, ideology, and relation to the state.</x:v>
      </x:c>
      <x:c r="I802" s="24" t="str">
        <x:v>druid circle; grove council</x:v>
      </x:c>
      <x:c r="J802" s="24" t="str">
        <x:v>Doctrine, initiation, training, ritual authority, magical knowledge, and spiritual governance.</x:v>
      </x:c>
      <x:c r="K802" s="24" t="str">
        <x:v>druid circle; grove council</x:v>
      </x:c>
      <x:c r="L802" s="24" t="str">
        <x:v>Preserve each source's ontology, culture, history, and terminology when making comparisons.</x:v>
      </x:c>
      <x:c r="M802" s="24" t="str">
        <x:v>Core Family</x:v>
      </x:c>
    </x:row>
    <x:row r="803" ht="44" customHeight="1">
      <x:c r="A803" s="24" t="str">
        <x:v>INS-308</x:v>
      </x:c>
      <x:c r="B803" s="24" t="str">
        <x:v>Mage Academy</x:v>
      </x:c>
      <x:c r="C803" s="24" t="str">
        <x:v>Institutions &amp; Affiliations</x:v>
      </x:c>
      <x:c r="D803" s="24" t="str">
        <x:v>INS-300</x:v>
      </x:c>
      <x:c r="E803" s="24" t="str">
        <x:f>IF(D803="","",IFERROR(VLOOKUP(D803,$A$2:$B$1656,2,FALSE),""))</x:f>
        <x:v>Religious and Magical Organizations</x:v>
      </x:c>
      <x:c r="F803" s="24" t="n">
        <x:v>3</x:v>
      </x:c>
      <x:c r="G803" s="24" t="str">
        <x:v>Formal school that teaches, certifies, researches, and socializes magic users.</x:v>
      </x:c>
      <x:c r="H803" s="24" t="str">
        <x:v>Record membership rules, hierarchy, resources, jurisdiction, ideology, and relation to the state.</x:v>
      </x:c>
      <x:c r="I803" s="24" t="str">
        <x:v>magic academy; wizard school; arcane university</x:v>
      </x:c>
      <x:c r="J803" s="24" t="str">
        <x:v>Doctrine, initiation, training, ritual authority, magical knowledge, and spiritual governance.</x:v>
      </x:c>
      <x:c r="K803" s="24" t="str">
        <x:v>magic academy; wizard school; arcane university</x:v>
      </x:c>
      <x:c r="L803" s="24" t="str">
        <x:v>Preserve each source's ontology, culture, history, and terminology when making comparisons.</x:v>
      </x:c>
      <x:c r="M803" s="24" t="str">
        <x:v>Core Family</x:v>
      </x:c>
    </x:row>
    <x:row r="804" ht="44" customHeight="1">
      <x:c r="A804" s="24" t="str">
        <x:v>INS-309</x:v>
      </x:c>
      <x:c r="B804" s="24" t="str">
        <x:v>Magical College or School</x:v>
      </x:c>
      <x:c r="C804" s="24" t="str">
        <x:v>Institutions &amp; Affiliations</x:v>
      </x:c>
      <x:c r="D804" s="24" t="str">
        <x:v>INS-300</x:v>
      </x:c>
      <x:c r="E804" s="24" t="str">
        <x:f>IF(D804="","",IFERROR(VLOOKUP(D804,$A$2:$B$1656,2,FALSE),""))</x:f>
        <x:v>Religious and Magical Organizations</x:v>
      </x:c>
      <x:c r="F804" s="24" t="n">
        <x:v>3</x:v>
      </x:c>
      <x:c r="G804" s="24" t="str">
        <x:v>Specialized institution devoted to a particular tradition, element, profession, or philosophy of magic.</x:v>
      </x:c>
      <x:c r="H804" s="24" t="str">
        <x:v>Record membership rules, hierarchy, resources, jurisdiction, ideology, and relation to the state.</x:v>
      </x:c>
      <x:c r="I804" s="24" t="str">
        <x:v>school of magic; college; tower</x:v>
      </x:c>
      <x:c r="J804" s="24" t="str">
        <x:v>Doctrine, initiation, training, ritual authority, magical knowledge, and spiritual governance.</x:v>
      </x:c>
      <x:c r="K804" s="24" t="str">
        <x:v>school of magic; college; tower</x:v>
      </x:c>
      <x:c r="L804" s="24" t="str">
        <x:v>Preserve each source's ontology, culture, history, and terminology when making comparisons.</x:v>
      </x:c>
      <x:c r="M804" s="24" t="str">
        <x:v>Core Family</x:v>
      </x:c>
    </x:row>
    <x:row r="805" ht="44" customHeight="1">
      <x:c r="A805" s="24" t="str">
        <x:v>INS-310</x:v>
      </x:c>
      <x:c r="B805" s="24" t="str">
        <x:v>Mystery School</x:v>
      </x:c>
      <x:c r="C805" s="24" t="str">
        <x:v>Institutions &amp; Affiliations</x:v>
      </x:c>
      <x:c r="D805" s="24" t="str">
        <x:v>INS-300</x:v>
      </x:c>
      <x:c r="E805" s="24" t="str">
        <x:f>IF(D805="","",IFERROR(VLOOKUP(D805,$A$2:$B$1656,2,FALSE),""))</x:f>
        <x:v>Religious and Magical Organizations</x:v>
      </x:c>
      <x:c r="F805" s="24" t="n">
        <x:v>3</x:v>
      </x:c>
      <x:c r="G805" s="24" t="str">
        <x:v>Initiatory organization that transmits esoteric knowledge through graded secrecy and ritual experience.</x:v>
      </x:c>
      <x:c r="H805" s="24" t="str">
        <x:v>Record membership rules, hierarchy, resources, jurisdiction, ideology, and relation to the state.</x:v>
      </x:c>
      <x:c r="I805" s="24" t="str">
        <x:v>mystery school; occult order</x:v>
      </x:c>
      <x:c r="J805" s="24" t="str">
        <x:v>Doctrine, initiation, training, ritual authority, magical knowledge, and spiritual governance.</x:v>
      </x:c>
      <x:c r="K805" s="24" t="str">
        <x:v>mystery school; occult order</x:v>
      </x:c>
      <x:c r="L805" s="24" t="str">
        <x:v>Preserve each source's ontology, culture, history, and terminology when making comparisons.</x:v>
      </x:c>
      <x:c r="M805" s="24" t="str">
        <x:v>Core Family</x:v>
      </x:c>
    </x:row>
    <x:row r="806" ht="44" customHeight="1">
      <x:c r="A806" s="24" t="str">
        <x:v>INS-311</x:v>
      </x:c>
      <x:c r="B806" s="24" t="str">
        <x:v>Martial Sect</x:v>
      </x:c>
      <x:c r="C806" s="24" t="str">
        <x:v>Institutions &amp; Affiliations</x:v>
      </x:c>
      <x:c r="D806" s="24" t="str">
        <x:v>INS-300</x:v>
      </x:c>
      <x:c r="E806" s="24" t="str">
        <x:f>IF(D806="","",IFERROR(VLOOKUP(D806,$A$2:$B$1656,2,FALSE),""))</x:f>
        <x:v>Religious and Magical Organizations</x:v>
      </x:c>
      <x:c r="F806" s="24" t="n">
        <x:v>3</x:v>
      </x:c>
      <x:c r="G806" s="24" t="str">
        <x:v>Lineage-based institution transmitting combat arts, manuals, masters, and cultivation resources.</x:v>
      </x:c>
      <x:c r="H806" s="24" t="str">
        <x:v>Record membership rules, hierarchy, resources, jurisdiction, ideology, and relation to the state.</x:v>
      </x:c>
      <x:c r="I806" s="24" t="str">
        <x:v>sect; martial school; cultivation clan</x:v>
      </x:c>
      <x:c r="J806" s="24" t="str">
        <x:v>Doctrine, initiation, training, ritual authority, magical knowledge, and spiritual governance.</x:v>
      </x:c>
      <x:c r="K806" s="24" t="str">
        <x:v>sect; martial school; cultivation clan</x:v>
      </x:c>
      <x:c r="L806" s="24" t="str">
        <x:v>In wuxia/xianxia, 'sect' carries specific genre structures distinct from a Western church or guild.</x:v>
      </x:c>
      <x:c r="M806" s="24" t="str">
        <x:v>Core Family</x:v>
      </x:c>
    </x:row>
    <x:row r="807" ht="44" customHeight="1">
      <x:c r="A807" s="24" t="str">
        <x:v>INS-312</x:v>
      </x:c>
      <x:c r="B807" s="24" t="str">
        <x:v>Cultivation Sect</x:v>
      </x:c>
      <x:c r="C807" s="24" t="str">
        <x:v>Institutions &amp; Affiliations</x:v>
      </x:c>
      <x:c r="D807" s="24" t="str">
        <x:v>INS-300</x:v>
      </x:c>
      <x:c r="E807" s="24" t="str">
        <x:f>IF(D807="","",IFERROR(VLOOKUP(D807,$A$2:$B$1656,2,FALSE),""))</x:f>
        <x:v>Religious and Magical Organizations</x:v>
      </x:c>
      <x:c r="F807" s="24" t="n">
        <x:v>3</x:v>
      </x:c>
      <x:c r="G807" s="24" t="str">
        <x:v>Hierarchical organization supporting spiritual advancement through masters, disciples, techniques, territory, and resources.</x:v>
      </x:c>
      <x:c r="H807" s="24" t="str">
        <x:v>Record membership rules, hierarchy, resources, jurisdiction, ideology, and relation to the state.</x:v>
      </x:c>
      <x:c r="I807" s="24" t="str">
        <x:v>immortal sect; cultivation school</x:v>
      </x:c>
      <x:c r="J807" s="24" t="str">
        <x:v>Doctrine, initiation, training, ritual authority, magical knowledge, and spiritual governance.</x:v>
      </x:c>
      <x:c r="K807" s="24" t="str">
        <x:v>immortal sect; cultivation school</x:v>
      </x:c>
      <x:c r="L807" s="24" t="str">
        <x:v>Preserve each source's ontology, culture, history, and terminology when making comparisons.</x:v>
      </x:c>
      <x:c r="M807" s="24" t="str">
        <x:v>Core Family</x:v>
      </x:c>
    </x:row>
    <x:row r="808" ht="44" customHeight="1">
      <x:c r="A808" s="24" t="str">
        <x:v>INS-313</x:v>
      </x:c>
      <x:c r="B808" s="24" t="str">
        <x:v>Necromancer Cabal</x:v>
      </x:c>
      <x:c r="C808" s="24" t="str">
        <x:v>Institutions &amp; Affiliations</x:v>
      </x:c>
      <x:c r="D808" s="24" t="str">
        <x:v>INS-300</x:v>
      </x:c>
      <x:c r="E808" s="24" t="str">
        <x:f>IF(D808="","",IFERROR(VLOOKUP(D808,$A$2:$B$1656,2,FALSE),""))</x:f>
        <x:v>Religious and Magical Organizations</x:v>
      </x:c>
      <x:c r="F808" s="24" t="n">
        <x:v>3</x:v>
      </x:c>
      <x:c r="G808" s="24" t="str">
        <x:v>Secret or formal organization of death-magic practitioners sharing rites, research, or political goals.</x:v>
      </x:c>
      <x:c r="H808" s="24" t="str">
        <x:v>Record membership rules, hierarchy, resources, jurisdiction, ideology, and relation to the state.</x:v>
      </x:c>
      <x:c r="I808" s="24" t="str">
        <x:v>necromancer cabal; death circle</x:v>
      </x:c>
      <x:c r="J808" s="24" t="str">
        <x:v>Doctrine, initiation, training, ritual authority, magical knowledge, and spiritual governance.</x:v>
      </x:c>
      <x:c r="K808" s="24" t="str">
        <x:v>necromancer cabal; death circle</x:v>
      </x:c>
      <x:c r="L808" s="24" t="str">
        <x:v>Preserve each source's ontology, culture, history, and terminology when making comparisons.</x:v>
      </x:c>
      <x:c r="M808" s="24" t="str">
        <x:v>Core Family</x:v>
      </x:c>
    </x:row>
    <x:row r="809" ht="44" customHeight="1">
      <x:c r="A809" s="24" t="str">
        <x:v>INS-314</x:v>
      </x:c>
      <x:c r="B809" s="24" t="str">
        <x:v>Demonological Order</x:v>
      </x:c>
      <x:c r="C809" s="24" t="str">
        <x:v>Institutions &amp; Affiliations</x:v>
      </x:c>
      <x:c r="D809" s="24" t="str">
        <x:v>INS-300</x:v>
      </x:c>
      <x:c r="E809" s="24" t="str">
        <x:f>IF(D809="","",IFERROR(VLOOKUP(D809,$A$2:$B$1656,2,FALSE),""))</x:f>
        <x:v>Religious and Magical Organizations</x:v>
      </x:c>
      <x:c r="F809" s="24" t="n">
        <x:v>3</x:v>
      </x:c>
      <x:c r="G809" s="24" t="str">
        <x:v>Institution studying, summoning, binding, worshiping, or combating demons.</x:v>
      </x:c>
      <x:c r="H809" s="24" t="str">
        <x:v>Record membership rules, hierarchy, resources, jurisdiction, ideology, and relation to the state.</x:v>
      </x:c>
      <x:c r="I809" s="24" t="str">
        <x:v>diabolist order; demonology circle</x:v>
      </x:c>
      <x:c r="J809" s="24" t="str">
        <x:v>Doctrine, initiation, training, ritual authority, magical knowledge, and spiritual governance.</x:v>
      </x:c>
      <x:c r="K809" s="24" t="str">
        <x:v>diabolist order; demonology circle</x:v>
      </x:c>
      <x:c r="L809" s="24" t="str">
        <x:v>Preserve each source's ontology, culture, history, and terminology when making comparisons.</x:v>
      </x:c>
      <x:c r="M809" s="24" t="str">
        <x:v>Core Family</x:v>
      </x:c>
    </x:row>
    <x:row r="810" ht="44" customHeight="1">
      <x:c r="A810" s="24" t="str">
        <x:v>INS-315</x:v>
      </x:c>
      <x:c r="B810" s="24" t="str">
        <x:v>Exorcist Order</x:v>
      </x:c>
      <x:c r="C810" s="24" t="str">
        <x:v>Institutions &amp; Affiliations</x:v>
      </x:c>
      <x:c r="D810" s="24" t="str">
        <x:v>INS-300</x:v>
      </x:c>
      <x:c r="E810" s="24" t="str">
        <x:f>IF(D810="","",IFERROR(VLOOKUP(D810,$A$2:$B$1656,2,FALSE),""))</x:f>
        <x:v>Religious and Magical Organizations</x:v>
      </x:c>
      <x:c r="F810" s="24" t="n">
        <x:v>3</x:v>
      </x:c>
      <x:c r="G810" s="24" t="str">
        <x:v>Religious-magical institution trained to identify and remove possession, curses, and hostile spirits.</x:v>
      </x:c>
      <x:c r="H810" s="24" t="str">
        <x:v>Record membership rules, hierarchy, resources, jurisdiction, ideology, and relation to the state.</x:v>
      </x:c>
      <x:c r="I810" s="24" t="str">
        <x:v>exorcists; spirit wardens</x:v>
      </x:c>
      <x:c r="J810" s="24" t="str">
        <x:v>Doctrine, initiation, training, ritual authority, magical knowledge, and spiritual governance.</x:v>
      </x:c>
      <x:c r="K810" s="24" t="str">
        <x:v>exorcists; spirit wardens</x:v>
      </x:c>
      <x:c r="L810" s="24" t="str">
        <x:v>Preserve each source's ontology, culture, history, and terminology when making comparisons.</x:v>
      </x:c>
      <x:c r="M810" s="24" t="str">
        <x:v>Core Family</x:v>
      </x:c>
    </x:row>
    <x:row r="811" ht="44" customHeight="1">
      <x:c r="A811" s="24" t="str">
        <x:v>INS-316</x:v>
      </x:c>
      <x:c r="B811" s="24" t="str">
        <x:v>Inquisition</x:v>
      </x:c>
      <x:c r="C811" s="24" t="str">
        <x:v>Institutions &amp; Affiliations</x:v>
      </x:c>
      <x:c r="D811" s="24" t="str">
        <x:v>INS-300</x:v>
      </x:c>
      <x:c r="E811" s="24" t="str">
        <x:f>IF(D811="","",IFERROR(VLOOKUP(D811,$A$2:$B$1656,2,FALSE),""))</x:f>
        <x:v>Religious and Magical Organizations</x:v>
      </x:c>
      <x:c r="F811" s="24" t="n">
        <x:v>3</x:v>
      </x:c>
      <x:c r="G811" s="24" t="str">
        <x:v>Centralized body investigating doctrine, heresy, corruption, possession, and forbidden practice.</x:v>
      </x:c>
      <x:c r="H811" s="24" t="str">
        <x:v>Record membership rules, hierarchy, resources, jurisdiction, ideology, and relation to the state.</x:v>
      </x:c>
      <x:c r="I811" s="24" t="str">
        <x:v>inquisition; holy office</x:v>
      </x:c>
      <x:c r="J811" s="24" t="str">
        <x:v>Doctrine, initiation, training, ritual authority, magical knowledge, and spiritual governance.</x:v>
      </x:c>
      <x:c r="K811" s="24" t="str">
        <x:v>inquisition; holy office</x:v>
      </x:c>
      <x:c r="L811" s="24" t="str">
        <x:v>Preserve each source's ontology, culture, history, and terminology when making comparisons.</x:v>
      </x:c>
      <x:c r="M811" s="24" t="str">
        <x:v>Core Family</x:v>
      </x:c>
    </x:row>
    <x:row r="812" ht="44" customHeight="1">
      <x:c r="A812" s="24" t="str">
        <x:v>INS-317</x:v>
      </x:c>
      <x:c r="B812" s="24" t="str">
        <x:v>Oracle College</x:v>
      </x:c>
      <x:c r="C812" s="24" t="str">
        <x:v>Institutions &amp; Affiliations</x:v>
      </x:c>
      <x:c r="D812" s="24" t="str">
        <x:v>INS-300</x:v>
      </x:c>
      <x:c r="E812" s="24" t="str">
        <x:f>IF(D812="","",IFERROR(VLOOKUP(D812,$A$2:$B$1656,2,FALSE),""))</x:f>
        <x:v>Religious and Magical Organizations</x:v>
      </x:c>
      <x:c r="F812" s="24" t="n">
        <x:v>3</x:v>
      </x:c>
      <x:c r="G812" s="24" t="str">
        <x:v>Institution that trains, houses, regulates, or interprets prophets, seers, and diviners.</x:v>
      </x:c>
      <x:c r="H812" s="24" t="str">
        <x:v>Record membership rules, hierarchy, resources, jurisdiction, ideology, and relation to the state.</x:v>
      </x:c>
      <x:c r="I812" s="24" t="str">
        <x:v>oracle temple; seers' college</x:v>
      </x:c>
      <x:c r="J812" s="24" t="str">
        <x:v>Doctrine, initiation, training, ritual authority, magical knowledge, and spiritual governance.</x:v>
      </x:c>
      <x:c r="K812" s="24" t="str">
        <x:v>oracle temple; seers' college</x:v>
      </x:c>
      <x:c r="L812" s="24" t="str">
        <x:v>Preserve each source's ontology, culture, history, and terminology when making comparisons.</x:v>
      </x:c>
      <x:c r="M812" s="24" t="str">
        <x:v>Core Family</x:v>
      </x:c>
    </x:row>
    <x:row r="813" ht="44" customHeight="1">
      <x:c r="A813" s="24" t="str">
        <x:v>INS-318</x:v>
      </x:c>
      <x:c r="B813" s="24" t="str">
        <x:v>Summoners' Circle</x:v>
      </x:c>
      <x:c r="C813" s="24" t="str">
        <x:v>Institutions &amp; Affiliations</x:v>
      </x:c>
      <x:c r="D813" s="24" t="str">
        <x:v>INS-300</x:v>
      </x:c>
      <x:c r="E813" s="24" t="str">
        <x:f>IF(D813="","",IFERROR(VLOOKUP(D813,$A$2:$B$1656,2,FALSE),""))</x:f>
        <x:v>Religious and Magical Organizations</x:v>
      </x:c>
      <x:c r="F813" s="24" t="n">
        <x:v>3</x:v>
      </x:c>
      <x:c r="G813" s="24" t="str">
        <x:v>Organization regulating contracts with spirits, monsters, eidolons, or extraplanar beings.</x:v>
      </x:c>
      <x:c r="H813" s="24" t="str">
        <x:v>Record membership rules, hierarchy, resources, jurisdiction, ideology, and relation to the state.</x:v>
      </x:c>
      <x:c r="I813" s="24" t="str">
        <x:v>summoner guild; callers' circle</x:v>
      </x:c>
      <x:c r="J813" s="24" t="str">
        <x:v>Doctrine, initiation, training, ritual authority, magical knowledge, and spiritual governance.</x:v>
      </x:c>
      <x:c r="K813" s="24" t="str">
        <x:v>summoner guild; callers' circle</x:v>
      </x:c>
      <x:c r="L813" s="24" t="str">
        <x:v>Preserve each source's ontology, culture, history, and terminology when making comparisons.</x:v>
      </x:c>
      <x:c r="M813" s="24" t="str">
        <x:v>Core Family</x:v>
      </x:c>
    </x:row>
    <x:row r="814" ht="44" customHeight="1">
      <x:c r="A814" s="24" t="str">
        <x:v>INS-319</x:v>
      </x:c>
      <x:c r="B814" s="24" t="str">
        <x:v>Alchemical Lodge</x:v>
      </x:c>
      <x:c r="C814" s="24" t="str">
        <x:v>Institutions &amp; Affiliations</x:v>
      </x:c>
      <x:c r="D814" s="24" t="str">
        <x:v>INS-300</x:v>
      </x:c>
      <x:c r="E814" s="24" t="str">
        <x:f>IF(D814="","",IFERROR(VLOOKUP(D814,$A$2:$B$1656,2,FALSE),""))</x:f>
        <x:v>Religious and Magical Organizations</x:v>
      </x:c>
      <x:c r="F814" s="24" t="n">
        <x:v>3</x:v>
      </x:c>
      <x:c r="G814" s="24" t="str">
        <x:v>Institution of alchemists organized around laboratories, recipes, secrets, certification, and patronage.</x:v>
      </x:c>
      <x:c r="H814" s="24" t="str">
        <x:v>Record membership rules, hierarchy, resources, jurisdiction, ideology, and relation to the state.</x:v>
      </x:c>
      <x:c r="I814" s="24" t="str">
        <x:v>alchemist guild; hermetic lodge</x:v>
      </x:c>
      <x:c r="J814" s="24" t="str">
        <x:v>Doctrine, initiation, training, ritual authority, magical knowledge, and spiritual governance.</x:v>
      </x:c>
      <x:c r="K814" s="24" t="str">
        <x:v>alchemist guild; hermetic lodge</x:v>
      </x:c>
      <x:c r="L814" s="24" t="str">
        <x:v>Preserve each source's ontology, culture, history, and terminology when making comparisons.</x:v>
      </x:c>
      <x:c r="M814" s="24" t="str">
        <x:v>Core Family</x:v>
      </x:c>
    </x:row>
    <x:row r="815" ht="44" customHeight="1">
      <x:c r="A815" s="24" t="str">
        <x:v>INS-320</x:v>
      </x:c>
      <x:c r="B815" s="24" t="str">
        <x:v>Secret Magical Society</x:v>
      </x:c>
      <x:c r="C815" s="24" t="str">
        <x:v>Institutions &amp; Affiliations</x:v>
      </x:c>
      <x:c r="D815" s="24" t="str">
        <x:v>INS-300</x:v>
      </x:c>
      <x:c r="E815" s="24" t="str">
        <x:f>IF(D815="","",IFERROR(VLOOKUP(D815,$A$2:$B$1656,2,FALSE),""))</x:f>
        <x:v>Religious and Magical Organizations</x:v>
      </x:c>
      <x:c r="F815" s="24" t="n">
        <x:v>3</x:v>
      </x:c>
      <x:c r="G815" s="24" t="str">
        <x:v>Covert network preserving forbidden lore, influencing politics, or protecting hidden supernatural communities.</x:v>
      </x:c>
      <x:c r="H815" s="24" t="str">
        <x:v>Record membership rules, hierarchy, resources, jurisdiction, ideology, and relation to the state.</x:v>
      </x:c>
      <x:c r="I815" s="24" t="str">
        <x:v>secret order; occult society; hidden council</x:v>
      </x:c>
      <x:c r="J815" s="24" t="str">
        <x:v>Doctrine, initiation, training, ritual authority, magical knowledge, and spiritual governance.</x:v>
      </x:c>
      <x:c r="K815" s="24" t="str">
        <x:v>secret order; occult society; hidden council</x:v>
      </x:c>
      <x:c r="L815" s="24" t="str">
        <x:v>Preserve each source's ontology, culture, history, and terminology when making comparisons.</x:v>
      </x:c>
      <x:c r="M815" s="24" t="str">
        <x:v>Core Family</x:v>
      </x:c>
    </x:row>
    <x:row r="816" ht="44" customHeight="1">
      <x:c r="A816" s="24" t="str">
        <x:v>INS-401</x:v>
      </x:c>
      <x:c r="B816" s="24" t="str">
        <x:v>Noble House</x:v>
      </x:c>
      <x:c r="C816" s="24" t="str">
        <x:v>Institutions &amp; Affiliations</x:v>
      </x:c>
      <x:c r="D816" s="24" t="str">
        <x:v>INS-400</x:v>
      </x:c>
      <x:c r="E816" s="24" t="str">
        <x:f>IF(D816="","",IFERROR(VLOOKUP(D816,$A$2:$B$1656,2,FALSE),""))</x:f>
        <x:v>Kinship, Political, and Secret Organizations</x:v>
      </x:c>
      <x:c r="F816" s="24" t="n">
        <x:v>3</x:v>
      </x:c>
      <x:c r="G816" s="24" t="str">
        <x:v>Dynastic kin group controlling titles, land, offices, retainers, marriage alliances, and inherited reputation.</x:v>
      </x:c>
      <x:c r="H816" s="24" t="str">
        <x:v>Record membership rules, hierarchy, resources, jurisdiction, ideology, and relation to the state.</x:v>
      </x:c>
      <x:c r="I816" s="24" t="str">
        <x:v>great house; noble family; dynasty</x:v>
      </x:c>
      <x:c r="J816" s="24" t="str">
        <x:v>Kinship, governance, secrecy, social rank, factional identity, and collective action.</x:v>
      </x:c>
      <x:c r="K816" s="24" t="str">
        <x:v>great house; noble family; dynasty</x:v>
      </x:c>
      <x:c r="L816" s="24" t="str">
        <x:v>Preserve each source's ontology, culture, history, and terminology when making comparisons.</x:v>
      </x:c>
      <x:c r="M816" s="24" t="str">
        <x:v>Core Family</x:v>
      </x:c>
    </x:row>
    <x:row r="817" ht="44" customHeight="1">
      <x:c r="A817" s="24" t="str">
        <x:v>INS-402</x:v>
      </x:c>
      <x:c r="B817" s="24" t="str">
        <x:v>Clan</x:v>
      </x:c>
      <x:c r="C817" s="24" t="str">
        <x:v>Institutions &amp; Affiliations</x:v>
      </x:c>
      <x:c r="D817" s="24" t="str">
        <x:v>INS-400</x:v>
      </x:c>
      <x:c r="E817" s="24" t="str">
        <x:f>IF(D817="","",IFERROR(VLOOKUP(D817,$A$2:$B$1656,2,FALSE),""))</x:f>
        <x:v>Kinship, Political, and Secret Organizations</x:v>
      </x:c>
      <x:c r="F817" s="24" t="n">
        <x:v>3</x:v>
      </x:c>
      <x:c r="G817" s="24" t="str">
        <x:v>Extended kinship and identity group organized through descent, adoption, territory, memory, and mutual obligation.</x:v>
      </x:c>
      <x:c r="H817" s="24" t="str">
        <x:v>Record membership rules, hierarchy, resources, jurisdiction, ideology, and relation to the state.</x:v>
      </x:c>
      <x:c r="I817" s="24" t="str">
        <x:v>clan; lineage; sept</x:v>
      </x:c>
      <x:c r="J817" s="24" t="str">
        <x:v>Kinship, governance, secrecy, social rank, factional identity, and collective action.</x:v>
      </x:c>
      <x:c r="K817" s="24" t="str">
        <x:v>clan; lineage; sept</x:v>
      </x:c>
      <x:c r="L817" s="24" t="str">
        <x:v>Preserve each source's ontology, culture, history, and terminology when making comparisons.</x:v>
      </x:c>
      <x:c r="M817" s="24" t="str">
        <x:v>Core Family</x:v>
      </x:c>
    </x:row>
    <x:row r="818" ht="44" customHeight="1">
      <x:c r="A818" s="24" t="str">
        <x:v>INS-403</x:v>
      </x:c>
      <x:c r="B818" s="24" t="str">
        <x:v>Tribe</x:v>
      </x:c>
      <x:c r="C818" s="24" t="str">
        <x:v>Institutions &amp; Affiliations</x:v>
      </x:c>
      <x:c r="D818" s="24" t="str">
        <x:v>INS-400</x:v>
      </x:c>
      <x:c r="E818" s="24" t="str">
        <x:f>IF(D818="","",IFERROR(VLOOKUP(D818,$A$2:$B$1656,2,FALSE),""))</x:f>
        <x:v>Kinship, Political, and Secret Organizations</x:v>
      </x:c>
      <x:c r="F818" s="24" t="n">
        <x:v>3</x:v>
      </x:c>
      <x:c r="G818" s="24" t="str">
        <x:v>Political-cultural community structured through kinship, locality, language, ritual, or shared leadership.</x:v>
      </x:c>
      <x:c r="H818" s="24" t="str">
        <x:v>Record membership rules, hierarchy, resources, jurisdiction, ideology, and relation to the state.</x:v>
      </x:c>
      <x:c r="I818" s="24" t="str">
        <x:v>tribe; people; tribal confederation</x:v>
      </x:c>
      <x:c r="J818" s="24" t="str">
        <x:v>Kinship, governance, secrecy, social rank, factional identity, and collective action.</x:v>
      </x:c>
      <x:c r="K818" s="24" t="str">
        <x:v>tribe; people; tribal confederation</x:v>
      </x:c>
      <x:c r="L818" s="24" t="str">
        <x:v>Use cautiously and source-specifically; the term can impose outsider simplifications on diverse societies.</x:v>
      </x:c>
      <x:c r="M818" s="24" t="str">
        <x:v>Core Family</x:v>
      </x:c>
    </x:row>
    <x:row r="819" ht="44" customHeight="1">
      <x:c r="A819" s="24" t="str">
        <x:v>INS-404</x:v>
      </x:c>
      <x:c r="B819" s="24" t="str">
        <x:v>Dynasty</x:v>
      </x:c>
      <x:c r="C819" s="24" t="str">
        <x:v>Institutions &amp; Affiliations</x:v>
      </x:c>
      <x:c r="D819" s="24" t="str">
        <x:v>INS-400</x:v>
      </x:c>
      <x:c r="E819" s="24" t="str">
        <x:f>IF(D819="","",IFERROR(VLOOKUP(D819,$A$2:$B$1656,2,FALSE),""))</x:f>
        <x:v>Kinship, Political, and Secret Organizations</x:v>
      </x:c>
      <x:c r="F819" s="24" t="n">
        <x:v>3</x:v>
      </x:c>
      <x:c r="G819" s="24" t="str">
        <x:v>Sequence and institution of rulers connected by descent, marriage, adoption, or claimed continuity.</x:v>
      </x:c>
      <x:c r="H819" s="24" t="str">
        <x:v>Record membership rules, hierarchy, resources, jurisdiction, ideology, and relation to the state.</x:v>
      </x:c>
      <x:c r="I819" s="24" t="str">
        <x:v>dynasty; royal line</x:v>
      </x:c>
      <x:c r="J819" s="24" t="str">
        <x:v>Kinship, governance, secrecy, social rank, factional identity, and collective action.</x:v>
      </x:c>
      <x:c r="K819" s="24" t="str">
        <x:v>dynasty; royal line</x:v>
      </x:c>
      <x:c r="L819" s="24" t="str">
        <x:v>Preserve each source's ontology, culture, history, and terminology when making comparisons.</x:v>
      </x:c>
      <x:c r="M819" s="24" t="str">
        <x:v>Core Family</x:v>
      </x:c>
    </x:row>
    <x:row r="820" ht="44" customHeight="1">
      <x:c r="A820" s="24" t="str">
        <x:v>INS-405</x:v>
      </x:c>
      <x:c r="B820" s="24" t="str">
        <x:v>Royal Court</x:v>
      </x:c>
      <x:c r="C820" s="24" t="str">
        <x:v>Institutions &amp; Affiliations</x:v>
      </x:c>
      <x:c r="D820" s="24" t="str">
        <x:v>INS-400</x:v>
      </x:c>
      <x:c r="E820" s="24" t="str">
        <x:f>IF(D820="","",IFERROR(VLOOKUP(D820,$A$2:$B$1656,2,FALSE),""))</x:f>
        <x:v>Kinship, Political, and Secret Organizations</x:v>
      </x:c>
      <x:c r="F820" s="24" t="n">
        <x:v>3</x:v>
      </x:c>
      <x:c r="G820" s="24" t="str">
        <x:v>Household and political arena surrounding a sovereign, including nobles, officials, servants, rivals, and ritual.</x:v>
      </x:c>
      <x:c r="H820" s="24" t="str">
        <x:v>Record membership rules, hierarchy, resources, jurisdiction, ideology, and relation to the state.</x:v>
      </x:c>
      <x:c r="I820" s="24" t="str">
        <x:v>court; palace faction</x:v>
      </x:c>
      <x:c r="J820" s="24" t="str">
        <x:v>Kinship, governance, secrecy, social rank, factional identity, and collective action.</x:v>
      </x:c>
      <x:c r="K820" s="24" t="str">
        <x:v>court; palace faction</x:v>
      </x:c>
      <x:c r="L820" s="24" t="str">
        <x:v>Preserve each source's ontology, culture, history, and terminology when making comparisons.</x:v>
      </x:c>
      <x:c r="M820" s="24" t="str">
        <x:v>Core Family</x:v>
      </x:c>
    </x:row>
    <x:row r="821" ht="44" customHeight="1">
      <x:c r="A821" s="24" t="str">
        <x:v>INS-406</x:v>
      </x:c>
      <x:c r="B821" s="24" t="str">
        <x:v>Fae Court</x:v>
      </x:c>
      <x:c r="C821" s="24" t="str">
        <x:v>Institutions &amp; Affiliations</x:v>
      </x:c>
      <x:c r="D821" s="24" t="str">
        <x:v>INS-400</x:v>
      </x:c>
      <x:c r="E821" s="24" t="str">
        <x:f>IF(D821="","",IFERROR(VLOOKUP(D821,$A$2:$B$1656,2,FALSE),""))</x:f>
        <x:v>Kinship, Political, and Secret Organizations</x:v>
      </x:c>
      <x:c r="F821" s="24" t="n">
        <x:v>3</x:v>
      </x:c>
      <x:c r="G821" s="24" t="str">
        <x:v>Otherworldly political society structured by noble rank, season, etiquette, bargain, and supernatural allegiance.</x:v>
      </x:c>
      <x:c r="H821" s="24" t="str">
        <x:v>Record membership rules, hierarchy, resources, jurisdiction, ideology, and relation to the state.</x:v>
      </x:c>
      <x:c r="I821" s="24" t="str">
        <x:v>seelie court; winter court; faerie court</x:v>
      </x:c>
      <x:c r="J821" s="24" t="str">
        <x:v>Kinship, governance, secrecy, social rank, factional identity, and collective action.</x:v>
      </x:c>
      <x:c r="K821" s="24" t="str">
        <x:v>seelie court; winter court; faerie court</x:v>
      </x:c>
      <x:c r="L821" s="24" t="str">
        <x:v>Preserve each source's ontology, culture, history, and terminology when making comparisons.</x:v>
      </x:c>
      <x:c r="M821" s="24" t="str">
        <x:v>Core Family</x:v>
      </x:c>
    </x:row>
    <x:row r="822" ht="44" customHeight="1">
      <x:c r="A822" s="24" t="str">
        <x:v>INS-407</x:v>
      </x:c>
      <x:c r="B822" s="24" t="str">
        <x:v>Council or Conclave</x:v>
      </x:c>
      <x:c r="C822" s="24" t="str">
        <x:v>Institutions &amp; Affiliations</x:v>
      </x:c>
      <x:c r="D822" s="24" t="str">
        <x:v>INS-400</x:v>
      </x:c>
      <x:c r="E822" s="24" t="str">
        <x:f>IF(D822="","",IFERROR(VLOOKUP(D822,$A$2:$B$1656,2,FALSE),""))</x:f>
        <x:v>Kinship, Political, and Secret Organizations</x:v>
      </x:c>
      <x:c r="F822" s="24" t="n">
        <x:v>3</x:v>
      </x:c>
      <x:c r="G822" s="24" t="str">
        <x:v>Collective decision-making institution of elders, mages, nobles, guilds, gods, or faction representatives.</x:v>
      </x:c>
      <x:c r="H822" s="24" t="str">
        <x:v>Record membership rules, hierarchy, resources, jurisdiction, ideology, and relation to the state.</x:v>
      </x:c>
      <x:c r="I822" s="24" t="str">
        <x:v>council; conclave; senate</x:v>
      </x:c>
      <x:c r="J822" s="24" t="str">
        <x:v>Kinship, governance, secrecy, social rank, factional identity, and collective action.</x:v>
      </x:c>
      <x:c r="K822" s="24" t="str">
        <x:v>council; conclave; senate</x:v>
      </x:c>
      <x:c r="L822" s="24" t="str">
        <x:v>Preserve each source's ontology, culture, history, and terminology when making comparisons.</x:v>
      </x:c>
      <x:c r="M822" s="24" t="str">
        <x:v>Core Family</x:v>
      </x:c>
    </x:row>
    <x:row r="823" ht="44" customHeight="1">
      <x:c r="A823" s="24" t="str">
        <x:v>INS-408</x:v>
      </x:c>
      <x:c r="B823" s="24" t="str">
        <x:v>Caste</x:v>
      </x:c>
      <x:c r="C823" s="24" t="str">
        <x:v>Institutions &amp; Affiliations</x:v>
      </x:c>
      <x:c r="D823" s="24" t="str">
        <x:v>INS-400</x:v>
      </x:c>
      <x:c r="E823" s="24" t="str">
        <x:f>IF(D823="","",IFERROR(VLOOKUP(D823,$A$2:$B$1656,2,FALSE),""))</x:f>
        <x:v>Kinship, Political, and Secret Organizations</x:v>
      </x:c>
      <x:c r="F823" s="24" t="n">
        <x:v>3</x:v>
      </x:c>
      <x:c r="G823" s="24" t="str">
        <x:v>Hereditary or ascribed status category organizing occupation, marriage, privilege, purity, and social mobility.</x:v>
      </x:c>
      <x:c r="H823" s="24" t="str">
        <x:v>Record membership rules, hierarchy, resources, jurisdiction, ideology, and relation to the state.</x:v>
      </x:c>
      <x:c r="I823" s="24" t="str">
        <x:v>caste; estate; birth order</x:v>
      </x:c>
      <x:c r="J823" s="24" t="str">
        <x:v>Kinship, governance, secrecy, social rank, factional identity, and collective action.</x:v>
      </x:c>
      <x:c r="K823" s="24" t="str">
        <x:v>caste; estate; birth order</x:v>
      </x:c>
      <x:c r="L823" s="24" t="str">
        <x:v>Do not flatten real-world caste systems into neutral fantasy flavor; record coercion and ideology.</x:v>
      </x:c>
      <x:c r="M823" s="24" t="str">
        <x:v>Core Family</x:v>
      </x:c>
    </x:row>
    <x:row r="824" ht="44" customHeight="1">
      <x:c r="A824" s="24" t="str">
        <x:v>INS-409</x:v>
      </x:c>
      <x:c r="B824" s="24" t="str">
        <x:v>Estate or Social Order</x:v>
      </x:c>
      <x:c r="C824" s="24" t="str">
        <x:v>Institutions &amp; Affiliations</x:v>
      </x:c>
      <x:c r="D824" s="24" t="str">
        <x:v>INS-400</x:v>
      </x:c>
      <x:c r="E824" s="24" t="str">
        <x:f>IF(D824="","",IFERROR(VLOOKUP(D824,$A$2:$B$1656,2,FALSE),""))</x:f>
        <x:v>Kinship, Political, and Secret Organizations</x:v>
      </x:c>
      <x:c r="F824" s="24" t="n">
        <x:v>3</x:v>
      </x:c>
      <x:c r="G824" s="24" t="str">
        <x:v>Legally recognized social stratum such as clergy, nobility, commoners, or magical citizens.</x:v>
      </x:c>
      <x:c r="H824" s="24" t="str">
        <x:v>Record membership rules, hierarchy, resources, jurisdiction, ideology, and relation to the state.</x:v>
      </x:c>
      <x:c r="I824" s="24" t="str">
        <x:v>estate; order; social rank</x:v>
      </x:c>
      <x:c r="J824" s="24" t="str">
        <x:v>Kinship, governance, secrecy, social rank, factional identity, and collective action.</x:v>
      </x:c>
      <x:c r="K824" s="24" t="str">
        <x:v>estate; order; social rank</x:v>
      </x:c>
      <x:c r="L824" s="24" t="str">
        <x:v>Preserve each source's ontology, culture, history, and terminology when making comparisons.</x:v>
      </x:c>
      <x:c r="M824" s="24" t="str">
        <x:v>Core Family</x:v>
      </x:c>
    </x:row>
    <x:row r="825" ht="44" customHeight="1">
      <x:c r="A825" s="24" t="str">
        <x:v>INS-410</x:v>
      </x:c>
      <x:c r="B825" s="24" t="str">
        <x:v>Tribal Confederation</x:v>
      </x:c>
      <x:c r="C825" s="24" t="str">
        <x:v>Institutions &amp; Affiliations</x:v>
      </x:c>
      <x:c r="D825" s="24" t="str">
        <x:v>INS-400</x:v>
      </x:c>
      <x:c r="E825" s="24" t="str">
        <x:f>IF(D825="","",IFERROR(VLOOKUP(D825,$A$2:$B$1656,2,FALSE),""))</x:f>
        <x:v>Kinship, Political, and Secret Organizations</x:v>
      </x:c>
      <x:c r="F825" s="24" t="n">
        <x:v>3</x:v>
      </x:c>
      <x:c r="G825" s="24" t="str">
        <x:v>Alliance of autonomous kin or local groups under shared leadership, ritual, defense, or migration.</x:v>
      </x:c>
      <x:c r="H825" s="24" t="str">
        <x:v>Record membership rules, hierarchy, resources, jurisdiction, ideology, and relation to the state.</x:v>
      </x:c>
      <x:c r="I825" s="24" t="str">
        <x:v>confederation; league; horde</x:v>
      </x:c>
      <x:c r="J825" s="24" t="str">
        <x:v>Kinship, governance, secrecy, social rank, factional identity, and collective action.</x:v>
      </x:c>
      <x:c r="K825" s="24" t="str">
        <x:v>confederation; league; horde</x:v>
      </x:c>
      <x:c r="L825" s="24" t="str">
        <x:v>Preserve each source's ontology, culture, history, and terminology when making comparisons.</x:v>
      </x:c>
      <x:c r="M825" s="24" t="str">
        <x:v>Core Family</x:v>
      </x:c>
    </x:row>
    <x:row r="826" ht="44" customHeight="1">
      <x:c r="A826" s="24" t="str">
        <x:v>INS-411</x:v>
      </x:c>
      <x:c r="B826" s="24" t="str">
        <x:v>Secret Society</x:v>
      </x:c>
      <x:c r="C826" s="24" t="str">
        <x:v>Institutions &amp; Affiliations</x:v>
      </x:c>
      <x:c r="D826" s="24" t="str">
        <x:v>INS-400</x:v>
      </x:c>
      <x:c r="E826" s="24" t="str">
        <x:f>IF(D826="","",IFERROR(VLOOKUP(D826,$A$2:$B$1656,2,FALSE),""))</x:f>
        <x:v>Kinship, Political, and Secret Organizations</x:v>
      </x:c>
      <x:c r="F826" s="24" t="n">
        <x:v>3</x:v>
      </x:c>
      <x:c r="G826" s="24" t="str">
        <x:v>Covert membership organization with hidden goals, rites, symbols, and influence.</x:v>
      </x:c>
      <x:c r="H826" s="24" t="str">
        <x:v>Record membership rules, hierarchy, resources, jurisdiction, ideology, and relation to the state.</x:v>
      </x:c>
      <x:c r="I826" s="24" t="str">
        <x:v>secret society; conspiracy; lodge</x:v>
      </x:c>
      <x:c r="J826" s="24" t="str">
        <x:v>Kinship, governance, secrecy, social rank, factional identity, and collective action.</x:v>
      </x:c>
      <x:c r="K826" s="24" t="str">
        <x:v>secret society; conspiracy; lodge</x:v>
      </x:c>
      <x:c r="L826" s="24" t="str">
        <x:v>Preserve each source's ontology, culture, history, and terminology when making comparisons.</x:v>
      </x:c>
      <x:c r="M826" s="24" t="str">
        <x:v>Core Family</x:v>
      </x:c>
    </x:row>
    <x:row r="827" ht="44" customHeight="1">
      <x:c r="A827" s="24" t="str">
        <x:v>INS-412</x:v>
      </x:c>
      <x:c r="B827" s="24" t="str">
        <x:v>Revolutionary Cell</x:v>
      </x:c>
      <x:c r="C827" s="24" t="str">
        <x:v>Institutions &amp; Affiliations</x:v>
      </x:c>
      <x:c r="D827" s="24" t="str">
        <x:v>INS-400</x:v>
      </x:c>
      <x:c r="E827" s="24" t="str">
        <x:f>IF(D827="","",IFERROR(VLOOKUP(D827,$A$2:$B$1656,2,FALSE),""))</x:f>
        <x:v>Kinship, Political, and Secret Organizations</x:v>
      </x:c>
      <x:c r="F827" s="24" t="n">
        <x:v>3</x:v>
      </x:c>
      <x:c r="G827" s="24" t="str">
        <x:v>Small clandestine organization coordinating rebellion, sabotage, propaganda, and mutual security.</x:v>
      </x:c>
      <x:c r="H827" s="24" t="str">
        <x:v>Record membership rules, hierarchy, resources, jurisdiction, ideology, and relation to the state.</x:v>
      </x:c>
      <x:c r="I827" s="24" t="str">
        <x:v>rebel cell; resistance network</x:v>
      </x:c>
      <x:c r="J827" s="24" t="str">
        <x:v>Kinship, governance, secrecy, social rank, factional identity, and collective action.</x:v>
      </x:c>
      <x:c r="K827" s="24" t="str">
        <x:v>rebel cell; resistance network</x:v>
      </x:c>
      <x:c r="L827" s="24" t="str">
        <x:v>Preserve each source's ontology, culture, history, and terminology when making comparisons.</x:v>
      </x:c>
      <x:c r="M827" s="24" t="str">
        <x:v>Core Family</x:v>
      </x:c>
    </x:row>
    <x:row r="828" ht="44" customHeight="1">
      <x:c r="A828" s="24" t="str">
        <x:v>INS-413</x:v>
      </x:c>
      <x:c r="B828" s="24" t="str">
        <x:v>Spy Network</x:v>
      </x:c>
      <x:c r="C828" s="24" t="str">
        <x:v>Institutions &amp; Affiliations</x:v>
      </x:c>
      <x:c r="D828" s="24" t="str">
        <x:v>INS-400</x:v>
      </x:c>
      <x:c r="E828" s="24" t="str">
        <x:f>IF(D828="","",IFERROR(VLOOKUP(D828,$A$2:$B$1656,2,FALSE),""))</x:f>
        <x:v>Kinship, Political, and Secret Organizations</x:v>
      </x:c>
      <x:c r="F828" s="24" t="n">
        <x:v>3</x:v>
      </x:c>
      <x:c r="G828" s="24" t="str">
        <x:v>Distributed set of agents, handlers, informants, safe houses, and communication channels.</x:v>
      </x:c>
      <x:c r="H828" s="24" t="str">
        <x:v>Record membership rules, hierarchy, resources, jurisdiction, ideology, and relation to the state.</x:v>
      </x:c>
      <x:c r="I828" s="24" t="str">
        <x:v>spy ring; whisper network</x:v>
      </x:c>
      <x:c r="J828" s="24" t="str">
        <x:v>Kinship, governance, secrecy, social rank, factional identity, and collective action.</x:v>
      </x:c>
      <x:c r="K828" s="24" t="str">
        <x:v>spy ring; whisper network</x:v>
      </x:c>
      <x:c r="L828" s="24" t="str">
        <x:v>Preserve each source's ontology, culture, history, and terminology when making comparisons.</x:v>
      </x:c>
      <x:c r="M828" s="24" t="str">
        <x:v>Core Family</x:v>
      </x:c>
    </x:row>
    <x:row r="829" ht="44" customHeight="1">
      <x:c r="A829" s="24" t="str">
        <x:v>INS-414</x:v>
      </x:c>
      <x:c r="B829" s="24" t="str">
        <x:v>Criminal Syndicate</x:v>
      </x:c>
      <x:c r="C829" s="24" t="str">
        <x:v>Institutions &amp; Affiliations</x:v>
      </x:c>
      <x:c r="D829" s="24" t="str">
        <x:v>INS-400</x:v>
      </x:c>
      <x:c r="E829" s="24" t="str">
        <x:f>IF(D829="","",IFERROR(VLOOKUP(D829,$A$2:$B$1656,2,FALSE),""))</x:f>
        <x:v>Kinship, Political, and Secret Organizations</x:v>
      </x:c>
      <x:c r="F829" s="24" t="n">
        <x:v>3</x:v>
      </x:c>
      <x:c r="G829" s="24" t="str">
        <x:v>Large illicit organization combining violence, trade, corruption, and territorial governance.</x:v>
      </x:c>
      <x:c r="H829" s="24" t="str">
        <x:v>Record membership rules, hierarchy, resources, jurisdiction, ideology, and relation to the state.</x:v>
      </x:c>
      <x:c r="I829" s="24" t="str">
        <x:v>syndicate; mafia-like house; cartel</x:v>
      </x:c>
      <x:c r="J829" s="24" t="str">
        <x:v>Kinship, governance, secrecy, social rank, factional identity, and collective action.</x:v>
      </x:c>
      <x:c r="K829" s="24" t="str">
        <x:v>syndicate; mafia-like house; cartel</x:v>
      </x:c>
      <x:c r="L829" s="24" t="str">
        <x:v>Preserve each source's ontology, culture, history, and terminology when making comparisons.</x:v>
      </x:c>
      <x:c r="M829" s="24" t="str">
        <x:v>Core Family</x:v>
      </x:c>
    </x:row>
    <x:row r="830" ht="44" customHeight="1">
      <x:c r="A830" s="24" t="str">
        <x:v>INS-415</x:v>
      </x:c>
      <x:c r="B830" s="24" t="str">
        <x:v>Thieves' Cant Network</x:v>
      </x:c>
      <x:c r="C830" s="24" t="str">
        <x:v>Institutions &amp; Affiliations</x:v>
      </x:c>
      <x:c r="D830" s="24" t="str">
        <x:v>INS-400</x:v>
      </x:c>
      <x:c r="E830" s="24" t="str">
        <x:f>IF(D830="","",IFERROR(VLOOKUP(D830,$A$2:$B$1656,2,FALSE),""))</x:f>
        <x:v>Kinship, Political, and Secret Organizations</x:v>
      </x:c>
      <x:c r="F830" s="24" t="n">
        <x:v>3</x:v>
      </x:c>
      <x:c r="G830" s="24" t="str">
        <x:v>Loose underworld community linked by codes, fences, signals, reputation, and shared safe spaces.</x:v>
      </x:c>
      <x:c r="H830" s="24" t="str">
        <x:v>Record membership rules, hierarchy, resources, jurisdiction, ideology, and relation to the state.</x:v>
      </x:c>
      <x:c r="I830" s="24" t="str">
        <x:v>cant network; underworld fraternity</x:v>
      </x:c>
      <x:c r="J830" s="24" t="str">
        <x:v>Kinship, governance, secrecy, social rank, factional identity, and collective action.</x:v>
      </x:c>
      <x:c r="K830" s="24" t="str">
        <x:v>cant network; underworld fraternity</x:v>
      </x:c>
      <x:c r="L830" s="24" t="str">
        <x:v>Preserve each source's ontology, culture, history, and terminology when making comparisons.</x:v>
      </x:c>
      <x:c r="M830" s="24" t="str">
        <x:v>Core Family</x:v>
      </x:c>
    </x:row>
    <x:row r="831" ht="44" customHeight="1">
      <x:c r="A831" s="24" t="str">
        <x:v>INS-416</x:v>
      </x:c>
      <x:c r="B831" s="24" t="str">
        <x:v>Diaspora Network</x:v>
      </x:c>
      <x:c r="C831" s="24" t="str">
        <x:v>Institutions &amp; Affiliations</x:v>
      </x:c>
      <x:c r="D831" s="24" t="str">
        <x:v>INS-400</x:v>
      </x:c>
      <x:c r="E831" s="24" t="str">
        <x:f>IF(D831="","",IFERROR(VLOOKUP(D831,$A$2:$B$1656,2,FALSE),""))</x:f>
        <x:v>Kinship, Political, and Secret Organizations</x:v>
      </x:c>
      <x:c r="F831" s="24" t="n">
        <x:v>3</x:v>
      </x:c>
      <x:c r="G831" s="24" t="str">
        <x:v>Translocal community maintaining identity, kinship, trade, ritual, and political ties across multiple societies.</x:v>
      </x:c>
      <x:c r="H831" s="24" t="str">
        <x:v>Record membership rules, hierarchy, resources, jurisdiction, ideology, and relation to the state.</x:v>
      </x:c>
      <x:c r="I831" s="24" t="str">
        <x:v>diaspora; exile network</x:v>
      </x:c>
      <x:c r="J831" s="24" t="str">
        <x:v>Kinship, governance, secrecy, social rank, factional identity, and collective action.</x:v>
      </x:c>
      <x:c r="K831" s="24" t="str">
        <x:v>diaspora; exile network</x:v>
      </x:c>
      <x:c r="L831" s="24" t="str">
        <x:v>Preserve each source's ontology, culture, history, and terminology when making comparisons.</x:v>
      </x:c>
      <x:c r="M831" s="24" t="str">
        <x:v>Core Family</x:v>
      </x:c>
    </x:row>
    <x:row r="832" ht="44" customHeight="1">
      <x:c r="A832" s="24" t="str">
        <x:v>INS-417</x:v>
      </x:c>
      <x:c r="B832" s="24" t="str">
        <x:v>Household Retinue</x:v>
      </x:c>
      <x:c r="C832" s="24" t="str">
        <x:v>Institutions &amp; Affiliations</x:v>
      </x:c>
      <x:c r="D832" s="24" t="str">
        <x:v>INS-400</x:v>
      </x:c>
      <x:c r="E832" s="24" t="str">
        <x:f>IF(D832="","",IFERROR(VLOOKUP(D832,$A$2:$B$1656,2,FALSE),""))</x:f>
        <x:v>Kinship, Political, and Secret Organizations</x:v>
      </x:c>
      <x:c r="F832" s="24" t="n">
        <x:v>3</x:v>
      </x:c>
      <x:c r="G832" s="24" t="str">
        <x:v>Personal body of servants, guards, advisers, artisans, and dependents attached to an elite patron.</x:v>
      </x:c>
      <x:c r="H832" s="24" t="str">
        <x:v>Record membership rules, hierarchy, resources, jurisdiction, ideology, and relation to the state.</x:v>
      </x:c>
      <x:c r="I832" s="24" t="str">
        <x:v>retinue; household; sworn companions</x:v>
      </x:c>
      <x:c r="J832" s="24" t="str">
        <x:v>Kinship, governance, secrecy, social rank, factional identity, and collective action.</x:v>
      </x:c>
      <x:c r="K832" s="24" t="str">
        <x:v>retinue; household; sworn companions</x:v>
      </x:c>
      <x:c r="L832" s="24" t="str">
        <x:v>Preserve each source's ontology, culture, history, and terminology when making comparisons.</x:v>
      </x:c>
      <x:c r="M832" s="24" t="str">
        <x:v>Core Family</x:v>
      </x:c>
    </x:row>
    <x:row r="833" ht="44" customHeight="1">
      <x:c r="A833" s="24" t="str">
        <x:v>INS-418</x:v>
      </x:c>
      <x:c r="B833" s="24" t="str">
        <x:v>Covenant Community</x:v>
      </x:c>
      <x:c r="C833" s="24" t="str">
        <x:v>Institutions &amp; Affiliations</x:v>
      </x:c>
      <x:c r="D833" s="24" t="str">
        <x:v>INS-400</x:v>
      </x:c>
      <x:c r="E833" s="24" t="str">
        <x:f>IF(D833="","",IFERROR(VLOOKUP(D833,$A$2:$B$1656,2,FALSE),""))</x:f>
        <x:v>Kinship, Political, and Secret Organizations</x:v>
      </x:c>
      <x:c r="F833" s="24" t="n">
        <x:v>3</x:v>
      </x:c>
      <x:c r="G833" s="24" t="str">
        <x:v>Group bound by shared oath, supernatural contract, migration story, or sacred law.</x:v>
      </x:c>
      <x:c r="H833" s="24" t="str">
        <x:v>Record membership rules, hierarchy, resources, jurisdiction, ideology, and relation to the state.</x:v>
      </x:c>
      <x:c r="I833" s="24" t="str">
        <x:v>covenant; sworn people</x:v>
      </x:c>
      <x:c r="J833" s="24" t="str">
        <x:v>Kinship, governance, secrecy, social rank, factional identity, and collective action.</x:v>
      </x:c>
      <x:c r="K833" s="24" t="str">
        <x:v>covenant; sworn people</x:v>
      </x:c>
      <x:c r="L833" s="24" t="str">
        <x:v>Preserve each source's ontology, culture, history, and terminology when making comparisons.</x:v>
      </x:c>
      <x:c r="M833" s="24" t="str">
        <x:v>Core Family</x:v>
      </x:c>
    </x:row>
    <x:row r="834" ht="44" customHeight="1">
      <x:c r="A834" s="24" t="str">
        <x:v>INS-419</x:v>
      </x:c>
      <x:c r="B834" s="24" t="str">
        <x:v>Hive Hierarchy</x:v>
      </x:c>
      <x:c r="C834" s="24" t="str">
        <x:v>Institutions &amp; Affiliations</x:v>
      </x:c>
      <x:c r="D834" s="24" t="str">
        <x:v>INS-400</x:v>
      </x:c>
      <x:c r="E834" s="24" t="str">
        <x:f>IF(D834="","",IFERROR(VLOOKUP(D834,$A$2:$B$1656,2,FALSE),""))</x:f>
        <x:v>Kinship, Political, and Secret Organizations</x:v>
      </x:c>
      <x:c r="F834" s="24" t="n">
        <x:v>3</x:v>
      </x:c>
      <x:c r="G834" s="24" t="str">
        <x:v>Institutional organization based on biological caste, queen or core control, pheromonal coordination, or collective mind.</x:v>
      </x:c>
      <x:c r="H834" s="24" t="str">
        <x:v>Record membership rules, hierarchy, resources, jurisdiction, ideology, and relation to the state.</x:v>
      </x:c>
      <x:c r="I834" s="24" t="str">
        <x:v>hive; brood; swarm hierarchy</x:v>
      </x:c>
      <x:c r="J834" s="24" t="str">
        <x:v>Kinship, governance, secrecy, social rank, factional identity, and collective action.</x:v>
      </x:c>
      <x:c r="K834" s="24" t="str">
        <x:v>hive; brood; swarm hierarchy</x:v>
      </x:c>
      <x:c r="L834" s="24" t="str">
        <x:v>Preserve each source's ontology, culture, history, and terminology when making comparisons.</x:v>
      </x:c>
      <x:c r="M834" s="24" t="str">
        <x:v>Core Family</x:v>
      </x:c>
    </x:row>
    <x:row r="835" ht="44" customHeight="1">
      <x:c r="A835" s="24" t="str">
        <x:v>INS-420</x:v>
      </x:c>
      <x:c r="B835" s="24" t="str">
        <x:v>Dungeon Faction</x:v>
      </x:c>
      <x:c r="C835" s="24" t="str">
        <x:v>Institutions &amp; Affiliations</x:v>
      </x:c>
      <x:c r="D835" s="24" t="str">
        <x:v>INS-400</x:v>
      </x:c>
      <x:c r="E835" s="24" t="str">
        <x:f>IF(D835="","",IFERROR(VLOOKUP(D835,$A$2:$B$1656,2,FALSE),""))</x:f>
        <x:v>Kinship, Political, and Secret Organizations</x:v>
      </x:c>
      <x:c r="F835" s="24" t="n">
        <x:v>3</x:v>
      </x:c>
      <x:c r="G835" s="24" t="str">
        <x:v>Organized group inhabiting, controlling, exploiting, or surviving within a dungeon ecology.</x:v>
      </x:c>
      <x:c r="H835" s="24" t="str">
        <x:v>Record membership rules, hierarchy, resources, jurisdiction, ideology, and relation to the state.</x:v>
      </x:c>
      <x:c r="I835" s="24" t="str">
        <x:v>dungeon faction; floor society</x:v>
      </x:c>
      <x:c r="J835" s="24" t="str">
        <x:v>Kinship, governance, secrecy, social rank, factional identity, and collective action.</x:v>
      </x:c>
      <x:c r="K835" s="24" t="str">
        <x:v>dungeon faction; floor society</x:v>
      </x:c>
      <x:c r="L835" s="24" t="str">
        <x:v>Preserve each source's ontology, culture, history, and terminology when making comparisons.</x:v>
      </x:c>
      <x:c r="M835" s="24" t="str">
        <x:v>Core Family</x:v>
      </x:c>
    </x:row>
    <x:row r="836" ht="44" customHeight="1">
      <x:c r="A836" s="24" t="str">
        <x:v>INS-421</x:v>
      </x:c>
      <x:c r="B836" s="24" t="str">
        <x:v>Interplanar Consortium</x:v>
      </x:c>
      <x:c r="C836" s="24" t="str">
        <x:v>Institutions &amp; Affiliations</x:v>
      </x:c>
      <x:c r="D836" s="24" t="str">
        <x:v>INS-400</x:v>
      </x:c>
      <x:c r="E836" s="24" t="str">
        <x:f>IF(D836="","",IFERROR(VLOOKUP(D836,$A$2:$B$1656,2,FALSE),""))</x:f>
        <x:v>Kinship, Political, and Secret Organizations</x:v>
      </x:c>
      <x:c r="F836" s="24" t="n">
        <x:v>3</x:v>
      </x:c>
      <x:c r="G836" s="24" t="str">
        <x:v>Organization operating across worlds or planes through portals, trade, diplomacy, or conquest.</x:v>
      </x:c>
      <x:c r="H836" s="24" t="str">
        <x:v>Record membership rules, hierarchy, resources, jurisdiction, ideology, and relation to the state.</x:v>
      </x:c>
      <x:c r="I836" s="24" t="str">
        <x:v>planar league; multiversal company</x:v>
      </x:c>
      <x:c r="J836" s="24" t="str">
        <x:v>Kinship, governance, secrecy, social rank, factional identity, and collective action.</x:v>
      </x:c>
      <x:c r="K836" s="24" t="str">
        <x:v>planar league; multiversal company</x:v>
      </x:c>
      <x:c r="L836" s="24" t="str">
        <x:v>Preserve each source's ontology, culture, history, and terminology when making comparisons.</x:v>
      </x:c>
      <x:c r="M836" s="24" t="str">
        <x:v>Core Family</x:v>
      </x:c>
    </x:row>
    <x:row r="837" ht="44" customHeight="1">
      <x:c r="A837" s="24" t="str">
        <x:v>INS-422</x:v>
      </x:c>
      <x:c r="B837" s="24" t="str">
        <x:v>Adventuring Party</x:v>
      </x:c>
      <x:c r="C837" s="24" t="str">
        <x:v>Institutions &amp; Affiliations</x:v>
      </x:c>
      <x:c r="D837" s="24" t="str">
        <x:v>INS-400</x:v>
      </x:c>
      <x:c r="E837" s="24" t="str">
        <x:f>IF(D837="","",IFERROR(VLOOKUP(D837,$A$2:$B$1656,2,FALSE),""))</x:f>
        <x:v>Kinship, Political, and Secret Organizations</x:v>
      </x:c>
      <x:c r="F837" s="24" t="n">
        <x:v>3</x:v>
      </x:c>
      <x:c r="G837" s="24" t="str">
        <x:v>Small task-oriented group whose complementary roles, bonds, and shared journey form a durable social unit.</x:v>
      </x:c>
      <x:c r="H837" s="24" t="str">
        <x:v>Record membership rules, hierarchy, resources, jurisdiction, ideology, and relation to the state.</x:v>
      </x:c>
      <x:c r="I837" s="24" t="str">
        <x:v>party; fellowship; hero band</x:v>
      </x:c>
      <x:c r="J837" s="24" t="str">
        <x:v>Kinship, governance, secrecy, social rank, factional identity, and collective action.</x:v>
      </x:c>
      <x:c r="K837" s="24" t="str">
        <x:v>party; fellowship; hero band</x:v>
      </x:c>
      <x:c r="L837" s="24" t="str">
        <x:v>Preserve each source's ontology, culture, history, and terminology when making comparisons.</x:v>
      </x:c>
      <x:c r="M837" s="24" t="str">
        <x:v>Core Family</x:v>
      </x:c>
    </x:row>
    <x:row r="838" ht="44" customHeight="1">
      <x:c r="A838" s="24" t="str">
        <x:v>NAR-100</x:v>
      </x:c>
      <x:c r="B838" s="24" t="str">
        <x:v>Hero and Protagonist Archetypes</x:v>
      </x:c>
      <x:c r="C838" s="24" t="str">
        <x:v>Narrative Archetypes</x:v>
      </x:c>
      <x:c r="D838" s="24" t="str">
        <x:v>NAR-000</x:v>
      </x:c>
      <x:c r="E838" s="24" t="str">
        <x:f>IF(D838="","",IFERROR(VLOOKUP(D838,$A$2:$B$1656,2,FALSE),""))</x:f>
        <x:v>Narrative Archetypes</x:v>
      </x:c>
      <x:c r="F838" s="24" t="n">
        <x:v>2</x:v>
      </x:c>
      <x:c r="G838" s="24" t="str">
        <x:v>Recurring protagonist identities, origins, burdens, and transformation arcs.</x:v>
      </x:c>
      <x:c r="H838" s="24" t="str">
        <x:v>Narrative function is not an in-world species, profession, morality, or game class.</x:v>
      </x:c>
      <x:c r="I838" s="24" t="str"/>
      <x:c r="J838" s="24" t="str">
        <x:v>Supports comparative literary and media analysis across otherwise incompatible settings.</x:v>
      </x:c>
      <x:c r="K838" s="24" t="str">
        <x:v>Hero and Protagonist Archetypes</x:v>
      </x:c>
      <x:c r="L838" s="24" t="str">
        <x:v>Preserve each source's ontology, culture, history, and terminology when making comparisons.</x:v>
      </x:c>
      <x:c r="M838" s="24" t="str">
        <x:v>Category</x:v>
      </x:c>
    </x:row>
    <x:row r="839" ht="44" customHeight="1">
      <x:c r="A839" s="24" t="str">
        <x:v>NAR-200</x:v>
      </x:c>
      <x:c r="B839" s="24" t="str">
        <x:v>Companion, Mentor, and Party Archetypes</x:v>
      </x:c>
      <x:c r="C839" s="24" t="str">
        <x:v>Narrative Archetypes</x:v>
      </x:c>
      <x:c r="D839" s="24" t="str">
        <x:v>NAR-000</x:v>
      </x:c>
      <x:c r="E839" s="24" t="str">
        <x:f>IF(D839="","",IFERROR(VLOOKUP(D839,$A$2:$B$1656,2,FALSE),""))</x:f>
        <x:v>Narrative Archetypes</x:v>
      </x:c>
      <x:c r="F839" s="24" t="n">
        <x:v>2</x:v>
      </x:c>
      <x:c r="G839" s="24" t="str">
        <x:v>Recurring functions within fellowships, teams, courts, and adventuring parties.</x:v>
      </x:c>
      <x:c r="H839" s="24" t="str">
        <x:v>Narrative function is not an in-world species, profession, morality, or game class.</x:v>
      </x:c>
      <x:c r="I839" s="24" t="str"/>
      <x:c r="J839" s="24" t="str">
        <x:v>Supports comparative literary and media analysis across otherwise incompatible settings.</x:v>
      </x:c>
      <x:c r="K839" s="24" t="str">
        <x:v>Companion, Mentor, and Party Archetypes</x:v>
      </x:c>
      <x:c r="L839" s="24" t="str">
        <x:v>Preserve each source's ontology, culture, history, and terminology when making comparisons.</x:v>
      </x:c>
      <x:c r="M839" s="24" t="str">
        <x:v>Category</x:v>
      </x:c>
    </x:row>
    <x:row r="840" ht="44" customHeight="1">
      <x:c r="A840" s="24" t="str">
        <x:v>NAR-300</x:v>
      </x:c>
      <x:c r="B840" s="24" t="str">
        <x:v>Antagonist and Threat Archetypes</x:v>
      </x:c>
      <x:c r="C840" s="24" t="str">
        <x:v>Narrative Archetypes</x:v>
      </x:c>
      <x:c r="D840" s="24" t="str">
        <x:v>NAR-000</x:v>
      </x:c>
      <x:c r="E840" s="24" t="str">
        <x:f>IF(D840="","",IFERROR(VLOOKUP(D840,$A$2:$B$1656,2,FALSE),""))</x:f>
        <x:v>Narrative Archetypes</x:v>
      </x:c>
      <x:c r="F840" s="24" t="n">
        <x:v>2</x:v>
      </x:c>
      <x:c r="G840" s="24" t="str">
        <x:v>Recurring villain, monster, empire, corruption, and catastrophe roles.</x:v>
      </x:c>
      <x:c r="H840" s="24" t="str">
        <x:v>Narrative function is not an in-world species, profession, morality, or game class.</x:v>
      </x:c>
      <x:c r="I840" s="24" t="str"/>
      <x:c r="J840" s="24" t="str">
        <x:v>Supports comparative literary and media analysis across otherwise incompatible settings.</x:v>
      </x:c>
      <x:c r="K840" s="24" t="str">
        <x:v>Antagonist and Threat Archetypes</x:v>
      </x:c>
      <x:c r="L840" s="24" t="str">
        <x:v>Preserve each source's ontology, culture, history, and terminology when making comparisons.</x:v>
      </x:c>
      <x:c r="M840" s="24" t="str">
        <x:v>Category</x:v>
      </x:c>
    </x:row>
    <x:row r="841" ht="44" customHeight="1">
      <x:c r="A841" s="24" t="str">
        <x:v>NAR-400</x:v>
      </x:c>
      <x:c r="B841" s="24" t="str">
        <x:v>Plot and Journey Archetypes</x:v>
      </x:c>
      <x:c r="C841" s="24" t="str">
        <x:v>Narrative Archetypes</x:v>
      </x:c>
      <x:c r="D841" s="24" t="str">
        <x:v>NAR-000</x:v>
      </x:c>
      <x:c r="E841" s="24" t="str">
        <x:f>IF(D841="","",IFERROR(VLOOKUP(D841,$A$2:$B$1656,2,FALSE),""))</x:f>
        <x:v>Narrative Archetypes</x:v>
      </x:c>
      <x:c r="F841" s="24" t="n">
        <x:v>2</x:v>
      </x:c>
      <x:c r="G841" s="24" t="str">
        <x:v>Recurring quest structures, reversals, destinies, and forms of narrative progression.</x:v>
      </x:c>
      <x:c r="H841" s="24" t="str">
        <x:v>Narrative function is not an in-world species, profession, morality, or game class.</x:v>
      </x:c>
      <x:c r="I841" s="24" t="str"/>
      <x:c r="J841" s="24" t="str">
        <x:v>Supports comparative literary and media analysis across otherwise incompatible settings.</x:v>
      </x:c>
      <x:c r="K841" s="24" t="str">
        <x:v>Plot and Journey Archetypes</x:v>
      </x:c>
      <x:c r="L841" s="24" t="str">
        <x:v>Preserve each source's ontology, culture, history, and terminology when making comparisons.</x:v>
      </x:c>
      <x:c r="M841" s="24" t="str">
        <x:v>Category</x:v>
      </x:c>
    </x:row>
    <x:row r="842" ht="44" customHeight="1">
      <x:c r="A842" s="24" t="str">
        <x:v>NAR-101</x:v>
      </x:c>
      <x:c r="B842" s="24" t="str">
        <x:v>Chosen One</x:v>
      </x:c>
      <x:c r="C842" s="24" t="str">
        <x:v>Narrative Archetypes</x:v>
      </x:c>
      <x:c r="D842" s="24" t="str">
        <x:v>NAR-100</x:v>
      </x:c>
      <x:c r="E842" s="24" t="str">
        <x:f>IF(D842="","",IFERROR(VLOOKUP(D842,$A$2:$B$1656,2,FALSE),""))</x:f>
        <x:v>Hero and Protagonist Archetypes</x:v>
      </x:c>
      <x:c r="F842" s="24" t="n">
        <x:v>3</x:v>
      </x:c>
      <x:c r="G842" s="24" t="str">
        <x:v>Protagonist marked by prophecy, lineage, divine selection, unique immunity, or exclusive capacity to resolve the central conflict.</x:v>
      </x:c>
      <x:c r="H842" s="24" t="str">
        <x:v>A character can occupy several narrative functions over time; record arc and point of view.</x:v>
      </x:c>
      <x:c r="I842" s="24" t="str">
        <x:v>chosen one; prophesied hero; selected savior</x:v>
      </x:c>
      <x:c r="J842" s="24" t="str">
        <x:v>Structures identification, growth, burden, agency, legitimacy, and transformation.</x:v>
      </x:c>
      <x:c r="K842" s="24" t="str">
        <x:v>chosen one; prophesied hero; selected savior</x:v>
      </x:c>
      <x:c r="L842" s="24" t="str">
        <x:v>Preserve each source's ontology, culture, history, and terminology when making comparisons.</x:v>
      </x:c>
      <x:c r="M842" s="24" t="str">
        <x:v>Core Family</x:v>
      </x:c>
    </x:row>
    <x:row r="843" ht="44" customHeight="1">
      <x:c r="A843" s="24" t="str">
        <x:v>NAR-102</x:v>
      </x:c>
      <x:c r="B843" s="24" t="str">
        <x:v>Reluctant Hero</x:v>
      </x:c>
      <x:c r="C843" s="24" t="str">
        <x:v>Narrative Archetypes</x:v>
      </x:c>
      <x:c r="D843" s="24" t="str">
        <x:v>NAR-100</x:v>
      </x:c>
      <x:c r="E843" s="24" t="str">
        <x:f>IF(D843="","",IFERROR(VLOOKUP(D843,$A$2:$B$1656,2,FALSE),""))</x:f>
        <x:v>Hero and Protagonist Archetypes</x:v>
      </x:c>
      <x:c r="F843" s="24" t="n">
        <x:v>3</x:v>
      </x:c>
      <x:c r="G843" s="24" t="str">
        <x:v>Protagonist who resists responsibility, danger, power, or public identity before accepting action.</x:v>
      </x:c>
      <x:c r="H843" s="24" t="str">
        <x:v>A character can occupy several narrative functions over time; record arc and point of view.</x:v>
      </x:c>
      <x:c r="I843" s="24" t="str">
        <x:v>reluctant hero; unwilling champion</x:v>
      </x:c>
      <x:c r="J843" s="24" t="str">
        <x:v>Structures identification, growth, burden, agency, legitimacy, and transformation.</x:v>
      </x:c>
      <x:c r="K843" s="24" t="str">
        <x:v>reluctant hero; unwilling champion</x:v>
      </x:c>
      <x:c r="L843" s="24" t="str">
        <x:v>Preserve each source's ontology, culture, history, and terminology when making comparisons.</x:v>
      </x:c>
      <x:c r="M843" s="24" t="str">
        <x:v>Core Family</x:v>
      </x:c>
    </x:row>
    <x:row r="844" ht="44" customHeight="1">
      <x:c r="A844" s="24" t="str">
        <x:v>NAR-103</x:v>
      </x:c>
      <x:c r="B844" s="24" t="str">
        <x:v>Ordinary Person Drawn into Wonder</x:v>
      </x:c>
      <x:c r="C844" s="24" t="str">
        <x:v>Narrative Archetypes</x:v>
      </x:c>
      <x:c r="D844" s="24" t="str">
        <x:v>NAR-100</x:v>
      </x:c>
      <x:c r="E844" s="24" t="str">
        <x:f>IF(D844="","",IFERROR(VLOOKUP(D844,$A$2:$B$1656,2,FALSE),""))</x:f>
        <x:v>Hero and Protagonist Archetypes</x:v>
      </x:c>
      <x:c r="F844" s="24" t="n">
        <x:v>3</x:v>
      </x:c>
      <x:c r="G844" s="24" t="str">
        <x:v>Protagonist from an apparently mundane life who enters a larger magical world.</x:v>
      </x:c>
      <x:c r="H844" s="24" t="str">
        <x:v>A character can occupy several narrative functions over time; record arc and point of view.</x:v>
      </x:c>
      <x:c r="I844" s="24" t="str">
        <x:v>everyperson hero; portal-fantasy protagonist; unsuspecting traveler</x:v>
      </x:c>
      <x:c r="J844" s="24" t="str">
        <x:v>Structures identification, growth, burden, agency, legitimacy, and transformation.</x:v>
      </x:c>
      <x:c r="K844" s="24" t="str">
        <x:v>everyperson hero; portal-fantasy protagonist; unsuspecting traveler</x:v>
      </x:c>
      <x:c r="L844" s="24" t="str">
        <x:v>Preserve each source's ontology, culture, history, and terminology when making comparisons.</x:v>
      </x:c>
      <x:c r="M844" s="24" t="str">
        <x:v>Core Family</x:v>
      </x:c>
    </x:row>
    <x:row r="845" ht="44" customHeight="1">
      <x:c r="A845" s="24" t="str">
        <x:v>NAR-104</x:v>
      </x:c>
      <x:c r="B845" s="24" t="str">
        <x:v>Farmboy or Village-Origin Hero</x:v>
      </x:c>
      <x:c r="C845" s="24" t="str">
        <x:v>Narrative Archetypes</x:v>
      </x:c>
      <x:c r="D845" s="24" t="str">
        <x:v>NAR-100</x:v>
      </x:c>
      <x:c r="E845" s="24" t="str">
        <x:f>IF(D845="","",IFERROR(VLOOKUP(D845,$A$2:$B$1656,2,FALSE),""))</x:f>
        <x:v>Hero and Protagonist Archetypes</x:v>
      </x:c>
      <x:c r="F845" s="24" t="n">
        <x:v>3</x:v>
      </x:c>
      <x:c r="G845" s="24" t="str">
        <x:v>Low-status rural protagonist whose journey expands from local life to world-scale stakes.</x:v>
      </x:c>
      <x:c r="H845" s="24" t="str">
        <x:v>A character can occupy several narrative functions over time; record arc and point of view.</x:v>
      </x:c>
      <x:c r="I845" s="24" t="str">
        <x:v>farmboy hero; village girl; shepherd prince</x:v>
      </x:c>
      <x:c r="J845" s="24" t="str">
        <x:v>Structures identification, growth, burden, agency, legitimacy, and transformation.</x:v>
      </x:c>
      <x:c r="K845" s="24" t="str">
        <x:v>farmboy hero; village girl; shepherd prince</x:v>
      </x:c>
      <x:c r="L845" s="24" t="str">
        <x:v>Preserve each source's ontology, culture, history, and terminology when making comparisons.</x:v>
      </x:c>
      <x:c r="M845" s="24" t="str">
        <x:v>Core Family</x:v>
      </x:c>
    </x:row>
    <x:row r="846" ht="44" customHeight="1">
      <x:c r="A846" s="24" t="str">
        <x:v>NAR-105</x:v>
      </x:c>
      <x:c r="B846" s="24" t="str">
        <x:v>Orphan Hero</x:v>
      </x:c>
      <x:c r="C846" s="24" t="str">
        <x:v>Narrative Archetypes</x:v>
      </x:c>
      <x:c r="D846" s="24" t="str">
        <x:v>NAR-100</x:v>
      </x:c>
      <x:c r="E846" s="24" t="str">
        <x:f>IF(D846="","",IFERROR(VLOOKUP(D846,$A$2:$B$1656,2,FALSE),""))</x:f>
        <x:v>Hero and Protagonist Archetypes</x:v>
      </x:c>
      <x:c r="F846" s="24" t="n">
        <x:v>3</x:v>
      </x:c>
      <x:c r="G846" s="24" t="str">
        <x:v>Protagonist whose uncertain or severed family ties enable hidden lineage, independence, longing, or social marginality.</x:v>
      </x:c>
      <x:c r="H846" s="24" t="str">
        <x:v>A character can occupy several narrative functions over time; record arc and point of view.</x:v>
      </x:c>
      <x:c r="I846" s="24" t="str">
        <x:v>orphan; foundling; abandoned heir</x:v>
      </x:c>
      <x:c r="J846" s="24" t="str">
        <x:v>Structures identification, growth, burden, agency, legitimacy, and transformation.</x:v>
      </x:c>
      <x:c r="K846" s="24" t="str">
        <x:v>orphan; foundling; abandoned heir</x:v>
      </x:c>
      <x:c r="L846" s="24" t="str">
        <x:v>Preserve each source's ontology, culture, history, and terminology when making comparisons.</x:v>
      </x:c>
      <x:c r="M846" s="24" t="str">
        <x:v>Core Family</x:v>
      </x:c>
    </x:row>
    <x:row r="847" ht="44" customHeight="1">
      <x:c r="A847" s="24" t="str">
        <x:v>NAR-106</x:v>
      </x:c>
      <x:c r="B847" s="24" t="str">
        <x:v>Hidden Royal or Secret Heir</x:v>
      </x:c>
      <x:c r="C847" s="24" t="str">
        <x:v>Narrative Archetypes</x:v>
      </x:c>
      <x:c r="D847" s="24" t="str">
        <x:v>NAR-100</x:v>
      </x:c>
      <x:c r="E847" s="24" t="str">
        <x:f>IF(D847="","",IFERROR(VLOOKUP(D847,$A$2:$B$1656,2,FALSE),""))</x:f>
        <x:v>Hero and Protagonist Archetypes</x:v>
      </x:c>
      <x:c r="F847" s="24" t="n">
        <x:v>3</x:v>
      </x:c>
      <x:c r="G847" s="24" t="str">
        <x:v>Protagonist whose concealed ancestry grants a claim, burden, target, or political destiny.</x:v>
      </x:c>
      <x:c r="H847" s="24" t="str">
        <x:v>A character can occupy several narrative functions over time; record arc and point of view.</x:v>
      </x:c>
      <x:c r="I847" s="24" t="str">
        <x:v>secret prince; lost princess; hidden heir</x:v>
      </x:c>
      <x:c r="J847" s="24" t="str">
        <x:v>Structures identification, growth, burden, agency, legitimacy, and transformation.</x:v>
      </x:c>
      <x:c r="K847" s="24" t="str">
        <x:v>secret prince; lost princess; hidden heir</x:v>
      </x:c>
      <x:c r="L847" s="24" t="str">
        <x:v>Preserve each source's ontology, culture, history, and terminology when making comparisons.</x:v>
      </x:c>
      <x:c r="M847" s="24" t="str">
        <x:v>Core Family</x:v>
      </x:c>
    </x:row>
    <x:row r="848" ht="44" customHeight="1">
      <x:c r="A848" s="24" t="str">
        <x:v>NAR-107</x:v>
      </x:c>
      <x:c r="B848" s="24" t="str">
        <x:v>Exiled Heir</x:v>
      </x:c>
      <x:c r="C848" s="24" t="str">
        <x:v>Narrative Archetypes</x:v>
      </x:c>
      <x:c r="D848" s="24" t="str">
        <x:v>NAR-100</x:v>
      </x:c>
      <x:c r="E848" s="24" t="str">
        <x:f>IF(D848="","",IFERROR(VLOOKUP(D848,$A$2:$B$1656,2,FALSE),""))</x:f>
        <x:v>Hero and Protagonist Archetypes</x:v>
      </x:c>
      <x:c r="F848" s="24" t="n">
        <x:v>3</x:v>
      </x:c>
      <x:c r="G848" s="24" t="str">
        <x:v>Dispossessed dynastic figure seeking survival, restoration, revenge, or a new identity.</x:v>
      </x:c>
      <x:c r="H848" s="24" t="str">
        <x:v>A character can occupy several narrative functions over time; record arc and point of view.</x:v>
      </x:c>
      <x:c r="I848" s="24" t="str">
        <x:v>exiled prince; dispossessed queen; wandering heir</x:v>
      </x:c>
      <x:c r="J848" s="24" t="str">
        <x:v>Structures identification, growth, burden, agency, legitimacy, and transformation.</x:v>
      </x:c>
      <x:c r="K848" s="24" t="str">
        <x:v>exiled prince; dispossessed queen; wandering heir</x:v>
      </x:c>
      <x:c r="L848" s="24" t="str">
        <x:v>Preserve each source's ontology, culture, history, and terminology when making comparisons.</x:v>
      </x:c>
      <x:c r="M848" s="24" t="str">
        <x:v>Core Family</x:v>
      </x:c>
    </x:row>
    <x:row r="849" ht="44" customHeight="1">
      <x:c r="A849" s="24" t="str">
        <x:v>NAR-108</x:v>
      </x:c>
      <x:c r="B849" s="24" t="str">
        <x:v>Returning King or Restorer</x:v>
      </x:c>
      <x:c r="C849" s="24" t="str">
        <x:v>Narrative Archetypes</x:v>
      </x:c>
      <x:c r="D849" s="24" t="str">
        <x:v>NAR-100</x:v>
      </x:c>
      <x:c r="E849" s="24" t="str">
        <x:f>IF(D849="","",IFERROR(VLOOKUP(D849,$A$2:$B$1656,2,FALSE),""))</x:f>
        <x:v>Hero and Protagonist Archetypes</x:v>
      </x:c>
      <x:c r="F849" s="24" t="n">
        <x:v>3</x:v>
      </x:c>
      <x:c r="G849" s="24" t="str">
        <x:v>Figure whose return promises legitimate order, healing, unification, or contested restoration.</x:v>
      </x:c>
      <x:c r="H849" s="24" t="str">
        <x:v>A character can occupy several narrative functions over time; record arc and point of view.</x:v>
      </x:c>
      <x:c r="I849" s="24" t="str">
        <x:v>returning king; rightful ruler; restorer</x:v>
      </x:c>
      <x:c r="J849" s="24" t="str">
        <x:v>Structures identification, growth, burden, agency, legitimacy, and transformation.</x:v>
      </x:c>
      <x:c r="K849" s="24" t="str">
        <x:v>returning king; rightful ruler; restorer</x:v>
      </x:c>
      <x:c r="L849" s="24" t="str">
        <x:v>Preserve each source's ontology, culture, history, and terminology when making comparisons.</x:v>
      </x:c>
      <x:c r="M849" s="24" t="str">
        <x:v>Core Family</x:v>
      </x:c>
    </x:row>
    <x:row r="850" ht="44" customHeight="1">
      <x:c r="A850" s="24" t="str">
        <x:v>NAR-109</x:v>
      </x:c>
      <x:c r="B850" s="24" t="str">
        <x:v>Cursed Hero</x:v>
      </x:c>
      <x:c r="C850" s="24" t="str">
        <x:v>Narrative Archetypes</x:v>
      </x:c>
      <x:c r="D850" s="24" t="str">
        <x:v>NAR-100</x:v>
      </x:c>
      <x:c r="E850" s="24" t="str">
        <x:f>IF(D850="","",IFERROR(VLOOKUP(D850,$A$2:$B$1656,2,FALSE),""))</x:f>
        <x:v>Hero and Protagonist Archetypes</x:v>
      </x:c>
      <x:c r="F850" s="24" t="n">
        <x:v>3</x:v>
      </x:c>
      <x:c r="G850" s="24" t="str">
        <x:v>Protagonist whose power or destiny is inseparable from a damaging curse, corruption, hunger, or transformation.</x:v>
      </x:c>
      <x:c r="H850" s="24" t="str">
        <x:v>A character can occupy several narrative functions over time; record arc and point of view.</x:v>
      </x:c>
      <x:c r="I850" s="24" t="str">
        <x:v>cursed warrior; doomed champion; monster within</x:v>
      </x:c>
      <x:c r="J850" s="24" t="str">
        <x:v>Structures identification, growth, burden, agency, legitimacy, and transformation.</x:v>
      </x:c>
      <x:c r="K850" s="24" t="str">
        <x:v>cursed warrior; doomed champion; monster within</x:v>
      </x:c>
      <x:c r="L850" s="24" t="str">
        <x:v>Preserve each source's ontology, culture, history, and terminology when making comparisons.</x:v>
      </x:c>
      <x:c r="M850" s="24" t="str">
        <x:v>Core Family</x:v>
      </x:c>
    </x:row>
    <x:row r="851" ht="44" customHeight="1">
      <x:c r="A851" s="24" t="str">
        <x:v>NAR-110</x:v>
      </x:c>
      <x:c r="B851" s="24" t="str">
        <x:v>Monster Protagonist</x:v>
      </x:c>
      <x:c r="C851" s="24" t="str">
        <x:v>Narrative Archetypes</x:v>
      </x:c>
      <x:c r="D851" s="24" t="str">
        <x:v>NAR-100</x:v>
      </x:c>
      <x:c r="E851" s="24" t="str">
        <x:f>IF(D851="","",IFERROR(VLOOKUP(D851,$A$2:$B$1656,2,FALSE),""))</x:f>
        <x:v>Hero and Protagonist Archetypes</x:v>
      </x:c>
      <x:c r="F851" s="24" t="n">
        <x:v>3</x:v>
      </x:c>
      <x:c r="G851" s="24" t="str">
        <x:v>Nonhuman or socially monstrous protagonist whose point of view challenges ordinary categories of personhood and threat.</x:v>
      </x:c>
      <x:c r="H851" s="24" t="str">
        <x:v>A character can occupy several narrative functions over time; record arc and point of view.</x:v>
      </x:c>
      <x:c r="I851" s="24" t="str">
        <x:v>monster hero; nonhuman protagonist</x:v>
      </x:c>
      <x:c r="J851" s="24" t="str">
        <x:v>Structures identification, growth, burden, agency, legitimacy, and transformation.</x:v>
      </x:c>
      <x:c r="K851" s="24" t="str">
        <x:v>monster hero; nonhuman protagonist</x:v>
      </x:c>
      <x:c r="L851" s="24" t="str">
        <x:v>Preserve each source's ontology, culture, history, and terminology when making comparisons.</x:v>
      </x:c>
      <x:c r="M851" s="24" t="str">
        <x:v>Core Family</x:v>
      </x:c>
    </x:row>
    <x:row r="852" ht="44" customHeight="1">
      <x:c r="A852" s="24" t="str">
        <x:v>NAR-111</x:v>
      </x:c>
      <x:c r="B852" s="24" t="str">
        <x:v>Antihero</x:v>
      </x:c>
      <x:c r="C852" s="24" t="str">
        <x:v>Narrative Archetypes</x:v>
      </x:c>
      <x:c r="D852" s="24" t="str">
        <x:v>NAR-100</x:v>
      </x:c>
      <x:c r="E852" s="24" t="str">
        <x:f>IF(D852="","",IFERROR(VLOOKUP(D852,$A$2:$B$1656,2,FALSE),""))</x:f>
        <x:v>Hero and Protagonist Archetypes</x:v>
      </x:c>
      <x:c r="F852" s="24" t="n">
        <x:v>3</x:v>
      </x:c>
      <x:c r="G852" s="24" t="str">
        <x:v>Central figure whose methods, motives, virtues, or social identity conflict with conventional heroism.</x:v>
      </x:c>
      <x:c r="H852" s="24" t="str">
        <x:v>A character can occupy several narrative functions over time; record arc and point of view.</x:v>
      </x:c>
      <x:c r="I852" s="24" t="str">
        <x:v>antihero; morally gray protagonist</x:v>
      </x:c>
      <x:c r="J852" s="24" t="str">
        <x:v>Structures identification, growth, burden, agency, legitimacy, and transformation.</x:v>
      </x:c>
      <x:c r="K852" s="24" t="str">
        <x:v>antihero; morally gray protagonist</x:v>
      </x:c>
      <x:c r="L852" s="24" t="str">
        <x:v>Preserve each source's ontology, culture, history, and terminology when making comparisons.</x:v>
      </x:c>
      <x:c r="M852" s="24" t="str">
        <x:v>Core Family</x:v>
      </x:c>
    </x:row>
    <x:row r="853" ht="44" customHeight="1">
      <x:c r="A853" s="24" t="str">
        <x:v>NAR-112</x:v>
      </x:c>
      <x:c r="B853" s="24" t="str">
        <x:v>Tragic Hero</x:v>
      </x:c>
      <x:c r="C853" s="24" t="str">
        <x:v>Narrative Archetypes</x:v>
      </x:c>
      <x:c r="D853" s="24" t="str">
        <x:v>NAR-100</x:v>
      </x:c>
      <x:c r="E853" s="24" t="str">
        <x:f>IF(D853="","",IFERROR(VLOOKUP(D853,$A$2:$B$1656,2,FALSE),""))</x:f>
        <x:v>Hero and Protagonist Archetypes</x:v>
      </x:c>
      <x:c r="F853" s="24" t="n">
        <x:v>3</x:v>
      </x:c>
      <x:c r="G853" s="24" t="str">
        <x:v>Protagonist whose greatness, flaw, obligation, or circumstances lead toward irreversible ruin.</x:v>
      </x:c>
      <x:c r="H853" s="24" t="str">
        <x:v>A character can occupy several narrative functions over time; record arc and point of view.</x:v>
      </x:c>
      <x:c r="I853" s="24" t="str">
        <x:v>tragic hero; doomed hero</x:v>
      </x:c>
      <x:c r="J853" s="24" t="str">
        <x:v>Structures identification, growth, burden, agency, legitimacy, and transformation.</x:v>
      </x:c>
      <x:c r="K853" s="24" t="str">
        <x:v>tragic hero; doomed hero</x:v>
      </x:c>
      <x:c r="L853" s="24" t="str">
        <x:v>Preserve each source's ontology, culture, history, and terminology when making comparisons.</x:v>
      </x:c>
      <x:c r="M853" s="24" t="str">
        <x:v>Core Family</x:v>
      </x:c>
    </x:row>
    <x:row r="854" ht="44" customHeight="1">
      <x:c r="A854" s="24" t="str">
        <x:v>NAR-113</x:v>
      </x:c>
      <x:c r="B854" s="24" t="str">
        <x:v>Fallen Hero</x:v>
      </x:c>
      <x:c r="C854" s="24" t="str">
        <x:v>Narrative Archetypes</x:v>
      </x:c>
      <x:c r="D854" s="24" t="str">
        <x:v>NAR-100</x:v>
      </x:c>
      <x:c r="E854" s="24" t="str">
        <x:f>IF(D854="","",IFERROR(VLOOKUP(D854,$A$2:$B$1656,2,FALSE),""))</x:f>
        <x:v>Hero and Protagonist Archetypes</x:v>
      </x:c>
      <x:c r="F854" s="24" t="n">
        <x:v>3</x:v>
      </x:c>
      <x:c r="G854" s="24" t="str">
        <x:v>Former champion who becomes compromised, corrupt, defeated, antagonistic, or unable to embody prior ideals.</x:v>
      </x:c>
      <x:c r="H854" s="24" t="str">
        <x:v>A character can occupy several narrative functions over time; record arc and point of view.</x:v>
      </x:c>
      <x:c r="I854" s="24" t="str">
        <x:v>fallen hero; broken champion</x:v>
      </x:c>
      <x:c r="J854" s="24" t="str">
        <x:v>Structures identification, growth, burden, agency, legitimacy, and transformation.</x:v>
      </x:c>
      <x:c r="K854" s="24" t="str">
        <x:v>fallen hero; broken champion</x:v>
      </x:c>
      <x:c r="L854" s="24" t="str">
        <x:v>Preserve each source's ontology, culture, history, and terminology when making comparisons.</x:v>
      </x:c>
      <x:c r="M854" s="24" t="str">
        <x:v>Core Family</x:v>
      </x:c>
    </x:row>
    <x:row r="855" ht="44" customHeight="1">
      <x:c r="A855" s="24" t="str">
        <x:v>NAR-114</x:v>
      </x:c>
      <x:c r="B855" s="24" t="str">
        <x:v>Redeemed Villain</x:v>
      </x:c>
      <x:c r="C855" s="24" t="str">
        <x:v>Narrative Archetypes</x:v>
      </x:c>
      <x:c r="D855" s="24" t="str">
        <x:v>NAR-100</x:v>
      </x:c>
      <x:c r="E855" s="24" t="str">
        <x:f>IF(D855="","",IFERROR(VLOOKUP(D855,$A$2:$B$1656,2,FALSE),""))</x:f>
        <x:v>Hero and Protagonist Archetypes</x:v>
      </x:c>
      <x:c r="F855" s="24" t="n">
        <x:v>3</x:v>
      </x:c>
      <x:c r="G855" s="24" t="str">
        <x:v>Former antagonist who accepts responsibility, changes allegiance, or sacrifices for a better cause.</x:v>
      </x:c>
      <x:c r="H855" s="24" t="str">
        <x:v>A character can occupy several narrative functions over time; record arc and point of view.</x:v>
      </x:c>
      <x:c r="I855" s="24" t="str">
        <x:v>redemption arc; former villain ally</x:v>
      </x:c>
      <x:c r="J855" s="24" t="str">
        <x:v>Structures identification, growth, burden, agency, legitimacy, and transformation.</x:v>
      </x:c>
      <x:c r="K855" s="24" t="str">
        <x:v>redemption arc; former villain ally</x:v>
      </x:c>
      <x:c r="L855" s="24" t="str">
        <x:v>Preserve each source's ontology, culture, history, and terminology when making comparisons.</x:v>
      </x:c>
      <x:c r="M855" s="24" t="str">
        <x:v>Core Family</x:v>
      </x:c>
    </x:row>
    <x:row r="856" ht="44" customHeight="1">
      <x:c r="A856" s="24" t="str">
        <x:v>NAR-115</x:v>
      </x:c>
      <x:c r="B856" s="24" t="str">
        <x:v>Corrupted Champion</x:v>
      </x:c>
      <x:c r="C856" s="24" t="str">
        <x:v>Narrative Archetypes</x:v>
      </x:c>
      <x:c r="D856" s="24" t="str">
        <x:v>NAR-100</x:v>
      </x:c>
      <x:c r="E856" s="24" t="str">
        <x:f>IF(D856="","",IFERROR(VLOOKUP(D856,$A$2:$B$1656,2,FALSE),""))</x:f>
        <x:v>Hero and Protagonist Archetypes</x:v>
      </x:c>
      <x:c r="F856" s="24" t="n">
        <x:v>3</x:v>
      </x:c>
      <x:c r="G856" s="24" t="str">
        <x:v>Heroic figure gradually transformed into an agent of the threat they opposed.</x:v>
      </x:c>
      <x:c r="H856" s="24" t="str">
        <x:v>A character can occupy several narrative functions over time; record arc and point of view.</x:v>
      </x:c>
      <x:c r="I856" s="24" t="str">
        <x:v>corrupted hero; dark champion; fallen paladin</x:v>
      </x:c>
      <x:c r="J856" s="24" t="str">
        <x:v>Structures identification, growth, burden, agency, legitimacy, and transformation.</x:v>
      </x:c>
      <x:c r="K856" s="24" t="str">
        <x:v>corrupted hero; dark champion; fallen paladin</x:v>
      </x:c>
      <x:c r="L856" s="24" t="str">
        <x:v>Preserve each source's ontology, culture, history, and terminology when making comparisons.</x:v>
      </x:c>
      <x:c r="M856" s="24" t="str">
        <x:v>Core Family</x:v>
      </x:c>
    </x:row>
    <x:row r="857" ht="44" customHeight="1">
      <x:c r="A857" s="24" t="str">
        <x:v>NAR-116</x:v>
      </x:c>
      <x:c r="B857" s="24" t="str">
        <x:v>Byronic or Brooding Hero</x:v>
      </x:c>
      <x:c r="C857" s="24" t="str">
        <x:v>Narrative Archetypes</x:v>
      </x:c>
      <x:c r="D857" s="24" t="str">
        <x:v>NAR-100</x:v>
      </x:c>
      <x:c r="E857" s="24" t="str">
        <x:f>IF(D857="","",IFERROR(VLOOKUP(D857,$A$2:$B$1656,2,FALSE),""))</x:f>
        <x:v>Hero and Protagonist Archetypes</x:v>
      </x:c>
      <x:c r="F857" s="24" t="n">
        <x:v>3</x:v>
      </x:c>
      <x:c r="G857" s="24" t="str">
        <x:v>Charismatic, isolated, transgressive protagonist marked by guilt, pride, secrecy, or destructive intensity.</x:v>
      </x:c>
      <x:c r="H857" s="24" t="str">
        <x:v>A character can occupy several narrative functions over time; record arc and point of view.</x:v>
      </x:c>
      <x:c r="I857" s="24" t="str">
        <x:v>Byronic hero; brooding swordsman</x:v>
      </x:c>
      <x:c r="J857" s="24" t="str">
        <x:v>Structures identification, growth, burden, agency, legitimacy, and transformation.</x:v>
      </x:c>
      <x:c r="K857" s="24" t="str">
        <x:v>Byronic hero; brooding swordsman</x:v>
      </x:c>
      <x:c r="L857" s="24" t="str">
        <x:v>Preserve each source's ontology, culture, history, and terminology when making comparisons.</x:v>
      </x:c>
      <x:c r="M857" s="24" t="str">
        <x:v>Core Family</x:v>
      </x:c>
    </x:row>
    <x:row r="858" ht="44" customHeight="1">
      <x:c r="A858" s="24" t="str">
        <x:v>NAR-117</x:v>
      </x:c>
      <x:c r="B858" s="24" t="str">
        <x:v>Rogue with a Heart</x:v>
      </x:c>
      <x:c r="C858" s="24" t="str">
        <x:v>Narrative Archetypes</x:v>
      </x:c>
      <x:c r="D858" s="24" t="str">
        <x:v>NAR-100</x:v>
      </x:c>
      <x:c r="E858" s="24" t="str">
        <x:f>IF(D858="","",IFERROR(VLOOKUP(D858,$A$2:$B$1656,2,FALSE),""))</x:f>
        <x:v>Hero and Protagonist Archetypes</x:v>
      </x:c>
      <x:c r="F858" s="24" t="n">
        <x:v>3</x:v>
      </x:c>
      <x:c r="G858" s="24" t="str">
        <x:v>Self-interested thief, smuggler, mercenary, or trickster who repeatedly reveals loyalty and moral limits.</x:v>
      </x:c>
      <x:c r="H858" s="24" t="str">
        <x:v>A character can occupy several narrative functions over time; record arc and point of view.</x:v>
      </x:c>
      <x:c r="I858" s="24" t="str">
        <x:v>lovable rogue; scoundrel hero</x:v>
      </x:c>
      <x:c r="J858" s="24" t="str">
        <x:v>Structures identification, growth, burden, agency, legitimacy, and transformation.</x:v>
      </x:c>
      <x:c r="K858" s="24" t="str">
        <x:v>lovable rogue; scoundrel hero</x:v>
      </x:c>
      <x:c r="L858" s="24" t="str">
        <x:v>Preserve each source's ontology, culture, history, and terminology when making comparisons.</x:v>
      </x:c>
      <x:c r="M858" s="24" t="str">
        <x:v>Core Family</x:v>
      </x:c>
    </x:row>
    <x:row r="859" ht="44" customHeight="1">
      <x:c r="A859" s="24" t="str">
        <x:v>NAR-118</x:v>
      </x:c>
      <x:c r="B859" s="24" t="str">
        <x:v>Naive Innocent</x:v>
      </x:c>
      <x:c r="C859" s="24" t="str">
        <x:v>Narrative Archetypes</x:v>
      </x:c>
      <x:c r="D859" s="24" t="str">
        <x:v>NAR-100</x:v>
      </x:c>
      <x:c r="E859" s="24" t="str">
        <x:f>IF(D859="","",IFERROR(VLOOKUP(D859,$A$2:$B$1656,2,FALSE),""))</x:f>
        <x:v>Hero and Protagonist Archetypes</x:v>
      </x:c>
      <x:c r="F859" s="24" t="n">
        <x:v>3</x:v>
      </x:c>
      <x:c r="G859" s="24" t="str">
        <x:v>Protagonist whose lack of worldly knowledge exposes corruption, renews wonder, or requires painful maturation.</x:v>
      </x:c>
      <x:c r="H859" s="24" t="str">
        <x:v>A character can occupy several narrative functions over time; record arc and point of view.</x:v>
      </x:c>
      <x:c r="I859" s="24" t="str">
        <x:v>innocent; sheltered hero; pure heart</x:v>
      </x:c>
      <x:c r="J859" s="24" t="str">
        <x:v>Structures identification, growth, burden, agency, legitimacy, and transformation.</x:v>
      </x:c>
      <x:c r="K859" s="24" t="str">
        <x:v>innocent; sheltered hero; pure heart</x:v>
      </x:c>
      <x:c r="L859" s="24" t="str">
        <x:v>Preserve each source's ontology, culture, history, and terminology when making comparisons.</x:v>
      </x:c>
      <x:c r="M859" s="24" t="str">
        <x:v>Core Family</x:v>
      </x:c>
    </x:row>
    <x:row r="860" ht="44" customHeight="1">
      <x:c r="A860" s="24" t="str">
        <x:v>NAR-119</x:v>
      </x:c>
      <x:c r="B860" s="24" t="str">
        <x:v>Last of Their Kind</x:v>
      </x:c>
      <x:c r="C860" s="24" t="str">
        <x:v>Narrative Archetypes</x:v>
      </x:c>
      <x:c r="D860" s="24" t="str">
        <x:v>NAR-100</x:v>
      </x:c>
      <x:c r="E860" s="24" t="str">
        <x:f>IF(D860="","",IFERROR(VLOOKUP(D860,$A$2:$B$1656,2,FALSE),""))</x:f>
        <x:v>Hero and Protagonist Archetypes</x:v>
      </x:c>
      <x:c r="F860" s="24" t="n">
        <x:v>3</x:v>
      </x:c>
      <x:c r="G860" s="24" t="str">
        <x:v>Character burdened by cultural extinction, unique biology, lost knowledge, or the end of a lineage.</x:v>
      </x:c>
      <x:c r="H860" s="24" t="str">
        <x:v>A character can occupy several narrative functions over time; record arc and point of view.</x:v>
      </x:c>
      <x:c r="I860" s="24" t="str">
        <x:v>last survivor; final heir; lone immortal</x:v>
      </x:c>
      <x:c r="J860" s="24" t="str">
        <x:v>Structures identification, growth, burden, agency, legitimacy, and transformation.</x:v>
      </x:c>
      <x:c r="K860" s="24" t="str">
        <x:v>last survivor; final heir; lone immortal</x:v>
      </x:c>
      <x:c r="L860" s="24" t="str">
        <x:v>Preserve each source's ontology, culture, history, and terminology when making comparisons.</x:v>
      </x:c>
      <x:c r="M860" s="24" t="str">
        <x:v>Core Family</x:v>
      </x:c>
    </x:row>
    <x:row r="861" ht="44" customHeight="1">
      <x:c r="A861" s="24" t="str">
        <x:v>NAR-120</x:v>
      </x:c>
      <x:c r="B861" s="24" t="str">
        <x:v>Heir to a Dangerous Power</x:v>
      </x:c>
      <x:c r="C861" s="24" t="str">
        <x:v>Narrative Archetypes</x:v>
      </x:c>
      <x:c r="D861" s="24" t="str">
        <x:v>NAR-100</x:v>
      </x:c>
      <x:c r="E861" s="24" t="str">
        <x:f>IF(D861="","",IFERROR(VLOOKUP(D861,$A$2:$B$1656,2,FALSE),""))</x:f>
        <x:v>Hero and Protagonist Archetypes</x:v>
      </x:c>
      <x:c r="F861" s="24" t="n">
        <x:v>3</x:v>
      </x:c>
      <x:c r="G861" s="24" t="str">
        <x:v>Protagonist inherits an artifact, bloodline, throne, curse, enemy, or cosmic role they did not choose.</x:v>
      </x:c>
      <x:c r="H861" s="24" t="str">
        <x:v>A character can occupy several narrative functions over time; record arc and point of view.</x:v>
      </x:c>
      <x:c r="I861" s="24" t="str">
        <x:v>burdened heir; legacy bearer</x:v>
      </x:c>
      <x:c r="J861" s="24" t="str">
        <x:v>Structures identification, growth, burden, agency, legitimacy, and transformation.</x:v>
      </x:c>
      <x:c r="K861" s="24" t="str">
        <x:v>burdened heir; legacy bearer</x:v>
      </x:c>
      <x:c r="L861" s="24" t="str">
        <x:v>Preserve each source's ontology, culture, history, and terminology when making comparisons.</x:v>
      </x:c>
      <x:c r="M861" s="24" t="str">
        <x:v>Core Family</x:v>
      </x:c>
    </x:row>
    <x:row r="862" ht="44" customHeight="1">
      <x:c r="A862" s="24" t="str">
        <x:v>NAR-121</x:v>
      </x:c>
      <x:c r="B862" s="24" t="str">
        <x:v>Sacrificial Hero</x:v>
      </x:c>
      <x:c r="C862" s="24" t="str">
        <x:v>Narrative Archetypes</x:v>
      </x:c>
      <x:c r="D862" s="24" t="str">
        <x:v>NAR-100</x:v>
      </x:c>
      <x:c r="E862" s="24" t="str">
        <x:f>IF(D862="","",IFERROR(VLOOKUP(D862,$A$2:$B$1656,2,FALSE),""))</x:f>
        <x:v>Hero and Protagonist Archetypes</x:v>
      </x:c>
      <x:c r="F862" s="24" t="n">
        <x:v>3</x:v>
      </x:c>
      <x:c r="G862" s="24" t="str">
        <x:v>Protagonist whose arc culminates in voluntary loss of life, power, identity, future, or relationship for others.</x:v>
      </x:c>
      <x:c r="H862" s="24" t="str">
        <x:v>A character can occupy several narrative functions over time; record arc and point of view.</x:v>
      </x:c>
      <x:c r="I862" s="24" t="str">
        <x:v>martyr hero; self-sacrificing champion</x:v>
      </x:c>
      <x:c r="J862" s="24" t="str">
        <x:v>Structures identification, growth, burden, agency, legitimacy, and transformation.</x:v>
      </x:c>
      <x:c r="K862" s="24" t="str">
        <x:v>martyr hero; self-sacrificing champion</x:v>
      </x:c>
      <x:c r="L862" s="24" t="str">
        <x:v>Preserve each source's ontology, culture, history, and terminology when making comparisons.</x:v>
      </x:c>
      <x:c r="M862" s="24" t="str">
        <x:v>Core Family</x:v>
      </x:c>
    </x:row>
    <x:row r="863" ht="44" customHeight="1">
      <x:c r="A863" s="24" t="str">
        <x:v>NAR-122</x:v>
      </x:c>
      <x:c r="B863" s="24" t="str">
        <x:v>Survivor Protagonist</x:v>
      </x:c>
      <x:c r="C863" s="24" t="str">
        <x:v>Narrative Archetypes</x:v>
      </x:c>
      <x:c r="D863" s="24" t="str">
        <x:v>NAR-100</x:v>
      </x:c>
      <x:c r="E863" s="24" t="str">
        <x:f>IF(D863="","",IFERROR(VLOOKUP(D863,$A$2:$B$1656,2,FALSE),""))</x:f>
        <x:v>Hero and Protagonist Archetypes</x:v>
      </x:c>
      <x:c r="F863" s="24" t="n">
        <x:v>3</x:v>
      </x:c>
      <x:c r="G863" s="24" t="str">
        <x:v>Central figure defined by endurance through catastrophe, war, abuse, exile, or civilizational collapse.</x:v>
      </x:c>
      <x:c r="H863" s="24" t="str">
        <x:v>A character can occupy several narrative functions over time; record arc and point of view.</x:v>
      </x:c>
      <x:c r="I863" s="24" t="str">
        <x:v>survivor; last remnant; refugee hero</x:v>
      </x:c>
      <x:c r="J863" s="24" t="str">
        <x:v>Structures identification, growth, burden, agency, legitimacy, and transformation.</x:v>
      </x:c>
      <x:c r="K863" s="24" t="str">
        <x:v>survivor; last remnant; refugee hero</x:v>
      </x:c>
      <x:c r="L863" s="24" t="str">
        <x:v>Preserve each source's ontology, culture, history, and terminology when making comparisons.</x:v>
      </x:c>
      <x:c r="M863" s="24" t="str">
        <x:v>Core Family</x:v>
      </x:c>
    </x:row>
    <x:row r="864" ht="44" customHeight="1">
      <x:c r="A864" s="24" t="str">
        <x:v>NAR-123</x:v>
      </x:c>
      <x:c r="B864" s="24" t="str">
        <x:v>Revenge Seeker</x:v>
      </x:c>
      <x:c r="C864" s="24" t="str">
        <x:v>Narrative Archetypes</x:v>
      </x:c>
      <x:c r="D864" s="24" t="str">
        <x:v>NAR-100</x:v>
      </x:c>
      <x:c r="E864" s="24" t="str">
        <x:f>IF(D864="","",IFERROR(VLOOKUP(D864,$A$2:$B$1656,2,FALSE),""))</x:f>
        <x:v>Hero and Protagonist Archetypes</x:v>
      </x:c>
      <x:c r="F864" s="24" t="n">
        <x:v>3</x:v>
      </x:c>
      <x:c r="G864" s="24" t="str">
        <x:v>Protagonist whose journey is organized around retribution and the moral consequences of pursuing it.</x:v>
      </x:c>
      <x:c r="H864" s="24" t="str">
        <x:v>A character can occupy several narrative functions over time; record arc and point of view.</x:v>
      </x:c>
      <x:c r="I864" s="24" t="str">
        <x:v>avenger; vengeance hero</x:v>
      </x:c>
      <x:c r="J864" s="24" t="str">
        <x:v>Structures identification, growth, burden, agency, legitimacy, and transformation.</x:v>
      </x:c>
      <x:c r="K864" s="24" t="str">
        <x:v>avenger; vengeance hero</x:v>
      </x:c>
      <x:c r="L864" s="24" t="str">
        <x:v>Preserve each source's ontology, culture, history, and terminology when making comparisons.</x:v>
      </x:c>
      <x:c r="M864" s="24" t="str">
        <x:v>Core Family</x:v>
      </x:c>
    </x:row>
    <x:row r="865" ht="44" customHeight="1">
      <x:c r="A865" s="24" t="str">
        <x:v>NAR-124</x:v>
      </x:c>
      <x:c r="B865" s="24" t="str">
        <x:v>Seeker of Knowledge</x:v>
      </x:c>
      <x:c r="C865" s="24" t="str">
        <x:v>Narrative Archetypes</x:v>
      </x:c>
      <x:c r="D865" s="24" t="str">
        <x:v>NAR-100</x:v>
      </x:c>
      <x:c r="E865" s="24" t="str">
        <x:f>IF(D865="","",IFERROR(VLOOKUP(D865,$A$2:$B$1656,2,FALSE),""))</x:f>
        <x:v>Hero and Protagonist Archetypes</x:v>
      </x:c>
      <x:c r="F865" s="24" t="n">
        <x:v>3</x:v>
      </x:c>
      <x:c r="G865" s="24" t="str">
        <x:v>Protagonist driven by mystery, forbidden truth, exploration, archaeology, or magical research.</x:v>
      </x:c>
      <x:c r="H865" s="24" t="str">
        <x:v>A character can occupy several narrative functions over time; record arc and point of view.</x:v>
      </x:c>
      <x:c r="I865" s="24" t="str">
        <x:v>seeker; scholar hero; truth hunter</x:v>
      </x:c>
      <x:c r="J865" s="24" t="str">
        <x:v>Structures identification, growth, burden, agency, legitimacy, and transformation.</x:v>
      </x:c>
      <x:c r="K865" s="24" t="str">
        <x:v>seeker; scholar hero; truth hunter</x:v>
      </x:c>
      <x:c r="L865" s="24" t="str">
        <x:v>Preserve each source's ontology, culture, history, and terminology when making comparisons.</x:v>
      </x:c>
      <x:c r="M865" s="24" t="str">
        <x:v>Core Family</x:v>
      </x:c>
    </x:row>
    <x:row r="866" ht="44" customHeight="1">
      <x:c r="A866" s="24" t="str">
        <x:v>NAR-125</x:v>
      </x:c>
      <x:c r="B866" s="24" t="str">
        <x:v>Pilgrim or Spiritual Seeker</x:v>
      </x:c>
      <x:c r="C866" s="24" t="str">
        <x:v>Narrative Archetypes</x:v>
      </x:c>
      <x:c r="D866" s="24" t="str">
        <x:v>NAR-100</x:v>
      </x:c>
      <x:c r="E866" s="24" t="str">
        <x:f>IF(D866="","",IFERROR(VLOOKUP(D866,$A$2:$B$1656,2,FALSE),""))</x:f>
        <x:v>Hero and Protagonist Archetypes</x:v>
      </x:c>
      <x:c r="F866" s="24" t="n">
        <x:v>3</x:v>
      </x:c>
      <x:c r="G866" s="24" t="str">
        <x:v>Protagonist whose external journey parallels transformation of faith, identity, or enlightenment.</x:v>
      </x:c>
      <x:c r="H866" s="24" t="str">
        <x:v>A character can occupy several narrative functions over time; record arc and point of view.</x:v>
      </x:c>
      <x:c r="I866" s="24" t="str">
        <x:v>pilgrim; seeker; holy wanderer</x:v>
      </x:c>
      <x:c r="J866" s="24" t="str">
        <x:v>Structures identification, growth, burden, agency, legitimacy, and transformation.</x:v>
      </x:c>
      <x:c r="K866" s="24" t="str">
        <x:v>pilgrim; seeker; holy wanderer</x:v>
      </x:c>
      <x:c r="L866" s="24" t="str">
        <x:v>Preserve each source's ontology, culture, history, and terminology when making comparisons.</x:v>
      </x:c>
      <x:c r="M866" s="24" t="str">
        <x:v>Core Family</x:v>
      </x:c>
    </x:row>
    <x:row r="867" ht="44" customHeight="1">
      <x:c r="A867" s="24" t="str">
        <x:v>NAR-126</x:v>
      </x:c>
      <x:c r="B867" s="24" t="str">
        <x:v>Reincarnated Protagonist</x:v>
      </x:c>
      <x:c r="C867" s="24" t="str">
        <x:v>Narrative Archetypes</x:v>
      </x:c>
      <x:c r="D867" s="24" t="str">
        <x:v>NAR-100</x:v>
      </x:c>
      <x:c r="E867" s="24" t="str">
        <x:f>IF(D867="","",IFERROR(VLOOKUP(D867,$A$2:$B$1656,2,FALSE),""))</x:f>
        <x:v>Hero and Protagonist Archetypes</x:v>
      </x:c>
      <x:c r="F867" s="24" t="n">
        <x:v>3</x:v>
      </x:c>
      <x:c r="G867" s="24" t="str">
        <x:v>Protagonist begins a new life with some memory, advantage, regret, or unfinished purpose from a prior existence.</x:v>
      </x:c>
      <x:c r="H867" s="24" t="str">
        <x:v>A character can occupy several narrative functions over time; record arc and point of view.</x:v>
      </x:c>
      <x:c r="I867" s="24" t="str">
        <x:v>reincarnator; second-life hero</x:v>
      </x:c>
      <x:c r="J867" s="24" t="str">
        <x:v>Structures identification, growth, burden, agency, legitimacy, and transformation.</x:v>
      </x:c>
      <x:c r="K867" s="24" t="str">
        <x:v>reincarnator; second-life hero</x:v>
      </x:c>
      <x:c r="L867" s="24" t="str">
        <x:v>Preserve each source's ontology, culture, history, and terminology when making comparisons.</x:v>
      </x:c>
      <x:c r="M867" s="24" t="str">
        <x:v>Core Family</x:v>
      </x:c>
    </x:row>
    <x:row r="868" ht="44" customHeight="1">
      <x:c r="A868" s="24" t="str">
        <x:v>NAR-127</x:v>
      </x:c>
      <x:c r="B868" s="24" t="str">
        <x:v>Transmigrated or Isekai Protagonist</x:v>
      </x:c>
      <x:c r="C868" s="24" t="str">
        <x:v>Narrative Archetypes</x:v>
      </x:c>
      <x:c r="D868" s="24" t="str">
        <x:v>NAR-100</x:v>
      </x:c>
      <x:c r="E868" s="24" t="str">
        <x:f>IF(D868="","",IFERROR(VLOOKUP(D868,$A$2:$B$1656,2,FALSE),""))</x:f>
        <x:v>Hero and Protagonist Archetypes</x:v>
      </x:c>
      <x:c r="F868" s="24" t="n">
        <x:v>3</x:v>
      </x:c>
      <x:c r="G868" s="24" t="str">
        <x:v>Protagonist enters another world and interprets it through knowledge and identity from elsewhere.</x:v>
      </x:c>
      <x:c r="H868" s="24" t="str">
        <x:v>A character can occupy several narrative functions over time; record arc and point of view.</x:v>
      </x:c>
      <x:c r="I868" s="24" t="str">
        <x:v>isekai hero; world traveler; summoned outsider</x:v>
      </x:c>
      <x:c r="J868" s="24" t="str">
        <x:v>Structures identification, growth, burden, agency, legitimacy, and transformation.</x:v>
      </x:c>
      <x:c r="K868" s="24" t="str">
        <x:v>isekai hero; world traveler; summoned outsider</x:v>
      </x:c>
      <x:c r="L868" s="24" t="str">
        <x:v>Preserve each source's ontology, culture, history, and terminology when making comparisons.</x:v>
      </x:c>
      <x:c r="M868" s="24" t="str">
        <x:v>Core Family</x:v>
      </x:c>
    </x:row>
    <x:row r="869" ht="44" customHeight="1">
      <x:c r="A869" s="24" t="str">
        <x:v>NAR-128</x:v>
      </x:c>
      <x:c r="B869" s="24" t="str">
        <x:v>Regressor</x:v>
      </x:c>
      <x:c r="C869" s="24" t="str">
        <x:v>Narrative Archetypes</x:v>
      </x:c>
      <x:c r="D869" s="24" t="str">
        <x:v>NAR-100</x:v>
      </x:c>
      <x:c r="E869" s="24" t="str">
        <x:f>IF(D869="","",IFERROR(VLOOKUP(D869,$A$2:$B$1656,2,FALSE),""))</x:f>
        <x:v>Hero and Protagonist Archetypes</x:v>
      </x:c>
      <x:c r="F869" s="24" t="n">
        <x:v>3</x:v>
      </x:c>
      <x:c r="G869" s="24" t="str">
        <x:v>Protagonist returns to an earlier point with knowledge of a failed future and attempts to change events.</x:v>
      </x:c>
      <x:c r="H869" s="24" t="str">
        <x:v>A character can occupy several narrative functions over time; record arc and point of view.</x:v>
      </x:c>
      <x:c r="I869" s="24" t="str">
        <x:v>regression hero; time returner</x:v>
      </x:c>
      <x:c r="J869" s="24" t="str">
        <x:v>Structures identification, growth, burden, agency, legitimacy, and transformation.</x:v>
      </x:c>
      <x:c r="K869" s="24" t="str">
        <x:v>regression hero; time returner</x:v>
      </x:c>
      <x:c r="L869" s="24" t="str">
        <x:v>Preserve each source's ontology, culture, history, and terminology when making comparisons.</x:v>
      </x:c>
      <x:c r="M869" s="24" t="str">
        <x:v>Core Family</x:v>
      </x:c>
    </x:row>
    <x:row r="870" ht="44" customHeight="1">
      <x:c r="A870" s="24" t="str">
        <x:v>NAR-129</x:v>
      </x:c>
      <x:c r="B870" s="24" t="str">
        <x:v>Time-Loop Protagonist</x:v>
      </x:c>
      <x:c r="C870" s="24" t="str">
        <x:v>Narrative Archetypes</x:v>
      </x:c>
      <x:c r="D870" s="24" t="str">
        <x:v>NAR-100</x:v>
      </x:c>
      <x:c r="E870" s="24" t="str">
        <x:f>IF(D870="","",IFERROR(VLOOKUP(D870,$A$2:$B$1656,2,FALSE),""))</x:f>
        <x:v>Hero and Protagonist Archetypes</x:v>
      </x:c>
      <x:c r="F870" s="24" t="n">
        <x:v>3</x:v>
      </x:c>
      <x:c r="G870" s="24" t="str">
        <x:v>Protagonist repeatedly experiences events, accumulating knowledge while facing psychological and causal constraints.</x:v>
      </x:c>
      <x:c r="H870" s="24" t="str">
        <x:v>A character can occupy several narrative functions over time; record arc and point of view.</x:v>
      </x:c>
      <x:c r="I870" s="24" t="str">
        <x:v>loop hero; reset survivor</x:v>
      </x:c>
      <x:c r="J870" s="24" t="str">
        <x:v>Structures identification, growth, burden, agency, legitimacy, and transformation.</x:v>
      </x:c>
      <x:c r="K870" s="24" t="str">
        <x:v>loop hero; reset survivor</x:v>
      </x:c>
      <x:c r="L870" s="24" t="str">
        <x:v>Preserve each source's ontology, culture, history, and terminology when making comparisons.</x:v>
      </x:c>
      <x:c r="M870" s="24" t="str">
        <x:v>Core Family</x:v>
      </x:c>
    </x:row>
    <x:row r="871" ht="44" customHeight="1">
      <x:c r="A871" s="24" t="str">
        <x:v>NAR-130</x:v>
      </x:c>
      <x:c r="B871" s="24" t="str">
        <x:v>Overpowered Protagonist</x:v>
      </x:c>
      <x:c r="C871" s="24" t="str">
        <x:v>Narrative Archetypes</x:v>
      </x:c>
      <x:c r="D871" s="24" t="str">
        <x:v>NAR-100</x:v>
      </x:c>
      <x:c r="E871" s="24" t="str">
        <x:f>IF(D871="","",IFERROR(VLOOKUP(D871,$A$2:$B$1656,2,FALSE),""))</x:f>
        <x:v>Hero and Protagonist Archetypes</x:v>
      </x:c>
      <x:c r="F871" s="24" t="n">
        <x:v>3</x:v>
      </x:c>
      <x:c r="G871" s="24" t="str">
        <x:v>Central figure begins with or rapidly gains power that destabilizes ordinary conflict and shifts emphasis to identity, politics, or comedy.</x:v>
      </x:c>
      <x:c r="H871" s="24" t="str">
        <x:v>A character can occupy several narrative functions over time; record arc and point of view.</x:v>
      </x:c>
      <x:c r="I871" s="24" t="str">
        <x:v>OP protagonist; invincible hero</x:v>
      </x:c>
      <x:c r="J871" s="24" t="str">
        <x:v>Structures identification, growth, burden, agency, legitimacy, and transformation.</x:v>
      </x:c>
      <x:c r="K871" s="24" t="str">
        <x:v>OP protagonist; invincible hero</x:v>
      </x:c>
      <x:c r="L871" s="24" t="str">
        <x:v>Preserve each source's ontology, culture, history, and terminology when making comparisons.</x:v>
      </x:c>
      <x:c r="M871" s="24" t="str">
        <x:v>Core Family</x:v>
      </x:c>
    </x:row>
    <x:row r="872" ht="44" customHeight="1">
      <x:c r="A872" s="24" t="str">
        <x:v>NAR-131</x:v>
      </x:c>
      <x:c r="B872" s="24" t="str">
        <x:v>Underdog</x:v>
      </x:c>
      <x:c r="C872" s="24" t="str">
        <x:v>Narrative Archetypes</x:v>
      </x:c>
      <x:c r="D872" s="24" t="str">
        <x:v>NAR-100</x:v>
      </x:c>
      <x:c r="E872" s="24" t="str">
        <x:f>IF(D872="","",IFERROR(VLOOKUP(D872,$A$2:$B$1656,2,FALSE),""))</x:f>
        <x:v>Hero and Protagonist Archetypes</x:v>
      </x:c>
      <x:c r="F872" s="24" t="n">
        <x:v>3</x:v>
      </x:c>
      <x:c r="G872" s="24" t="str">
        <x:v>Protagonist begins with low status, weak power, stigma, or structural disadvantage and advances through skill, allies, or persistence.</x:v>
      </x:c>
      <x:c r="H872" s="24" t="str">
        <x:v>A character can occupy several narrative functions over time; record arc and point of view.</x:v>
      </x:c>
      <x:c r="I872" s="24" t="str">
        <x:v>underdog; weak-to-strong hero</x:v>
      </x:c>
      <x:c r="J872" s="24" t="str">
        <x:v>Structures identification, growth, burden, agency, legitimacy, and transformation.</x:v>
      </x:c>
      <x:c r="K872" s="24" t="str">
        <x:v>underdog; weak-to-strong hero</x:v>
      </x:c>
      <x:c r="L872" s="24" t="str">
        <x:v>Preserve each source's ontology, culture, history, and terminology when making comparisons.</x:v>
      </x:c>
      <x:c r="M872" s="24" t="str">
        <x:v>Core Family</x:v>
      </x:c>
    </x:row>
    <x:row r="873" ht="44" customHeight="1">
      <x:c r="A873" s="24" t="str">
        <x:v>NAR-132</x:v>
      </x:c>
      <x:c r="B873" s="24" t="str">
        <x:v>False Chosen One</x:v>
      </x:c>
      <x:c r="C873" s="24" t="str">
        <x:v>Narrative Archetypes</x:v>
      </x:c>
      <x:c r="D873" s="24" t="str">
        <x:v>NAR-100</x:v>
      </x:c>
      <x:c r="E873" s="24" t="str">
        <x:f>IF(D873="","",IFERROR(VLOOKUP(D873,$A$2:$B$1656,2,FALSE),""))</x:f>
        <x:v>Hero and Protagonist Archetypes</x:v>
      </x:c>
      <x:c r="F873" s="24" t="n">
        <x:v>3</x:v>
      </x:c>
      <x:c r="G873" s="24" t="str">
        <x:v>Character is mistakenly or manipulatively identified as the prophesied savior, or the prophecy itself is subverted.</x:v>
      </x:c>
      <x:c r="H873" s="24" t="str">
        <x:v>A character can occupy several narrative functions over time; record arc and point of view.</x:v>
      </x:c>
      <x:c r="I873" s="24" t="str">
        <x:v>false hero; mistaken chosen one</x:v>
      </x:c>
      <x:c r="J873" s="24" t="str">
        <x:v>Structures identification, growth, burden, agency, legitimacy, and transformation.</x:v>
      </x:c>
      <x:c r="K873" s="24" t="str">
        <x:v>false hero; mistaken chosen one</x:v>
      </x:c>
      <x:c r="L873" s="24" t="str">
        <x:v>Preserve each source's ontology, culture, history, and terminology when making comparisons.</x:v>
      </x:c>
      <x:c r="M873" s="24" t="str">
        <x:v>Core Family</x:v>
      </x:c>
    </x:row>
    <x:row r="874" ht="44" customHeight="1">
      <x:c r="A874" s="24" t="str">
        <x:v>NAR-133</x:v>
      </x:c>
      <x:c r="B874" s="24" t="str">
        <x:v>Multiple or Collective Protagonist</x:v>
      </x:c>
      <x:c r="C874" s="24" t="str">
        <x:v>Narrative Archetypes</x:v>
      </x:c>
      <x:c r="D874" s="24" t="str">
        <x:v>NAR-100</x:v>
      </x:c>
      <x:c r="E874" s="24" t="str">
        <x:f>IF(D874="","",IFERROR(VLOOKUP(D874,$A$2:$B$1656,2,FALSE),""))</x:f>
        <x:v>Hero and Protagonist Archetypes</x:v>
      </x:c>
      <x:c r="F874" s="24" t="n">
        <x:v>3</x:v>
      </x:c>
      <x:c r="G874" s="24" t="str">
        <x:v>Narrative distributes central agency across a party, family, army, city, or ensemble rather than one hero.</x:v>
      </x:c>
      <x:c r="H874" s="24" t="str">
        <x:v>A character can occupy several narrative functions over time; record arc and point of view.</x:v>
      </x:c>
      <x:c r="I874" s="24" t="str">
        <x:v>ensemble cast; collective hero</x:v>
      </x:c>
      <x:c r="J874" s="24" t="str">
        <x:v>Structures identification, growth, burden, agency, legitimacy, and transformation.</x:v>
      </x:c>
      <x:c r="K874" s="24" t="str">
        <x:v>ensemble cast; collective hero</x:v>
      </x:c>
      <x:c r="L874" s="24" t="str">
        <x:v>Preserve each source's ontology, culture, history, and terminology when making comparisons.</x:v>
      </x:c>
      <x:c r="M874" s="24" t="str">
        <x:v>Core Family</x:v>
      </x:c>
    </x:row>
    <x:row r="875" ht="44" customHeight="1">
      <x:c r="A875" s="24" t="str">
        <x:v>NAR-134</x:v>
      </x:c>
      <x:c r="B875" s="24" t="str">
        <x:v>Unreliable Protagonist</x:v>
      </x:c>
      <x:c r="C875" s="24" t="str">
        <x:v>Narrative Archetypes</x:v>
      </x:c>
      <x:c r="D875" s="24" t="str">
        <x:v>NAR-100</x:v>
      </x:c>
      <x:c r="E875" s="24" t="str">
        <x:f>IF(D875="","",IFERROR(VLOOKUP(D875,$A$2:$B$1656,2,FALSE),""))</x:f>
        <x:v>Hero and Protagonist Archetypes</x:v>
      </x:c>
      <x:c r="F875" s="24" t="n">
        <x:v>3</x:v>
      </x:c>
      <x:c r="G875" s="24" t="str">
        <x:v>Central viewpoint misperceives, conceals, forgets, or distorts key realities.</x:v>
      </x:c>
      <x:c r="H875" s="24" t="str">
        <x:v>A character can occupy several narrative functions over time; record arc and point of view.</x:v>
      </x:c>
      <x:c r="I875" s="24" t="str">
        <x:v>unreliable narrator; fragmented hero</x:v>
      </x:c>
      <x:c r="J875" s="24" t="str">
        <x:v>Structures identification, growth, burden, agency, legitimacy, and transformation.</x:v>
      </x:c>
      <x:c r="K875" s="24" t="str">
        <x:v>unreliable narrator; fragmented hero</x:v>
      </x:c>
      <x:c r="L875" s="24" t="str">
        <x:v>Preserve each source's ontology, culture, history, and terminology when making comparisons.</x:v>
      </x:c>
      <x:c r="M875" s="24" t="str">
        <x:v>Core Family</x:v>
      </x:c>
    </x:row>
    <x:row r="876" ht="44" customHeight="1">
      <x:c r="A876" s="24" t="str">
        <x:v>NAR-135</x:v>
      </x:c>
      <x:c r="B876" s="24" t="str">
        <x:v>Villain Protagonist</x:v>
      </x:c>
      <x:c r="C876" s="24" t="str">
        <x:v>Narrative Archetypes</x:v>
      </x:c>
      <x:c r="D876" s="24" t="str">
        <x:v>NAR-100</x:v>
      </x:c>
      <x:c r="E876" s="24" t="str">
        <x:f>IF(D876="","",IFERROR(VLOOKUP(D876,$A$2:$B$1656,2,FALSE),""))</x:f>
        <x:v>Hero and Protagonist Archetypes</x:v>
      </x:c>
      <x:c r="F876" s="24" t="n">
        <x:v>3</x:v>
      </x:c>
      <x:c r="G876" s="24" t="str">
        <x:v>Narrative centers a ruler, conqueror, monster, criminal, or antagonist-coded figure without requiring moral rehabilitation.</x:v>
      </x:c>
      <x:c r="H876" s="24" t="str">
        <x:v>A character can occupy several narrative functions over time; record arc and point of view.</x:v>
      </x:c>
      <x:c r="I876" s="24" t="str">
        <x:v>villain lead; demon lord protagonist</x:v>
      </x:c>
      <x:c r="J876" s="24" t="str">
        <x:v>Structures identification, growth, burden, agency, legitimacy, and transformation.</x:v>
      </x:c>
      <x:c r="K876" s="24" t="str">
        <x:v>villain lead; demon lord protagonist</x:v>
      </x:c>
      <x:c r="L876" s="24" t="str">
        <x:v>Preserve each source's ontology, culture, history, and terminology when making comparisons.</x:v>
      </x:c>
      <x:c r="M876" s="24" t="str">
        <x:v>Core Family</x:v>
      </x:c>
    </x:row>
    <x:row r="877" ht="44" customHeight="1">
      <x:c r="A877" s="24" t="str">
        <x:v>NAR-136</x:v>
      </x:c>
      <x:c r="B877" s="24" t="str">
        <x:v>Dungeon-Lord Protagonist</x:v>
      </x:c>
      <x:c r="C877" s="24" t="str">
        <x:v>Narrative Archetypes</x:v>
      </x:c>
      <x:c r="D877" s="24" t="str">
        <x:v>NAR-100</x:v>
      </x:c>
      <x:c r="E877" s="24" t="str">
        <x:f>IF(D877="","",IFERROR(VLOOKUP(D877,$A$2:$B$1656,2,FALSE),""))</x:f>
        <x:v>Hero and Protagonist Archetypes</x:v>
      </x:c>
      <x:c r="F877" s="24" t="n">
        <x:v>3</x:v>
      </x:c>
      <x:c r="G877" s="24" t="str">
        <x:v>Central figure builds, governs, or embodies a dungeon and negotiates between management, ecology, defense, and conquest.</x:v>
      </x:c>
      <x:c r="H877" s="24" t="str">
        <x:v>A character can occupy several narrative functions over time; record arc and point of view.</x:v>
      </x:c>
      <x:c r="I877" s="24" t="str">
        <x:v>dungeon core; dungeon master protagonist</x:v>
      </x:c>
      <x:c r="J877" s="24" t="str">
        <x:v>Structures identification, growth, burden, agency, legitimacy, and transformation.</x:v>
      </x:c>
      <x:c r="K877" s="24" t="str">
        <x:v>dungeon core; dungeon master protagonist</x:v>
      </x:c>
      <x:c r="L877" s="24" t="str">
        <x:v>Preserve each source's ontology, culture, history, and terminology when making comparisons.</x:v>
      </x:c>
      <x:c r="M877" s="24" t="str">
        <x:v>Core Family</x:v>
      </x:c>
    </x:row>
    <x:row r="878" ht="44" customHeight="1">
      <x:c r="A878" s="24" t="str">
        <x:v>NAR-137</x:v>
      </x:c>
      <x:c r="B878" s="24" t="str">
        <x:v>Crafting or Builder Protagonist</x:v>
      </x:c>
      <x:c r="C878" s="24" t="str">
        <x:v>Narrative Archetypes</x:v>
      </x:c>
      <x:c r="D878" s="24" t="str">
        <x:v>NAR-100</x:v>
      </x:c>
      <x:c r="E878" s="24" t="str">
        <x:f>IF(D878="","",IFERROR(VLOOKUP(D878,$A$2:$B$1656,2,FALSE),""))</x:f>
        <x:v>Hero and Protagonist Archetypes</x:v>
      </x:c>
      <x:c r="F878" s="24" t="n">
        <x:v>3</x:v>
      </x:c>
      <x:c r="G878" s="24" t="str">
        <x:v>Central figure solves problems primarily through making, settlement, economy, food, or infrastructure rather than combat.</x:v>
      </x:c>
      <x:c r="H878" s="24" t="str">
        <x:v>A character can occupy several narrative functions over time; record arc and point of view.</x:v>
      </x:c>
      <x:c r="I878" s="24" t="str">
        <x:v>crafter hero; kingdom builder; culinary protagonist</x:v>
      </x:c>
      <x:c r="J878" s="24" t="str">
        <x:v>Structures identification, growth, burden, agency, legitimacy, and transformation.</x:v>
      </x:c>
      <x:c r="K878" s="24" t="str">
        <x:v>crafter hero; kingdom builder; culinary protagonist</x:v>
      </x:c>
      <x:c r="L878" s="24" t="str">
        <x:v>Preserve each source's ontology, culture, history, and terminology when making comparisons.</x:v>
      </x:c>
      <x:c r="M878" s="24" t="str">
        <x:v>Core Family</x:v>
      </x:c>
    </x:row>
    <x:row r="879" ht="44" customHeight="1">
      <x:c r="A879" s="24" t="str">
        <x:v>NAR-138</x:v>
      </x:c>
      <x:c r="B879" s="24" t="str">
        <x:v>Healer Protagonist</x:v>
      </x:c>
      <x:c r="C879" s="24" t="str">
        <x:v>Narrative Archetypes</x:v>
      </x:c>
      <x:c r="D879" s="24" t="str">
        <x:v>NAR-100</x:v>
      </x:c>
      <x:c r="E879" s="24" t="str">
        <x:f>IF(D879="","",IFERROR(VLOOKUP(D879,$A$2:$B$1656,2,FALSE),""))</x:f>
        <x:v>Hero and Protagonist Archetypes</x:v>
      </x:c>
      <x:c r="F879" s="24" t="n">
        <x:v>3</x:v>
      </x:c>
      <x:c r="G879" s="24" t="str">
        <x:v>Central figure's primary power and moral conflict centers on care, restoration, triage, and the politics of healing.</x:v>
      </x:c>
      <x:c r="H879" s="24" t="str">
        <x:v>A character can occupy several narrative functions over time; record arc and point of view.</x:v>
      </x:c>
      <x:c r="I879" s="24" t="str">
        <x:v>healer lead; saint protagonist</x:v>
      </x:c>
      <x:c r="J879" s="24" t="str">
        <x:v>Structures identification, growth, burden, agency, legitimacy, and transformation.</x:v>
      </x:c>
      <x:c r="K879" s="24" t="str">
        <x:v>healer lead; saint protagonist</x:v>
      </x:c>
      <x:c r="L879" s="24" t="str">
        <x:v>Preserve each source's ontology, culture, history, and terminology when making comparisons.</x:v>
      </x:c>
      <x:c r="M879" s="24" t="str">
        <x:v>Core Family</x:v>
      </x:c>
    </x:row>
    <x:row r="880" ht="44" customHeight="1">
      <x:c r="A880" s="24" t="str">
        <x:v>NAR-139</x:v>
      </x:c>
      <x:c r="B880" s="24" t="str">
        <x:v>Noncombatant Witness</x:v>
      </x:c>
      <x:c r="C880" s="24" t="str">
        <x:v>Narrative Archetypes</x:v>
      </x:c>
      <x:c r="D880" s="24" t="str">
        <x:v>NAR-100</x:v>
      </x:c>
      <x:c r="E880" s="24" t="str">
        <x:f>IF(D880="","",IFERROR(VLOOKUP(D880,$A$2:$B$1656,2,FALSE),""))</x:f>
        <x:v>Hero and Protagonist Archetypes</x:v>
      </x:c>
      <x:c r="F880" s="24" t="n">
        <x:v>3</x:v>
      </x:c>
      <x:c r="G880" s="24" t="str">
        <x:v>Central figure lacks conventional heroic power but mediates events through observation, memory, diplomacy, or survival.</x:v>
      </x:c>
      <x:c r="H880" s="24" t="str">
        <x:v>A character can occupy several narrative functions over time; record arc and point of view.</x:v>
      </x:c>
      <x:c r="I880" s="24" t="str">
        <x:v>witness; chronicler; ordinary observer</x:v>
      </x:c>
      <x:c r="J880" s="24" t="str">
        <x:v>Structures identification, growth, burden, agency, legitimacy, and transformation.</x:v>
      </x:c>
      <x:c r="K880" s="24" t="str">
        <x:v>witness; chronicler; ordinary observer</x:v>
      </x:c>
      <x:c r="L880" s="24" t="str">
        <x:v>Preserve each source's ontology, culture, history, and terminology when making comparisons.</x:v>
      </x:c>
      <x:c r="M880" s="24" t="str">
        <x:v>Core Family</x:v>
      </x:c>
    </x:row>
    <x:row r="881" ht="44" customHeight="1">
      <x:c r="A881" s="24" t="str">
        <x:v>NAR-201</x:v>
      </x:c>
      <x:c r="B881" s="24" t="str">
        <x:v>Wise Mentor</x:v>
      </x:c>
      <x:c r="C881" s="24" t="str">
        <x:v>Narrative Archetypes</x:v>
      </x:c>
      <x:c r="D881" s="24" t="str">
        <x:v>NAR-200</x:v>
      </x:c>
      <x:c r="E881" s="24" t="str">
        <x:f>IF(D881="","",IFERROR(VLOOKUP(D881,$A$2:$B$1656,2,FALSE),""))</x:f>
        <x:v>Companion, Mentor, and Party Archetypes</x:v>
      </x:c>
      <x:c r="F881" s="24" t="n">
        <x:v>3</x:v>
      </x:c>
      <x:c r="G881" s="24" t="str">
        <x:v>Experienced guide who supplies knowledge, moral framing, training, and often exits so the hero must act independently.</x:v>
      </x:c>
      <x:c r="H881" s="24" t="str">
        <x:v>A character can occupy several narrative functions over time; record arc and point of view.</x:v>
      </x:c>
      <x:c r="I881" s="24" t="str">
        <x:v>mentor; wise old teacher; sage guide</x:v>
      </x:c>
      <x:c r="J881" s="24" t="str">
        <x:v>Structures group chemistry, exposition, emotional balance, conflict, competence, and found family.</x:v>
      </x:c>
      <x:c r="K881" s="24" t="str">
        <x:v>mentor; wise old teacher; sage guide</x:v>
      </x:c>
      <x:c r="L881" s="24" t="str">
        <x:v>Preserve each source's ontology, culture, history, and terminology when making comparisons.</x:v>
      </x:c>
      <x:c r="M881" s="24" t="str">
        <x:v>Core Family</x:v>
      </x:c>
    </x:row>
    <x:row r="882" ht="44" customHeight="1">
      <x:c r="A882" s="24" t="str">
        <x:v>NAR-202</x:v>
      </x:c>
      <x:c r="B882" s="24" t="str">
        <x:v>Warrior Mentor</x:v>
      </x:c>
      <x:c r="C882" s="24" t="str">
        <x:v>Narrative Archetypes</x:v>
      </x:c>
      <x:c r="D882" s="24" t="str">
        <x:v>NAR-200</x:v>
      </x:c>
      <x:c r="E882" s="24" t="str">
        <x:f>IF(D882="","",IFERROR(VLOOKUP(D882,$A$2:$B$1656,2,FALSE),""))</x:f>
        <x:v>Companion, Mentor, and Party Archetypes</x:v>
      </x:c>
      <x:c r="F882" s="24" t="n">
        <x:v>3</x:v>
      </x:c>
      <x:c r="G882" s="24" t="str">
        <x:v>Veteran who trains martial skill, discipline, courage, and survival through embodied example.</x:v>
      </x:c>
      <x:c r="H882" s="24" t="str">
        <x:v>A character can occupy several narrative functions over time; record arc and point of view.</x:v>
      </x:c>
      <x:c r="I882" s="24" t="str">
        <x:v>swordmaster mentor; old soldier</x:v>
      </x:c>
      <x:c r="J882" s="24" t="str">
        <x:v>Structures group chemistry, exposition, emotional balance, conflict, competence, and found family.</x:v>
      </x:c>
      <x:c r="K882" s="24" t="str">
        <x:v>swordmaster mentor; old soldier</x:v>
      </x:c>
      <x:c r="L882" s="24" t="str">
        <x:v>Preserve each source's ontology, culture, history, and terminology when making comparisons.</x:v>
      </x:c>
      <x:c r="M882" s="24" t="str">
        <x:v>Core Family</x:v>
      </x:c>
    </x:row>
    <x:row r="883" ht="44" customHeight="1">
      <x:c r="A883" s="24" t="str">
        <x:v>NAR-203</x:v>
      </x:c>
      <x:c r="B883" s="24" t="str">
        <x:v>Trickster Mentor</x:v>
      </x:c>
      <x:c r="C883" s="24" t="str">
        <x:v>Narrative Archetypes</x:v>
      </x:c>
      <x:c r="D883" s="24" t="str">
        <x:v>NAR-200</x:v>
      </x:c>
      <x:c r="E883" s="24" t="str">
        <x:f>IF(D883="","",IFERROR(VLOOKUP(D883,$A$2:$B$1656,2,FALSE),""))</x:f>
        <x:v>Companion, Mentor, and Party Archetypes</x:v>
      </x:c>
      <x:c r="F883" s="24" t="n">
        <x:v>3</x:v>
      </x:c>
      <x:c r="G883" s="24" t="str">
        <x:v>Teacher who uses riddles, deception, humiliation, paradox, or misdirection to provoke growth.</x:v>
      </x:c>
      <x:c r="H883" s="24" t="str">
        <x:v>A character can occupy several narrative functions over time; record arc and point of view.</x:v>
      </x:c>
      <x:c r="I883" s="24" t="str">
        <x:v>trickster teacher; eccentric master</x:v>
      </x:c>
      <x:c r="J883" s="24" t="str">
        <x:v>Structures group chemistry, exposition, emotional balance, conflict, competence, and found family.</x:v>
      </x:c>
      <x:c r="K883" s="24" t="str">
        <x:v>trickster teacher; eccentric master</x:v>
      </x:c>
      <x:c r="L883" s="24" t="str">
        <x:v>Preserve each source's ontology, culture, history, and terminology when making comparisons.</x:v>
      </x:c>
      <x:c r="M883" s="24" t="str">
        <x:v>Core Family</x:v>
      </x:c>
    </x:row>
    <x:row r="884" ht="44" customHeight="1">
      <x:c r="A884" s="24" t="str">
        <x:v>NAR-204</x:v>
      </x:c>
      <x:c r="B884" s="24" t="str">
        <x:v>Corrupt or False Mentor</x:v>
      </x:c>
      <x:c r="C884" s="24" t="str">
        <x:v>Narrative Archetypes</x:v>
      </x:c>
      <x:c r="D884" s="24" t="str">
        <x:v>NAR-200</x:v>
      </x:c>
      <x:c r="E884" s="24" t="str">
        <x:f>IF(D884="","",IFERROR(VLOOKUP(D884,$A$2:$B$1656,2,FALSE),""))</x:f>
        <x:v>Companion, Mentor, and Party Archetypes</x:v>
      </x:c>
      <x:c r="F884" s="24" t="n">
        <x:v>3</x:v>
      </x:c>
      <x:c r="G884" s="24" t="str">
        <x:v>Guide whose teaching conceals exploitation, ideological capture, betrayal, or self-serving design.</x:v>
      </x:c>
      <x:c r="H884" s="24" t="str">
        <x:v>A character can occupy several narrative functions over time; record arc and point of view.</x:v>
      </x:c>
      <x:c r="I884" s="24" t="str">
        <x:v>false teacher; manipulative master</x:v>
      </x:c>
      <x:c r="J884" s="24" t="str">
        <x:v>Structures group chemistry, exposition, emotional balance, conflict, competence, and found family.</x:v>
      </x:c>
      <x:c r="K884" s="24" t="str">
        <x:v>false teacher; manipulative master</x:v>
      </x:c>
      <x:c r="L884" s="24" t="str">
        <x:v>Preserve each source's ontology, culture, history, and terminology when making comparisons.</x:v>
      </x:c>
      <x:c r="M884" s="24" t="str">
        <x:v>Core Family</x:v>
      </x:c>
    </x:row>
    <x:row r="885" ht="44" customHeight="1">
      <x:c r="A885" s="24" t="str">
        <x:v>NAR-205</x:v>
      </x:c>
      <x:c r="B885" s="24" t="str">
        <x:v>Guardian</x:v>
      </x:c>
      <x:c r="C885" s="24" t="str">
        <x:v>Narrative Archetypes</x:v>
      </x:c>
      <x:c r="D885" s="24" t="str">
        <x:v>NAR-200</x:v>
      </x:c>
      <x:c r="E885" s="24" t="str">
        <x:f>IF(D885="","",IFERROR(VLOOKUP(D885,$A$2:$B$1656,2,FALSE),""))</x:f>
        <x:v>Companion, Mentor, and Party Archetypes</x:v>
      </x:c>
      <x:c r="F885" s="24" t="n">
        <x:v>3</x:v>
      </x:c>
      <x:c r="G885" s="24" t="str">
        <x:v>Protector whose primary narrative function is preserving the hero, place, relic, or community.</x:v>
      </x:c>
      <x:c r="H885" s="24" t="str">
        <x:v>A character can occupy several narrative functions over time; record arc and point of view.</x:v>
      </x:c>
      <x:c r="I885" s="24" t="str">
        <x:v>guardian; protector; sworn shield</x:v>
      </x:c>
      <x:c r="J885" s="24" t="str">
        <x:v>Structures group chemistry, exposition, emotional balance, conflict, competence, and found family.</x:v>
      </x:c>
      <x:c r="K885" s="24" t="str">
        <x:v>guardian; protector; sworn shield</x:v>
      </x:c>
      <x:c r="L885" s="24" t="str">
        <x:v>Preserve each source's ontology, culture, history, and terminology when making comparisons.</x:v>
      </x:c>
      <x:c r="M885" s="24" t="str">
        <x:v>Core Family</x:v>
      </x:c>
    </x:row>
    <x:row r="886" ht="44" customHeight="1">
      <x:c r="A886" s="24" t="str">
        <x:v>NAR-206</x:v>
      </x:c>
      <x:c r="B886" s="24" t="str">
        <x:v>Threshold Guardian</x:v>
      </x:c>
      <x:c r="C886" s="24" t="str">
        <x:v>Narrative Archetypes</x:v>
      </x:c>
      <x:c r="D886" s="24" t="str">
        <x:v>NAR-200</x:v>
      </x:c>
      <x:c r="E886" s="24" t="str">
        <x:f>IF(D886="","",IFERROR(VLOOKUP(D886,$A$2:$B$1656,2,FALSE),""))</x:f>
        <x:v>Companion, Mentor, and Party Archetypes</x:v>
      </x:c>
      <x:c r="F886" s="24" t="n">
        <x:v>3</x:v>
      </x:c>
      <x:c r="G886" s="24" t="str">
        <x:v>Figure or force that tests whether the hero may enter a new realm, status, truth, or stage.</x:v>
      </x:c>
      <x:c r="H886" s="24" t="str">
        <x:v>A character can occupy several narrative functions over time; record arc and point of view.</x:v>
      </x:c>
      <x:c r="I886" s="24" t="str">
        <x:v>gatekeeper; threshold guardian; trial keeper</x:v>
      </x:c>
      <x:c r="J886" s="24" t="str">
        <x:v>Structures group chemistry, exposition, emotional balance, conflict, competence, and found family.</x:v>
      </x:c>
      <x:c r="K886" s="24" t="str">
        <x:v>gatekeeper; threshold guardian; trial keeper</x:v>
      </x:c>
      <x:c r="L886" s="24" t="str">
        <x:v>Preserve each source's ontology, culture, history, and terminology when making comparisons.</x:v>
      </x:c>
      <x:c r="M886" s="24" t="str">
        <x:v>Core Family</x:v>
      </x:c>
    </x:row>
    <x:row r="887" ht="44" customHeight="1">
      <x:c r="A887" s="24" t="str">
        <x:v>NAR-207</x:v>
      </x:c>
      <x:c r="B887" s="24" t="str">
        <x:v>Herald</x:v>
      </x:c>
      <x:c r="C887" s="24" t="str">
        <x:v>Narrative Archetypes</x:v>
      </x:c>
      <x:c r="D887" s="24" t="str">
        <x:v>NAR-200</x:v>
      </x:c>
      <x:c r="E887" s="24" t="str">
        <x:f>IF(D887="","",IFERROR(VLOOKUP(D887,$A$2:$B$1656,2,FALSE),""))</x:f>
        <x:v>Companion, Mentor, and Party Archetypes</x:v>
      </x:c>
      <x:c r="F887" s="24" t="n">
        <x:v>3</x:v>
      </x:c>
      <x:c r="G887" s="24" t="str">
        <x:v>Messenger or event that announces change and calls the protagonist into the larger conflict.</x:v>
      </x:c>
      <x:c r="H887" s="24" t="str">
        <x:v>A character can occupy several narrative functions over time; record arc and point of view.</x:v>
      </x:c>
      <x:c r="I887" s="24" t="str">
        <x:v>herald; summons; bearer of news</x:v>
      </x:c>
      <x:c r="J887" s="24" t="str">
        <x:v>Structures group chemistry, exposition, emotional balance, conflict, competence, and found family.</x:v>
      </x:c>
      <x:c r="K887" s="24" t="str">
        <x:v>herald; summons; bearer of news</x:v>
      </x:c>
      <x:c r="L887" s="24" t="str">
        <x:v>Preserve each source's ontology, culture, history, and terminology when making comparisons.</x:v>
      </x:c>
      <x:c r="M887" s="24" t="str">
        <x:v>Core Family</x:v>
      </x:c>
    </x:row>
    <x:row r="888" ht="44" customHeight="1">
      <x:c r="A888" s="24" t="str">
        <x:v>NAR-208</x:v>
      </x:c>
      <x:c r="B888" s="24" t="str">
        <x:v>Loyal Companion</x:v>
      </x:c>
      <x:c r="C888" s="24" t="str">
        <x:v>Narrative Archetypes</x:v>
      </x:c>
      <x:c r="D888" s="24" t="str">
        <x:v>NAR-200</x:v>
      </x:c>
      <x:c r="E888" s="24" t="str">
        <x:f>IF(D888="","",IFERROR(VLOOKUP(D888,$A$2:$B$1656,2,FALSE),""))</x:f>
        <x:v>Companion, Mentor, and Party Archetypes</x:v>
      </x:c>
      <x:c r="F888" s="24" t="n">
        <x:v>3</x:v>
      </x:c>
      <x:c r="G888" s="24" t="str">
        <x:v>Steadfast ally whose constancy, affection, or practical support anchors the protagonist.</x:v>
      </x:c>
      <x:c r="H888" s="24" t="str">
        <x:v>A character can occupy several narrative functions over time; record arc and point of view.</x:v>
      </x:c>
      <x:c r="I888" s="24" t="str">
        <x:v>faithful friend; companion; sidekick</x:v>
      </x:c>
      <x:c r="J888" s="24" t="str">
        <x:v>Structures group chemistry, exposition, emotional balance, conflict, competence, and found family.</x:v>
      </x:c>
      <x:c r="K888" s="24" t="str">
        <x:v>faithful friend; companion; sidekick</x:v>
      </x:c>
      <x:c r="L888" s="24" t="str">
        <x:v>Preserve each source's ontology, culture, history, and terminology when making comparisons.</x:v>
      </x:c>
      <x:c r="M888" s="24" t="str">
        <x:v>Core Family</x:v>
      </x:c>
    </x:row>
    <x:row r="889" ht="44" customHeight="1">
      <x:c r="A889" s="24" t="str">
        <x:v>NAR-209</x:v>
      </x:c>
      <x:c r="B889" s="24" t="str">
        <x:v>Lancer or Second-in-Command</x:v>
      </x:c>
      <x:c r="C889" s="24" t="str">
        <x:v>Narrative Archetypes</x:v>
      </x:c>
      <x:c r="D889" s="24" t="str">
        <x:v>NAR-200</x:v>
      </x:c>
      <x:c r="E889" s="24" t="str">
        <x:f>IF(D889="","",IFERROR(VLOOKUP(D889,$A$2:$B$1656,2,FALSE),""))</x:f>
        <x:v>Companion, Mentor, and Party Archetypes</x:v>
      </x:c>
      <x:c r="F889" s="24" t="n">
        <x:v>3</x:v>
      </x:c>
      <x:c r="G889" s="24" t="str">
        <x:v>Capable contrasting partner who challenges the leader and often embodies an alternate method or worldview.</x:v>
      </x:c>
      <x:c r="H889" s="24" t="str">
        <x:v>A character can occupy several narrative functions over time; record arc and point of view.</x:v>
      </x:c>
      <x:c r="I889" s="24" t="str">
        <x:v>lancer; lieutenant; rival ally</x:v>
      </x:c>
      <x:c r="J889" s="24" t="str">
        <x:v>Structures group chemistry, exposition, emotional balance, conflict, competence, and found family.</x:v>
      </x:c>
      <x:c r="K889" s="24" t="str">
        <x:v>lancer; lieutenant; rival ally</x:v>
      </x:c>
      <x:c r="L889" s="24" t="str">
        <x:v>Preserve each source's ontology, culture, history, and terminology when making comparisons.</x:v>
      </x:c>
      <x:c r="M889" s="24" t="str">
        <x:v>Core Family</x:v>
      </x:c>
    </x:row>
    <x:row r="890" ht="44" customHeight="1">
      <x:c r="A890" s="24" t="str">
        <x:v>NAR-210</x:v>
      </x:c>
      <x:c r="B890" s="24" t="str">
        <x:v>Heart of the Group</x:v>
      </x:c>
      <x:c r="C890" s="24" t="str">
        <x:v>Narrative Archetypes</x:v>
      </x:c>
      <x:c r="D890" s="24" t="str">
        <x:v>NAR-200</x:v>
      </x:c>
      <x:c r="E890" s="24" t="str">
        <x:f>IF(D890="","",IFERROR(VLOOKUP(D890,$A$2:$B$1656,2,FALSE),""))</x:f>
        <x:v>Companion, Mentor, and Party Archetypes</x:v>
      </x:c>
      <x:c r="F890" s="24" t="n">
        <x:v>3</x:v>
      </x:c>
      <x:c r="G890" s="24" t="str">
        <x:v>Member who sustains empathy, cohesion, hope, and moral connection among more instrumental allies.</x:v>
      </x:c>
      <x:c r="H890" s="24" t="str">
        <x:v>A character can occupy several narrative functions over time; record arc and point of view.</x:v>
      </x:c>
      <x:c r="I890" s="24" t="str">
        <x:v>heart; emotional center; peacemaker</x:v>
      </x:c>
      <x:c r="J890" s="24" t="str">
        <x:v>Structures group chemistry, exposition, emotional balance, conflict, competence, and found family.</x:v>
      </x:c>
      <x:c r="K890" s="24" t="str">
        <x:v>heart; emotional center; peacemaker</x:v>
      </x:c>
      <x:c r="L890" s="24" t="str">
        <x:v>Preserve each source's ontology, culture, history, and terminology when making comparisons.</x:v>
      </x:c>
      <x:c r="M890" s="24" t="str">
        <x:v>Core Family</x:v>
      </x:c>
    </x:row>
    <x:row r="891" ht="44" customHeight="1">
      <x:c r="A891" s="24" t="str">
        <x:v>NAR-211</x:v>
      </x:c>
      <x:c r="B891" s="24" t="str">
        <x:v>Brains or Strategist</x:v>
      </x:c>
      <x:c r="C891" s="24" t="str">
        <x:v>Narrative Archetypes</x:v>
      </x:c>
      <x:c r="D891" s="24" t="str">
        <x:v>NAR-200</x:v>
      </x:c>
      <x:c r="E891" s="24" t="str">
        <x:f>IF(D891="","",IFERROR(VLOOKUP(D891,$A$2:$B$1656,2,FALSE),""))</x:f>
        <x:v>Companion, Mentor, and Party Archetypes</x:v>
      </x:c>
      <x:c r="F891" s="24" t="n">
        <x:v>3</x:v>
      </x:c>
      <x:c r="G891" s="24" t="str">
        <x:v>Member who contributes planning, scholarship, invention, or analysis rather than primary force.</x:v>
      </x:c>
      <x:c r="H891" s="24" t="str">
        <x:v>A character can occupy several narrative functions over time; record arc and point of view.</x:v>
      </x:c>
      <x:c r="I891" s="24" t="str">
        <x:v>brains; tactician; scholar</x:v>
      </x:c>
      <x:c r="J891" s="24" t="str">
        <x:v>Structures group chemistry, exposition, emotional balance, conflict, competence, and found family.</x:v>
      </x:c>
      <x:c r="K891" s="24" t="str">
        <x:v>brains; tactician; scholar</x:v>
      </x:c>
      <x:c r="L891" s="24" t="str">
        <x:v>Preserve each source's ontology, culture, history, and terminology when making comparisons.</x:v>
      </x:c>
      <x:c r="M891" s="24" t="str">
        <x:v>Core Family</x:v>
      </x:c>
    </x:row>
    <x:row r="892" ht="44" customHeight="1">
      <x:c r="A892" s="24" t="str">
        <x:v>NAR-212</x:v>
      </x:c>
      <x:c r="B892" s="24" t="str">
        <x:v>Muscle or Heavy</x:v>
      </x:c>
      <x:c r="C892" s="24" t="str">
        <x:v>Narrative Archetypes</x:v>
      </x:c>
      <x:c r="D892" s="24" t="str">
        <x:v>NAR-200</x:v>
      </x:c>
      <x:c r="E892" s="24" t="str">
        <x:f>IF(D892="","",IFERROR(VLOOKUP(D892,$A$2:$B$1656,2,FALSE),""))</x:f>
        <x:v>Companion, Mentor, and Party Archetypes</x:v>
      </x:c>
      <x:c r="F892" s="24" t="n">
        <x:v>3</x:v>
      </x:c>
      <x:c r="G892" s="24" t="str">
        <x:v>Member whose role is physical force, intimidation, carrying capacity, and protection.</x:v>
      </x:c>
      <x:c r="H892" s="24" t="str">
        <x:v>A character can occupy several narrative functions over time; record arc and point of view.</x:v>
      </x:c>
      <x:c r="I892" s="24" t="str">
        <x:v>muscle; bruiser; strong one</x:v>
      </x:c>
      <x:c r="J892" s="24" t="str">
        <x:v>Structures group chemistry, exposition, emotional balance, conflict, competence, and found family.</x:v>
      </x:c>
      <x:c r="K892" s="24" t="str">
        <x:v>muscle; bruiser; strong one</x:v>
      </x:c>
      <x:c r="L892" s="24" t="str">
        <x:v>Preserve each source's ontology, culture, history, and terminology when making comparisons.</x:v>
      </x:c>
      <x:c r="M892" s="24" t="str">
        <x:v>Core Family</x:v>
      </x:c>
    </x:row>
    <x:row r="893" ht="44" customHeight="1">
      <x:c r="A893" s="24" t="str">
        <x:v>NAR-213</x:v>
      </x:c>
      <x:c r="B893" s="24" t="str">
        <x:v>Healer or Caregiver</x:v>
      </x:c>
      <x:c r="C893" s="24" t="str">
        <x:v>Narrative Archetypes</x:v>
      </x:c>
      <x:c r="D893" s="24" t="str">
        <x:v>NAR-200</x:v>
      </x:c>
      <x:c r="E893" s="24" t="str">
        <x:f>IF(D893="","",IFERROR(VLOOKUP(D893,$A$2:$B$1656,2,FALSE),""))</x:f>
        <x:v>Companion, Mentor, and Party Archetypes</x:v>
      </x:c>
      <x:c r="F893" s="24" t="n">
        <x:v>3</x:v>
      </x:c>
      <x:c r="G893" s="24" t="str">
        <x:v>Member who restores bodies, morale, and relationships and often sees costs ignored by warriors.</x:v>
      </x:c>
      <x:c r="H893" s="24" t="str">
        <x:v>A character can occupy several narrative functions over time; record arc and point of view.</x:v>
      </x:c>
      <x:c r="I893" s="24" t="str">
        <x:v>healer; medic; caregiver</x:v>
      </x:c>
      <x:c r="J893" s="24" t="str">
        <x:v>Structures group chemistry, exposition, emotional balance, conflict, competence, and found family.</x:v>
      </x:c>
      <x:c r="K893" s="24" t="str">
        <x:v>healer; medic; caregiver</x:v>
      </x:c>
      <x:c r="L893" s="24" t="str">
        <x:v>Preserve each source's ontology, culture, history, and terminology when making comparisons.</x:v>
      </x:c>
      <x:c r="M893" s="24" t="str">
        <x:v>Core Family</x:v>
      </x:c>
    </x:row>
    <x:row r="894" ht="44" customHeight="1">
      <x:c r="A894" s="24" t="str">
        <x:v>NAR-214</x:v>
      </x:c>
      <x:c r="B894" s="24" t="str">
        <x:v>Rogue Specialist</x:v>
      </x:c>
      <x:c r="C894" s="24" t="str">
        <x:v>Narrative Archetypes</x:v>
      </x:c>
      <x:c r="D894" s="24" t="str">
        <x:v>NAR-200</x:v>
      </x:c>
      <x:c r="E894" s="24" t="str">
        <x:f>IF(D894="","",IFERROR(VLOOKUP(D894,$A$2:$B$1656,2,FALSE),""))</x:f>
        <x:v>Companion, Mentor, and Party Archetypes</x:v>
      </x:c>
      <x:c r="F894" s="24" t="n">
        <x:v>3</x:v>
      </x:c>
      <x:c r="G894" s="24" t="str">
        <x:v>Member who opens locks, scouts, infiltrates, deceives, and operates in morally flexible spaces.</x:v>
      </x:c>
      <x:c r="H894" s="24" t="str">
        <x:v>A character can occupy several narrative functions over time; record arc and point of view.</x:v>
      </x:c>
      <x:c r="I894" s="24" t="str">
        <x:v>rogue; thief; scout</x:v>
      </x:c>
      <x:c r="J894" s="24" t="str">
        <x:v>Structures group chemistry, exposition, emotional balance, conflict, competence, and found family.</x:v>
      </x:c>
      <x:c r="K894" s="24" t="str">
        <x:v>rogue; thief; scout</x:v>
      </x:c>
      <x:c r="L894" s="24" t="str">
        <x:v>Preserve each source's ontology, culture, history, and terminology when making comparisons.</x:v>
      </x:c>
      <x:c r="M894" s="24" t="str">
        <x:v>Core Family</x:v>
      </x:c>
    </x:row>
    <x:row r="895" ht="44" customHeight="1">
      <x:c r="A895" s="24" t="str">
        <x:v>NAR-215</x:v>
      </x:c>
      <x:c r="B895" s="24" t="str">
        <x:v>Mage Specialist</x:v>
      </x:c>
      <x:c r="C895" s="24" t="str">
        <x:v>Narrative Archetypes</x:v>
      </x:c>
      <x:c r="D895" s="24" t="str">
        <x:v>NAR-200</x:v>
      </x:c>
      <x:c r="E895" s="24" t="str">
        <x:f>IF(D895="","",IFERROR(VLOOKUP(D895,$A$2:$B$1656,2,FALSE),""))</x:f>
        <x:v>Companion, Mentor, and Party Archetypes</x:v>
      </x:c>
      <x:c r="F895" s="24" t="n">
        <x:v>3</x:v>
      </x:c>
      <x:c r="G895" s="24" t="str">
        <x:v>Member whose magic solves problems beyond ordinary physical capability and often introduces metaphysical risk.</x:v>
      </x:c>
      <x:c r="H895" s="24" t="str">
        <x:v>A character can occupy several narrative functions over time; record arc and point of view.</x:v>
      </x:c>
      <x:c r="I895" s="24" t="str">
        <x:v>wizard; caster; magical expert</x:v>
      </x:c>
      <x:c r="J895" s="24" t="str">
        <x:v>Structures group chemistry, exposition, emotional balance, conflict, competence, and found family.</x:v>
      </x:c>
      <x:c r="K895" s="24" t="str">
        <x:v>wizard; caster; magical expert</x:v>
      </x:c>
      <x:c r="L895" s="24" t="str">
        <x:v>Preserve each source's ontology, culture, history, and terminology when making comparisons.</x:v>
      </x:c>
      <x:c r="M895" s="24" t="str">
        <x:v>Core Family</x:v>
      </x:c>
    </x:row>
    <x:row r="896" ht="44" customHeight="1">
      <x:c r="A896" s="24" t="str">
        <x:v>NAR-216</x:v>
      </x:c>
      <x:c r="B896" s="24" t="str">
        <x:v>Comic Relief</x:v>
      </x:c>
      <x:c r="C896" s="24" t="str">
        <x:v>Narrative Archetypes</x:v>
      </x:c>
      <x:c r="D896" s="24" t="str">
        <x:v>NAR-200</x:v>
      </x:c>
      <x:c r="E896" s="24" t="str">
        <x:f>IF(D896="","",IFERROR(VLOOKUP(D896,$A$2:$B$1656,2,FALSE),""))</x:f>
        <x:v>Companion, Mentor, and Party Archetypes</x:v>
      </x:c>
      <x:c r="F896" s="24" t="n">
        <x:v>3</x:v>
      </x:c>
      <x:c r="G896" s="24" t="str">
        <x:v>Member who releases tension, exposes absurdity, humanizes the group, or masks deeper pain.</x:v>
      </x:c>
      <x:c r="H896" s="24" t="str">
        <x:v>A character can occupy several narrative functions over time; record arc and point of view.</x:v>
      </x:c>
      <x:c r="I896" s="24" t="str">
        <x:v>comic relief; fool; jester companion</x:v>
      </x:c>
      <x:c r="J896" s="24" t="str">
        <x:v>Structures group chemistry, exposition, emotional balance, conflict, competence, and found family.</x:v>
      </x:c>
      <x:c r="K896" s="24" t="str">
        <x:v>comic relief; fool; jester companion</x:v>
      </x:c>
      <x:c r="L896" s="24" t="str">
        <x:v>Preserve each source's ontology, culture, history, and terminology when making comparisons.</x:v>
      </x:c>
      <x:c r="M896" s="24" t="str">
        <x:v>Core Family</x:v>
      </x:c>
    </x:row>
    <x:row r="897" ht="44" customHeight="1">
      <x:c r="A897" s="24" t="str">
        <x:v>NAR-217</x:v>
      </x:c>
      <x:c r="B897" s="24" t="str">
        <x:v>Innocent or Child Figure</x:v>
      </x:c>
      <x:c r="C897" s="24" t="str">
        <x:v>Narrative Archetypes</x:v>
      </x:c>
      <x:c r="D897" s="24" t="str">
        <x:v>NAR-200</x:v>
      </x:c>
      <x:c r="E897" s="24" t="str">
        <x:f>IF(D897="","",IFERROR(VLOOKUP(D897,$A$2:$B$1656,2,FALSE),""))</x:f>
        <x:v>Companion, Mentor, and Party Archetypes</x:v>
      </x:c>
      <x:c r="F897" s="24" t="n">
        <x:v>3</x:v>
      </x:c>
      <x:c r="G897" s="24" t="str">
        <x:v>Member whose vulnerability, wonder, or moral clarity alters the group's behavior.</x:v>
      </x:c>
      <x:c r="H897" s="24" t="str">
        <x:v>A character can occupy several narrative functions over time; record arc and point of view.</x:v>
      </x:c>
      <x:c r="I897" s="24" t="str">
        <x:v>child companion; innocent; ward</x:v>
      </x:c>
      <x:c r="J897" s="24" t="str">
        <x:v>Structures group chemistry, exposition, emotional balance, conflict, competence, and found family.</x:v>
      </x:c>
      <x:c r="K897" s="24" t="str">
        <x:v>child companion; innocent; ward</x:v>
      </x:c>
      <x:c r="L897" s="24" t="str">
        <x:v>Preserve each source's ontology, culture, history, and terminology when making comparisons.</x:v>
      </x:c>
      <x:c r="M897" s="24" t="str">
        <x:v>Core Family</x:v>
      </x:c>
    </x:row>
    <x:row r="898" ht="44" customHeight="1">
      <x:c r="A898" s="24" t="str">
        <x:v>NAR-218</x:v>
      </x:c>
      <x:c r="B898" s="24" t="str">
        <x:v>Mascot Companion</x:v>
      </x:c>
      <x:c r="C898" s="24" t="str">
        <x:v>Narrative Archetypes</x:v>
      </x:c>
      <x:c r="D898" s="24" t="str">
        <x:v>NAR-200</x:v>
      </x:c>
      <x:c r="E898" s="24" t="str">
        <x:f>IF(D898="","",IFERROR(VLOOKUP(D898,$A$2:$B$1656,2,FALSE),""))</x:f>
        <x:v>Companion, Mentor, and Party Archetypes</x:v>
      </x:c>
      <x:c r="F898" s="24" t="n">
        <x:v>3</x:v>
      </x:c>
      <x:c r="G898" s="24" t="str">
        <x:v>Small, distinctive, often nonhuman ally serving emotional, comic, branding, or hidden-power functions.</x:v>
      </x:c>
      <x:c r="H898" s="24" t="str">
        <x:v>A character can occupy several narrative functions over time; record arc and point of view.</x:v>
      </x:c>
      <x:c r="I898" s="24" t="str">
        <x:v>mascot; familiar; cute companion</x:v>
      </x:c>
      <x:c r="J898" s="24" t="str">
        <x:v>Structures group chemistry, exposition, emotional balance, conflict, competence, and found family.</x:v>
      </x:c>
      <x:c r="K898" s="24" t="str">
        <x:v>mascot; familiar; cute companion</x:v>
      </x:c>
      <x:c r="L898" s="24" t="str">
        <x:v>Preserve each source's ontology, culture, history, and terminology when making comparisons.</x:v>
      </x:c>
      <x:c r="M898" s="24" t="str">
        <x:v>Core Family</x:v>
      </x:c>
    </x:row>
    <x:row r="899" ht="44" customHeight="1">
      <x:c r="A899" s="24" t="str">
        <x:v>NAR-219</x:v>
      </x:c>
      <x:c r="B899" s="24" t="str">
        <x:v>Animal Companion</x:v>
      </x:c>
      <x:c r="C899" s="24" t="str">
        <x:v>Narrative Archetypes</x:v>
      </x:c>
      <x:c r="D899" s="24" t="str">
        <x:v>NAR-200</x:v>
      </x:c>
      <x:c r="E899" s="24" t="str">
        <x:f>IF(D899="","",IFERROR(VLOOKUP(D899,$A$2:$B$1656,2,FALSE),""))</x:f>
        <x:v>Companion, Mentor, and Party Archetypes</x:v>
      </x:c>
      <x:c r="F899" s="24" t="n">
        <x:v>3</x:v>
      </x:c>
      <x:c r="G899" s="24" t="str">
        <x:v>Nonhuman ally whose bond with a character provides loyalty, senses, mobility, symbolism, or combat support.</x:v>
      </x:c>
      <x:c r="H899" s="24" t="str">
        <x:v>A character can occupy several narrative functions over time; record arc and point of view.</x:v>
      </x:c>
      <x:c r="I899" s="24" t="str">
        <x:v>animal companion; bonded beast; mount</x:v>
      </x:c>
      <x:c r="J899" s="24" t="str">
        <x:v>Structures group chemistry, exposition, emotional balance, conflict, competence, and found family.</x:v>
      </x:c>
      <x:c r="K899" s="24" t="str">
        <x:v>animal companion; bonded beast; mount</x:v>
      </x:c>
      <x:c r="L899" s="24" t="str">
        <x:v>Preserve each source's ontology, culture, history, and terminology when making comparisons.</x:v>
      </x:c>
      <x:c r="M899" s="24" t="str">
        <x:v>Core Family</x:v>
      </x:c>
    </x:row>
    <x:row r="900" ht="44" customHeight="1">
      <x:c r="A900" s="24" t="str">
        <x:v>NAR-220</x:v>
      </x:c>
      <x:c r="B900" s="24" t="str">
        <x:v>Rival</x:v>
      </x:c>
      <x:c r="C900" s="24" t="str">
        <x:v>Narrative Archetypes</x:v>
      </x:c>
      <x:c r="D900" s="24" t="str">
        <x:v>NAR-200</x:v>
      </x:c>
      <x:c r="E900" s="24" t="str">
        <x:f>IF(D900="","",IFERROR(VLOOKUP(D900,$A$2:$B$1656,2,FALSE),""))</x:f>
        <x:v>Companion, Mentor, and Party Archetypes</x:v>
      </x:c>
      <x:c r="F900" s="24" t="n">
        <x:v>3</x:v>
      </x:c>
      <x:c r="G900" s="24" t="str">
        <x:v>Character pursuing similar goals whose competition drives skill, identity, jealousy, or mutual recognition.</x:v>
      </x:c>
      <x:c r="H900" s="24" t="str">
        <x:v>A character can occupy several narrative functions over time; record arc and point of view.</x:v>
      </x:c>
      <x:c r="I900" s="24" t="str">
        <x:v>rival; competitor; opposing champion</x:v>
      </x:c>
      <x:c r="J900" s="24" t="str">
        <x:v>Structures group chemistry, exposition, emotional balance, conflict, competence, and found family.</x:v>
      </x:c>
      <x:c r="K900" s="24" t="str">
        <x:v>rival; competitor; opposing champion</x:v>
      </x:c>
      <x:c r="L900" s="24" t="str">
        <x:v>Preserve each source's ontology, culture, history, and terminology when making comparisons.</x:v>
      </x:c>
      <x:c r="M900" s="24" t="str">
        <x:v>Core Family</x:v>
      </x:c>
    </x:row>
    <x:row r="901" ht="44" customHeight="1">
      <x:c r="A901" s="24" t="str">
        <x:v>NAR-221</x:v>
      </x:c>
      <x:c r="B901" s="24" t="str">
        <x:v>Foil</x:v>
      </x:c>
      <x:c r="C901" s="24" t="str">
        <x:v>Narrative Archetypes</x:v>
      </x:c>
      <x:c r="D901" s="24" t="str">
        <x:v>NAR-200</x:v>
      </x:c>
      <x:c r="E901" s="24" t="str">
        <x:f>IF(D901="","",IFERROR(VLOOKUP(D901,$A$2:$B$1656,2,FALSE),""))</x:f>
        <x:v>Companion, Mentor, and Party Archetypes</x:v>
      </x:c>
      <x:c r="F901" s="24" t="n">
        <x:v>3</x:v>
      </x:c>
      <x:c r="G901" s="24" t="str">
        <x:v>Character constructed to highlight another character's traits through contrast or parallel.</x:v>
      </x:c>
      <x:c r="H901" s="24" t="str">
        <x:v>A character can occupy several narrative functions over time; record arc and point of view.</x:v>
      </x:c>
      <x:c r="I901" s="24" t="str">
        <x:v>foil; mirror character</x:v>
      </x:c>
      <x:c r="J901" s="24" t="str">
        <x:v>Structures group chemistry, exposition, emotional balance, conflict, competence, and found family.</x:v>
      </x:c>
      <x:c r="K901" s="24" t="str">
        <x:v>foil; mirror character</x:v>
      </x:c>
      <x:c r="L901" s="24" t="str">
        <x:v>Preserve each source's ontology, culture, history, and terminology when making comparisons.</x:v>
      </x:c>
      <x:c r="M901" s="24" t="str">
        <x:v>Core Family</x:v>
      </x:c>
    </x:row>
    <x:row r="902" ht="44" customHeight="1">
      <x:c r="A902" s="24" t="str">
        <x:v>NAR-222</x:v>
      </x:c>
      <x:c r="B902" s="24" t="str">
        <x:v>Ambiguous Ally</x:v>
      </x:c>
      <x:c r="C902" s="24" t="str">
        <x:v>Narrative Archetypes</x:v>
      </x:c>
      <x:c r="D902" s="24" t="str">
        <x:v>NAR-200</x:v>
      </x:c>
      <x:c r="E902" s="24" t="str">
        <x:f>IF(D902="","",IFERROR(VLOOKUP(D902,$A$2:$B$1656,2,FALSE),""))</x:f>
        <x:v>Companion, Mentor, and Party Archetypes</x:v>
      </x:c>
      <x:c r="F902" s="24" t="n">
        <x:v>3</x:v>
      </x:c>
      <x:c r="G902" s="24" t="str">
        <x:v>Helper whose motives, loyalties, identity, or future betrayal remain uncertain.</x:v>
      </x:c>
      <x:c r="H902" s="24" t="str">
        <x:v>A character can occupy several narrative functions over time; record arc and point of view.</x:v>
      </x:c>
      <x:c r="I902" s="24" t="str">
        <x:v>shapeshifter ally; questionable companion</x:v>
      </x:c>
      <x:c r="J902" s="24" t="str">
        <x:v>Structures group chemistry, exposition, emotional balance, conflict, competence, and found family.</x:v>
      </x:c>
      <x:c r="K902" s="24" t="str">
        <x:v>shapeshifter ally; questionable companion</x:v>
      </x:c>
      <x:c r="L902" s="24" t="str">
        <x:v>Preserve each source's ontology, culture, history, and terminology when making comparisons.</x:v>
      </x:c>
      <x:c r="M902" s="24" t="str">
        <x:v>Core Family</x:v>
      </x:c>
    </x:row>
    <x:row r="903" ht="44" customHeight="1">
      <x:c r="A903" s="24" t="str">
        <x:v>NAR-223</x:v>
      </x:c>
      <x:c r="B903" s="24" t="str">
        <x:v>Betrayer</x:v>
      </x:c>
      <x:c r="C903" s="24" t="str">
        <x:v>Narrative Archetypes</x:v>
      </x:c>
      <x:c r="D903" s="24" t="str">
        <x:v>NAR-200</x:v>
      </x:c>
      <x:c r="E903" s="24" t="str">
        <x:f>IF(D903="","",IFERROR(VLOOKUP(D903,$A$2:$B$1656,2,FALSE),""))</x:f>
        <x:v>Companion, Mentor, and Party Archetypes</x:v>
      </x:c>
      <x:c r="F903" s="24" t="n">
        <x:v>3</x:v>
      </x:c>
      <x:c r="G903" s="24" t="str">
        <x:v>Trusted member whose defection, deception, or divided loyalty reorganizes the conflict.</x:v>
      </x:c>
      <x:c r="H903" s="24" t="str">
        <x:v>A character can occupy several narrative functions over time; record arc and point of view.</x:v>
      </x:c>
      <x:c r="I903" s="24" t="str">
        <x:v>traitor; betrayer; turncoat</x:v>
      </x:c>
      <x:c r="J903" s="24" t="str">
        <x:v>Structures group chemistry, exposition, emotional balance, conflict, competence, and found family.</x:v>
      </x:c>
      <x:c r="K903" s="24" t="str">
        <x:v>traitor; betrayer; turncoat</x:v>
      </x:c>
      <x:c r="L903" s="24" t="str">
        <x:v>Preserve each source's ontology, culture, history, and terminology when making comparisons.</x:v>
      </x:c>
      <x:c r="M903" s="24" t="str">
        <x:v>Core Family</x:v>
      </x:c>
    </x:row>
    <x:row r="904" ht="44" customHeight="1">
      <x:c r="A904" s="24" t="str">
        <x:v>NAR-224</x:v>
      </x:c>
      <x:c r="B904" s="24" t="str">
        <x:v>Double Agent</x:v>
      </x:c>
      <x:c r="C904" s="24" t="str">
        <x:v>Narrative Archetypes</x:v>
      </x:c>
      <x:c r="D904" s="24" t="str">
        <x:v>NAR-200</x:v>
      </x:c>
      <x:c r="E904" s="24" t="str">
        <x:f>IF(D904="","",IFERROR(VLOOKUP(D904,$A$2:$B$1656,2,FALSE),""))</x:f>
        <x:v>Companion, Mentor, and Party Archetypes</x:v>
      </x:c>
      <x:c r="F904" s="24" t="n">
        <x:v>3</x:v>
      </x:c>
      <x:c r="G904" s="24" t="str">
        <x:v>Character simultaneously embedded in opposed factions, creating divided identity and information asymmetry.</x:v>
      </x:c>
      <x:c r="H904" s="24" t="str">
        <x:v>A character can occupy several narrative functions over time; record arc and point of view.</x:v>
      </x:c>
      <x:c r="I904" s="24" t="str">
        <x:v>double agent; mole; secret loyalist</x:v>
      </x:c>
      <x:c r="J904" s="24" t="str">
        <x:v>Structures group chemistry, exposition, emotional balance, conflict, competence, and found family.</x:v>
      </x:c>
      <x:c r="K904" s="24" t="str">
        <x:v>double agent; mole; secret loyalist</x:v>
      </x:c>
      <x:c r="L904" s="24" t="str">
        <x:v>Preserve each source's ontology, culture, history, and terminology when making comparisons.</x:v>
      </x:c>
      <x:c r="M904" s="24" t="str">
        <x:v>Core Family</x:v>
      </x:c>
    </x:row>
    <x:row r="905" ht="44" customHeight="1">
      <x:c r="A905" s="24" t="str">
        <x:v>NAR-225</x:v>
      </x:c>
      <x:c r="B905" s="24" t="str">
        <x:v>Redeemed Enemy Ally</x:v>
      </x:c>
      <x:c r="C905" s="24" t="str">
        <x:v>Narrative Archetypes</x:v>
      </x:c>
      <x:c r="D905" s="24" t="str">
        <x:v>NAR-200</x:v>
      </x:c>
      <x:c r="E905" s="24" t="str">
        <x:f>IF(D905="","",IFERROR(VLOOKUP(D905,$A$2:$B$1656,2,FALSE),""))</x:f>
        <x:v>Companion, Mentor, and Party Archetypes</x:v>
      </x:c>
      <x:c r="F905" s="24" t="n">
        <x:v>3</x:v>
      </x:c>
      <x:c r="G905" s="24" t="str">
        <x:v>Former opponent who joins the group and must negotiate trust, guilt, and different values.</x:v>
      </x:c>
      <x:c r="H905" s="24" t="str">
        <x:v>A character can occupy several narrative functions over time; record arc and point of view.</x:v>
      </x:c>
      <x:c r="I905" s="24" t="str">
        <x:v>enemy-to-ally; redeemed antagonist</x:v>
      </x:c>
      <x:c r="J905" s="24" t="str">
        <x:v>Structures group chemistry, exposition, emotional balance, conflict, competence, and found family.</x:v>
      </x:c>
      <x:c r="K905" s="24" t="str">
        <x:v>enemy-to-ally; redeemed antagonist</x:v>
      </x:c>
      <x:c r="L905" s="24" t="str">
        <x:v>Preserve each source's ontology, culture, history, and terminology when making comparisons.</x:v>
      </x:c>
      <x:c r="M905" s="24" t="str">
        <x:v>Core Family</x:v>
      </x:c>
    </x:row>
    <x:row r="906" ht="44" customHeight="1">
      <x:c r="A906" s="24" t="str">
        <x:v>NAR-226</x:v>
      </x:c>
      <x:c r="B906" s="24" t="str">
        <x:v>Old Friend from the Past</x:v>
      </x:c>
      <x:c r="C906" s="24" t="str">
        <x:v>Narrative Archetypes</x:v>
      </x:c>
      <x:c r="D906" s="24" t="str">
        <x:v>NAR-200</x:v>
      </x:c>
      <x:c r="E906" s="24" t="str">
        <x:f>IF(D906="","",IFERROR(VLOOKUP(D906,$A$2:$B$1656,2,FALSE),""))</x:f>
        <x:v>Companion, Mentor, and Party Archetypes</x:v>
      </x:c>
      <x:c r="F906" s="24" t="n">
        <x:v>3</x:v>
      </x:c>
      <x:c r="G906" s="24" t="str">
        <x:v>Character whose prior bond reveals history, unresolved debt, or a version of the protagonist before the story.</x:v>
      </x:c>
      <x:c r="H906" s="24" t="str">
        <x:v>A character can occupy several narrative functions over time; record arc and point of view.</x:v>
      </x:c>
      <x:c r="I906" s="24" t="str">
        <x:v>old companion; childhood friend; former comrade</x:v>
      </x:c>
      <x:c r="J906" s="24" t="str">
        <x:v>Structures group chemistry, exposition, emotional balance, conflict, competence, and found family.</x:v>
      </x:c>
      <x:c r="K906" s="24" t="str">
        <x:v>old companion; childhood friend; former comrade</x:v>
      </x:c>
      <x:c r="L906" s="24" t="str">
        <x:v>Preserve each source's ontology, culture, history, and terminology when making comparisons.</x:v>
      </x:c>
      <x:c r="M906" s="24" t="str">
        <x:v>Core Family</x:v>
      </x:c>
    </x:row>
    <x:row r="907" ht="44" customHeight="1">
      <x:c r="A907" s="24" t="str">
        <x:v>NAR-227</x:v>
      </x:c>
      <x:c r="B907" s="24" t="str">
        <x:v>Royal or Political Companion</x:v>
      </x:c>
      <x:c r="C907" s="24" t="str">
        <x:v>Narrative Archetypes</x:v>
      </x:c>
      <x:c r="D907" s="24" t="str">
        <x:v>NAR-200</x:v>
      </x:c>
      <x:c r="E907" s="24" t="str">
        <x:f>IF(D907="","",IFERROR(VLOOKUP(D907,$A$2:$B$1656,2,FALSE),""))</x:f>
        <x:v>Companion, Mentor, and Party Archetypes</x:v>
      </x:c>
      <x:c r="F907" s="24" t="n">
        <x:v>3</x:v>
      </x:c>
      <x:c r="G907" s="24" t="str">
        <x:v>Party member whose status connects the journey to governance, succession, diplomacy, or public legitimacy.</x:v>
      </x:c>
      <x:c r="H907" s="24" t="str">
        <x:v>A character can occupy several narrative functions over time; record arc and point of view.</x:v>
      </x:c>
      <x:c r="I907" s="24" t="str">
        <x:v>prince companion; noble hostage; envoy</x:v>
      </x:c>
      <x:c r="J907" s="24" t="str">
        <x:v>Structures group chemistry, exposition, emotional balance, conflict, competence, and found family.</x:v>
      </x:c>
      <x:c r="K907" s="24" t="str">
        <x:v>prince companion; noble hostage; envoy</x:v>
      </x:c>
      <x:c r="L907" s="24" t="str">
        <x:v>Preserve each source's ontology, culture, history, and terminology when making comparisons.</x:v>
      </x:c>
      <x:c r="M907" s="24" t="str">
        <x:v>Core Family</x:v>
      </x:c>
    </x:row>
    <x:row r="908" ht="44" customHeight="1">
      <x:c r="A908" s="24" t="str">
        <x:v>NAR-228</x:v>
      </x:c>
      <x:c r="B908" s="24" t="str">
        <x:v>Guide to the Otherworld</x:v>
      </x:c>
      <x:c r="C908" s="24" t="str">
        <x:v>Narrative Archetypes</x:v>
      </x:c>
      <x:c r="D908" s="24" t="str">
        <x:v>NAR-200</x:v>
      </x:c>
      <x:c r="E908" s="24" t="str">
        <x:f>IF(D908="","",IFERROR(VLOOKUP(D908,$A$2:$B$1656,2,FALSE),""))</x:f>
        <x:v>Companion, Mentor, and Party Archetypes</x:v>
      </x:c>
      <x:c r="F908" s="24" t="n">
        <x:v>3</x:v>
      </x:c>
      <x:c r="G908" s="24" t="str">
        <x:v>Local or liminal companion who interprets an unfamiliar culture, realm, species, or magical system.</x:v>
      </x:c>
      <x:c r="H908" s="24" t="str">
        <x:v>A character can occupy several narrative functions over time; record arc and point of view.</x:v>
      </x:c>
      <x:c r="I908" s="24" t="str">
        <x:v>guide; cultural mediator; Virgil figure</x:v>
      </x:c>
      <x:c r="J908" s="24" t="str">
        <x:v>Structures group chemistry, exposition, emotional balance, conflict, competence, and found family.</x:v>
      </x:c>
      <x:c r="K908" s="24" t="str">
        <x:v>guide; cultural mediator; Virgil figure</x:v>
      </x:c>
      <x:c r="L908" s="24" t="str">
        <x:v>Preserve each source's ontology, culture, history, and terminology when making comparisons.</x:v>
      </x:c>
      <x:c r="M908" s="24" t="str">
        <x:v>Core Family</x:v>
      </x:c>
    </x:row>
    <x:row r="909" ht="44" customHeight="1">
      <x:c r="A909" s="24" t="str">
        <x:v>NAR-229</x:v>
      </x:c>
      <x:c r="B909" s="24" t="str">
        <x:v>Chronicler</x:v>
      </x:c>
      <x:c r="C909" s="24" t="str">
        <x:v>Narrative Archetypes</x:v>
      </x:c>
      <x:c r="D909" s="24" t="str">
        <x:v>NAR-200</x:v>
      </x:c>
      <x:c r="E909" s="24" t="str">
        <x:f>IF(D909="","",IFERROR(VLOOKUP(D909,$A$2:$B$1656,2,FALSE),""))</x:f>
        <x:v>Companion, Mentor, and Party Archetypes</x:v>
      </x:c>
      <x:c r="F909" s="24" t="n">
        <x:v>3</x:v>
      </x:c>
      <x:c r="G909" s="24" t="str">
        <x:v>Companion who records, narrates, memorializes, or mythologizes the group's deeds.</x:v>
      </x:c>
      <x:c r="H909" s="24" t="str">
        <x:v>A character can occupy several narrative functions over time; record arc and point of view.</x:v>
      </x:c>
      <x:c r="I909" s="24" t="str">
        <x:v>chronicler; bard; witness</x:v>
      </x:c>
      <x:c r="J909" s="24" t="str">
        <x:v>Structures group chemistry, exposition, emotional balance, conflict, competence, and found family.</x:v>
      </x:c>
      <x:c r="K909" s="24" t="str">
        <x:v>chronicler; bard; witness</x:v>
      </x:c>
      <x:c r="L909" s="24" t="str">
        <x:v>Preserve each source's ontology, culture, history, and terminology when making comparisons.</x:v>
      </x:c>
      <x:c r="M909" s="24" t="str">
        <x:v>Core Family</x:v>
      </x:c>
    </x:row>
    <x:row r="910" ht="44" customHeight="1">
      <x:c r="A910" s="24" t="str">
        <x:v>NAR-230</x:v>
      </x:c>
      <x:c r="B910" s="24" t="str">
        <x:v>Party Leader</x:v>
      </x:c>
      <x:c r="C910" s="24" t="str">
        <x:v>Narrative Archetypes</x:v>
      </x:c>
      <x:c r="D910" s="24" t="str">
        <x:v>NAR-200</x:v>
      </x:c>
      <x:c r="E910" s="24" t="str">
        <x:f>IF(D910="","",IFERROR(VLOOKUP(D910,$A$2:$B$1656,2,FALSE),""))</x:f>
        <x:v>Companion, Mentor, and Party Archetypes</x:v>
      </x:c>
      <x:c r="F910" s="24" t="n">
        <x:v>3</x:v>
      </x:c>
      <x:c r="G910" s="24" t="str">
        <x:v>Member responsible for decisions, coordination, trust, and burden allocation rather than necessarily being strongest.</x:v>
      </x:c>
      <x:c r="H910" s="24" t="str">
        <x:v>A character can occupy several narrative functions over time; record arc and point of view.</x:v>
      </x:c>
      <x:c r="I910" s="24" t="str">
        <x:v>leader; captain; face</x:v>
      </x:c>
      <x:c r="J910" s="24" t="str">
        <x:v>Structures group chemistry, exposition, emotional balance, conflict, competence, and found family.</x:v>
      </x:c>
      <x:c r="K910" s="24" t="str">
        <x:v>leader; captain; face</x:v>
      </x:c>
      <x:c r="L910" s="24" t="str">
        <x:v>Preserve each source's ontology, culture, history, and terminology when making comparisons.</x:v>
      </x:c>
      <x:c r="M910" s="24" t="str">
        <x:v>Core Family</x:v>
      </x:c>
    </x:row>
    <x:row r="911" ht="44" customHeight="1">
      <x:c r="A911" s="24" t="str">
        <x:v>NAR-231</x:v>
      </x:c>
      <x:c r="B911" s="24" t="str">
        <x:v>The Fellowship</x:v>
      </x:c>
      <x:c r="C911" s="24" t="str">
        <x:v>Narrative Archetypes</x:v>
      </x:c>
      <x:c r="D911" s="24" t="str">
        <x:v>NAR-200</x:v>
      </x:c>
      <x:c r="E911" s="24" t="str">
        <x:f>IF(D911="","",IFERROR(VLOOKUP(D911,$A$2:$B$1656,2,FALSE),""))</x:f>
        <x:v>Companion, Mentor, and Party Archetypes</x:v>
      </x:c>
      <x:c r="F911" s="24" t="n">
        <x:v>3</x:v>
      </x:c>
      <x:c r="G911" s="24" t="str">
        <x:v>Complementary group united by a shared quest, oath, threat, or artifact-bearing mission.</x:v>
      </x:c>
      <x:c r="H911" s="24" t="str">
        <x:v>A character can occupy several narrative functions over time; record arc and point of view.</x:v>
      </x:c>
      <x:c r="I911" s="24" t="str">
        <x:v>fellowship; hero party; adventuring band</x:v>
      </x:c>
      <x:c r="J911" s="24" t="str">
        <x:v>Structures group chemistry, exposition, emotional balance, conflict, competence, and found family.</x:v>
      </x:c>
      <x:c r="K911" s="24" t="str">
        <x:v>fellowship; hero party; adventuring band</x:v>
      </x:c>
      <x:c r="L911" s="24" t="str">
        <x:v>Preserve each source's ontology, culture, history, and terminology when making comparisons.</x:v>
      </x:c>
      <x:c r="M911" s="24" t="str">
        <x:v>Core Family</x:v>
      </x:c>
    </x:row>
    <x:row r="912" ht="44" customHeight="1">
      <x:c r="A912" s="24" t="str">
        <x:v>NAR-232</x:v>
      </x:c>
      <x:c r="B912" s="24" t="str">
        <x:v>Found Family</x:v>
      </x:c>
      <x:c r="C912" s="24" t="str">
        <x:v>Narrative Archetypes</x:v>
      </x:c>
      <x:c r="D912" s="24" t="str">
        <x:v>NAR-200</x:v>
      </x:c>
      <x:c r="E912" s="24" t="str">
        <x:f>IF(D912="","",IFERROR(VLOOKUP(D912,$A$2:$B$1656,2,FALSE),""))</x:f>
        <x:v>Companion, Mentor, and Party Archetypes</x:v>
      </x:c>
      <x:c r="F912" s="24" t="n">
        <x:v>3</x:v>
      </x:c>
      <x:c r="G912" s="24" t="str">
        <x:v>Group whose emotional bonds become a substitute or alternative to biological kinship.</x:v>
      </x:c>
      <x:c r="H912" s="24" t="str">
        <x:v>A character can occupy several narrative functions over time; record arc and point of view.</x:v>
      </x:c>
      <x:c r="I912" s="24" t="str">
        <x:v>found family; chosen family; crew</x:v>
      </x:c>
      <x:c r="J912" s="24" t="str">
        <x:v>Structures group chemistry, exposition, emotional balance, conflict, competence, and found family.</x:v>
      </x:c>
      <x:c r="K912" s="24" t="str">
        <x:v>found family; chosen family; crew</x:v>
      </x:c>
      <x:c r="L912" s="24" t="str">
        <x:v>Preserve each source's ontology, culture, history, and terminology when making comparisons.</x:v>
      </x:c>
      <x:c r="M912" s="24" t="str">
        <x:v>Core Family</x:v>
      </x:c>
    </x:row>
    <x:row r="913" ht="44" customHeight="1">
      <x:c r="A913" s="24" t="str">
        <x:v>NAR-233</x:v>
      </x:c>
      <x:c r="B913" s="24" t="str">
        <x:v>Dysfunctional Party</x:v>
      </x:c>
      <x:c r="C913" s="24" t="str">
        <x:v>Narrative Archetypes</x:v>
      </x:c>
      <x:c r="D913" s="24" t="str">
        <x:v>NAR-200</x:v>
      </x:c>
      <x:c r="E913" s="24" t="str">
        <x:f>IF(D913="","",IFERROR(VLOOKUP(D913,$A$2:$B$1656,2,FALSE),""))</x:f>
        <x:v>Companion, Mentor, and Party Archetypes</x:v>
      </x:c>
      <x:c r="F913" s="24" t="n">
        <x:v>3</x:v>
      </x:c>
      <x:c r="G913" s="24" t="str">
        <x:v>Group held together by necessity despite conflict, secrecy, incompatible values, or unstable roles.</x:v>
      </x:c>
      <x:c r="H913" s="24" t="str">
        <x:v>A character can occupy several narrative functions over time; record arc and point of view.</x:v>
      </x:c>
      <x:c r="I913" s="24" t="str">
        <x:v>ragtag band; broken fellowship; reluctant allies</x:v>
      </x:c>
      <x:c r="J913" s="24" t="str">
        <x:v>Structures group chemistry, exposition, emotional balance, conflict, competence, and found family.</x:v>
      </x:c>
      <x:c r="K913" s="24" t="str">
        <x:v>ragtag band; broken fellowship; reluctant allies</x:v>
      </x:c>
      <x:c r="L913" s="24" t="str">
        <x:v>Preserve each source's ontology, culture, history, and terminology when making comparisons.</x:v>
      </x:c>
      <x:c r="M913" s="24" t="str">
        <x:v>Core Family</x:v>
      </x:c>
    </x:row>
    <x:row r="914" ht="44" customHeight="1">
      <x:c r="A914" s="24" t="str">
        <x:v>NAR-234</x:v>
      </x:c>
      <x:c r="B914" s="24" t="str">
        <x:v>Rotating Ensemble</x:v>
      </x:c>
      <x:c r="C914" s="24" t="str">
        <x:v>Narrative Archetypes</x:v>
      </x:c>
      <x:c r="D914" s="24" t="str">
        <x:v>NAR-200</x:v>
      </x:c>
      <x:c r="E914" s="24" t="str">
        <x:f>IF(D914="","",IFERROR(VLOOKUP(D914,$A$2:$B$1656,2,FALSE),""))</x:f>
        <x:v>Companion, Mentor, and Party Archetypes</x:v>
      </x:c>
      <x:c r="F914" s="24" t="n">
        <x:v>3</x:v>
      </x:c>
      <x:c r="G914" s="24" t="str">
        <x:v>Narrative structure where party membership changes across arcs, locations, generations, or strategic needs.</x:v>
      </x:c>
      <x:c r="H914" s="24" t="str">
        <x:v>A character can occupy several narrative functions over time; record arc and point of view.</x:v>
      </x:c>
      <x:c r="I914" s="24" t="str">
        <x:v>rotating cast; recruitable party</x:v>
      </x:c>
      <x:c r="J914" s="24" t="str">
        <x:v>Structures group chemistry, exposition, emotional balance, conflict, competence, and found family.</x:v>
      </x:c>
      <x:c r="K914" s="24" t="str">
        <x:v>rotating cast; recruitable party</x:v>
      </x:c>
      <x:c r="L914" s="24" t="str">
        <x:v>Preserve each source's ontology, culture, history, and terminology when making comparisons.</x:v>
      </x:c>
      <x:c r="M914" s="24" t="str">
        <x:v>Core Family</x:v>
      </x:c>
    </x:row>
    <x:row r="915" ht="44" customHeight="1">
      <x:c r="A915" s="24" t="str">
        <x:v>NAR-235</x:v>
      </x:c>
      <x:c r="B915" s="24" t="str">
        <x:v>Generational Fellowship</x:v>
      </x:c>
      <x:c r="C915" s="24" t="str">
        <x:v>Narrative Archetypes</x:v>
      </x:c>
      <x:c r="D915" s="24" t="str">
        <x:v>NAR-200</x:v>
      </x:c>
      <x:c r="E915" s="24" t="str">
        <x:f>IF(D915="","",IFERROR(VLOOKUP(D915,$A$2:$B$1656,2,FALSE),""))</x:f>
        <x:v>Companion, Mentor, and Party Archetypes</x:v>
      </x:c>
      <x:c r="F915" s="24" t="n">
        <x:v>3</x:v>
      </x:c>
      <x:c r="G915" s="24" t="str">
        <x:v>Quest or conflict carried by successors, descendants, reincarnations, or multiple eras of heroes.</x:v>
      </x:c>
      <x:c r="H915" s="24" t="str">
        <x:v>A character can occupy several narrative functions over time; record arc and point of view.</x:v>
      </x:c>
      <x:c r="I915" s="24" t="str">
        <x:v>legacy party; generational saga</x:v>
      </x:c>
      <x:c r="J915" s="24" t="str">
        <x:v>Structures group chemistry, exposition, emotional balance, conflict, competence, and found family.</x:v>
      </x:c>
      <x:c r="K915" s="24" t="str">
        <x:v>legacy party; generational saga</x:v>
      </x:c>
      <x:c r="L915" s="24" t="str">
        <x:v>Preserve each source's ontology, culture, history, and terminology when making comparisons.</x:v>
      </x:c>
      <x:c r="M915" s="24" t="str">
        <x:v>Core Family</x:v>
      </x:c>
    </x:row>
    <x:row r="916" ht="44" customHeight="1">
      <x:c r="A916" s="24" t="str">
        <x:v>NAR-301</x:v>
      </x:c>
      <x:c r="B916" s="24" t="str">
        <x:v>Dark Lord</x:v>
      </x:c>
      <x:c r="C916" s="24" t="str">
        <x:v>Narrative Archetypes</x:v>
      </x:c>
      <x:c r="D916" s="24" t="str">
        <x:v>NAR-300</x:v>
      </x:c>
      <x:c r="E916" s="24" t="str">
        <x:f>IF(D916="","",IFERROR(VLOOKUP(D916,$A$2:$B$1656,2,FALSE),""))</x:f>
        <x:v>Antagonist and Threat Archetypes</x:v>
      </x:c>
      <x:c r="F916" s="24" t="n">
        <x:v>3</x:v>
      </x:c>
      <x:c r="G916" s="24" t="str">
        <x:v>Central sovereign antagonist embodying domination, conquest, corruption, or concentrated metaphysical evil.</x:v>
      </x:c>
      <x:c r="H916" s="24" t="str">
        <x:v>A character can occupy several narrative functions over time; record arc and point of view.</x:v>
      </x:c>
      <x:c r="I916" s="24" t="str">
        <x:v>dark lord; shadow king; evil overlord</x:v>
      </x:c>
      <x:c r="J916" s="24" t="str">
        <x:v>Structures conflict, fear, political critique, temptation, apocalypse, and moral contrast.</x:v>
      </x:c>
      <x:c r="K916" s="24" t="str">
        <x:v>dark lord; shadow king; evil overlord</x:v>
      </x:c>
      <x:c r="L916" s="24" t="str">
        <x:v>Preserve each source's ontology, culture, history, and terminology when making comparisons.</x:v>
      </x:c>
      <x:c r="M916" s="24" t="str">
        <x:v>Core Family</x:v>
      </x:c>
    </x:row>
    <x:row r="917" ht="44" customHeight="1">
      <x:c r="A917" s="24" t="str">
        <x:v>NAR-302</x:v>
      </x:c>
      <x:c r="B917" s="24" t="str">
        <x:v>Demon Lord</x:v>
      </x:c>
      <x:c r="C917" s="24" t="str">
        <x:v>Narrative Archetypes</x:v>
      </x:c>
      <x:c r="D917" s="24" t="str">
        <x:v>NAR-300</x:v>
      </x:c>
      <x:c r="E917" s="24" t="str">
        <x:f>IF(D917="","",IFERROR(VLOOKUP(D917,$A$2:$B$1656,2,FALSE),""))</x:f>
        <x:v>Antagonist and Threat Archetypes</x:v>
      </x:c>
      <x:c r="F917" s="24" t="n">
        <x:v>3</x:v>
      </x:c>
      <x:c r="G917" s="24" t="str">
        <x:v>Antagonist ruling demons, monsters, or a dark realm and often positioned against a designated hero.</x:v>
      </x:c>
      <x:c r="H917" s="24" t="str">
        <x:v>A character can occupy several narrative functions over time; record arc and point of view.</x:v>
      </x:c>
      <x:c r="I917" s="24" t="str">
        <x:v>demon king; maou; archfiend ruler</x:v>
      </x:c>
      <x:c r="J917" s="24" t="str">
        <x:v>Structures conflict, fear, political critique, temptation, apocalypse, and moral contrast.</x:v>
      </x:c>
      <x:c r="K917" s="24" t="str">
        <x:v>demon king; maou; archfiend ruler</x:v>
      </x:c>
      <x:c r="L917" s="24" t="str">
        <x:v>Preserve each source's ontology, culture, history, and terminology when making comparisons.</x:v>
      </x:c>
      <x:c r="M917" s="24" t="str">
        <x:v>Core Family</x:v>
      </x:c>
    </x:row>
    <x:row r="918" ht="44" customHeight="1">
      <x:c r="A918" s="24" t="str">
        <x:v>NAR-303</x:v>
      </x:c>
      <x:c r="B918" s="24" t="str">
        <x:v>Tyrant</x:v>
      </x:c>
      <x:c r="C918" s="24" t="str">
        <x:v>Narrative Archetypes</x:v>
      </x:c>
      <x:c r="D918" s="24" t="str">
        <x:v>NAR-300</x:v>
      </x:c>
      <x:c r="E918" s="24" t="str">
        <x:f>IF(D918="","",IFERROR(VLOOKUP(D918,$A$2:$B$1656,2,FALSE),""))</x:f>
        <x:v>Antagonist and Threat Archetypes</x:v>
      </x:c>
      <x:c r="F918" s="24" t="n">
        <x:v>3</x:v>
      </x:c>
      <x:c r="G918" s="24" t="str">
        <x:v>Ruler whose oppression, fear, extraction, and violence define the political conflict.</x:v>
      </x:c>
      <x:c r="H918" s="24" t="str">
        <x:v>A character can occupy several narrative functions over time; record arc and point of view.</x:v>
      </x:c>
      <x:c r="I918" s="24" t="str">
        <x:v>tyrant; despot; cruel king</x:v>
      </x:c>
      <x:c r="J918" s="24" t="str">
        <x:v>Structures conflict, fear, political critique, temptation, apocalypse, and moral contrast.</x:v>
      </x:c>
      <x:c r="K918" s="24" t="str">
        <x:v>tyrant; despot; cruel king</x:v>
      </x:c>
      <x:c r="L918" s="24" t="str">
        <x:v>Preserve each source's ontology, culture, history, and terminology when making comparisons.</x:v>
      </x:c>
      <x:c r="M918" s="24" t="str">
        <x:v>Core Family</x:v>
      </x:c>
    </x:row>
    <x:row r="919" ht="44" customHeight="1">
      <x:c r="A919" s="24" t="str">
        <x:v>NAR-304</x:v>
      </x:c>
      <x:c r="B919" s="24" t="str">
        <x:v>Usurper</x:v>
      </x:c>
      <x:c r="C919" s="24" t="str">
        <x:v>Narrative Archetypes</x:v>
      </x:c>
      <x:c r="D919" s="24" t="str">
        <x:v>NAR-300</x:v>
      </x:c>
      <x:c r="E919" s="24" t="str">
        <x:f>IF(D919="","",IFERROR(VLOOKUP(D919,$A$2:$B$1656,2,FALSE),""))</x:f>
        <x:v>Antagonist and Threat Archetypes</x:v>
      </x:c>
      <x:c r="F919" s="24" t="n">
        <x:v>3</x:v>
      </x:c>
      <x:c r="G919" s="24" t="str">
        <x:v>Figure who has seized a throne, title, identity, or sacred office considered illegitimate.</x:v>
      </x:c>
      <x:c r="H919" s="24" t="str">
        <x:v>A character can occupy several narrative functions over time; record arc and point of view.</x:v>
      </x:c>
      <x:c r="I919" s="24" t="str">
        <x:v>usurper; false king; throne thief</x:v>
      </x:c>
      <x:c r="J919" s="24" t="str">
        <x:v>Structures conflict, fear, political critique, temptation, apocalypse, and moral contrast.</x:v>
      </x:c>
      <x:c r="K919" s="24" t="str">
        <x:v>usurper; false king; throne thief</x:v>
      </x:c>
      <x:c r="L919" s="24" t="str">
        <x:v>Preserve each source's ontology, culture, history, and terminology when making comparisons.</x:v>
      </x:c>
      <x:c r="M919" s="24" t="str">
        <x:v>Core Family</x:v>
      </x:c>
    </x:row>
    <x:row r="920" ht="44" customHeight="1">
      <x:c r="A920" s="24" t="str">
        <x:v>NAR-305</x:v>
      </x:c>
      <x:c r="B920" s="24" t="str">
        <x:v>Witch Queen or Sorcerous Sovereign</x:v>
      </x:c>
      <x:c r="C920" s="24" t="str">
        <x:v>Narrative Archetypes</x:v>
      </x:c>
      <x:c r="D920" s="24" t="str">
        <x:v>NAR-300</x:v>
      </x:c>
      <x:c r="E920" s="24" t="str">
        <x:f>IF(D920="","",IFERROR(VLOOKUP(D920,$A$2:$B$1656,2,FALSE),""))</x:f>
        <x:v>Antagonist and Threat Archetypes</x:v>
      </x:c>
      <x:c r="F920" s="24" t="n">
        <x:v>3</x:v>
      </x:c>
      <x:c r="G920" s="24" t="str">
        <x:v>Powerful female-coded ruler whose magic, autonomy, sexuality, age, or ambition is framed as threat or fascination.</x:v>
      </x:c>
      <x:c r="H920" s="24" t="str">
        <x:v>A character can occupy several narrative functions over time; record arc and point of view.</x:v>
      </x:c>
      <x:c r="I920" s="24" t="str">
        <x:v>witch queen; sorceress-empress; ice queen</x:v>
      </x:c>
      <x:c r="J920" s="24" t="str">
        <x:v>Structures conflict, fear, political critique, temptation, apocalypse, and moral contrast.</x:v>
      </x:c>
      <x:c r="K920" s="24" t="str">
        <x:v>witch queen; sorceress-empress; ice queen</x:v>
      </x:c>
      <x:c r="L920" s="24" t="str">
        <x:v>Analyze gendered framing rather than treating the archetype as a neutral villain type.</x:v>
      </x:c>
      <x:c r="M920" s="24" t="str">
        <x:v>Core Family</x:v>
      </x:c>
    </x:row>
    <x:row r="921" ht="44" customHeight="1">
      <x:c r="A921" s="24" t="str">
        <x:v>NAR-306</x:v>
      </x:c>
      <x:c r="B921" s="24" t="str">
        <x:v>Necromancer King</x:v>
      </x:c>
      <x:c r="C921" s="24" t="str">
        <x:v>Narrative Archetypes</x:v>
      </x:c>
      <x:c r="D921" s="24" t="str">
        <x:v>NAR-300</x:v>
      </x:c>
      <x:c r="E921" s="24" t="str">
        <x:f>IF(D921="","",IFERROR(VLOOKUP(D921,$A$2:$B$1656,2,FALSE),""))</x:f>
        <x:v>Antagonist and Threat Archetypes</x:v>
      </x:c>
      <x:c r="F921" s="24" t="n">
        <x:v>3</x:v>
      </x:c>
      <x:c r="G921" s="24" t="str">
        <x:v>Ruler whose sovereignty rests on undeath, death magic, tomb empires, or armies of the dead.</x:v>
      </x:c>
      <x:c r="H921" s="24" t="str">
        <x:v>A character can occupy several narrative functions over time; record arc and point of view.</x:v>
      </x:c>
      <x:c r="I921" s="24" t="str">
        <x:v>lich king; necromancer lord; death emperor</x:v>
      </x:c>
      <x:c r="J921" s="24" t="str">
        <x:v>Structures conflict, fear, political critique, temptation, apocalypse, and moral contrast.</x:v>
      </x:c>
      <x:c r="K921" s="24" t="str">
        <x:v>lich king; necromancer lord; death emperor</x:v>
      </x:c>
      <x:c r="L921" s="24" t="str">
        <x:v>Preserve each source's ontology, culture, history, and terminology when making comparisons.</x:v>
      </x:c>
      <x:c r="M921" s="24" t="str">
        <x:v>Core Family</x:v>
      </x:c>
    </x:row>
    <x:row r="922" ht="44" customHeight="1">
      <x:c r="A922" s="24" t="str">
        <x:v>NAR-307</x:v>
      </x:c>
      <x:c r="B922" s="24" t="str">
        <x:v>Fallen God</x:v>
      </x:c>
      <x:c r="C922" s="24" t="str">
        <x:v>Narrative Archetypes</x:v>
      </x:c>
      <x:c r="D922" s="24" t="str">
        <x:v>NAR-300</x:v>
      </x:c>
      <x:c r="E922" s="24" t="str">
        <x:f>IF(D922="","",IFERROR(VLOOKUP(D922,$A$2:$B$1656,2,FALSE),""))</x:f>
        <x:v>Antagonist and Threat Archetypes</x:v>
      </x:c>
      <x:c r="F922" s="24" t="n">
        <x:v>3</x:v>
      </x:c>
      <x:c r="G922" s="24" t="str">
        <x:v>Former or diminished deity whose grievance, corruption, exile, or return threatens the world.</x:v>
      </x:c>
      <x:c r="H922" s="24" t="str">
        <x:v>A character can occupy several narrative functions over time; record arc and point of view.</x:v>
      </x:c>
      <x:c r="I922" s="24" t="str">
        <x:v>fallen deity; mad god; imprisoned god</x:v>
      </x:c>
      <x:c r="J922" s="24" t="str">
        <x:v>Structures conflict, fear, political critique, temptation, apocalypse, and moral contrast.</x:v>
      </x:c>
      <x:c r="K922" s="24" t="str">
        <x:v>fallen deity; mad god; imprisoned god</x:v>
      </x:c>
      <x:c r="L922" s="24" t="str">
        <x:v>Preserve each source's ontology, culture, history, and terminology when making comparisons.</x:v>
      </x:c>
      <x:c r="M922" s="24" t="str">
        <x:v>Core Family</x:v>
      </x:c>
    </x:row>
    <x:row r="923" ht="44" customHeight="1">
      <x:c r="A923" s="24" t="str">
        <x:v>NAR-308</x:v>
      </x:c>
      <x:c r="B923" s="24" t="str">
        <x:v>Ancient Evil</x:v>
      </x:c>
      <x:c r="C923" s="24" t="str">
        <x:v>Narrative Archetypes</x:v>
      </x:c>
      <x:c r="D923" s="24" t="str">
        <x:v>NAR-300</x:v>
      </x:c>
      <x:c r="E923" s="24" t="str">
        <x:f>IF(D923="","",IFERROR(VLOOKUP(D923,$A$2:$B$1656,2,FALSE),""))</x:f>
        <x:v>Antagonist and Threat Archetypes</x:v>
      </x:c>
      <x:c r="F923" s="24" t="n">
        <x:v>3</x:v>
      </x:c>
      <x:c r="G923" s="24" t="str">
        <x:v>Threat from a prior age whose return reveals suppressed history and unfinished conflict.</x:v>
      </x:c>
      <x:c r="H923" s="24" t="str">
        <x:v>A character can occupy several narrative functions over time; record arc and point of view.</x:v>
      </x:c>
      <x:c r="I923" s="24" t="str">
        <x:v>ancient evil; elder darkness; old enemy</x:v>
      </x:c>
      <x:c r="J923" s="24" t="str">
        <x:v>Structures conflict, fear, political critique, temptation, apocalypse, and moral contrast.</x:v>
      </x:c>
      <x:c r="K923" s="24" t="str">
        <x:v>ancient evil; elder darkness; old enemy</x:v>
      </x:c>
      <x:c r="L923" s="24" t="str">
        <x:v>Preserve each source's ontology, culture, history, and terminology when making comparisons.</x:v>
      </x:c>
      <x:c r="M923" s="24" t="str">
        <x:v>Core Family</x:v>
      </x:c>
    </x:row>
    <x:row r="924" ht="44" customHeight="1">
      <x:c r="A924" s="24" t="str">
        <x:v>NAR-309</x:v>
      </x:c>
      <x:c r="B924" s="24" t="str">
        <x:v>Sealed Evil</x:v>
      </x:c>
      <x:c r="C924" s="24" t="str">
        <x:v>Narrative Archetypes</x:v>
      </x:c>
      <x:c r="D924" s="24" t="str">
        <x:v>NAR-300</x:v>
      </x:c>
      <x:c r="E924" s="24" t="str">
        <x:f>IF(D924="","",IFERROR(VLOOKUP(D924,$A$2:$B$1656,2,FALSE),""))</x:f>
        <x:v>Antagonist and Threat Archetypes</x:v>
      </x:c>
      <x:c r="F924" s="24" t="n">
        <x:v>3</x:v>
      </x:c>
      <x:c r="G924" s="24" t="str">
        <x:v>Antagonist contained rather than destroyed and released through error, design, or cyclical necessity.</x:v>
      </x:c>
      <x:c r="H924" s="24" t="str">
        <x:v>A character can occupy several narrative functions over time; record arc and point of view.</x:v>
      </x:c>
      <x:c r="I924" s="24" t="str">
        <x:v>sealed demon; sleeping evil; broken prison</x:v>
      </x:c>
      <x:c r="J924" s="24" t="str">
        <x:v>Structures conflict, fear, political critique, temptation, apocalypse, and moral contrast.</x:v>
      </x:c>
      <x:c r="K924" s="24" t="str">
        <x:v>sealed demon; sleeping evil; broken prison</x:v>
      </x:c>
      <x:c r="L924" s="24" t="str">
        <x:v>Preserve each source's ontology, culture, history, and terminology when making comparisons.</x:v>
      </x:c>
      <x:c r="M924" s="24" t="str">
        <x:v>Core Family</x:v>
      </x:c>
    </x:row>
    <x:row r="925" ht="44" customHeight="1">
      <x:c r="A925" s="24" t="str">
        <x:v>NAR-310</x:v>
      </x:c>
      <x:c r="B925" s="24" t="str">
        <x:v>Cosmic Horror</x:v>
      </x:c>
      <x:c r="C925" s="24" t="str">
        <x:v>Narrative Archetypes</x:v>
      </x:c>
      <x:c r="D925" s="24" t="str">
        <x:v>NAR-300</x:v>
      </x:c>
      <x:c r="E925" s="24" t="str">
        <x:f>IF(D925="","",IFERROR(VLOOKUP(D925,$A$2:$B$1656,2,FALSE),""))</x:f>
        <x:v>Antagonist and Threat Archetypes</x:v>
      </x:c>
      <x:c r="F925" s="24" t="n">
        <x:v>3</x:v>
      </x:c>
      <x:c r="G925" s="24" t="str">
        <x:v>Threat whose ontology, scale, or indifference destabilizes ordinary identity, morality, and comprehension.</x:v>
      </x:c>
      <x:c r="H925" s="24" t="str">
        <x:v>A character can occupy several narrative functions over time; record arc and point of view.</x:v>
      </x:c>
      <x:c r="I925" s="24" t="str">
        <x:v>eldritch threat; outer god; incomprehensible enemy</x:v>
      </x:c>
      <x:c r="J925" s="24" t="str">
        <x:v>Structures conflict, fear, political critique, temptation, apocalypse, and moral contrast.</x:v>
      </x:c>
      <x:c r="K925" s="24" t="str">
        <x:v>eldritch threat; outer god; incomprehensible enemy</x:v>
      </x:c>
      <x:c r="L925" s="24" t="str">
        <x:v>Preserve each source's ontology, culture, history, and terminology when making comparisons.</x:v>
      </x:c>
      <x:c r="M925" s="24" t="str">
        <x:v>Core Family</x:v>
      </x:c>
    </x:row>
    <x:row r="926" ht="44" customHeight="1">
      <x:c r="A926" s="24" t="str">
        <x:v>NAR-311</x:v>
      </x:c>
      <x:c r="B926" s="24" t="str">
        <x:v>Corrupting Artifact</x:v>
      </x:c>
      <x:c r="C926" s="24" t="str">
        <x:v>Narrative Archetypes</x:v>
      </x:c>
      <x:c r="D926" s="24" t="str">
        <x:v>NAR-300</x:v>
      </x:c>
      <x:c r="E926" s="24" t="str">
        <x:f>IF(D926="","",IFERROR(VLOOKUP(D926,$A$2:$B$1656,2,FALSE),""))</x:f>
        <x:v>Antagonist and Threat Archetypes</x:v>
      </x:c>
      <x:c r="F926" s="24" t="n">
        <x:v>3</x:v>
      </x:c>
      <x:c r="G926" s="24" t="str">
        <x:v>Object that tempts, dominates, transforms, or concentrates destructive power around its bearer.</x:v>
      </x:c>
      <x:c r="H926" s="24" t="str">
        <x:v>A character can occupy several narrative functions over time; record arc and point of view.</x:v>
      </x:c>
      <x:c r="I926" s="24" t="str">
        <x:v>cursed ring; evil sword; dark relic</x:v>
      </x:c>
      <x:c r="J926" s="24" t="str">
        <x:v>Structures conflict, fear, political critique, temptation, apocalypse, and moral contrast.</x:v>
      </x:c>
      <x:c r="K926" s="24" t="str">
        <x:v>cursed ring; evil sword; dark relic</x:v>
      </x:c>
      <x:c r="L926" s="24" t="str">
        <x:v>Preserve each source's ontology, culture, history, and terminology when making comparisons.</x:v>
      </x:c>
      <x:c r="M926" s="24" t="str">
        <x:v>Core Family</x:v>
      </x:c>
    </x:row>
    <x:row r="927" ht="44" customHeight="1">
      <x:c r="A927" s="24" t="str">
        <x:v>NAR-312</x:v>
      </x:c>
      <x:c r="B927" s="24" t="str">
        <x:v>Corrupted Hero Antagonist</x:v>
      </x:c>
      <x:c r="C927" s="24" t="str">
        <x:v>Narrative Archetypes</x:v>
      </x:c>
      <x:c r="D927" s="24" t="str">
        <x:v>NAR-300</x:v>
      </x:c>
      <x:c r="E927" s="24" t="str">
        <x:f>IF(D927="","",IFERROR(VLOOKUP(D927,$A$2:$B$1656,2,FALSE),""))</x:f>
        <x:v>Antagonist and Threat Archetypes</x:v>
      </x:c>
      <x:c r="F927" s="24" t="n">
        <x:v>3</x:v>
      </x:c>
      <x:c r="G927" s="24" t="str">
        <x:v>Former champion now serving the enemy, curse, ideology, or power they once opposed.</x:v>
      </x:c>
      <x:c r="H927" s="24" t="str">
        <x:v>A character can occupy several narrative functions over time; record arc and point of view.</x:v>
      </x:c>
      <x:c r="I927" s="24" t="str">
        <x:v>fallen champion; dark mirror; corrupted paladin</x:v>
      </x:c>
      <x:c r="J927" s="24" t="str">
        <x:v>Structures conflict, fear, political critique, temptation, apocalypse, and moral contrast.</x:v>
      </x:c>
      <x:c r="K927" s="24" t="str">
        <x:v>fallen champion; dark mirror; corrupted paladin</x:v>
      </x:c>
      <x:c r="L927" s="24" t="str">
        <x:v>Preserve each source's ontology, culture, history, and terminology when making comparisons.</x:v>
      </x:c>
      <x:c r="M927" s="24" t="str">
        <x:v>Core Family</x:v>
      </x:c>
    </x:row>
    <x:row r="928" ht="44" customHeight="1">
      <x:c r="A928" s="24" t="str">
        <x:v>NAR-313</x:v>
      </x:c>
      <x:c r="B928" s="24" t="str">
        <x:v>Mirror Rival</x:v>
      </x:c>
      <x:c r="C928" s="24" t="str">
        <x:v>Narrative Archetypes</x:v>
      </x:c>
      <x:c r="D928" s="24" t="str">
        <x:v>NAR-300</x:v>
      </x:c>
      <x:c r="E928" s="24" t="str">
        <x:f>IF(D928="","",IFERROR(VLOOKUP(D928,$A$2:$B$1656,2,FALSE),""))</x:f>
        <x:v>Antagonist and Threat Archetypes</x:v>
      </x:c>
      <x:c r="F928" s="24" t="n">
        <x:v>3</x:v>
      </x:c>
      <x:c r="G928" s="24" t="str">
        <x:v>Antagonist with parallel origin, power, or goal who embodies the protagonist's rejected path.</x:v>
      </x:c>
      <x:c r="H928" s="24" t="str">
        <x:v>A character can occupy several narrative functions over time; record arc and point of view.</x:v>
      </x:c>
      <x:c r="I928" s="24" t="str">
        <x:v>dark reflection; rival; shadow self</x:v>
      </x:c>
      <x:c r="J928" s="24" t="str">
        <x:v>Structures conflict, fear, political critique, temptation, apocalypse, and moral contrast.</x:v>
      </x:c>
      <x:c r="K928" s="24" t="str">
        <x:v>dark reflection; rival; shadow self</x:v>
      </x:c>
      <x:c r="L928" s="24" t="str">
        <x:v>Preserve each source's ontology, culture, history, and terminology when making comparisons.</x:v>
      </x:c>
      <x:c r="M928" s="24" t="str">
        <x:v>Core Family</x:v>
      </x:c>
    </x:row>
    <x:row r="929" ht="44" customHeight="1">
      <x:c r="A929" s="24" t="str">
        <x:v>NAR-314</x:v>
      </x:c>
      <x:c r="B929" s="24" t="str">
        <x:v>Dragon Adversary</x:v>
      </x:c>
      <x:c r="C929" s="24" t="str">
        <x:v>Narrative Archetypes</x:v>
      </x:c>
      <x:c r="D929" s="24" t="str">
        <x:v>NAR-300</x:v>
      </x:c>
      <x:c r="E929" s="24" t="str">
        <x:f>IF(D929="","",IFERROR(VLOOKUP(D929,$A$2:$B$1656,2,FALSE),""))</x:f>
        <x:v>Antagonist and Threat Archetypes</x:v>
      </x:c>
      <x:c r="F929" s="24" t="n">
        <x:v>3</x:v>
      </x:c>
      <x:c r="G929" s="24" t="str">
        <x:v>Dragon functioning as hoarder, destroyer, tyrant, ecological catastrophe, or final trial.</x:v>
      </x:c>
      <x:c r="H929" s="24" t="str">
        <x:v>A character can occupy several narrative functions over time; record arc and point of view.</x:v>
      </x:c>
      <x:c r="I929" s="24" t="str">
        <x:v>dragon villain; wyrm tyrant</x:v>
      </x:c>
      <x:c r="J929" s="24" t="str">
        <x:v>Structures conflict, fear, political critique, temptation, apocalypse, and moral contrast.</x:v>
      </x:c>
      <x:c r="K929" s="24" t="str">
        <x:v>dragon villain; wyrm tyrant</x:v>
      </x:c>
      <x:c r="L929" s="24" t="str">
        <x:v>Preserve each source's ontology, culture, history, and terminology when making comparisons.</x:v>
      </x:c>
      <x:c r="M929" s="24" t="str">
        <x:v>Core Family</x:v>
      </x:c>
    </x:row>
    <x:row r="930" ht="44" customHeight="1">
      <x:c r="A930" s="24" t="str">
        <x:v>NAR-315</x:v>
      </x:c>
      <x:c r="B930" s="24" t="str">
        <x:v>Dragon Mentor or Hidden Sovereign</x:v>
      </x:c>
      <x:c r="C930" s="24" t="str">
        <x:v>Narrative Archetypes</x:v>
      </x:c>
      <x:c r="D930" s="24" t="str">
        <x:v>NAR-300</x:v>
      </x:c>
      <x:c r="E930" s="24" t="str">
        <x:f>IF(D930="","",IFERROR(VLOOKUP(D930,$A$2:$B$1656,2,FALSE),""))</x:f>
        <x:v>Antagonist and Threat Archetypes</x:v>
      </x:c>
      <x:c r="F930" s="24" t="n">
        <x:v>3</x:v>
      </x:c>
      <x:c r="G930" s="24" t="str">
        <x:v>Dragon whose age and power make it patron, teacher, judge, ruler, or morally ambiguous custodian.</x:v>
      </x:c>
      <x:c r="H930" s="24" t="str">
        <x:v>A character can occupy several narrative functions over time; record arc and point of view.</x:v>
      </x:c>
      <x:c r="I930" s="24" t="str">
        <x:v>wise dragon; dragon patron</x:v>
      </x:c>
      <x:c r="J930" s="24" t="str">
        <x:v>Structures conflict, fear, political critique, temptation, apocalypse, and moral contrast.</x:v>
      </x:c>
      <x:c r="K930" s="24" t="str">
        <x:v>wise dragon; dragon patron</x:v>
      </x:c>
      <x:c r="L930" s="24" t="str">
        <x:v>Preserve each source's ontology, culture, history, and terminology when making comparisons.</x:v>
      </x:c>
      <x:c r="M930" s="24" t="str">
        <x:v>Core Family</x:v>
      </x:c>
    </x:row>
    <x:row r="931" ht="44" customHeight="1">
      <x:c r="A931" s="24" t="str">
        <x:v>NAR-316</x:v>
      </x:c>
      <x:c r="B931" s="24" t="str">
        <x:v>Monster Horde</x:v>
      </x:c>
      <x:c r="C931" s="24" t="str">
        <x:v>Narrative Archetypes</x:v>
      </x:c>
      <x:c r="D931" s="24" t="str">
        <x:v>NAR-300</x:v>
      </x:c>
      <x:c r="E931" s="24" t="str">
        <x:f>IF(D931="","",IFERROR(VLOOKUP(D931,$A$2:$B$1656,2,FALSE),""))</x:f>
        <x:v>Antagonist and Threat Archetypes</x:v>
      </x:c>
      <x:c r="F931" s="24" t="n">
        <x:v>3</x:v>
      </x:c>
      <x:c r="G931" s="24" t="str">
        <x:v>Mass antagonist framed as overwhelming, depersonalized, reproducing, invading, or civilizationally alien.</x:v>
      </x:c>
      <x:c r="H931" s="24" t="str">
        <x:v>A character can occupy several narrative functions over time; record arc and point of view.</x:v>
      </x:c>
      <x:c r="I931" s="24" t="str">
        <x:v>horde; swarm; monster army</x:v>
      </x:c>
      <x:c r="J931" s="24" t="str">
        <x:v>Structures conflict, fear, political critique, temptation, apocalypse, and moral contrast.</x:v>
      </x:c>
      <x:c r="K931" s="24" t="str">
        <x:v>horde; swarm; monster army</x:v>
      </x:c>
      <x:c r="L931" s="24" t="str">
        <x:v>Examine dehumanization and racial coding when peoples are rendered as anonymous hordes.</x:v>
      </x:c>
      <x:c r="M931" s="24" t="str">
        <x:v>Core Family</x:v>
      </x:c>
    </x:row>
    <x:row r="932" ht="44" customHeight="1">
      <x:c r="A932" s="24" t="str">
        <x:v>NAR-317</x:v>
      </x:c>
      <x:c r="B932" s="24" t="str">
        <x:v>Evil Empire</x:v>
      </x:c>
      <x:c r="C932" s="24" t="str">
        <x:v>Narrative Archetypes</x:v>
      </x:c>
      <x:c r="D932" s="24" t="str">
        <x:v>NAR-300</x:v>
      </x:c>
      <x:c r="E932" s="24" t="str">
        <x:f>IF(D932="","",IFERROR(VLOOKUP(D932,$A$2:$B$1656,2,FALSE),""))</x:f>
        <x:v>Antagonist and Threat Archetypes</x:v>
      </x:c>
      <x:c r="F932" s="24" t="n">
        <x:v>3</x:v>
      </x:c>
      <x:c r="G932" s="24" t="str">
        <x:v>Expansionist state whose institutions, army, ideology, and extraction produce the conflict.</x:v>
      </x:c>
      <x:c r="H932" s="24" t="str">
        <x:v>A character can occupy several narrative functions over time; record arc and point of view.</x:v>
      </x:c>
      <x:c r="I932" s="24" t="str">
        <x:v>dark empire; imperial antagonist</x:v>
      </x:c>
      <x:c r="J932" s="24" t="str">
        <x:v>Structures conflict, fear, political critique, temptation, apocalypse, and moral contrast.</x:v>
      </x:c>
      <x:c r="K932" s="24" t="str">
        <x:v>dark empire; imperial antagonist</x:v>
      </x:c>
      <x:c r="L932" s="24" t="str">
        <x:v>Preserve each source's ontology, culture, history, and terminology when making comparisons.</x:v>
      </x:c>
      <x:c r="M932" s="24" t="str">
        <x:v>Core Family</x:v>
      </x:c>
    </x:row>
    <x:row r="933" ht="44" customHeight="1">
      <x:c r="A933" s="24" t="str">
        <x:v>NAR-318</x:v>
      </x:c>
      <x:c r="B933" s="24" t="str">
        <x:v>Decadent Court</x:v>
      </x:c>
      <x:c r="C933" s="24" t="str">
        <x:v>Narrative Archetypes</x:v>
      </x:c>
      <x:c r="D933" s="24" t="str">
        <x:v>NAR-300</x:v>
      </x:c>
      <x:c r="E933" s="24" t="str">
        <x:f>IF(D933="","",IFERROR(VLOOKUP(D933,$A$2:$B$1656,2,FALSE),""))</x:f>
        <x:v>Antagonist and Threat Archetypes</x:v>
      </x:c>
      <x:c r="F933" s="24" t="n">
        <x:v>3</x:v>
      </x:c>
      <x:c r="G933" s="24" t="str">
        <x:v>Elite political order whose corruption, intrigue, spectacle, and detachment endanger society.</x:v>
      </x:c>
      <x:c r="H933" s="24" t="str">
        <x:v>A character can occupy several narrative functions over time; record arc and point of view.</x:v>
      </x:c>
      <x:c r="I933" s="24" t="str">
        <x:v>corrupt court; decadent aristocracy</x:v>
      </x:c>
      <x:c r="J933" s="24" t="str">
        <x:v>Structures conflict, fear, political critique, temptation, apocalypse, and moral contrast.</x:v>
      </x:c>
      <x:c r="K933" s="24" t="str">
        <x:v>corrupt court; decadent aristocracy</x:v>
      </x:c>
      <x:c r="L933" s="24" t="str">
        <x:v>Preserve each source's ontology, culture, history, and terminology when making comparisons.</x:v>
      </x:c>
      <x:c r="M933" s="24" t="str">
        <x:v>Core Family</x:v>
      </x:c>
    </x:row>
    <x:row r="934" ht="44" customHeight="1">
      <x:c r="A934" s="24" t="str">
        <x:v>NAR-319</x:v>
      </x:c>
      <x:c r="B934" s="24" t="str">
        <x:v>Fanatical Theocracy</x:v>
      </x:c>
      <x:c r="C934" s="24" t="str">
        <x:v>Narrative Archetypes</x:v>
      </x:c>
      <x:c r="D934" s="24" t="str">
        <x:v>NAR-300</x:v>
      </x:c>
      <x:c r="E934" s="24" t="str">
        <x:f>IF(D934="","",IFERROR(VLOOKUP(D934,$A$2:$B$1656,2,FALSE),""))</x:f>
        <x:v>Antagonist and Threat Archetypes</x:v>
      </x:c>
      <x:c r="F934" s="24" t="n">
        <x:v>3</x:v>
      </x:c>
      <x:c r="G934" s="24" t="str">
        <x:v>Religious state or movement whose certainty licenses persecution, war, or suppression.</x:v>
      </x:c>
      <x:c r="H934" s="24" t="str">
        <x:v>A character can occupy several narrative functions over time; record arc and point of view.</x:v>
      </x:c>
      <x:c r="I934" s="24" t="str">
        <x:v>zealot regime; holy empire</x:v>
      </x:c>
      <x:c r="J934" s="24" t="str">
        <x:v>Structures conflict, fear, political critique, temptation, apocalypse, and moral contrast.</x:v>
      </x:c>
      <x:c r="K934" s="24" t="str">
        <x:v>zealot regime; holy empire</x:v>
      </x:c>
      <x:c r="L934" s="24" t="str">
        <x:v>Preserve each source's ontology, culture, history, and terminology when making comparisons.</x:v>
      </x:c>
      <x:c r="M934" s="24" t="str">
        <x:v>Core Family</x:v>
      </x:c>
    </x:row>
    <x:row r="935" ht="44" customHeight="1">
      <x:c r="A935" s="24" t="str">
        <x:v>NAR-320</x:v>
      </x:c>
      <x:c r="B935" s="24" t="str">
        <x:v>Mage Tyranny</x:v>
      </x:c>
      <x:c r="C935" s="24" t="str">
        <x:v>Narrative Archetypes</x:v>
      </x:c>
      <x:c r="D935" s="24" t="str">
        <x:v>NAR-300</x:v>
      </x:c>
      <x:c r="E935" s="24" t="str">
        <x:f>IF(D935="","",IFERROR(VLOOKUP(D935,$A$2:$B$1656,2,FALSE),""))</x:f>
        <x:v>Antagonist and Threat Archetypes</x:v>
      </x:c>
      <x:c r="F935" s="24" t="n">
        <x:v>3</x:v>
      </x:c>
      <x:c r="G935" s="24" t="str">
        <x:v>Rule by magic users who monopolize supernatural power and subordinate nonusers.</x:v>
      </x:c>
      <x:c r="H935" s="24" t="str">
        <x:v>A character can occupy several narrative functions over time; record arc and point of view.</x:v>
      </x:c>
      <x:c r="I935" s="24" t="str">
        <x:v>mageocracy villain; sorcerer caste</x:v>
      </x:c>
      <x:c r="J935" s="24" t="str">
        <x:v>Structures conflict, fear, political critique, temptation, apocalypse, and moral contrast.</x:v>
      </x:c>
      <x:c r="K935" s="24" t="str">
        <x:v>mageocracy villain; sorcerer caste</x:v>
      </x:c>
      <x:c r="L935" s="24" t="str">
        <x:v>Preserve each source's ontology, culture, history, and terminology when making comparisons.</x:v>
      </x:c>
      <x:c r="M935" s="24" t="str">
        <x:v>Core Family</x:v>
      </x:c>
    </x:row>
    <x:row r="936" ht="44" customHeight="1">
      <x:c r="A936" s="24" t="str">
        <x:v>NAR-321</x:v>
      </x:c>
      <x:c r="B936" s="24" t="str">
        <x:v>Machine or Construct Overlord</x:v>
      </x:c>
      <x:c r="C936" s="24" t="str">
        <x:v>Narrative Archetypes</x:v>
      </x:c>
      <x:c r="D936" s="24" t="str">
        <x:v>NAR-300</x:v>
      </x:c>
      <x:c r="E936" s="24" t="str">
        <x:f>IF(D936="","",IFERROR(VLOOKUP(D936,$A$2:$B$1656,2,FALSE),""))</x:f>
        <x:v>Antagonist and Threat Archetypes</x:v>
      </x:c>
      <x:c r="F936" s="24" t="n">
        <x:v>3</x:v>
      </x:c>
      <x:c r="G936" s="24" t="str">
        <x:v>Artificial intelligence, golem ruler, dungeon core, or automated system that dominates living beings.</x:v>
      </x:c>
      <x:c r="H936" s="24" t="str">
        <x:v>A character can occupy several narrative functions over time; record arc and point of view.</x:v>
      </x:c>
      <x:c r="I936" s="24" t="str">
        <x:v>machine lord; construct tyrant; control system</x:v>
      </x:c>
      <x:c r="J936" s="24" t="str">
        <x:v>Structures conflict, fear, political critique, temptation, apocalypse, and moral contrast.</x:v>
      </x:c>
      <x:c r="K936" s="24" t="str">
        <x:v>machine lord; construct tyrant; control system</x:v>
      </x:c>
      <x:c r="L936" s="24" t="str">
        <x:v>Preserve each source's ontology, culture, history, and terminology when making comparisons.</x:v>
      </x:c>
      <x:c r="M936" s="24" t="str">
        <x:v>Core Family</x:v>
      </x:c>
    </x:row>
    <x:row r="937" ht="44" customHeight="1">
      <x:c r="A937" s="24" t="str">
        <x:v>NAR-322</x:v>
      </x:c>
      <x:c r="B937" s="24" t="str">
        <x:v>Hive Mind Threat</x:v>
      </x:c>
      <x:c r="C937" s="24" t="str">
        <x:v>Narrative Archetypes</x:v>
      </x:c>
      <x:c r="D937" s="24" t="str">
        <x:v>NAR-300</x:v>
      </x:c>
      <x:c r="E937" s="24" t="str">
        <x:f>IF(D937="","",IFERROR(VLOOKUP(D937,$A$2:$B$1656,2,FALSE),""))</x:f>
        <x:v>Antagonist and Threat Archetypes</x:v>
      </x:c>
      <x:c r="F937" s="24" t="n">
        <x:v>3</x:v>
      </x:c>
      <x:c r="G937" s="24" t="str">
        <x:v>Collective intelligence that erases individuality, assimilates populations, or overwhelms through coordination.</x:v>
      </x:c>
      <x:c r="H937" s="24" t="str">
        <x:v>A character can occupy several narrative functions over time; record arc and point of view.</x:v>
      </x:c>
      <x:c r="I937" s="24" t="str">
        <x:v>hive mind; swarm queen; collective enemy</x:v>
      </x:c>
      <x:c r="J937" s="24" t="str">
        <x:v>Structures conflict, fear, political critique, temptation, apocalypse, and moral contrast.</x:v>
      </x:c>
      <x:c r="K937" s="24" t="str">
        <x:v>hive mind; swarm queen; collective enemy</x:v>
      </x:c>
      <x:c r="L937" s="24" t="str">
        <x:v>Preserve each source's ontology, culture, history, and terminology when making comparisons.</x:v>
      </x:c>
      <x:c r="M937" s="24" t="str">
        <x:v>Core Family</x:v>
      </x:c>
    </x:row>
    <x:row r="938" ht="44" customHeight="1">
      <x:c r="A938" s="24" t="str">
        <x:v>NAR-323</x:v>
      </x:c>
      <x:c r="B938" s="24" t="str">
        <x:v>Plague or Corruption</x:v>
      </x:c>
      <x:c r="C938" s="24" t="str">
        <x:v>Narrative Archetypes</x:v>
      </x:c>
      <x:c r="D938" s="24" t="str">
        <x:v>NAR-300</x:v>
      </x:c>
      <x:c r="E938" s="24" t="str">
        <x:f>IF(D938="","",IFERROR(VLOOKUP(D938,$A$2:$B$1656,2,FALSE),""))</x:f>
        <x:v>Antagonist and Threat Archetypes</x:v>
      </x:c>
      <x:c r="F938" s="24" t="n">
        <x:v>3</x:v>
      </x:c>
      <x:c r="G938" s="24" t="str">
        <x:v>Impersonal spreading threat that transforms bodies, landscapes, institutions, and loyalties.</x:v>
      </x:c>
      <x:c r="H938" s="24" t="str">
        <x:v>A character can occupy several narrative functions over time; record arc and point of view.</x:v>
      </x:c>
      <x:c r="I938" s="24" t="str">
        <x:v>blight; plague; taint; corruption</x:v>
      </x:c>
      <x:c r="J938" s="24" t="str">
        <x:v>Structures conflict, fear, political critique, temptation, apocalypse, and moral contrast.</x:v>
      </x:c>
      <x:c r="K938" s="24" t="str">
        <x:v>blight; plague; taint; corruption</x:v>
      </x:c>
      <x:c r="L938" s="24" t="str">
        <x:v>Preserve each source's ontology, culture, history, and terminology when making comparisons.</x:v>
      </x:c>
      <x:c r="M938" s="24" t="str">
        <x:v>Core Family</x:v>
      </x:c>
    </x:row>
    <x:row r="939" ht="44" customHeight="1">
      <x:c r="A939" s="24" t="str">
        <x:v>NAR-324</x:v>
      </x:c>
      <x:c r="B939" s="24" t="str">
        <x:v>False Savior</x:v>
      </x:c>
      <x:c r="C939" s="24" t="str">
        <x:v>Narrative Archetypes</x:v>
      </x:c>
      <x:c r="D939" s="24" t="str">
        <x:v>NAR-300</x:v>
      </x:c>
      <x:c r="E939" s="24" t="str">
        <x:f>IF(D939="","",IFERROR(VLOOKUP(D939,$A$2:$B$1656,2,FALSE),""))</x:f>
        <x:v>Antagonist and Threat Archetypes</x:v>
      </x:c>
      <x:c r="F939" s="24" t="n">
        <x:v>3</x:v>
      </x:c>
      <x:c r="G939" s="24" t="str">
        <x:v>Charismatic figure claiming or appearing to save society while advancing domination, sacrifice, or deception.</x:v>
      </x:c>
      <x:c r="H939" s="24" t="str">
        <x:v>A character can occupy several narrative functions over time; record arc and point of view.</x:v>
      </x:c>
      <x:c r="I939" s="24" t="str">
        <x:v>false messiah; benevolent tyrant; savior villain</x:v>
      </x:c>
      <x:c r="J939" s="24" t="str">
        <x:v>Structures conflict, fear, political critique, temptation, apocalypse, and moral contrast.</x:v>
      </x:c>
      <x:c r="K939" s="24" t="str">
        <x:v>false messiah; benevolent tyrant; savior villain</x:v>
      </x:c>
      <x:c r="L939" s="24" t="str">
        <x:v>Preserve each source's ontology, culture, history, and terminology when making comparisons.</x:v>
      </x:c>
      <x:c r="M939" s="24" t="str">
        <x:v>Core Family</x:v>
      </x:c>
    </x:row>
    <x:row r="940" ht="44" customHeight="1">
      <x:c r="A940" s="24" t="str">
        <x:v>NAR-325</x:v>
      </x:c>
      <x:c r="B940" s="24" t="str">
        <x:v>Cult Leader</x:v>
      </x:c>
      <x:c r="C940" s="24" t="str">
        <x:v>Narrative Archetypes</x:v>
      </x:c>
      <x:c r="D940" s="24" t="str">
        <x:v>NAR-300</x:v>
      </x:c>
      <x:c r="E940" s="24" t="str">
        <x:f>IF(D940="","",IFERROR(VLOOKUP(D940,$A$2:$B$1656,2,FALSE),""))</x:f>
        <x:v>Antagonist and Threat Archetypes</x:v>
      </x:c>
      <x:c r="F940" s="24" t="n">
        <x:v>3</x:v>
      </x:c>
      <x:c r="G940" s="24" t="str">
        <x:v>Antagonist who converts devotion, secrecy, charisma, and ritual into power and control.</x:v>
      </x:c>
      <x:c r="H940" s="24" t="str">
        <x:v>A character can occupy several narrative functions over time; record arc and point of view.</x:v>
      </x:c>
      <x:c r="I940" s="24" t="str">
        <x:v>cult leader; prophet villain; high priest</x:v>
      </x:c>
      <x:c r="J940" s="24" t="str">
        <x:v>Structures conflict, fear, political critique, temptation, apocalypse, and moral contrast.</x:v>
      </x:c>
      <x:c r="K940" s="24" t="str">
        <x:v>cult leader; prophet villain; high priest</x:v>
      </x:c>
      <x:c r="L940" s="24" t="str">
        <x:v>Preserve each source's ontology, culture, history, and terminology when making comparisons.</x:v>
      </x:c>
      <x:c r="M940" s="24" t="str">
        <x:v>Core Family</x:v>
      </x:c>
    </x:row>
    <x:row r="941" ht="44" customHeight="1">
      <x:c r="A941" s="24" t="str">
        <x:v>NAR-326</x:v>
      </x:c>
      <x:c r="B941" s="24" t="str">
        <x:v>Mad Wizard</x:v>
      </x:c>
      <x:c r="C941" s="24" t="str">
        <x:v>Narrative Archetypes</x:v>
      </x:c>
      <x:c r="D941" s="24" t="str">
        <x:v>NAR-300</x:v>
      </x:c>
      <x:c r="E941" s="24" t="str">
        <x:f>IF(D941="","",IFERROR(VLOOKUP(D941,$A$2:$B$1656,2,FALSE),""))</x:f>
        <x:v>Antagonist and Threat Archetypes</x:v>
      </x:c>
      <x:c r="F941" s="24" t="n">
        <x:v>3</x:v>
      </x:c>
      <x:c r="G941" s="24" t="str">
        <x:v>Powerful practitioner whose obsession, isolation, grief, ideology, or experiment threatens others.</x:v>
      </x:c>
      <x:c r="H941" s="24" t="str">
        <x:v>A character can occupy several narrative functions over time; record arc and point of view.</x:v>
      </x:c>
      <x:c r="I941" s="24" t="str">
        <x:v>mad mage; reckless artificer; forbidden scholar</x:v>
      </x:c>
      <x:c r="J941" s="24" t="str">
        <x:v>Structures conflict, fear, political critique, temptation, apocalypse, and moral contrast.</x:v>
      </x:c>
      <x:c r="K941" s="24" t="str">
        <x:v>mad mage; reckless artificer; forbidden scholar</x:v>
      </x:c>
      <x:c r="L941" s="24" t="str">
        <x:v>Avoid equating mental illness with evil; identify the actual motive and narrative mechanism.</x:v>
      </x:c>
      <x:c r="M941" s="24" t="str">
        <x:v>Core Family</x:v>
      </x:c>
    </x:row>
    <x:row r="942" ht="44" customHeight="1">
      <x:c r="A942" s="24" t="str">
        <x:v>NAR-327</x:v>
      </x:c>
      <x:c r="B942" s="24" t="str">
        <x:v>Trickster Antagonist</x:v>
      </x:c>
      <x:c r="C942" s="24" t="str">
        <x:v>Narrative Archetypes</x:v>
      </x:c>
      <x:c r="D942" s="24" t="str">
        <x:v>NAR-300</x:v>
      </x:c>
      <x:c r="E942" s="24" t="str">
        <x:f>IF(D942="","",IFERROR(VLOOKUP(D942,$A$2:$B$1656,2,FALSE),""))</x:f>
        <x:v>Antagonist and Threat Archetypes</x:v>
      </x:c>
      <x:c r="F942" s="24" t="n">
        <x:v>3</x:v>
      </x:c>
      <x:c r="G942" s="24" t="str">
        <x:v>Opponent who destabilizes through riddles, deception, games, contracts, or humiliation rather than conquest.</x:v>
      </x:c>
      <x:c r="H942" s="24" t="str">
        <x:v>A character can occupy several narrative functions over time; record arc and point of view.</x:v>
      </x:c>
      <x:c r="I942" s="24" t="str">
        <x:v>trickster villain; fae adversary; game master</x:v>
      </x:c>
      <x:c r="J942" s="24" t="str">
        <x:v>Structures conflict, fear, political critique, temptation, apocalypse, and moral contrast.</x:v>
      </x:c>
      <x:c r="K942" s="24" t="str">
        <x:v>trickster villain; fae adversary; game master</x:v>
      </x:c>
      <x:c r="L942" s="24" t="str">
        <x:v>Preserve each source's ontology, culture, history, and terminology when making comparisons.</x:v>
      </x:c>
      <x:c r="M942" s="24" t="str">
        <x:v>Core Family</x:v>
      </x:c>
    </x:row>
    <x:row r="943" ht="44" customHeight="1">
      <x:c r="A943" s="24" t="str">
        <x:v>NAR-328</x:v>
      </x:c>
      <x:c r="B943" s="24" t="str">
        <x:v>Predatory Aristocrat</x:v>
      </x:c>
      <x:c r="C943" s="24" t="str">
        <x:v>Narrative Archetypes</x:v>
      </x:c>
      <x:c r="D943" s="24" t="str">
        <x:v>NAR-300</x:v>
      </x:c>
      <x:c r="E943" s="24" t="str">
        <x:f>IF(D943="","",IFERROR(VLOOKUP(D943,$A$2:$B$1656,2,FALSE),""))</x:f>
        <x:v>Antagonist and Threat Archetypes</x:v>
      </x:c>
      <x:c r="F943" s="24" t="n">
        <x:v>3</x:v>
      </x:c>
      <x:c r="G943" s="24" t="str">
        <x:v>Elite antagonist who consumes, exploits, hunts, or treats others as property, often coded as vampire or decadent noble.</x:v>
      </x:c>
      <x:c r="H943" s="24" t="str">
        <x:v>A character can occupy several narrative functions over time; record arc and point of view.</x:v>
      </x:c>
      <x:c r="I943" s="24" t="str">
        <x:v>vampire lord; cruel noble; hunter aristocrat</x:v>
      </x:c>
      <x:c r="J943" s="24" t="str">
        <x:v>Structures conflict, fear, political critique, temptation, apocalypse, and moral contrast.</x:v>
      </x:c>
      <x:c r="K943" s="24" t="str">
        <x:v>vampire lord; cruel noble; hunter aristocrat</x:v>
      </x:c>
      <x:c r="L943" s="24" t="str">
        <x:v>Preserve each source's ontology, culture, history, and terminology when making comparisons.</x:v>
      </x:c>
      <x:c r="M943" s="24" t="str">
        <x:v>Core Family</x:v>
      </x:c>
    </x:row>
    <x:row r="944" ht="44" customHeight="1">
      <x:c r="A944" s="24" t="str">
        <x:v>NAR-329</x:v>
      </x:c>
      <x:c r="B944" s="24" t="str">
        <x:v>Sympathetic Monster</x:v>
      </x:c>
      <x:c r="C944" s="24" t="str">
        <x:v>Narrative Archetypes</x:v>
      </x:c>
      <x:c r="D944" s="24" t="str">
        <x:v>NAR-300</x:v>
      </x:c>
      <x:c r="E944" s="24" t="str">
        <x:f>IF(D944="","",IFERROR(VLOOKUP(D944,$A$2:$B$1656,2,FALSE),""))</x:f>
        <x:v>Antagonist and Threat Archetypes</x:v>
      </x:c>
      <x:c r="F944" s="24" t="n">
        <x:v>3</x:v>
      </x:c>
      <x:c r="G944" s="24" t="str">
        <x:v>Antagonist whose violence coexists with understandable need, persecution, grief, or incompatible ecology.</x:v>
      </x:c>
      <x:c r="H944" s="24" t="str">
        <x:v>A character can occupy several narrative functions over time; record arc and point of view.</x:v>
      </x:c>
      <x:c r="I944" s="24" t="str">
        <x:v>tragic monster; misunderstood beast</x:v>
      </x:c>
      <x:c r="J944" s="24" t="str">
        <x:v>Structures conflict, fear, political critique, temptation, apocalypse, and moral contrast.</x:v>
      </x:c>
      <x:c r="K944" s="24" t="str">
        <x:v>tragic monster; misunderstood beast</x:v>
      </x:c>
      <x:c r="L944" s="24" t="str">
        <x:v>Preserve each source's ontology, culture, history, and terminology when making comparisons.</x:v>
      </x:c>
      <x:c r="M944" s="24" t="str">
        <x:v>Core Family</x:v>
      </x:c>
    </x:row>
    <x:row r="945" ht="44" customHeight="1">
      <x:c r="A945" s="24" t="str">
        <x:v>NAR-330</x:v>
      </x:c>
      <x:c r="B945" s="24" t="str">
        <x:v>Unstoppable Hunter</x:v>
      </x:c>
      <x:c r="C945" s="24" t="str">
        <x:v>Narrative Archetypes</x:v>
      </x:c>
      <x:c r="D945" s="24" t="str">
        <x:v>NAR-300</x:v>
      </x:c>
      <x:c r="E945" s="24" t="str">
        <x:f>IF(D945="","",IFERROR(VLOOKUP(D945,$A$2:$B$1656,2,FALSE),""))</x:f>
        <x:v>Antagonist and Threat Archetypes</x:v>
      </x:c>
      <x:c r="F945" s="24" t="n">
        <x:v>3</x:v>
      </x:c>
      <x:c r="G945" s="24" t="str">
        <x:v>Relentless pursuer whose narrow purpose, superior power, or supernatural tracking drives suspense.</x:v>
      </x:c>
      <x:c r="H945" s="24" t="str">
        <x:v>A character can occupy several narrative functions over time; record arc and point of view.</x:v>
      </x:c>
      <x:c r="I945" s="24" t="str">
        <x:v>nemesis; dark rider; bounty hunter</x:v>
      </x:c>
      <x:c r="J945" s="24" t="str">
        <x:v>Structures conflict, fear, political critique, temptation, apocalypse, and moral contrast.</x:v>
      </x:c>
      <x:c r="K945" s="24" t="str">
        <x:v>nemesis; dark rider; bounty hunter</x:v>
      </x:c>
      <x:c r="L945" s="24" t="str">
        <x:v>Preserve each source's ontology, culture, history, and terminology when making comparisons.</x:v>
      </x:c>
      <x:c r="M945" s="24" t="str">
        <x:v>Core Family</x:v>
      </x:c>
    </x:row>
    <x:row r="946" ht="44" customHeight="1">
      <x:c r="A946" s="24" t="str">
        <x:v>NAR-331</x:v>
      </x:c>
      <x:c r="B946" s="24" t="str">
        <x:v>Body-Snatcher</x:v>
      </x:c>
      <x:c r="C946" s="24" t="str">
        <x:v>Narrative Archetypes</x:v>
      </x:c>
      <x:c r="D946" s="24" t="str">
        <x:v>NAR-300</x:v>
      </x:c>
      <x:c r="E946" s="24" t="str">
        <x:f>IF(D946="","",IFERROR(VLOOKUP(D946,$A$2:$B$1656,2,FALSE),""))</x:f>
        <x:v>Antagonist and Threat Archetypes</x:v>
      </x:c>
      <x:c r="F946" s="24" t="n">
        <x:v>3</x:v>
      </x:c>
      <x:c r="G946" s="24" t="str">
        <x:v>Threat that steals appearances, bodies, memories, or social positions and destroys trust.</x:v>
      </x:c>
      <x:c r="H946" s="24" t="str">
        <x:v>A character can occupy several narrative functions over time; record arc and point of view.</x:v>
      </x:c>
      <x:c r="I946" s="24" t="str">
        <x:v>doppelganger threat; infiltrator; parasite</x:v>
      </x:c>
      <x:c r="J946" s="24" t="str">
        <x:v>Structures conflict, fear, political critique, temptation, apocalypse, and moral contrast.</x:v>
      </x:c>
      <x:c r="K946" s="24" t="str">
        <x:v>doppelganger threat; infiltrator; parasite</x:v>
      </x:c>
      <x:c r="L946" s="24" t="str">
        <x:v>Preserve each source's ontology, culture, history, and terminology when making comparisons.</x:v>
      </x:c>
      <x:c r="M946" s="24" t="str">
        <x:v>Core Family</x:v>
      </x:c>
    </x:row>
    <x:row r="947" ht="44" customHeight="1">
      <x:c r="A947" s="24" t="str">
        <x:v>NAR-332</x:v>
      </x:c>
      <x:c r="B947" s="24" t="str">
        <x:v>Possessor or Tempter</x:v>
      </x:c>
      <x:c r="C947" s="24" t="str">
        <x:v>Narrative Archetypes</x:v>
      </x:c>
      <x:c r="D947" s="24" t="str">
        <x:v>NAR-300</x:v>
      </x:c>
      <x:c r="E947" s="24" t="str">
        <x:f>IF(D947="","",IFERROR(VLOOKUP(D947,$A$2:$B$1656,2,FALSE),""))</x:f>
        <x:v>Antagonist and Threat Archetypes</x:v>
      </x:c>
      <x:c r="F947" s="24" t="n">
        <x:v>3</x:v>
      </x:c>
      <x:c r="G947" s="24" t="str">
        <x:v>Entity that conquers through desire, bargains, addiction, or occupation of the body.</x:v>
      </x:c>
      <x:c r="H947" s="24" t="str">
        <x:v>A character can occupy several narrative functions over time; record arc and point of view.</x:v>
      </x:c>
      <x:c r="I947" s="24" t="str">
        <x:v>possessing demon; tempter; patron villain</x:v>
      </x:c>
      <x:c r="J947" s="24" t="str">
        <x:v>Structures conflict, fear, political critique, temptation, apocalypse, and moral contrast.</x:v>
      </x:c>
      <x:c r="K947" s="24" t="str">
        <x:v>possessing demon; tempter; patron villain</x:v>
      </x:c>
      <x:c r="L947" s="24" t="str">
        <x:v>Preserve each source's ontology, culture, history, and terminology when making comparisons.</x:v>
      </x:c>
      <x:c r="M947" s="24" t="str">
        <x:v>Core Family</x:v>
      </x:c>
    </x:row>
    <x:row r="948" ht="44" customHeight="1">
      <x:c r="A948" s="24" t="str">
        <x:v>NAR-333</x:v>
      </x:c>
      <x:c r="B948" s="24" t="str">
        <x:v>World-Eater</x:v>
      </x:c>
      <x:c r="C948" s="24" t="str">
        <x:v>Narrative Archetypes</x:v>
      </x:c>
      <x:c r="D948" s="24" t="str">
        <x:v>NAR-300</x:v>
      </x:c>
      <x:c r="E948" s="24" t="str">
        <x:f>IF(D948="","",IFERROR(VLOOKUP(D948,$A$2:$B$1656,2,FALSE),""))</x:f>
        <x:v>Antagonist and Threat Archetypes</x:v>
      </x:c>
      <x:c r="F948" s="24" t="n">
        <x:v>3</x:v>
      </x:c>
      <x:c r="G948" s="24" t="str">
        <x:v>Entity or force that consumes worlds, gods, magic, souls, timelines, or reality itself.</x:v>
      </x:c>
      <x:c r="H948" s="24" t="str">
        <x:v>A character can occupy several narrative functions over time; record arc and point of view.</x:v>
      </x:c>
      <x:c r="I948" s="24" t="str">
        <x:v>world eater; devourer; apocalypse beast</x:v>
      </x:c>
      <x:c r="J948" s="24" t="str">
        <x:v>Structures conflict, fear, political critique, temptation, apocalypse, and moral contrast.</x:v>
      </x:c>
      <x:c r="K948" s="24" t="str">
        <x:v>world eater; devourer; apocalypse beast</x:v>
      </x:c>
      <x:c r="L948" s="24" t="str">
        <x:v>Preserve each source's ontology, culture, history, and terminology when making comparisons.</x:v>
      </x:c>
      <x:c r="M948" s="24" t="str">
        <x:v>Core Family</x:v>
      </x:c>
    </x:row>
    <x:row r="949" ht="44" customHeight="1">
      <x:c r="A949" s="24" t="str">
        <x:v>NAR-334</x:v>
      </x:c>
      <x:c r="B949" s="24" t="str">
        <x:v>Nature's Revenge</x:v>
      </x:c>
      <x:c r="C949" s="24" t="str">
        <x:v>Narrative Archetypes</x:v>
      </x:c>
      <x:c r="D949" s="24" t="str">
        <x:v>NAR-300</x:v>
      </x:c>
      <x:c r="E949" s="24" t="str">
        <x:f>IF(D949="","",IFERROR(VLOOKUP(D949,$A$2:$B$1656,2,FALSE),""))</x:f>
        <x:v>Antagonist and Threat Archetypes</x:v>
      </x:c>
      <x:c r="F949" s="24" t="n">
        <x:v>3</x:v>
      </x:c>
      <x:c r="G949" s="24" t="str">
        <x:v>Ecological, divine, or spirit antagonist arising from exploitation, imbalance, desecration, or human expansion.</x:v>
      </x:c>
      <x:c r="H949" s="24" t="str">
        <x:v>A character can occupy several narrative functions over time; record arc and point of view.</x:v>
      </x:c>
      <x:c r="I949" s="24" t="str">
        <x:v>vengeful forest; wrathful land; eco-apocalypse</x:v>
      </x:c>
      <x:c r="J949" s="24" t="str">
        <x:v>Structures conflict, fear, political critique, temptation, apocalypse, and moral contrast.</x:v>
      </x:c>
      <x:c r="K949" s="24" t="str">
        <x:v>vengeful forest; wrathful land; eco-apocalypse</x:v>
      </x:c>
      <x:c r="L949" s="24" t="str">
        <x:v>Preserve each source's ontology, culture, history, and terminology when making comparisons.</x:v>
      </x:c>
      <x:c r="M949" s="24" t="str">
        <x:v>Core Family</x:v>
      </x:c>
    </x:row>
    <x:row r="950" ht="44" customHeight="1">
      <x:c r="A950" s="24" t="str">
        <x:v>NAR-335</x:v>
      </x:c>
      <x:c r="B950" s="24" t="str">
        <x:v>Colonial or Imperial Invader</x:v>
      </x:c>
      <x:c r="C950" s="24" t="str">
        <x:v>Narrative Archetypes</x:v>
      </x:c>
      <x:c r="D950" s="24" t="str">
        <x:v>NAR-300</x:v>
      </x:c>
      <x:c r="E950" s="24" t="str">
        <x:f>IF(D950="","",IFERROR(VLOOKUP(D950,$A$2:$B$1656,2,FALSE),""))</x:f>
        <x:v>Antagonist and Threat Archetypes</x:v>
      </x:c>
      <x:c r="F950" s="24" t="n">
        <x:v>3</x:v>
      </x:c>
      <x:c r="G950" s="24" t="str">
        <x:v>Outside power that conquers territory, suppresses culture, extracts resources, and redraws identity.</x:v>
      </x:c>
      <x:c r="H950" s="24" t="str">
        <x:v>A character can occupy several narrative functions over time; record arc and point of view.</x:v>
      </x:c>
      <x:c r="I950" s="24" t="str">
        <x:v>invader; colonizer; occupying empire</x:v>
      </x:c>
      <x:c r="J950" s="24" t="str">
        <x:v>Structures conflict, fear, political critique, temptation, apocalypse, and moral contrast.</x:v>
      </x:c>
      <x:c r="K950" s="24" t="str">
        <x:v>invader; colonizer; occupying empire</x:v>
      </x:c>
      <x:c r="L950" s="24" t="str">
        <x:v>Preserve each source's ontology, culture, history, and terminology when making comparisons.</x:v>
      </x:c>
      <x:c r="M950" s="24" t="str">
        <x:v>Core Family</x:v>
      </x:c>
    </x:row>
    <x:row r="951" ht="44" customHeight="1">
      <x:c r="A951" s="24" t="str">
        <x:v>NAR-336</x:v>
      </x:c>
      <x:c r="B951" s="24" t="str">
        <x:v>Internal Traitor</x:v>
      </x:c>
      <x:c r="C951" s="24" t="str">
        <x:v>Narrative Archetypes</x:v>
      </x:c>
      <x:c r="D951" s="24" t="str">
        <x:v>NAR-300</x:v>
      </x:c>
      <x:c r="E951" s="24" t="str">
        <x:f>IF(D951="","",IFERROR(VLOOKUP(D951,$A$2:$B$1656,2,FALSE),""))</x:f>
        <x:v>Antagonist and Threat Archetypes</x:v>
      </x:c>
      <x:c r="F951" s="24" t="n">
        <x:v>3</x:v>
      </x:c>
      <x:c r="G951" s="24" t="str">
        <x:v>Trusted insider who enables catastrophe through betrayal, ideology, coercion, or ambition.</x:v>
      </x:c>
      <x:c r="H951" s="24" t="str">
        <x:v>A character can occupy several narrative functions over time; record arc and point of view.</x:v>
      </x:c>
      <x:c r="I951" s="24" t="str">
        <x:v>traitor; conspirator; turncloak</x:v>
      </x:c>
      <x:c r="J951" s="24" t="str">
        <x:v>Structures conflict, fear, political critique, temptation, apocalypse, and moral contrast.</x:v>
      </x:c>
      <x:c r="K951" s="24" t="str">
        <x:v>traitor; conspirator; turncloak</x:v>
      </x:c>
      <x:c r="L951" s="24" t="str">
        <x:v>Preserve each source's ontology, culture, history, and terminology when making comparisons.</x:v>
      </x:c>
      <x:c r="M951" s="24" t="str">
        <x:v>Core Family</x:v>
      </x:c>
    </x:row>
    <x:row r="952" ht="44" customHeight="1">
      <x:c r="A952" s="24" t="str">
        <x:v>NAR-337</x:v>
      </x:c>
      <x:c r="B952" s="24" t="str">
        <x:v>Rival Adventuring Party</x:v>
      </x:c>
      <x:c r="C952" s="24" t="str">
        <x:v>Narrative Archetypes</x:v>
      </x:c>
      <x:c r="D952" s="24" t="str">
        <x:v>NAR-300</x:v>
      </x:c>
      <x:c r="E952" s="24" t="str">
        <x:f>IF(D952="","",IFERROR(VLOOKUP(D952,$A$2:$B$1656,2,FALSE),""))</x:f>
        <x:v>Antagonist and Threat Archetypes</x:v>
      </x:c>
      <x:c r="F952" s="24" t="n">
        <x:v>3</x:v>
      </x:c>
      <x:c r="G952" s="24" t="str">
        <x:v>Competing group that mirrors the protagonists and contests quests, rewards, reputation, or morality.</x:v>
      </x:c>
      <x:c r="H952" s="24" t="str">
        <x:v>A character can occupy several narrative functions over time; record arc and point of view.</x:v>
      </x:c>
      <x:c r="I952" s="24" t="str">
        <x:v>rival party; opposing guild team</x:v>
      </x:c>
      <x:c r="J952" s="24" t="str">
        <x:v>Structures conflict, fear, political critique, temptation, apocalypse, and moral contrast.</x:v>
      </x:c>
      <x:c r="K952" s="24" t="str">
        <x:v>rival party; opposing guild team</x:v>
      </x:c>
      <x:c r="L952" s="24" t="str">
        <x:v>Preserve each source's ontology, culture, history, and terminology when making comparisons.</x:v>
      </x:c>
      <x:c r="M952" s="24" t="str">
        <x:v>Core Family</x:v>
      </x:c>
    </x:row>
    <x:row r="953" ht="44" customHeight="1">
      <x:c r="A953" s="24" t="str">
        <x:v>NAR-338</x:v>
      </x:c>
      <x:c r="B953" s="24" t="str">
        <x:v>Dungeon as Antagonist</x:v>
      </x:c>
      <x:c r="C953" s="24" t="str">
        <x:v>Narrative Archetypes</x:v>
      </x:c>
      <x:c r="D953" s="24" t="str">
        <x:v>NAR-300</x:v>
      </x:c>
      <x:c r="E953" s="24" t="str">
        <x:f>IF(D953="","",IFERROR(VLOOKUP(D953,$A$2:$B$1656,2,FALSE),""))</x:f>
        <x:v>Antagonist and Threat Archetypes</x:v>
      </x:c>
      <x:c r="F953" s="24" t="n">
        <x:v>3</x:v>
      </x:c>
      <x:c r="G953" s="24" t="str">
        <x:v>A site or system itself behaves as adaptive, hostile, hungry, sentient, or structurally exploitative.</x:v>
      </x:c>
      <x:c r="H953" s="24" t="str">
        <x:v>A character can occupy several narrative functions over time; record arc and point of view.</x:v>
      </x:c>
      <x:c r="I953" s="24" t="str">
        <x:v>living dungeon; death maze; hostile world</x:v>
      </x:c>
      <x:c r="J953" s="24" t="str">
        <x:v>Structures conflict, fear, political critique, temptation, apocalypse, and moral contrast.</x:v>
      </x:c>
      <x:c r="K953" s="24" t="str">
        <x:v>living dungeon; death maze; hostile world</x:v>
      </x:c>
      <x:c r="L953" s="24" t="str">
        <x:v>Preserve each source's ontology, culture, history, and terminology when making comparisons.</x:v>
      </x:c>
      <x:c r="M953" s="24" t="str">
        <x:v>Core Family</x:v>
      </x:c>
    </x:row>
    <x:row r="954" ht="44" customHeight="1">
      <x:c r="A954" s="24" t="str">
        <x:v>NAR-339</x:v>
      </x:c>
      <x:c r="B954" s="24" t="str">
        <x:v>Inevitable Catastrophe</x:v>
      </x:c>
      <x:c r="C954" s="24" t="str">
        <x:v>Narrative Archetypes</x:v>
      </x:c>
      <x:c r="D954" s="24" t="str">
        <x:v>NAR-300</x:v>
      </x:c>
      <x:c r="E954" s="24" t="str">
        <x:f>IF(D954="","",IFERROR(VLOOKUP(D954,$A$2:$B$1656,2,FALSE),""))</x:f>
        <x:v>Antagonist and Threat Archetypes</x:v>
      </x:c>
      <x:c r="F954" s="24" t="n">
        <x:v>3</x:v>
      </x:c>
      <x:c r="G954" s="24" t="str">
        <x:v>Threat such as winter, flood, eclipse, conjunction, or magical cycle that cannot be defeated in ordinary personal combat.</x:v>
      </x:c>
      <x:c r="H954" s="24" t="str">
        <x:v>A character can occupy several narrative functions over time; record arc and point of view.</x:v>
      </x:c>
      <x:c r="I954" s="24" t="str">
        <x:v>long winter; convergence; apocalypse cycle</x:v>
      </x:c>
      <x:c r="J954" s="24" t="str">
        <x:v>Structures conflict, fear, political critique, temptation, apocalypse, and moral contrast.</x:v>
      </x:c>
      <x:c r="K954" s="24" t="str">
        <x:v>long winter; convergence; apocalypse cycle</x:v>
      </x:c>
      <x:c r="L954" s="24" t="str">
        <x:v>Preserve each source's ontology, culture, history, and terminology when making comparisons.</x:v>
      </x:c>
      <x:c r="M954" s="24" t="str">
        <x:v>Core Family</x:v>
      </x:c>
    </x:row>
    <x:row r="955" ht="44" customHeight="1">
      <x:c r="A955" s="24" t="str">
        <x:v>NAR-340</x:v>
      </x:c>
      <x:c r="B955" s="24" t="str">
        <x:v>Ideology as Antagonist</x:v>
      </x:c>
      <x:c r="C955" s="24" t="str">
        <x:v>Narrative Archetypes</x:v>
      </x:c>
      <x:c r="D955" s="24" t="str">
        <x:v>NAR-300</x:v>
      </x:c>
      <x:c r="E955" s="24" t="str">
        <x:f>IF(D955="","",IFERROR(VLOOKUP(D955,$A$2:$B$1656,2,FALSE),""))</x:f>
        <x:v>Antagonist and Threat Archetypes</x:v>
      </x:c>
      <x:c r="F955" s="24" t="n">
        <x:v>3</x:v>
      </x:c>
      <x:c r="G955" s="24" t="str">
        <x:v>The central threat is a doctrine, social order, prejudice, or incentive system embodied by many actors rather than one villain.</x:v>
      </x:c>
      <x:c r="H955" s="24" t="str">
        <x:v>A character can occupy several narrative functions over time; record arc and point of view.</x:v>
      </x:c>
      <x:c r="I955" s="24" t="str">
        <x:v>systemic evil; oppressive ideology; caste order</x:v>
      </x:c>
      <x:c r="J955" s="24" t="str">
        <x:v>Structures conflict, fear, political critique, temptation, apocalypse, and moral contrast.</x:v>
      </x:c>
      <x:c r="K955" s="24" t="str">
        <x:v>systemic evil; oppressive ideology; caste order</x:v>
      </x:c>
      <x:c r="L955" s="24" t="str">
        <x:v>Preserve each source's ontology, culture, history, and terminology when making comparisons.</x:v>
      </x:c>
      <x:c r="M955" s="24" t="str">
        <x:v>Core Family</x:v>
      </x:c>
    </x:row>
    <x:row r="956" ht="44" customHeight="1">
      <x:c r="A956" s="24" t="str">
        <x:v>NAR-401</x:v>
      </x:c>
      <x:c r="B956" s="24" t="str">
        <x:v>Quest for a Relic</x:v>
      </x:c>
      <x:c r="C956" s="24" t="str">
        <x:v>Narrative Archetypes</x:v>
      </x:c>
      <x:c r="D956" s="24" t="str">
        <x:v>NAR-400</x:v>
      </x:c>
      <x:c r="E956" s="24" t="str">
        <x:f>IF(D956="","",IFERROR(VLOOKUP(D956,$A$2:$B$1656,2,FALSE),""))</x:f>
        <x:v>Plot and Journey Archetypes</x:v>
      </x:c>
      <x:c r="F956" s="24" t="n">
        <x:v>3</x:v>
      </x:c>
      <x:c r="G956" s="24" t="str">
        <x:v>Characters seek, destroy, deliver, assemble, or understand an object of exceptional power.</x:v>
      </x:c>
      <x:c r="H956" s="24" t="str">
        <x:v>A character can occupy several narrative functions over time; record arc and point of view.</x:v>
      </x:c>
      <x:c r="I956" s="24" t="str">
        <x:v>artifact quest; relic hunt; ring quest</x:v>
      </x:c>
      <x:c r="J956" s="24" t="str">
        <x:v>Structures quests, arcs, genre expectations, causality, escalation, and world transformation.</x:v>
      </x:c>
      <x:c r="K956" s="24" t="str">
        <x:v>artifact quest; relic hunt; ring quest</x:v>
      </x:c>
      <x:c r="L956" s="24" t="str">
        <x:v>Preserve each source's ontology, culture, history, and terminology when making comparisons.</x:v>
      </x:c>
      <x:c r="M956" s="24" t="str">
        <x:v>Core Family</x:v>
      </x:c>
    </x:row>
    <x:row r="957" ht="44" customHeight="1">
      <x:c r="A957" s="24" t="str">
        <x:v>NAR-402</x:v>
      </x:c>
      <x:c r="B957" s="24" t="str">
        <x:v>Destroy the Artifact</x:v>
      </x:c>
      <x:c r="C957" s="24" t="str">
        <x:v>Narrative Archetypes</x:v>
      </x:c>
      <x:c r="D957" s="24" t="str">
        <x:v>NAR-400</x:v>
      </x:c>
      <x:c r="E957" s="24" t="str">
        <x:f>IF(D957="","",IFERROR(VLOOKUP(D957,$A$2:$B$1656,2,FALSE),""))</x:f>
        <x:v>Plot and Journey Archetypes</x:v>
      </x:c>
      <x:c r="F957" s="24" t="n">
        <x:v>3</x:v>
      </x:c>
      <x:c r="G957" s="24" t="str">
        <x:v>The only viable solution is to unmake or return a dangerous object rather than wield it.</x:v>
      </x:c>
      <x:c r="H957" s="24" t="str">
        <x:v>A character can occupy several narrative functions over time; record arc and point of view.</x:v>
      </x:c>
      <x:c r="I957" s="24" t="str">
        <x:v>destroy the ring; unmake the weapon</x:v>
      </x:c>
      <x:c r="J957" s="24" t="str">
        <x:v>Structures quests, arcs, genre expectations, causality, escalation, and world transformation.</x:v>
      </x:c>
      <x:c r="K957" s="24" t="str">
        <x:v>destroy the ring; unmake the weapon</x:v>
      </x:c>
      <x:c r="L957" s="24" t="str">
        <x:v>Preserve each source's ontology, culture, history, and terminology when making comparisons.</x:v>
      </x:c>
      <x:c r="M957" s="24" t="str">
        <x:v>Core Family</x:v>
      </x:c>
    </x:row>
    <x:row r="958" ht="44" customHeight="1">
      <x:c r="A958" s="24" t="str">
        <x:v>NAR-403</x:v>
      </x:c>
      <x:c r="B958" s="24" t="str">
        <x:v>Collect the Fragments</x:v>
      </x:c>
      <x:c r="C958" s="24" t="str">
        <x:v>Narrative Archetypes</x:v>
      </x:c>
      <x:c r="D958" s="24" t="str">
        <x:v>NAR-400</x:v>
      </x:c>
      <x:c r="E958" s="24" t="str">
        <x:f>IF(D958="","",IFERROR(VLOOKUP(D958,$A$2:$B$1656,2,FALSE),""))</x:f>
        <x:v>Plot and Journey Archetypes</x:v>
      </x:c>
      <x:c r="F958" s="24" t="n">
        <x:v>3</x:v>
      </x:c>
      <x:c r="G958" s="24" t="str">
        <x:v>Power, identity, map, weapon, or seal must be reconstructed from dispersed components.</x:v>
      </x:c>
      <x:c r="H958" s="24" t="str">
        <x:v>A character can occupy several narrative functions over time; record arc and point of view.</x:v>
      </x:c>
      <x:c r="I958" s="24" t="str">
        <x:v>shard quest; collectathon; broken crown</x:v>
      </x:c>
      <x:c r="J958" s="24" t="str">
        <x:v>Structures quests, arcs, genre expectations, causality, escalation, and world transformation.</x:v>
      </x:c>
      <x:c r="K958" s="24" t="str">
        <x:v>shard quest; collectathon; broken crown</x:v>
      </x:c>
      <x:c r="L958" s="24" t="str">
        <x:v>Preserve each source's ontology, culture, history, and terminology when making comparisons.</x:v>
      </x:c>
      <x:c r="M958" s="24" t="str">
        <x:v>Core Family</x:v>
      </x:c>
    </x:row>
    <x:row r="959" ht="44" customHeight="1">
      <x:c r="A959" s="24" t="str">
        <x:v>NAR-404</x:v>
      </x:c>
      <x:c r="B959" s="24" t="str">
        <x:v>Rescue Quest</x:v>
      </x:c>
      <x:c r="C959" s="24" t="str">
        <x:v>Narrative Archetypes</x:v>
      </x:c>
      <x:c r="D959" s="24" t="str">
        <x:v>NAR-400</x:v>
      </x:c>
      <x:c r="E959" s="24" t="str">
        <x:f>IF(D959="","",IFERROR(VLOOKUP(D959,$A$2:$B$1656,2,FALSE),""))</x:f>
        <x:v>Plot and Journey Archetypes</x:v>
      </x:c>
      <x:c r="F959" s="24" t="n">
        <x:v>3</x:v>
      </x:c>
      <x:c r="G959" s="24" t="str">
        <x:v>Characters seek to recover a captive, missing person, stolen soul, or endangered community.</x:v>
      </x:c>
      <x:c r="H959" s="24" t="str">
        <x:v>A character can occupy several narrative functions over time; record arc and point of view.</x:v>
      </x:c>
      <x:c r="I959" s="24" t="str">
        <x:v>rescue; save the princess; recover the child</x:v>
      </x:c>
      <x:c r="J959" s="24" t="str">
        <x:v>Structures quests, arcs, genre expectations, causality, escalation, and world transformation.</x:v>
      </x:c>
      <x:c r="K959" s="24" t="str">
        <x:v>rescue; save the princess; recover the child</x:v>
      </x:c>
      <x:c r="L959" s="24" t="str">
        <x:v>Preserve each source's ontology, culture, history, and terminology when making comparisons.</x:v>
      </x:c>
      <x:c r="M959" s="24" t="str">
        <x:v>Core Family</x:v>
      </x:c>
    </x:row>
    <x:row r="960" ht="44" customHeight="1">
      <x:c r="A960" s="24" t="str">
        <x:v>NAR-405</x:v>
      </x:c>
      <x:c r="B960" s="24" t="str">
        <x:v>Reclaim the Throne</x:v>
      </x:c>
      <x:c r="C960" s="24" t="str">
        <x:v>Narrative Archetypes</x:v>
      </x:c>
      <x:c r="D960" s="24" t="str">
        <x:v>NAR-400</x:v>
      </x:c>
      <x:c r="E960" s="24" t="str">
        <x:f>IF(D960="","",IFERROR(VLOOKUP(D960,$A$2:$B$1656,2,FALSE),""))</x:f>
        <x:v>Plot and Journey Archetypes</x:v>
      </x:c>
      <x:c r="F960" s="24" t="n">
        <x:v>3</x:v>
      </x:c>
      <x:c r="G960" s="24" t="str">
        <x:v>A dispossessed claimant seeks restoration, legitimacy, or transformation of the monarchy.</x:v>
      </x:c>
      <x:c r="H960" s="24" t="str">
        <x:v>A character can occupy several narrative functions over time; record arc and point of view.</x:v>
      </x:c>
      <x:c r="I960" s="24" t="str">
        <x:v>restoration quest; return of the king</x:v>
      </x:c>
      <x:c r="J960" s="24" t="str">
        <x:v>Structures quests, arcs, genre expectations, causality, escalation, and world transformation.</x:v>
      </x:c>
      <x:c r="K960" s="24" t="str">
        <x:v>restoration quest; return of the king</x:v>
      </x:c>
      <x:c r="L960" s="24" t="str">
        <x:v>Preserve each source's ontology, culture, history, and terminology when making comparisons.</x:v>
      </x:c>
      <x:c r="M960" s="24" t="str">
        <x:v>Core Family</x:v>
      </x:c>
    </x:row>
    <x:row r="961" ht="44" customHeight="1">
      <x:c r="A961" s="24" t="str">
        <x:v>NAR-406</x:v>
      </x:c>
      <x:c r="B961" s="24" t="str">
        <x:v>Slay the Monster</x:v>
      </x:c>
      <x:c r="C961" s="24" t="str">
        <x:v>Narrative Archetypes</x:v>
      </x:c>
      <x:c r="D961" s="24" t="str">
        <x:v>NAR-400</x:v>
      </x:c>
      <x:c r="E961" s="24" t="str">
        <x:f>IF(D961="","",IFERROR(VLOOKUP(D961,$A$2:$B$1656,2,FALSE),""))</x:f>
        <x:v>Plot and Journey Archetypes</x:v>
      </x:c>
      <x:c r="F961" s="24" t="n">
        <x:v>3</x:v>
      </x:c>
      <x:c r="G961" s="24" t="str">
        <x:v>Community or hero confronts a singular predator, dragon, demon, or legendary beast.</x:v>
      </x:c>
      <x:c r="H961" s="24" t="str">
        <x:v>A character can occupy several narrative functions over time; record arc and point of view.</x:v>
      </x:c>
      <x:c r="I961" s="24" t="str">
        <x:v>monster hunt; dragon slaying</x:v>
      </x:c>
      <x:c r="J961" s="24" t="str">
        <x:v>Structures quests, arcs, genre expectations, causality, escalation, and world transformation.</x:v>
      </x:c>
      <x:c r="K961" s="24" t="str">
        <x:v>monster hunt; dragon slaying</x:v>
      </x:c>
      <x:c r="L961" s="24" t="str">
        <x:v>Preserve each source's ontology, culture, history, and terminology when making comparisons.</x:v>
      </x:c>
      <x:c r="M961" s="24" t="str">
        <x:v>Core Family</x:v>
      </x:c>
    </x:row>
    <x:row r="962" ht="44" customHeight="1">
      <x:c r="A962" s="24" t="str">
        <x:v>NAR-407</x:v>
      </x:c>
      <x:c r="B962" s="24" t="str">
        <x:v>Defeat the Dark Lord</x:v>
      </x:c>
      <x:c r="C962" s="24" t="str">
        <x:v>Narrative Archetypes</x:v>
      </x:c>
      <x:c r="D962" s="24" t="str">
        <x:v>NAR-400</x:v>
      </x:c>
      <x:c r="E962" s="24" t="str">
        <x:f>IF(D962="","",IFERROR(VLOOKUP(D962,$A$2:$B$1656,2,FALSE),""))</x:f>
        <x:v>Plot and Journey Archetypes</x:v>
      </x:c>
      <x:c r="F962" s="24" t="n">
        <x:v>3</x:v>
      </x:c>
      <x:c r="G962" s="24" t="str">
        <x:v>A coalition or chosen hero seeks to overthrow a central sovereign antagonist.</x:v>
      </x:c>
      <x:c r="H962" s="24" t="str">
        <x:v>A character can occupy several narrative functions over time; record arc and point of view.</x:v>
      </x:c>
      <x:c r="I962" s="24" t="str">
        <x:v>hero versus demon lord; final confrontation</x:v>
      </x:c>
      <x:c r="J962" s="24" t="str">
        <x:v>Structures quests, arcs, genre expectations, causality, escalation, and world transformation.</x:v>
      </x:c>
      <x:c r="K962" s="24" t="str">
        <x:v>hero versus demon lord; final confrontation</x:v>
      </x:c>
      <x:c r="L962" s="24" t="str">
        <x:v>Preserve each source's ontology, culture, history, and terminology when making comparisons.</x:v>
      </x:c>
      <x:c r="M962" s="24" t="str">
        <x:v>Core Family</x:v>
      </x:c>
    </x:row>
    <x:row r="963" ht="44" customHeight="1">
      <x:c r="A963" s="24" t="str">
        <x:v>NAR-408</x:v>
      </x:c>
      <x:c r="B963" s="24" t="str">
        <x:v>Seal or Banish the Threat</x:v>
      </x:c>
      <x:c r="C963" s="24" t="str">
        <x:v>Narrative Archetypes</x:v>
      </x:c>
      <x:c r="D963" s="24" t="str">
        <x:v>NAR-400</x:v>
      </x:c>
      <x:c r="E963" s="24" t="str">
        <x:f>IF(D963="","",IFERROR(VLOOKUP(D963,$A$2:$B$1656,2,FALSE),""))</x:f>
        <x:v>Plot and Journey Archetypes</x:v>
      </x:c>
      <x:c r="F963" s="24" t="n">
        <x:v>3</x:v>
      </x:c>
      <x:c r="G963" s="24" t="str">
        <x:v>The antagonist cannot be killed conventionally and must be contained, exiled, or returned.</x:v>
      </x:c>
      <x:c r="H963" s="24" t="str">
        <x:v>A character can occupy several narrative functions over time; record arc and point of view.</x:v>
      </x:c>
      <x:c r="I963" s="24" t="str">
        <x:v>sealing; banishment; prison restoration</x:v>
      </x:c>
      <x:c r="J963" s="24" t="str">
        <x:v>Structures quests, arcs, genre expectations, causality, escalation, and world transformation.</x:v>
      </x:c>
      <x:c r="K963" s="24" t="str">
        <x:v>sealing; banishment; prison restoration</x:v>
      </x:c>
      <x:c r="L963" s="24" t="str">
        <x:v>Preserve each source's ontology, culture, history, and terminology when making comparisons.</x:v>
      </x:c>
      <x:c r="M963" s="24" t="str">
        <x:v>Core Family</x:v>
      </x:c>
    </x:row>
    <x:row r="964" ht="44" customHeight="1">
      <x:c r="A964" s="24" t="str">
        <x:v>NAR-409</x:v>
      </x:c>
      <x:c r="B964" s="24" t="str">
        <x:v>Journey to the Otherworld</x:v>
      </x:c>
      <x:c r="C964" s="24" t="str">
        <x:v>Narrative Archetypes</x:v>
      </x:c>
      <x:c r="D964" s="24" t="str">
        <x:v>NAR-400</x:v>
      </x:c>
      <x:c r="E964" s="24" t="str">
        <x:f>IF(D964="","",IFERROR(VLOOKUP(D964,$A$2:$B$1656,2,FALSE),""))</x:f>
        <x:v>Plot and Journey Archetypes</x:v>
      </x:c>
      <x:c r="F964" s="24" t="n">
        <x:v>3</x:v>
      </x:c>
      <x:c r="G964" s="24" t="str">
        <x:v>Characters cross into faerie, underworld, dream, spirit, divine, or alien realms and return changed.</x:v>
      </x:c>
      <x:c r="H964" s="24" t="str">
        <x:v>A character can occupy several narrative functions over time; record arc and point of view.</x:v>
      </x:c>
      <x:c r="I964" s="24" t="str">
        <x:v>katabasis; faerie journey; spirit world</x:v>
      </x:c>
      <x:c r="J964" s="24" t="str">
        <x:v>Structures quests, arcs, genre expectations, causality, escalation, and world transformation.</x:v>
      </x:c>
      <x:c r="K964" s="24" t="str">
        <x:v>katabasis; faerie journey; spirit world</x:v>
      </x:c>
      <x:c r="L964" s="24" t="str">
        <x:v>Preserve each source's ontology, culture, history, and terminology when making comparisons.</x:v>
      </x:c>
      <x:c r="M964" s="24" t="str">
        <x:v>Core Family</x:v>
      </x:c>
    </x:row>
    <x:row r="965" ht="44" customHeight="1">
      <x:c r="A965" s="24" t="str">
        <x:v>NAR-410</x:v>
      </x:c>
      <x:c r="B965" s="24" t="str">
        <x:v>Descent into the Underworld</x:v>
      </x:c>
      <x:c r="C965" s="24" t="str">
        <x:v>Narrative Archetypes</x:v>
      </x:c>
      <x:c r="D965" s="24" t="str">
        <x:v>NAR-400</x:v>
      </x:c>
      <x:c r="E965" s="24" t="str">
        <x:f>IF(D965="","",IFERROR(VLOOKUP(D965,$A$2:$B$1656,2,FALSE),""))</x:f>
        <x:v>Plot and Journey Archetypes</x:v>
      </x:c>
      <x:c r="F965" s="24" t="n">
        <x:v>3</x:v>
      </x:c>
      <x:c r="G965" s="24" t="str">
        <x:v>A living character enters the realm of the dead to recover knowledge, person, power, or self.</x:v>
      </x:c>
      <x:c r="H965" s="24" t="str">
        <x:v>A character can occupy several narrative functions over time; record arc and point of view.</x:v>
      </x:c>
      <x:c r="I965" s="24" t="str">
        <x:v>katabasis; underworld quest</x:v>
      </x:c>
      <x:c r="J965" s="24" t="str">
        <x:v>Structures quests, arcs, genre expectations, causality, escalation, and world transformation.</x:v>
      </x:c>
      <x:c r="K965" s="24" t="str">
        <x:v>katabasis; underworld quest</x:v>
      </x:c>
      <x:c r="L965" s="24" t="str">
        <x:v>The term has classical roots but comparable descent narratives occur widely; avoid assuming direct influence.</x:v>
      </x:c>
      <x:c r="M965" s="24" t="str">
        <x:v>Core Family</x:v>
      </x:c>
    </x:row>
    <x:row r="966" ht="44" customHeight="1">
      <x:c r="A966" s="24" t="str">
        <x:v>NAR-411</x:v>
      </x:c>
      <x:c r="B966" s="24" t="str">
        <x:v>Pilgrimage</x:v>
      </x:c>
      <x:c r="C966" s="24" t="str">
        <x:v>Narrative Archetypes</x:v>
      </x:c>
      <x:c r="D966" s="24" t="str">
        <x:v>NAR-400</x:v>
      </x:c>
      <x:c r="E966" s="24" t="str">
        <x:f>IF(D966="","",IFERROR(VLOOKUP(D966,$A$2:$B$1656,2,FALSE),""))</x:f>
        <x:v>Plot and Journey Archetypes</x:v>
      </x:c>
      <x:c r="F966" s="24" t="n">
        <x:v>3</x:v>
      </x:c>
      <x:c r="G966" s="24" t="str">
        <x:v>Travel to sacred places organizes spiritual, social, and political transformation.</x:v>
      </x:c>
      <x:c r="H966" s="24" t="str">
        <x:v>A character can occupy several narrative functions over time; record arc and point of view.</x:v>
      </x:c>
      <x:c r="I966" s="24" t="str">
        <x:v>pilgrimage; holy journey</x:v>
      </x:c>
      <x:c r="J966" s="24" t="str">
        <x:v>Structures quests, arcs, genre expectations, causality, escalation, and world transformation.</x:v>
      </x:c>
      <x:c r="K966" s="24" t="str">
        <x:v>pilgrimage; holy journey</x:v>
      </x:c>
      <x:c r="L966" s="24" t="str">
        <x:v>Preserve each source's ontology, culture, history, and terminology when making comparisons.</x:v>
      </x:c>
      <x:c r="M966" s="24" t="str">
        <x:v>Core Family</x:v>
      </x:c>
    </x:row>
    <x:row r="967" ht="44" customHeight="1">
      <x:c r="A967" s="24" t="str">
        <x:v>NAR-412</x:v>
      </x:c>
      <x:c r="B967" s="24" t="str">
        <x:v>Tournament Arc</x:v>
      </x:c>
      <x:c r="C967" s="24" t="str">
        <x:v>Narrative Archetypes</x:v>
      </x:c>
      <x:c r="D967" s="24" t="str">
        <x:v>NAR-400</x:v>
      </x:c>
      <x:c r="E967" s="24" t="str">
        <x:f>IF(D967="","",IFERROR(VLOOKUP(D967,$A$2:$B$1656,2,FALSE),""))</x:f>
        <x:v>Plot and Journey Archetypes</x:v>
      </x:c>
      <x:c r="F967" s="24" t="n">
        <x:v>3</x:v>
      </x:c>
      <x:c r="G967" s="24" t="str">
        <x:v>Formal competition structures conflict, ranking, spectacle, alliances, and revelation of techniques.</x:v>
      </x:c>
      <x:c r="H967" s="24" t="str">
        <x:v>A character can occupy several narrative functions over time; record arc and point of view.</x:v>
      </x:c>
      <x:c r="I967" s="24" t="str">
        <x:v>tournament; trials; arena arc</x:v>
      </x:c>
      <x:c r="J967" s="24" t="str">
        <x:v>Structures quests, arcs, genre expectations, causality, escalation, and world transformation.</x:v>
      </x:c>
      <x:c r="K967" s="24" t="str">
        <x:v>tournament; trials; arena arc</x:v>
      </x:c>
      <x:c r="L967" s="24" t="str">
        <x:v>Preserve each source's ontology, culture, history, and terminology when making comparisons.</x:v>
      </x:c>
      <x:c r="M967" s="24" t="str">
        <x:v>Core Family</x:v>
      </x:c>
    </x:row>
    <x:row r="968" ht="44" customHeight="1">
      <x:c r="A968" s="24" t="str">
        <x:v>NAR-413</x:v>
      </x:c>
      <x:c r="B968" s="24" t="str">
        <x:v>Training Arc</x:v>
      </x:c>
      <x:c r="C968" s="24" t="str">
        <x:v>Narrative Archetypes</x:v>
      </x:c>
      <x:c r="D968" s="24" t="str">
        <x:v>NAR-400</x:v>
      </x:c>
      <x:c r="E968" s="24" t="str">
        <x:f>IF(D968="","",IFERROR(VLOOKUP(D968,$A$2:$B$1656,2,FALSE),""))</x:f>
        <x:v>Plot and Journey Archetypes</x:v>
      </x:c>
      <x:c r="F968" s="24" t="n">
        <x:v>3</x:v>
      </x:c>
      <x:c r="G968" s="24" t="str">
        <x:v>Narrative pauses or reorganizes around acquiring skills, discipline, insight, or mastery.</x:v>
      </x:c>
      <x:c r="H968" s="24" t="str">
        <x:v>A character can occupy several narrative functions over time; record arc and point of view.</x:v>
      </x:c>
      <x:c r="I968" s="24" t="str">
        <x:v>training sequence; apprenticeship; cultivation retreat</x:v>
      </x:c>
      <x:c r="J968" s="24" t="str">
        <x:v>Structures quests, arcs, genre expectations, causality, escalation, and world transformation.</x:v>
      </x:c>
      <x:c r="K968" s="24" t="str">
        <x:v>training sequence; apprenticeship; cultivation retreat</x:v>
      </x:c>
      <x:c r="L968" s="24" t="str">
        <x:v>Preserve each source's ontology, culture, history, and terminology when making comparisons.</x:v>
      </x:c>
      <x:c r="M968" s="24" t="str">
        <x:v>Core Family</x:v>
      </x:c>
    </x:row>
    <x:row r="969" ht="44" customHeight="1">
      <x:c r="A969" s="24" t="str">
        <x:v>NAR-414</x:v>
      </x:c>
      <x:c r="B969" s="24" t="str">
        <x:v>Heist</x:v>
      </x:c>
      <x:c r="C969" s="24" t="str">
        <x:v>Narrative Archetypes</x:v>
      </x:c>
      <x:c r="D969" s="24" t="str">
        <x:v>NAR-400</x:v>
      </x:c>
      <x:c r="E969" s="24" t="str">
        <x:f>IF(D969="","",IFERROR(VLOOKUP(D969,$A$2:$B$1656,2,FALSE),""))</x:f>
        <x:v>Plot and Journey Archetypes</x:v>
      </x:c>
      <x:c r="F969" s="24" t="n">
        <x:v>3</x:v>
      </x:c>
      <x:c r="G969" s="24" t="str">
        <x:v>A team plans and executes the theft, substitution, rescue, or sabotage of a highly protected target.</x:v>
      </x:c>
      <x:c r="H969" s="24" t="str">
        <x:v>A character can occupy several narrative functions over time; record arc and point of view.</x:v>
      </x:c>
      <x:c r="I969" s="24" t="str">
        <x:v>heist; caper; infiltration mission</x:v>
      </x:c>
      <x:c r="J969" s="24" t="str">
        <x:v>Structures quests, arcs, genre expectations, causality, escalation, and world transformation.</x:v>
      </x:c>
      <x:c r="K969" s="24" t="str">
        <x:v>heist; caper; infiltration mission</x:v>
      </x:c>
      <x:c r="L969" s="24" t="str">
        <x:v>Preserve each source's ontology, culture, history, and terminology when making comparisons.</x:v>
      </x:c>
      <x:c r="M969" s="24" t="str">
        <x:v>Core Family</x:v>
      </x:c>
    </x:row>
    <x:row r="970" ht="44" customHeight="1">
      <x:c r="A970" s="24" t="str">
        <x:v>NAR-415</x:v>
      </x:c>
      <x:c r="B970" s="24" t="str">
        <x:v>Siege</x:v>
      </x:c>
      <x:c r="C970" s="24" t="str">
        <x:v>Narrative Archetypes</x:v>
      </x:c>
      <x:c r="D970" s="24" t="str">
        <x:v>NAR-400</x:v>
      </x:c>
      <x:c r="E970" s="24" t="str">
        <x:f>IF(D970="","",IFERROR(VLOOKUP(D970,$A$2:$B$1656,2,FALSE),""))</x:f>
        <x:v>Plot and Journey Archetypes</x:v>
      </x:c>
      <x:c r="F970" s="24" t="n">
        <x:v>3</x:v>
      </x:c>
      <x:c r="G970" s="24" t="str">
        <x:v>Narrative concentrates conflict around the defense or capture of a fortified place.</x:v>
      </x:c>
      <x:c r="H970" s="24" t="str">
        <x:v>A character can occupy several narrative functions over time; record arc and point of view.</x:v>
      </x:c>
      <x:c r="I970" s="24" t="str">
        <x:v>siege; last stand; fortress defense</x:v>
      </x:c>
      <x:c r="J970" s="24" t="str">
        <x:v>Structures quests, arcs, genre expectations, causality, escalation, and world transformation.</x:v>
      </x:c>
      <x:c r="K970" s="24" t="str">
        <x:v>siege; last stand; fortress defense</x:v>
      </x:c>
      <x:c r="L970" s="24" t="str">
        <x:v>Preserve each source's ontology, culture, history, and terminology when making comparisons.</x:v>
      </x:c>
      <x:c r="M970" s="24" t="str">
        <x:v>Core Family</x:v>
      </x:c>
    </x:row>
    <x:row r="971" ht="44" customHeight="1">
      <x:c r="A971" s="24" t="str">
        <x:v>NAR-416</x:v>
      </x:c>
      <x:c r="B971" s="24" t="str">
        <x:v>War of Succession</x:v>
      </x:c>
      <x:c r="C971" s="24" t="str">
        <x:v>Narrative Archetypes</x:v>
      </x:c>
      <x:c r="D971" s="24" t="str">
        <x:v>NAR-400</x:v>
      </x:c>
      <x:c r="E971" s="24" t="str">
        <x:f>IF(D971="","",IFERROR(VLOOKUP(D971,$A$2:$B$1656,2,FALSE),""))</x:f>
        <x:v>Plot and Journey Archetypes</x:v>
      </x:c>
      <x:c r="F971" s="24" t="n">
        <x:v>3</x:v>
      </x:c>
      <x:c r="G971" s="24" t="str">
        <x:v>Competing dynastic claims generate political, military, magical, and familial conflict.</x:v>
      </x:c>
      <x:c r="H971" s="24" t="str">
        <x:v>A character can occupy several narrative functions over time; record arc and point of view.</x:v>
      </x:c>
      <x:c r="I971" s="24" t="str">
        <x:v>succession crisis; civil war; throne war</x:v>
      </x:c>
      <x:c r="J971" s="24" t="str">
        <x:v>Structures quests, arcs, genre expectations, causality, escalation, and world transformation.</x:v>
      </x:c>
      <x:c r="K971" s="24" t="str">
        <x:v>succession crisis; civil war; throne war</x:v>
      </x:c>
      <x:c r="L971" s="24" t="str">
        <x:v>Preserve each source's ontology, culture, history, and terminology when making comparisons.</x:v>
      </x:c>
      <x:c r="M971" s="24" t="str">
        <x:v>Core Family</x:v>
      </x:c>
    </x:row>
    <x:row r="972" ht="44" customHeight="1">
      <x:c r="A972" s="24" t="str">
        <x:v>NAR-417</x:v>
      </x:c>
      <x:c r="B972" s="24" t="str">
        <x:v>Rebellion Against Empire</x:v>
      </x:c>
      <x:c r="C972" s="24" t="str">
        <x:v>Narrative Archetypes</x:v>
      </x:c>
      <x:c r="D972" s="24" t="str">
        <x:v>NAR-400</x:v>
      </x:c>
      <x:c r="E972" s="24" t="str">
        <x:f>IF(D972="","",IFERROR(VLOOKUP(D972,$A$2:$B$1656,2,FALSE),""))</x:f>
        <x:v>Plot and Journey Archetypes</x:v>
      </x:c>
      <x:c r="F972" s="24" t="n">
        <x:v>3</x:v>
      </x:c>
      <x:c r="G972" s="24" t="str">
        <x:v>Subordinate peoples or factions organize resistance against imperial domination.</x:v>
      </x:c>
      <x:c r="H972" s="24" t="str">
        <x:v>A character can occupy several narrative functions over time; record arc and point of view.</x:v>
      </x:c>
      <x:c r="I972" s="24" t="str">
        <x:v>rebellion; liberation war; resistance</x:v>
      </x:c>
      <x:c r="J972" s="24" t="str">
        <x:v>Structures quests, arcs, genre expectations, causality, escalation, and world transformation.</x:v>
      </x:c>
      <x:c r="K972" s="24" t="str">
        <x:v>rebellion; liberation war; resistance</x:v>
      </x:c>
      <x:c r="L972" s="24" t="str">
        <x:v>Preserve each source's ontology, culture, history, and terminology when making comparisons.</x:v>
      </x:c>
      <x:c r="M972" s="24" t="str">
        <x:v>Core Family</x:v>
      </x:c>
    </x:row>
    <x:row r="973" ht="44" customHeight="1">
      <x:c r="A973" s="24" t="str">
        <x:v>NAR-418</x:v>
      </x:c>
      <x:c r="B973" s="24" t="str">
        <x:v>Apocalypse and Prevention</x:v>
      </x:c>
      <x:c r="C973" s="24" t="str">
        <x:v>Narrative Archetypes</x:v>
      </x:c>
      <x:c r="D973" s="24" t="str">
        <x:v>NAR-400</x:v>
      </x:c>
      <x:c r="E973" s="24" t="str">
        <x:f>IF(D973="","",IFERROR(VLOOKUP(D973,$A$2:$B$1656,2,FALSE),""))</x:f>
        <x:v>Plot and Journey Archetypes</x:v>
      </x:c>
      <x:c r="F973" s="24" t="n">
        <x:v>3</x:v>
      </x:c>
      <x:c r="G973" s="24" t="str">
        <x:v>Characters attempt to stop or survive world-ending transformation, invasion, or cosmic collapse.</x:v>
      </x:c>
      <x:c r="H973" s="24" t="str">
        <x:v>A character can occupy several narrative functions over time; record arc and point of view.</x:v>
      </x:c>
      <x:c r="I973" s="24" t="str">
        <x:v>apocalypse; end of the world; calamity</x:v>
      </x:c>
      <x:c r="J973" s="24" t="str">
        <x:v>Structures quests, arcs, genre expectations, causality, escalation, and world transformation.</x:v>
      </x:c>
      <x:c r="K973" s="24" t="str">
        <x:v>apocalypse; end of the world; calamity</x:v>
      </x:c>
      <x:c r="L973" s="24" t="str">
        <x:v>Preserve each source's ontology, culture, history, and terminology when making comparisons.</x:v>
      </x:c>
      <x:c r="M973" s="24" t="str">
        <x:v>Core Family</x:v>
      </x:c>
    </x:row>
    <x:row r="974" ht="44" customHeight="1">
      <x:c r="A974" s="24" t="str">
        <x:v>NAR-419</x:v>
      </x:c>
      <x:c r="B974" s="24" t="str">
        <x:v>Post-Apocalyptic Restoration</x:v>
      </x:c>
      <x:c r="C974" s="24" t="str">
        <x:v>Narrative Archetypes</x:v>
      </x:c>
      <x:c r="D974" s="24" t="str">
        <x:v>NAR-400</x:v>
      </x:c>
      <x:c r="E974" s="24" t="str">
        <x:f>IF(D974="","",IFERROR(VLOOKUP(D974,$A$2:$B$1656,2,FALSE),""))</x:f>
        <x:v>Plot and Journey Archetypes</x:v>
      </x:c>
      <x:c r="F974" s="24" t="n">
        <x:v>3</x:v>
      </x:c>
      <x:c r="G974" s="24" t="str">
        <x:v>Characters rebuild society, memory, ecology, or institutions after civilizational collapse.</x:v>
      </x:c>
      <x:c r="H974" s="24" t="str">
        <x:v>A character can occupy several narrative functions over time; record arc and point of view.</x:v>
      </x:c>
      <x:c r="I974" s="24" t="str">
        <x:v>rebuilding; remnant world; recovery</x:v>
      </x:c>
      <x:c r="J974" s="24" t="str">
        <x:v>Structures quests, arcs, genre expectations, causality, escalation, and world transformation.</x:v>
      </x:c>
      <x:c r="K974" s="24" t="str">
        <x:v>rebuilding; remnant world; recovery</x:v>
      </x:c>
      <x:c r="L974" s="24" t="str">
        <x:v>Preserve each source's ontology, culture, history, and terminology when making comparisons.</x:v>
      </x:c>
      <x:c r="M974" s="24" t="str">
        <x:v>Core Family</x:v>
      </x:c>
    </x:row>
    <x:row r="975" ht="44" customHeight="1">
      <x:c r="A975" s="24" t="str">
        <x:v>NAR-420</x:v>
      </x:c>
      <x:c r="B975" s="24" t="str">
        <x:v>Cycle of Ages</x:v>
      </x:c>
      <x:c r="C975" s="24" t="str">
        <x:v>Narrative Archetypes</x:v>
      </x:c>
      <x:c r="D975" s="24" t="str">
        <x:v>NAR-400</x:v>
      </x:c>
      <x:c r="E975" s="24" t="str">
        <x:f>IF(D975="","",IFERROR(VLOOKUP(D975,$A$2:$B$1656,2,FALSE),""))</x:f>
        <x:v>Plot and Journey Archetypes</x:v>
      </x:c>
      <x:c r="F975" s="24" t="n">
        <x:v>3</x:v>
      </x:c>
      <x:c r="G975" s="24" t="str">
        <x:v>History moves through repeated ages, cataclysms, reincarnations, or cosmic renewals.</x:v>
      </x:c>
      <x:c r="H975" s="24" t="str">
        <x:v>A character can occupy several narrative functions over time; record arc and point of view.</x:v>
      </x:c>
      <x:c r="I975" s="24" t="str">
        <x:v>age cycle; wheel of time; eternal recurrence</x:v>
      </x:c>
      <x:c r="J975" s="24" t="str">
        <x:v>Structures quests, arcs, genre expectations, causality, escalation, and world transformation.</x:v>
      </x:c>
      <x:c r="K975" s="24" t="str">
        <x:v>age cycle; wheel of time; eternal recurrence</x:v>
      </x:c>
      <x:c r="L975" s="24" t="str">
        <x:v>Preserve each source's ontology, culture, history, and terminology when making comparisons.</x:v>
      </x:c>
      <x:c r="M975" s="24" t="str">
        <x:v>Core Family</x:v>
      </x:c>
    </x:row>
    <x:row r="976" ht="44" customHeight="1">
      <x:c r="A976" s="24" t="str">
        <x:v>NAR-421</x:v>
      </x:c>
      <x:c r="B976" s="24" t="str">
        <x:v>Time Loop</x:v>
      </x:c>
      <x:c r="C976" s="24" t="str">
        <x:v>Narrative Archetypes</x:v>
      </x:c>
      <x:c r="D976" s="24" t="str">
        <x:v>NAR-400</x:v>
      </x:c>
      <x:c r="E976" s="24" t="str">
        <x:f>IF(D976="","",IFERROR(VLOOKUP(D976,$A$2:$B$1656,2,FALSE),""))</x:f>
        <x:v>Plot and Journey Archetypes</x:v>
      </x:c>
      <x:c r="F976" s="24" t="n">
        <x:v>3</x:v>
      </x:c>
      <x:c r="G976" s="24" t="str">
        <x:v>Repeated events create knowledge asymmetry, experimentation, and psychological cost.</x:v>
      </x:c>
      <x:c r="H976" s="24" t="str">
        <x:v>A character can occupy several narrative functions over time; record arc and point of view.</x:v>
      </x:c>
      <x:c r="I976" s="24" t="str">
        <x:v>loop; reset; return by death</x:v>
      </x:c>
      <x:c r="J976" s="24" t="str">
        <x:v>Structures quests, arcs, genre expectations, causality, escalation, and world transformation.</x:v>
      </x:c>
      <x:c r="K976" s="24" t="str">
        <x:v>loop; reset; return by death</x:v>
      </x:c>
      <x:c r="L976" s="24" t="str">
        <x:v>Preserve each source's ontology, culture, history, and terminology when making comparisons.</x:v>
      </x:c>
      <x:c r="M976" s="24" t="str">
        <x:v>Core Family</x:v>
      </x:c>
    </x:row>
    <x:row r="977" ht="44" customHeight="1">
      <x:c r="A977" s="24" t="str">
        <x:v>NAR-422</x:v>
      </x:c>
      <x:c r="B977" s="24" t="str">
        <x:v>Prophecy Fulfillment</x:v>
      </x:c>
      <x:c r="C977" s="24" t="str">
        <x:v>Narrative Archetypes</x:v>
      </x:c>
      <x:c r="D977" s="24" t="str">
        <x:v>NAR-400</x:v>
      </x:c>
      <x:c r="E977" s="24" t="str">
        <x:f>IF(D977="","",IFERROR(VLOOKUP(D977,$A$2:$B$1656,2,FALSE),""))</x:f>
        <x:v>Plot and Journey Archetypes</x:v>
      </x:c>
      <x:c r="F977" s="24" t="n">
        <x:v>3</x:v>
      </x:c>
      <x:c r="G977" s="24" t="str">
        <x:v>Plot tests whether a foretold event is inevitable, interpretable, manipulated, or self-caused.</x:v>
      </x:c>
      <x:c r="H977" s="24" t="str">
        <x:v>A character can occupy several narrative functions over time; record arc and point of view.</x:v>
      </x:c>
      <x:c r="I977" s="24" t="str">
        <x:v>prophecy; destiny; foretold war</x:v>
      </x:c>
      <x:c r="J977" s="24" t="str">
        <x:v>Structures quests, arcs, genre expectations, causality, escalation, and world transformation.</x:v>
      </x:c>
      <x:c r="K977" s="24" t="str">
        <x:v>prophecy; destiny; foretold war</x:v>
      </x:c>
      <x:c r="L977" s="24" t="str">
        <x:v>Preserve each source's ontology, culture, history, and terminology when making comparisons.</x:v>
      </x:c>
      <x:c r="M977" s="24" t="str">
        <x:v>Core Family</x:v>
      </x:c>
    </x:row>
    <x:row r="978" ht="44" customHeight="1">
      <x:c r="A978" s="24" t="str">
        <x:v>NAR-423</x:v>
      </x:c>
      <x:c r="B978" s="24" t="str">
        <x:v>Prophecy Subversion</x:v>
      </x:c>
      <x:c r="C978" s="24" t="str">
        <x:v>Narrative Archetypes</x:v>
      </x:c>
      <x:c r="D978" s="24" t="str">
        <x:v>NAR-400</x:v>
      </x:c>
      <x:c r="E978" s="24" t="str">
        <x:f>IF(D978="","",IFERROR(VLOOKUP(D978,$A$2:$B$1656,2,FALSE),""))</x:f>
        <x:v>Plot and Journey Archetypes</x:v>
      </x:c>
      <x:c r="F978" s="24" t="n">
        <x:v>3</x:v>
      </x:c>
      <x:c r="G978" s="24" t="str">
        <x:v>Characters evade, reinterpret, break, or expose the constructed nature of destiny.</x:v>
      </x:c>
      <x:c r="H978" s="24" t="str">
        <x:v>A character can occupy several narrative functions over time; record arc and point of view.</x:v>
      </x:c>
      <x:c r="I978" s="24" t="str">
        <x:v>defy fate; false prophecy; broken destiny</x:v>
      </x:c>
      <x:c r="J978" s="24" t="str">
        <x:v>Structures quests, arcs, genre expectations, causality, escalation, and world transformation.</x:v>
      </x:c>
      <x:c r="K978" s="24" t="str">
        <x:v>defy fate; false prophecy; broken destiny</x:v>
      </x:c>
      <x:c r="L978" s="24" t="str">
        <x:v>Preserve each source's ontology, culture, history, and terminology when making comparisons.</x:v>
      </x:c>
      <x:c r="M978" s="24" t="str">
        <x:v>Core Family</x:v>
      </x:c>
    </x:row>
    <x:row r="979" ht="44" customHeight="1">
      <x:c r="A979" s="24" t="str">
        <x:v>NAR-424</x:v>
      </x:c>
      <x:c r="B979" s="24" t="str">
        <x:v>Hidden World Revealed</x:v>
      </x:c>
      <x:c r="C979" s="24" t="str">
        <x:v>Narrative Archetypes</x:v>
      </x:c>
      <x:c r="D979" s="24" t="str">
        <x:v>NAR-400</x:v>
      </x:c>
      <x:c r="E979" s="24" t="str">
        <x:f>IF(D979="","",IFERROR(VLOOKUP(D979,$A$2:$B$1656,2,FALSE),""))</x:f>
        <x:v>Plot and Journey Archetypes</x:v>
      </x:c>
      <x:c r="F979" s="24" t="n">
        <x:v>3</x:v>
      </x:c>
      <x:c r="G979" s="24" t="str">
        <x:v>An ordinary or suppressed reality opens onto secret magic, species, institutions, or history.</x:v>
      </x:c>
      <x:c r="H979" s="24" t="str">
        <x:v>A character can occupy several narrative functions over time; record arc and point of view.</x:v>
      </x:c>
      <x:c r="I979" s="24" t="str">
        <x:v>masquerade breach; hidden kingdom; secret world</x:v>
      </x:c>
      <x:c r="J979" s="24" t="str">
        <x:v>Structures quests, arcs, genre expectations, causality, escalation, and world transformation.</x:v>
      </x:c>
      <x:c r="K979" s="24" t="str">
        <x:v>masquerade breach; hidden kingdom; secret world</x:v>
      </x:c>
      <x:c r="L979" s="24" t="str">
        <x:v>Preserve each source's ontology, culture, history, and terminology when making comparisons.</x:v>
      </x:c>
      <x:c r="M979" s="24" t="str">
        <x:v>Core Family</x:v>
      </x:c>
    </x:row>
    <x:row r="980" ht="44" customHeight="1">
      <x:c r="A980" s="24" t="str">
        <x:v>NAR-425</x:v>
      </x:c>
      <x:c r="B980" s="24" t="str">
        <x:v>Return of Magic</x:v>
      </x:c>
      <x:c r="C980" s="24" t="str">
        <x:v>Narrative Archetypes</x:v>
      </x:c>
      <x:c r="D980" s="24" t="str">
        <x:v>NAR-400</x:v>
      </x:c>
      <x:c r="E980" s="24" t="str">
        <x:f>IF(D980="","",IFERROR(VLOOKUP(D980,$A$2:$B$1656,2,FALSE),""))</x:f>
        <x:v>Plot and Journey Archetypes</x:v>
      </x:c>
      <x:c r="F980" s="24" t="n">
        <x:v>3</x:v>
      </x:c>
      <x:c r="G980" s="24" t="str">
        <x:v>Magic, gods, dragons, or supernatural beings re-enter a world where they had faded or vanished.</x:v>
      </x:c>
      <x:c r="H980" s="24" t="str">
        <x:v>A character can occupy several narrative functions over time; record arc and point of view.</x:v>
      </x:c>
      <x:c r="I980" s="24" t="str">
        <x:v>magic returns; age of wonder; dragons awaken</x:v>
      </x:c>
      <x:c r="J980" s="24" t="str">
        <x:v>Structures quests, arcs, genre expectations, causality, escalation, and world transformation.</x:v>
      </x:c>
      <x:c r="K980" s="24" t="str">
        <x:v>magic returns; age of wonder; dragons awaken</x:v>
      </x:c>
      <x:c r="L980" s="24" t="str">
        <x:v>Preserve each source's ontology, culture, history, and terminology when making comparisons.</x:v>
      </x:c>
      <x:c r="M980" s="24" t="str">
        <x:v>Core Family</x:v>
      </x:c>
    </x:row>
    <x:row r="981" ht="44" customHeight="1">
      <x:c r="A981" s="24" t="str">
        <x:v>NAR-426</x:v>
      </x:c>
      <x:c r="B981" s="24" t="str">
        <x:v>Fading of Magic</x:v>
      </x:c>
      <x:c r="C981" s="24" t="str">
        <x:v>Narrative Archetypes</x:v>
      </x:c>
      <x:c r="D981" s="24" t="str">
        <x:v>NAR-400</x:v>
      </x:c>
      <x:c r="E981" s="24" t="str">
        <x:f>IF(D981="","",IFERROR(VLOOKUP(D981,$A$2:$B$1656,2,FALSE),""))</x:f>
        <x:v>Plot and Journey Archetypes</x:v>
      </x:c>
      <x:c r="F981" s="24" t="n">
        <x:v>3</x:v>
      </x:c>
      <x:c r="G981" s="24" t="str">
        <x:v>The world transitions away from mythic beings, enchantment, immortality, or elder ages.</x:v>
      </x:c>
      <x:c r="H981" s="24" t="str">
        <x:v>A character can occupy several narrative functions over time; record arc and point of view.</x:v>
      </x:c>
      <x:c r="I981" s="24" t="str">
        <x:v>magic fades; end of elves; disenchantment</x:v>
      </x:c>
      <x:c r="J981" s="24" t="str">
        <x:v>Structures quests, arcs, genre expectations, causality, escalation, and world transformation.</x:v>
      </x:c>
      <x:c r="K981" s="24" t="str">
        <x:v>magic fades; end of elves; disenchantment</x:v>
      </x:c>
      <x:c r="L981" s="24" t="str">
        <x:v>Preserve each source's ontology, culture, history, and terminology when making comparisons.</x:v>
      </x:c>
      <x:c r="M981" s="24" t="str">
        <x:v>Core Family</x:v>
      </x:c>
    </x:row>
    <x:row r="982" ht="44" customHeight="1">
      <x:c r="A982" s="24" t="str">
        <x:v>NAR-427</x:v>
      </x:c>
      <x:c r="B982" s="24" t="str">
        <x:v>Fall of an Empire</x:v>
      </x:c>
      <x:c r="C982" s="24" t="str">
        <x:v>Narrative Archetypes</x:v>
      </x:c>
      <x:c r="D982" s="24" t="str">
        <x:v>NAR-400</x:v>
      </x:c>
      <x:c r="E982" s="24" t="str">
        <x:f>IF(D982="","",IFERROR(VLOOKUP(D982,$A$2:$B$1656,2,FALSE),""))</x:f>
        <x:v>Plot and Journey Archetypes</x:v>
      </x:c>
      <x:c r="F982" s="24" t="n">
        <x:v>3</x:v>
      </x:c>
      <x:c r="G982" s="24" t="str">
        <x:v>Narrative tracks the collapse of a political order through war, decadence, succession, invasion, or metaphysical change.</x:v>
      </x:c>
      <x:c r="H982" s="24" t="str">
        <x:v>A character can occupy several narrative functions over time; record arc and point of view.</x:v>
      </x:c>
      <x:c r="I982" s="24" t="str">
        <x:v>imperial collapse; end of age</x:v>
      </x:c>
      <x:c r="J982" s="24" t="str">
        <x:v>Structures quests, arcs, genre expectations, causality, escalation, and world transformation.</x:v>
      </x:c>
      <x:c r="K982" s="24" t="str">
        <x:v>imperial collapse; end of age</x:v>
      </x:c>
      <x:c r="L982" s="24" t="str">
        <x:v>Preserve each source's ontology, culture, history, and terminology when making comparisons.</x:v>
      </x:c>
      <x:c r="M982" s="24" t="str">
        <x:v>Core Family</x:v>
      </x:c>
    </x:row>
    <x:row r="983" ht="44" customHeight="1">
      <x:c r="A983" s="24" t="str">
        <x:v>NAR-428</x:v>
      </x:c>
      <x:c r="B983" s="24" t="str">
        <x:v>Rise of a New Order</x:v>
      </x:c>
      <x:c r="C983" s="24" t="str">
        <x:v>Narrative Archetypes</x:v>
      </x:c>
      <x:c r="D983" s="24" t="str">
        <x:v>NAR-400</x:v>
      </x:c>
      <x:c r="E983" s="24" t="str">
        <x:f>IF(D983="","",IFERROR(VLOOKUP(D983,$A$2:$B$1656,2,FALSE),""))</x:f>
        <x:v>Plot and Journey Archetypes</x:v>
      </x:c>
      <x:c r="F983" s="24" t="n">
        <x:v>3</x:v>
      </x:c>
      <x:c r="G983" s="24" t="str">
        <x:v>New state, religion, species, technology, or magical system displaces older structures.</x:v>
      </x:c>
      <x:c r="H983" s="24" t="str">
        <x:v>A character can occupy several narrative functions over time; record arc and point of view.</x:v>
      </x:c>
      <x:c r="I983" s="24" t="str">
        <x:v>new age; revolution; consolidation</x:v>
      </x:c>
      <x:c r="J983" s="24" t="str">
        <x:v>Structures quests, arcs, genre expectations, causality, escalation, and world transformation.</x:v>
      </x:c>
      <x:c r="K983" s="24" t="str">
        <x:v>new age; revolution; consolidation</x:v>
      </x:c>
      <x:c r="L983" s="24" t="str">
        <x:v>Preserve each source's ontology, culture, history, and terminology when making comparisons.</x:v>
      </x:c>
      <x:c r="M983" s="24" t="str">
        <x:v>Core Family</x:v>
      </x:c>
    </x:row>
    <x:row r="984" ht="44" customHeight="1">
      <x:c r="A984" s="24" t="str">
        <x:v>NAR-429</x:v>
      </x:c>
      <x:c r="B984" s="24" t="str">
        <x:v>Forbidden Knowledge</x:v>
      </x:c>
      <x:c r="C984" s="24" t="str">
        <x:v>Narrative Archetypes</x:v>
      </x:c>
      <x:c r="D984" s="24" t="str">
        <x:v>NAR-400</x:v>
      </x:c>
      <x:c r="E984" s="24" t="str">
        <x:f>IF(D984="","",IFERROR(VLOOKUP(D984,$A$2:$B$1656,2,FALSE),""))</x:f>
        <x:v>Plot and Journey Archetypes</x:v>
      </x:c>
      <x:c r="F984" s="24" t="n">
        <x:v>3</x:v>
      </x:c>
      <x:c r="G984" s="24" t="str">
        <x:v>Characters pursue truths whose acquisition itself creates danger, transformation, or ethical crisis.</x:v>
      </x:c>
      <x:c r="H984" s="24" t="str">
        <x:v>A character can occupy several narrative functions over time; record arc and point of view.</x:v>
      </x:c>
      <x:c r="I984" s="24" t="str">
        <x:v>forbidden tome; cosmic revelation; sealed lore</x:v>
      </x:c>
      <x:c r="J984" s="24" t="str">
        <x:v>Structures quests, arcs, genre expectations, causality, escalation, and world transformation.</x:v>
      </x:c>
      <x:c r="K984" s="24" t="str">
        <x:v>forbidden tome; cosmic revelation; sealed lore</x:v>
      </x:c>
      <x:c r="L984" s="24" t="str">
        <x:v>Preserve each source's ontology, culture, history, and terminology when making comparisons.</x:v>
      </x:c>
      <x:c r="M984" s="24" t="str">
        <x:v>Core Family</x:v>
      </x:c>
    </x:row>
    <x:row r="985" ht="44" customHeight="1">
      <x:c r="A985" s="24" t="str">
        <x:v>NAR-430</x:v>
      </x:c>
      <x:c r="B985" s="24" t="str">
        <x:v>Cost of Power</x:v>
      </x:c>
      <x:c r="C985" s="24" t="str">
        <x:v>Narrative Archetypes</x:v>
      </x:c>
      <x:c r="D985" s="24" t="str">
        <x:v>NAR-400</x:v>
      </x:c>
      <x:c r="E985" s="24" t="str">
        <x:f>IF(D985="","",IFERROR(VLOOKUP(D985,$A$2:$B$1656,2,FALSE),""))</x:f>
        <x:v>Plot and Journey Archetypes</x:v>
      </x:c>
      <x:c r="F985" s="24" t="n">
        <x:v>3</x:v>
      </x:c>
      <x:c r="G985" s="24" t="str">
        <x:v>Plot centers the escalating personal, social, or metaphysical price of supernatural ability.</x:v>
      </x:c>
      <x:c r="H985" s="24" t="str">
        <x:v>A character can occupy several narrative functions over time; record arc and point of view.</x:v>
      </x:c>
      <x:c r="I985" s="24" t="str">
        <x:v>corruption arc; equivalent exchange; dark bargain</x:v>
      </x:c>
      <x:c r="J985" s="24" t="str">
        <x:v>Structures quests, arcs, genre expectations, causality, escalation, and world transformation.</x:v>
      </x:c>
      <x:c r="K985" s="24" t="str">
        <x:v>corruption arc; equivalent exchange; dark bargain</x:v>
      </x:c>
      <x:c r="L985" s="24" t="str">
        <x:v>Preserve each source's ontology, culture, history, and terminology when making comparisons.</x:v>
      </x:c>
      <x:c r="M985" s="24" t="str">
        <x:v>Core Family</x:v>
      </x:c>
    </x:row>
    <x:row r="986" ht="44" customHeight="1">
      <x:c r="A986" s="24" t="str">
        <x:v>NAR-431</x:v>
      </x:c>
      <x:c r="B986" s="24" t="str">
        <x:v>Identity Mystery</x:v>
      </x:c>
      <x:c r="C986" s="24" t="str">
        <x:v>Narrative Archetypes</x:v>
      </x:c>
      <x:c r="D986" s="24" t="str">
        <x:v>NAR-400</x:v>
      </x:c>
      <x:c r="E986" s="24" t="str">
        <x:f>IF(D986="","",IFERROR(VLOOKUP(D986,$A$2:$B$1656,2,FALSE),""))</x:f>
        <x:v>Plot and Journey Archetypes</x:v>
      </x:c>
      <x:c r="F986" s="24" t="n">
        <x:v>3</x:v>
      </x:c>
      <x:c r="G986" s="24" t="str">
        <x:v>Central conflict concerns who a character truly is, whose body or memories they possess, or what species they belong to.</x:v>
      </x:c>
      <x:c r="H986" s="24" t="str">
        <x:v>A character can occupy several narrative functions over time; record arc and point of view.</x:v>
      </x:c>
      <x:c r="I986" s="24" t="str">
        <x:v>amnesia mystery; hidden lineage; body snatcher</x:v>
      </x:c>
      <x:c r="J986" s="24" t="str">
        <x:v>Structures quests, arcs, genre expectations, causality, escalation, and world transformation.</x:v>
      </x:c>
      <x:c r="K986" s="24" t="str">
        <x:v>amnesia mystery; hidden lineage; body snatcher</x:v>
      </x:c>
      <x:c r="L986" s="24" t="str">
        <x:v>Preserve each source's ontology, culture, history, and terminology when making comparisons.</x:v>
      </x:c>
      <x:c r="M986" s="24" t="str">
        <x:v>Core Family</x:v>
      </x:c>
    </x:row>
    <x:row r="987" ht="44" customHeight="1">
      <x:c r="A987" s="24" t="str">
        <x:v>NAR-432</x:v>
      </x:c>
      <x:c r="B987" s="24" t="str">
        <x:v>Found Family Journey</x:v>
      </x:c>
      <x:c r="C987" s="24" t="str">
        <x:v>Narrative Archetypes</x:v>
      </x:c>
      <x:c r="D987" s="24" t="str">
        <x:v>NAR-400</x:v>
      </x:c>
      <x:c r="E987" s="24" t="str">
        <x:f>IF(D987="","",IFERROR(VLOOKUP(D987,$A$2:$B$1656,2,FALSE),""))</x:f>
        <x:v>Plot and Journey Archetypes</x:v>
      </x:c>
      <x:c r="F987" s="24" t="n">
        <x:v>3</x:v>
      </x:c>
      <x:c r="G987" s="24" t="str">
        <x:v>The quest's deepest resolution is formation of durable bonds among socially displaced characters.</x:v>
      </x:c>
      <x:c r="H987" s="24" t="str">
        <x:v>A character can occupy several narrative functions over time; record arc and point of view.</x:v>
      </x:c>
      <x:c r="I987" s="24" t="str">
        <x:v>found family; fellowship bonding</x:v>
      </x:c>
      <x:c r="J987" s="24" t="str">
        <x:v>Structures quests, arcs, genre expectations, causality, escalation, and world transformation.</x:v>
      </x:c>
      <x:c r="K987" s="24" t="str">
        <x:v>found family; fellowship bonding</x:v>
      </x:c>
      <x:c r="L987" s="24" t="str">
        <x:v>Preserve each source's ontology, culture, history, and terminology when making comparisons.</x:v>
      </x:c>
      <x:c r="M987" s="24" t="str">
        <x:v>Core Family</x:v>
      </x:c>
    </x:row>
    <x:row r="988" ht="44" customHeight="1">
      <x:c r="A988" s="24" t="str">
        <x:v>NAR-433</x:v>
      </x:c>
      <x:c r="B988" s="24" t="str">
        <x:v>Generational Saga</x:v>
      </x:c>
      <x:c r="C988" s="24" t="str">
        <x:v>Narrative Archetypes</x:v>
      </x:c>
      <x:c r="D988" s="24" t="str">
        <x:v>NAR-400</x:v>
      </x:c>
      <x:c r="E988" s="24" t="str">
        <x:f>IF(D988="","",IFERROR(VLOOKUP(D988,$A$2:$B$1656,2,FALSE),""))</x:f>
        <x:v>Plot and Journey Archetypes</x:v>
      </x:c>
      <x:c r="F988" s="24" t="n">
        <x:v>3</x:v>
      </x:c>
      <x:c r="G988" s="24" t="str">
        <x:v>Conflict, inheritance, trauma, and institutions are traced across multiple generations.</x:v>
      </x:c>
      <x:c r="H988" s="24" t="str">
        <x:v>A character can occupy several narrative functions over time; record arc and point of view.</x:v>
      </x:c>
      <x:c r="I988" s="24" t="str">
        <x:v>family saga; legacy cycle; descendants</x:v>
      </x:c>
      <x:c r="J988" s="24" t="str">
        <x:v>Structures quests, arcs, genre expectations, causality, escalation, and world transformation.</x:v>
      </x:c>
      <x:c r="K988" s="24" t="str">
        <x:v>family saga; legacy cycle; descendants</x:v>
      </x:c>
      <x:c r="L988" s="24" t="str">
        <x:v>Preserve each source's ontology, culture, history, and terminology when making comparisons.</x:v>
      </x:c>
      <x:c r="M988" s="24" t="str">
        <x:v>Core Family</x:v>
      </x:c>
    </x:row>
    <x:row r="989" ht="44" customHeight="1">
      <x:c r="A989" s="24" t="str">
        <x:v>NAR-434</x:v>
      </x:c>
      <x:c r="B989" s="24" t="str">
        <x:v>Multiple-Route or Branching Narrative</x:v>
      </x:c>
      <x:c r="C989" s="24" t="str">
        <x:v>Narrative Archetypes</x:v>
      </x:c>
      <x:c r="D989" s="24" t="str">
        <x:v>NAR-400</x:v>
      </x:c>
      <x:c r="E989" s="24" t="str">
        <x:f>IF(D989="","",IFERROR(VLOOKUP(D989,$A$2:$B$1656,2,FALSE),""))</x:f>
        <x:v>Plot and Journey Archetypes</x:v>
      </x:c>
      <x:c r="F989" s="24" t="n">
        <x:v>3</x:v>
      </x:c>
      <x:c r="G989" s="24" t="str">
        <x:v>Story permits divergent alliances, endings, moral paths, or political outcomes.</x:v>
      </x:c>
      <x:c r="H989" s="24" t="str">
        <x:v>A character can occupy several narrative functions over time; record arc and point of view.</x:v>
      </x:c>
      <x:c r="I989" s="24" t="str">
        <x:v>branching route; alignment path; choice narrative</x:v>
      </x:c>
      <x:c r="J989" s="24" t="str">
        <x:v>Structures quests, arcs, genre expectations, causality, escalation, and world transformation.</x:v>
      </x:c>
      <x:c r="K989" s="24" t="str">
        <x:v>branching route; alignment path; choice narrative</x:v>
      </x:c>
      <x:c r="L989" s="24" t="str">
        <x:v>Preserve each source's ontology, culture, history, and terminology when making comparisons.</x:v>
      </x:c>
      <x:c r="M989" s="24" t="str">
        <x:v>Core Family</x:v>
      </x:c>
    </x:row>
    <x:row r="990" ht="44" customHeight="1">
      <x:c r="A990" s="24" t="str">
        <x:v>NAR-435</x:v>
      </x:c>
      <x:c r="B990" s="24" t="str">
        <x:v>New Game Plus or Recursive Journey</x:v>
      </x:c>
      <x:c r="C990" s="24" t="str">
        <x:v>Narrative Archetypes</x:v>
      </x:c>
      <x:c r="D990" s="24" t="str">
        <x:v>NAR-400</x:v>
      </x:c>
      <x:c r="E990" s="24" t="str">
        <x:f>IF(D990="","",IFERROR(VLOOKUP(D990,$A$2:$B$1656,2,FALSE),""))</x:f>
        <x:v>Plot and Journey Archetypes</x:v>
      </x:c>
      <x:c r="F990" s="24" t="n">
        <x:v>3</x:v>
      </x:c>
      <x:c r="G990" s="24" t="str">
        <x:v>A completed or failed narrative is revisited with retained knowledge, power, or altered conditions.</x:v>
      </x:c>
      <x:c r="H990" s="24" t="str">
        <x:v>A character can occupy several narrative functions over time; record arc and point of view.</x:v>
      </x:c>
      <x:c r="I990" s="24" t="str">
        <x:v>NG+; regression; recursive story</x:v>
      </x:c>
      <x:c r="J990" s="24" t="str">
        <x:v>Structures quests, arcs, genre expectations, causality, escalation, and world transformation.</x:v>
      </x:c>
      <x:c r="K990" s="24" t="str">
        <x:v>NG+; regression; recursive story</x:v>
      </x:c>
      <x:c r="L990" s="24" t="str">
        <x:v>Preserve each source's ontology, culture, history, and terminology when making comparisons.</x:v>
      </x:c>
      <x:c r="M990" s="24" t="str">
        <x:v>Core Family</x:v>
      </x:c>
    </x:row>
    <x:row r="991" ht="44" customHeight="1">
      <x:c r="A991" s="24" t="str">
        <x:v>NAR-436</x:v>
      </x:c>
      <x:c r="B991" s="24" t="str">
        <x:v>Dungeon Crawl</x:v>
      </x:c>
      <x:c r="C991" s="24" t="str">
        <x:v>Narrative Archetypes</x:v>
      </x:c>
      <x:c r="D991" s="24" t="str">
        <x:v>NAR-400</x:v>
      </x:c>
      <x:c r="E991" s="24" t="str">
        <x:f>IF(D991="","",IFERROR(VLOOKUP(D991,$A$2:$B$1656,2,FALSE),""))</x:f>
        <x:v>Plot and Journey Archetypes</x:v>
      </x:c>
      <x:c r="F991" s="24" t="n">
        <x:v>3</x:v>
      </x:c>
      <x:c r="G991" s="24" t="str">
        <x:v>Progress is organized through exploration of hostile layered spaces, encounters, resources, and discovery.</x:v>
      </x:c>
      <x:c r="H991" s="24" t="str">
        <x:v>A character can occupy several narrative functions over time; record arc and point of view.</x:v>
      </x:c>
      <x:c r="I991" s="24" t="str">
        <x:v>dungeon crawl; labyrinth expedition</x:v>
      </x:c>
      <x:c r="J991" s="24" t="str">
        <x:v>Structures quests, arcs, genre expectations, causality, escalation, and world transformation.</x:v>
      </x:c>
      <x:c r="K991" s="24" t="str">
        <x:v>dungeon crawl; labyrinth expedition</x:v>
      </x:c>
      <x:c r="L991" s="24" t="str">
        <x:v>Preserve each source's ontology, culture, history, and terminology when making comparisons.</x:v>
      </x:c>
      <x:c r="M991" s="24" t="str">
        <x:v>Core Family</x:v>
      </x:c>
    </x:row>
    <x:row r="992" ht="44" customHeight="1">
      <x:c r="A992" s="24" t="str">
        <x:v>NAR-437</x:v>
      </x:c>
      <x:c r="B992" s="24" t="str">
        <x:v>Kingdom Building</x:v>
      </x:c>
      <x:c r="C992" s="24" t="str">
        <x:v>Narrative Archetypes</x:v>
      </x:c>
      <x:c r="D992" s="24" t="str">
        <x:v>NAR-400</x:v>
      </x:c>
      <x:c r="E992" s="24" t="str">
        <x:f>IF(D992="","",IFERROR(VLOOKUP(D992,$A$2:$B$1656,2,FALSE),""))</x:f>
        <x:v>Plot and Journey Archetypes</x:v>
      </x:c>
      <x:c r="F992" s="24" t="n">
        <x:v>3</x:v>
      </x:c>
      <x:c r="G992" s="24" t="str">
        <x:v>Narrative centers settlement, governance, diplomacy, economy, and institutional creation.</x:v>
      </x:c>
      <x:c r="H992" s="24" t="str">
        <x:v>A character can occupy several narrative functions over time; record arc and point of view.</x:v>
      </x:c>
      <x:c r="I992" s="24" t="str">
        <x:v>kingdom builder; city management; realm founding</x:v>
      </x:c>
      <x:c r="J992" s="24" t="str">
        <x:v>Structures quests, arcs, genre expectations, causality, escalation, and world transformation.</x:v>
      </x:c>
      <x:c r="K992" s="24" t="str">
        <x:v>kingdom builder; city management; realm founding</x:v>
      </x:c>
      <x:c r="L992" s="24" t="str">
        <x:v>Preserve each source's ontology, culture, history, and terminology when making comparisons.</x:v>
      </x:c>
      <x:c r="M992" s="24" t="str">
        <x:v>Core Family</x:v>
      </x:c>
    </x:row>
    <x:row r="993" ht="44" customHeight="1">
      <x:c r="A993" s="24" t="str">
        <x:v>NAR-438</x:v>
      </x:c>
      <x:c r="B993" s="24" t="str">
        <x:v>School or Academy Arc</x:v>
      </x:c>
      <x:c r="C993" s="24" t="str">
        <x:v>Narrative Archetypes</x:v>
      </x:c>
      <x:c r="D993" s="24" t="str">
        <x:v>NAR-400</x:v>
      </x:c>
      <x:c r="E993" s="24" t="str">
        <x:f>IF(D993="","",IFERROR(VLOOKUP(D993,$A$2:$B$1656,2,FALSE),""))</x:f>
        <x:v>Plot and Journey Archetypes</x:v>
      </x:c>
      <x:c r="F993" s="24" t="n">
        <x:v>3</x:v>
      </x:c>
      <x:c r="G993" s="24" t="str">
        <x:v>Training institution becomes the setting for social sorting, rivalry, hidden politics, and power acquisition.</x:v>
      </x:c>
      <x:c r="H993" s="24" t="str">
        <x:v>A character can occupy several narrative functions over time; record arc and point of view.</x:v>
      </x:c>
      <x:c r="I993" s="24" t="str">
        <x:v>magic school; academy story; sect training</x:v>
      </x:c>
      <x:c r="J993" s="24" t="str">
        <x:v>Structures quests, arcs, genre expectations, causality, escalation, and world transformation.</x:v>
      </x:c>
      <x:c r="K993" s="24" t="str">
        <x:v>magic school; academy story; sect training</x:v>
      </x:c>
      <x:c r="L993" s="24" t="str">
        <x:v>Preserve each source's ontology, culture, history, and terminology when making comparisons.</x:v>
      </x:c>
      <x:c r="M993" s="24" t="str">
        <x:v>Core Family</x:v>
      </x:c>
    </x:row>
    <x:row r="994" ht="44" customHeight="1">
      <x:c r="A994" s="24" t="str">
        <x:v>NAR-439</x:v>
      </x:c>
      <x:c r="B994" s="24" t="str">
        <x:v>Monster-of-the-Week Structure</x:v>
      </x:c>
      <x:c r="C994" s="24" t="str">
        <x:v>Narrative Archetypes</x:v>
      </x:c>
      <x:c r="D994" s="24" t="str">
        <x:v>NAR-400</x:v>
      </x:c>
      <x:c r="E994" s="24" t="str">
        <x:f>IF(D994="","",IFERROR(VLOOKUP(D994,$A$2:$B$1656,2,FALSE),""))</x:f>
        <x:v>Plot and Journey Archetypes</x:v>
      </x:c>
      <x:c r="F994" s="24" t="n">
        <x:v>3</x:v>
      </x:c>
      <x:c r="G994" s="24" t="str">
        <x:v>Episodic threats allow recurring investigation, hunting, moral variation, and gradual worldbuilding.</x:v>
      </x:c>
      <x:c r="H994" s="24" t="str">
        <x:v>A character can occupy several narrative functions over time; record arc and point of view.</x:v>
      </x:c>
      <x:c r="I994" s="24" t="str">
        <x:v>monster of the week; case arc</x:v>
      </x:c>
      <x:c r="J994" s="24" t="str">
        <x:v>Structures quests, arcs, genre expectations, causality, escalation, and world transformation.</x:v>
      </x:c>
      <x:c r="K994" s="24" t="str">
        <x:v>monster of the week; case arc</x:v>
      </x:c>
      <x:c r="L994" s="24" t="str">
        <x:v>Preserve each source's ontology, culture, history, and terminology when making comparisons.</x:v>
      </x:c>
      <x:c r="M994" s="24" t="str">
        <x:v>Core Family</x:v>
      </x:c>
    </x:row>
    <x:row r="995" ht="44" customHeight="1">
      <x:c r="A995" s="24" t="str">
        <x:v>NAR-440</x:v>
      </x:c>
      <x:c r="B995" s="24" t="str">
        <x:v>Road or Wandering Narrative</x:v>
      </x:c>
      <x:c r="C995" s="24" t="str">
        <x:v>Narrative Archetypes</x:v>
      </x:c>
      <x:c r="D995" s="24" t="str">
        <x:v>NAR-400</x:v>
      </x:c>
      <x:c r="E995" s="24" t="str">
        <x:f>IF(D995="","",IFERROR(VLOOKUP(D995,$A$2:$B$1656,2,FALSE),""))</x:f>
        <x:v>Plot and Journey Archetypes</x:v>
      </x:c>
      <x:c r="F995" s="24" t="n">
        <x:v>3</x:v>
      </x:c>
      <x:c r="G995" s="24" t="str">
        <x:v>Characters move continuously among local communities, producing episodic comparison and accumulating relationships.</x:v>
      </x:c>
      <x:c r="H995" s="24" t="str">
        <x:v>A character can occupy several narrative functions over time; record arc and point of view.</x:v>
      </x:c>
      <x:c r="I995" s="24" t="str">
        <x:v>wandering hero; journey tale; traveling party</x:v>
      </x:c>
      <x:c r="J995" s="24" t="str">
        <x:v>Structures quests, arcs, genre expectations, causality, escalation, and world transformation.</x:v>
      </x:c>
      <x:c r="K995" s="24" t="str">
        <x:v>wandering hero; journey tale; traveling party</x:v>
      </x:c>
      <x:c r="L995" s="24" t="str">
        <x:v>Preserve each source's ontology, culture, history, and terminology when making comparisons.</x:v>
      </x:c>
      <x:c r="M995" s="24" t="str">
        <x:v>Core Family</x:v>
      </x:c>
    </x:row>
    <x:row r="996" ht="44" customHeight="1">
      <x:c r="A996" s="24" t="str">
        <x:v>CIV-100</x:v>
      </x:c>
      <x:c r="B996" s="24" t="str">
        <x:v>Polity and Governance Archetypes</x:v>
      </x:c>
      <x:c r="C996" s="24" t="str">
        <x:v>Civilization &amp; Culture Archetypes</x:v>
      </x:c>
      <x:c r="D996" s="24" t="str">
        <x:v>CIV-000</x:v>
      </x:c>
      <x:c r="E996" s="24" t="str">
        <x:f>IF(D996="","",IFERROR(VLOOKUP(D996,$A$2:$B$1656,2,FALSE),""))</x:f>
        <x:v>Civilization &amp; Culture Archetypes</x:v>
      </x:c>
      <x:c r="F996" s="24" t="n">
        <x:v>2</x:v>
      </x:c>
      <x:c r="G996" s="24" t="str">
        <x:v>Reusable forms of political organization, legitimacy, and rule.</x:v>
      </x:c>
      <x:c r="H996" s="24" t="str">
        <x:v>A civilization archetype is an analytical pattern, not a claim that cultures are homogeneous or biologically determined.</x:v>
      </x:c>
      <x:c r="I996" s="24" t="str"/>
      <x:c r="J996" s="24" t="str">
        <x:v>Supports comparison of social worldbuilding without reducing peoples to one culture.</x:v>
      </x:c>
      <x:c r="K996" s="24" t="str">
        <x:v>Polity and Governance Archetypes</x:v>
      </x:c>
      <x:c r="L996" s="24" t="str">
        <x:v>Preserve each source's ontology, culture, history, and terminology when making comparisons.</x:v>
      </x:c>
      <x:c r="M996" s="24" t="str">
        <x:v>Category</x:v>
      </x:c>
    </x:row>
    <x:row r="997" ht="44" customHeight="1">
      <x:c r="A997" s="24" t="str">
        <x:v>CIV-200</x:v>
      </x:c>
      <x:c r="B997" s="24" t="str">
        <x:v>Settlement and Environmental Archetypes</x:v>
      </x:c>
      <x:c r="C997" s="24" t="str">
        <x:v>Civilization &amp; Culture Archetypes</x:v>
      </x:c>
      <x:c r="D997" s="24" t="str">
        <x:v>CIV-000</x:v>
      </x:c>
      <x:c r="E997" s="24" t="str">
        <x:f>IF(D997="","",IFERROR(VLOOKUP(D997,$A$2:$B$1656,2,FALSE),""))</x:f>
        <x:v>Civilization &amp; Culture Archetypes</x:v>
      </x:c>
      <x:c r="F997" s="24" t="n">
        <x:v>2</x:v>
      </x:c>
      <x:c r="G997" s="24" t="str">
        <x:v>Societies organized around distinctive habitats, mobility, and spatial forms.</x:v>
      </x:c>
      <x:c r="H997" s="24" t="str">
        <x:v>A civilization archetype is an analytical pattern, not a claim that cultures are homogeneous or biologically determined.</x:v>
      </x:c>
      <x:c r="I997" s="24" t="str"/>
      <x:c r="J997" s="24" t="str">
        <x:v>Supports comparison of social worldbuilding without reducing peoples to one culture.</x:v>
      </x:c>
      <x:c r="K997" s="24" t="str">
        <x:v>Settlement and Environmental Archetypes</x:v>
      </x:c>
      <x:c r="L997" s="24" t="str">
        <x:v>Preserve each source's ontology, culture, history, and terminology when making comparisons.</x:v>
      </x:c>
      <x:c r="M997" s="24" t="str">
        <x:v>Category</x:v>
      </x:c>
    </x:row>
    <x:row r="998" ht="44" customHeight="1">
      <x:c r="A998" s="24" t="str">
        <x:v>CIV-300</x:v>
      </x:c>
      <x:c r="B998" s="24" t="str">
        <x:v>Economic and Institutional Archetypes</x:v>
      </x:c>
      <x:c r="C998" s="24" t="str">
        <x:v>Civilization &amp; Culture Archetypes</x:v>
      </x:c>
      <x:c r="D998" s="24" t="str">
        <x:v>CIV-000</x:v>
      </x:c>
      <x:c r="E998" s="24" t="str">
        <x:f>IF(D998="","",IFERROR(VLOOKUP(D998,$A$2:$B$1656,2,FALSE),""))</x:f>
        <x:v>Civilization &amp; Culture Archetypes</x:v>
      </x:c>
      <x:c r="F998" s="24" t="n">
        <x:v>2</x:v>
      </x:c>
      <x:c r="G998" s="24" t="str">
        <x:v>Societies shaped by guilds, adventuring economies, craft, magic, trade, or industrial systems.</x:v>
      </x:c>
      <x:c r="H998" s="24" t="str">
        <x:v>A civilization archetype is an analytical pattern, not a claim that cultures are homogeneous or biologically determined.</x:v>
      </x:c>
      <x:c r="I998" s="24" t="str"/>
      <x:c r="J998" s="24" t="str">
        <x:v>Supports comparison of social worldbuilding without reducing peoples to one culture.</x:v>
      </x:c>
      <x:c r="K998" s="24" t="str">
        <x:v>Economic and Institutional Archetypes</x:v>
      </x:c>
      <x:c r="L998" s="24" t="str">
        <x:v>Preserve each source's ontology, culture, history, and terminology when making comparisons.</x:v>
      </x:c>
      <x:c r="M998" s="24" t="str">
        <x:v>Category</x:v>
      </x:c>
    </x:row>
    <x:row r="999" ht="44" customHeight="1">
      <x:c r="A999" s="24" t="str">
        <x:v>CIV-400</x:v>
      </x:c>
      <x:c r="B999" s="24" t="str">
        <x:v>Historical and Ideological Archetypes</x:v>
      </x:c>
      <x:c r="C999" s="24" t="str">
        <x:v>Civilization &amp; Culture Archetypes</x:v>
      </x:c>
      <x:c r="D999" s="24" t="str">
        <x:v>CIV-000</x:v>
      </x:c>
      <x:c r="E999" s="24" t="str">
        <x:f>IF(D999="","",IFERROR(VLOOKUP(D999,$A$2:$B$1656,2,FALSE),""))</x:f>
        <x:v>Civilization &amp; Culture Archetypes</x:v>
      </x:c>
      <x:c r="F999" s="24" t="n">
        <x:v>2</x:v>
      </x:c>
      <x:c r="G999" s="24" t="str">
        <x:v>Societies defined by decline, exile, colonization, rebellion, sacred mission, or relations with other peoples.</x:v>
      </x:c>
      <x:c r="H999" s="24" t="str">
        <x:v>A civilization archetype is an analytical pattern, not a claim that cultures are homogeneous or biologically determined.</x:v>
      </x:c>
      <x:c r="I999" s="24" t="str"/>
      <x:c r="J999" s="24" t="str">
        <x:v>Supports comparison of social worldbuilding without reducing peoples to one culture.</x:v>
      </x:c>
      <x:c r="K999" s="24" t="str">
        <x:v>Historical and Ideological Archetypes</x:v>
      </x:c>
      <x:c r="L999" s="24" t="str">
        <x:v>Preserve each source's ontology, culture, history, and terminology when making comparisons.</x:v>
      </x:c>
      <x:c r="M999" s="24" t="str">
        <x:v>Category</x:v>
      </x:c>
    </x:row>
    <x:row r="1000" ht="44" customHeight="1">
      <x:c r="A1000" s="24" t="str">
        <x:v>CIV-101</x:v>
      </x:c>
      <x:c r="B1000" s="24" t="str">
        <x:v>Feudal Monarchy</x:v>
      </x:c>
      <x:c r="C1000" s="24" t="str">
        <x:v>Civilization &amp; Culture Archetypes</x:v>
      </x:c>
      <x:c r="D1000" s="24" t="str">
        <x:v>CIV-100</x:v>
      </x:c>
      <x:c r="E1000" s="24" t="str">
        <x:f>IF(D1000="","",IFERROR(VLOOKUP(D1000,$A$2:$B$1656,2,FALSE),""))</x:f>
        <x:v>Polity and Governance Archetypes</x:v>
      </x:c>
      <x:c r="F1000" s="24" t="n">
        <x:v>3</x:v>
      </x:c>
      <x:c r="G1000" s="24" t="str">
        <x:v>Realm organized around hereditary sovereignty, landholding elites, vassalage, and layered personal obligation.</x:v>
      </x:c>
      <x:c r="H1000" s="24" t="str">
        <x:v>Separate political form, economy, religion, ethnicity, ecology, and moral framing.</x:v>
      </x:c>
      <x:c r="I1000" s="24" t="str">
        <x:v>feudal kingdom; crown and vassals</x:v>
      </x:c>
      <x:c r="J1000" s="24" t="str">
        <x:v>Models legitimacy, hierarchy, law, conflict, succession, and state capacity.</x:v>
      </x:c>
      <x:c r="K1000" s="24" t="str">
        <x:v>feudal kingdom; crown and vassals</x:v>
      </x:c>
      <x:c r="L1000" s="24" t="str">
        <x:v>Preserve each source's ontology, culture, history, and terminology when making comparisons.</x:v>
      </x:c>
      <x:c r="M1000" s="24" t="str">
        <x:v>Core Family</x:v>
      </x:c>
    </x:row>
    <x:row r="1001" ht="44" customHeight="1">
      <x:c r="A1001" s="24" t="str">
        <x:v>CIV-102</x:v>
      </x:c>
      <x:c r="B1001" s="24" t="str">
        <x:v>Centralized Empire</x:v>
      </x:c>
      <x:c r="C1001" s="24" t="str">
        <x:v>Civilization &amp; Culture Archetypes</x:v>
      </x:c>
      <x:c r="D1001" s="24" t="str">
        <x:v>CIV-100</x:v>
      </x:c>
      <x:c r="E1001" s="24" t="str">
        <x:f>IF(D1001="","",IFERROR(VLOOKUP(D1001,$A$2:$B$1656,2,FALSE),""))</x:f>
        <x:v>Polity and Governance Archetypes</x:v>
      </x:c>
      <x:c r="F1001" s="24" t="n">
        <x:v>3</x:v>
      </x:c>
      <x:c r="G1001" s="24" t="str">
        <x:v>Large territorial state governed through bureaucracy, taxation, armies, provinces, and imperial ideology.</x:v>
      </x:c>
      <x:c r="H1001" s="24" t="str">
        <x:v>Separate political form, economy, religion, ethnicity, ecology, and moral framing.</x:v>
      </x:c>
      <x:c r="I1001" s="24" t="str">
        <x:v>empire; imperial state</x:v>
      </x:c>
      <x:c r="J1001" s="24" t="str">
        <x:v>Models legitimacy, hierarchy, law, conflict, succession, and state capacity.</x:v>
      </x:c>
      <x:c r="K1001" s="24" t="str">
        <x:v>empire; imperial state</x:v>
      </x:c>
      <x:c r="L1001" s="24" t="str">
        <x:v>Preserve each source's ontology, culture, history, and terminology when making comparisons.</x:v>
      </x:c>
      <x:c r="M1001" s="24" t="str">
        <x:v>Core Family</x:v>
      </x:c>
    </x:row>
    <x:row r="1002" ht="44" customHeight="1">
      <x:c r="A1002" s="24" t="str">
        <x:v>CIV-103</x:v>
      </x:c>
      <x:c r="B1002" s="24" t="str">
        <x:v>Decentralized Empire or Hegemony</x:v>
      </x:c>
      <x:c r="C1002" s="24" t="str">
        <x:v>Civilization &amp; Culture Archetypes</x:v>
      </x:c>
      <x:c r="D1002" s="24" t="str">
        <x:v>CIV-100</x:v>
      </x:c>
      <x:c r="E1002" s="24" t="str">
        <x:f>IF(D1002="","",IFERROR(VLOOKUP(D1002,$A$2:$B$1656,2,FALSE),""))</x:f>
        <x:v>Polity and Governance Archetypes</x:v>
      </x:c>
      <x:c r="F1002" s="24" t="n">
        <x:v>3</x:v>
      </x:c>
      <x:c r="G1002" s="24" t="str">
        <x:v>Large political sphere held through tribute, alliances, client rulers, or uneven control.</x:v>
      </x:c>
      <x:c r="H1002" s="24" t="str">
        <x:v>Separate political form, economy, religion, ethnicity, ecology, and moral framing.</x:v>
      </x:c>
      <x:c r="I1002" s="24" t="str">
        <x:v>hegemony; tributary empire; loose empire</x:v>
      </x:c>
      <x:c r="J1002" s="24" t="str">
        <x:v>Models legitimacy, hierarchy, law, conflict, succession, and state capacity.</x:v>
      </x:c>
      <x:c r="K1002" s="24" t="str">
        <x:v>hegemony; tributary empire; loose empire</x:v>
      </x:c>
      <x:c r="L1002" s="24" t="str">
        <x:v>Preserve each source's ontology, culture, history, and terminology when making comparisons.</x:v>
      </x:c>
      <x:c r="M1002" s="24" t="str">
        <x:v>Core Family</x:v>
      </x:c>
    </x:row>
    <x:row r="1003" ht="44" customHeight="1">
      <x:c r="A1003" s="24" t="str">
        <x:v>CIV-104</x:v>
      </x:c>
      <x:c r="B1003" s="24" t="str">
        <x:v>City-State</x:v>
      </x:c>
      <x:c r="C1003" s="24" t="str">
        <x:v>Civilization &amp; Culture Archetypes</x:v>
      </x:c>
      <x:c r="D1003" s="24" t="str">
        <x:v>CIV-100</x:v>
      </x:c>
      <x:c r="E1003" s="24" t="str">
        <x:f>IF(D1003="","",IFERROR(VLOOKUP(D1003,$A$2:$B$1656,2,FALSE),""))</x:f>
        <x:v>Polity and Governance Archetypes</x:v>
      </x:c>
      <x:c r="F1003" s="24" t="n">
        <x:v>3</x:v>
      </x:c>
      <x:c r="G1003" s="24" t="str">
        <x:v>Independent city and its territory functioning as a sovereign political community.</x:v>
      </x:c>
      <x:c r="H1003" s="24" t="str">
        <x:v>Separate political form, economy, religion, ethnicity, ecology, and moral framing.</x:v>
      </x:c>
      <x:c r="I1003" s="24" t="str">
        <x:v>city-state; polis; free city</x:v>
      </x:c>
      <x:c r="J1003" s="24" t="str">
        <x:v>Models legitimacy, hierarchy, law, conflict, succession, and state capacity.</x:v>
      </x:c>
      <x:c r="K1003" s="24" t="str">
        <x:v>city-state; polis; free city</x:v>
      </x:c>
      <x:c r="L1003" s="24" t="str">
        <x:v>Preserve each source's ontology, culture, history, and terminology when making comparisons.</x:v>
      </x:c>
      <x:c r="M1003" s="24" t="str">
        <x:v>Core Family</x:v>
      </x:c>
    </x:row>
    <x:row r="1004" ht="44" customHeight="1">
      <x:c r="A1004" s="24" t="str">
        <x:v>CIV-105</x:v>
      </x:c>
      <x:c r="B1004" s="24" t="str">
        <x:v>Merchant Republic</x:v>
      </x:c>
      <x:c r="C1004" s="24" t="str">
        <x:v>Civilization &amp; Culture Archetypes</x:v>
      </x:c>
      <x:c r="D1004" s="24" t="str">
        <x:v>CIV-100</x:v>
      </x:c>
      <x:c r="E1004" s="24" t="str">
        <x:f>IF(D1004="","",IFERROR(VLOOKUP(D1004,$A$2:$B$1656,2,FALSE),""))</x:f>
        <x:v>Polity and Governance Archetypes</x:v>
      </x:c>
      <x:c r="F1004" s="24" t="n">
        <x:v>3</x:v>
      </x:c>
      <x:c r="G1004" s="24" t="str">
        <x:v>Polity where commercial elites, guilds, councils, or elected magistrates dominate governance.</x:v>
      </x:c>
      <x:c r="H1004" s="24" t="str">
        <x:v>Separate political form, economy, religion, ethnicity, ecology, and moral framing.</x:v>
      </x:c>
      <x:c r="I1004" s="24" t="str">
        <x:v>merchant republic; trade city; oligarchic republic</x:v>
      </x:c>
      <x:c r="J1004" s="24" t="str">
        <x:v>Models legitimacy, hierarchy, law, conflict, succession, and state capacity.</x:v>
      </x:c>
      <x:c r="K1004" s="24" t="str">
        <x:v>merchant republic; trade city; oligarchic republic</x:v>
      </x:c>
      <x:c r="L1004" s="24" t="str">
        <x:v>Preserve each source's ontology, culture, history, and terminology when making comparisons.</x:v>
      </x:c>
      <x:c r="M1004" s="24" t="str">
        <x:v>Core Family</x:v>
      </x:c>
    </x:row>
    <x:row r="1005" ht="44" customHeight="1">
      <x:c r="A1005" s="24" t="str">
        <x:v>CIV-106</x:v>
      </x:c>
      <x:c r="B1005" s="24" t="str">
        <x:v>Theocracy</x:v>
      </x:c>
      <x:c r="C1005" s="24" t="str">
        <x:v>Civilization &amp; Culture Archetypes</x:v>
      </x:c>
      <x:c r="D1005" s="24" t="str">
        <x:v>CIV-100</x:v>
      </x:c>
      <x:c r="E1005" s="24" t="str">
        <x:f>IF(D1005="","",IFERROR(VLOOKUP(D1005,$A$2:$B$1656,2,FALSE),""))</x:f>
        <x:v>Polity and Governance Archetypes</x:v>
      </x:c>
      <x:c r="F1005" s="24" t="n">
        <x:v>3</x:v>
      </x:c>
      <x:c r="G1005" s="24" t="str">
        <x:v>Polity in which sacred law, priesthood, deity, or religious legitimacy directly governs public authority.</x:v>
      </x:c>
      <x:c r="H1005" s="24" t="str">
        <x:v>Separate political form, economy, religion, ethnicity, ecology, and moral framing.</x:v>
      </x:c>
      <x:c r="I1005" s="24" t="str">
        <x:v>theocracy; temple state; holy kingdom</x:v>
      </x:c>
      <x:c r="J1005" s="24" t="str">
        <x:v>Models legitimacy, hierarchy, law, conflict, succession, and state capacity.</x:v>
      </x:c>
      <x:c r="K1005" s="24" t="str">
        <x:v>theocracy; temple state; holy kingdom</x:v>
      </x:c>
      <x:c r="L1005" s="24" t="str">
        <x:v>Preserve each source's ontology, culture, history, and terminology when making comparisons.</x:v>
      </x:c>
      <x:c r="M1005" s="24" t="str">
        <x:v>Core Family</x:v>
      </x:c>
    </x:row>
    <x:row r="1006" ht="44" customHeight="1">
      <x:c r="A1006" s="24" t="str">
        <x:v>CIV-107</x:v>
      </x:c>
      <x:c r="B1006" s="24" t="str">
        <x:v>Mageocracy</x:v>
      </x:c>
      <x:c r="C1006" s="24" t="str">
        <x:v>Civilization &amp; Culture Archetypes</x:v>
      </x:c>
      <x:c r="D1006" s="24" t="str">
        <x:v>CIV-100</x:v>
      </x:c>
      <x:c r="E1006" s="24" t="str">
        <x:f>IF(D1006="","",IFERROR(VLOOKUP(D1006,$A$2:$B$1656,2,FALSE),""))</x:f>
        <x:v>Polity and Governance Archetypes</x:v>
      </x:c>
      <x:c r="F1006" s="24" t="n">
        <x:v>3</x:v>
      </x:c>
      <x:c r="G1006" s="24" t="str">
        <x:v>Polity ruled by magic users or institutions that monopolize supernatural expertise.</x:v>
      </x:c>
      <x:c r="H1006" s="24" t="str">
        <x:v>Separate political form, economy, religion, ethnicity, ecology, and moral framing.</x:v>
      </x:c>
      <x:c r="I1006" s="24" t="str">
        <x:v>mageocracy; wizard council; sorcerer caste</x:v>
      </x:c>
      <x:c r="J1006" s="24" t="str">
        <x:v>Models legitimacy, hierarchy, law, conflict, succession, and state capacity.</x:v>
      </x:c>
      <x:c r="K1006" s="24" t="str">
        <x:v>mageocracy; wizard council; sorcerer caste</x:v>
      </x:c>
      <x:c r="L1006" s="24" t="str">
        <x:v>Preserve each source's ontology, culture, history, and terminology when making comparisons.</x:v>
      </x:c>
      <x:c r="M1006" s="24" t="str">
        <x:v>Core Family</x:v>
      </x:c>
    </x:row>
    <x:row r="1007" ht="44" customHeight="1">
      <x:c r="A1007" s="24" t="str">
        <x:v>CIV-108</x:v>
      </x:c>
      <x:c r="B1007" s="24" t="str">
        <x:v>Necrocracy</x:v>
      </x:c>
      <x:c r="C1007" s="24" t="str">
        <x:v>Civilization &amp; Culture Archetypes</x:v>
      </x:c>
      <x:c r="D1007" s="24" t="str">
        <x:v>CIV-100</x:v>
      </x:c>
      <x:c r="E1007" s="24" t="str">
        <x:f>IF(D1007="","",IFERROR(VLOOKUP(D1007,$A$2:$B$1656,2,FALSE),""))</x:f>
        <x:v>Polity and Governance Archetypes</x:v>
      </x:c>
      <x:c r="F1007" s="24" t="n">
        <x:v>3</x:v>
      </x:c>
      <x:c r="G1007" s="24" t="str">
        <x:v>Polity ruled by undead, necromancers, ancestors, or institutions of death.</x:v>
      </x:c>
      <x:c r="H1007" s="24" t="str">
        <x:v>Separate political form, economy, religion, ethnicity, ecology, and moral framing.</x:v>
      </x:c>
      <x:c r="I1007" s="24" t="str">
        <x:v>necromantic state; vampire kingdom; lich empire</x:v>
      </x:c>
      <x:c r="J1007" s="24" t="str">
        <x:v>Models legitimacy, hierarchy, law, conflict, succession, and state capacity.</x:v>
      </x:c>
      <x:c r="K1007" s="24" t="str">
        <x:v>necromantic state; vampire kingdom; lich empire</x:v>
      </x:c>
      <x:c r="L1007" s="24" t="str">
        <x:v>Preserve each source's ontology, culture, history, and terminology when making comparisons.</x:v>
      </x:c>
      <x:c r="M1007" s="24" t="str">
        <x:v>Core Family</x:v>
      </x:c>
    </x:row>
    <x:row r="1008" ht="44" customHeight="1">
      <x:c r="A1008" s="24" t="str">
        <x:v>CIV-109</x:v>
      </x:c>
      <x:c r="B1008" s="24" t="str">
        <x:v>God-Kingdom</x:v>
      </x:c>
      <x:c r="C1008" s="24" t="str">
        <x:v>Civilization &amp; Culture Archetypes</x:v>
      </x:c>
      <x:c r="D1008" s="24" t="str">
        <x:v>CIV-100</x:v>
      </x:c>
      <x:c r="E1008" s="24" t="str">
        <x:f>IF(D1008="","",IFERROR(VLOOKUP(D1008,$A$2:$B$1656,2,FALSE),""))</x:f>
        <x:v>Polity and Governance Archetypes</x:v>
      </x:c>
      <x:c r="F1008" s="24" t="n">
        <x:v>3</x:v>
      </x:c>
      <x:c r="G1008" s="24" t="str">
        <x:v>Polity ruled by a living deity, avatar, divine monarch, or sovereign treated as cosmologically necessary.</x:v>
      </x:c>
      <x:c r="H1008" s="24" t="str">
        <x:v>Separate political form, economy, religion, ethnicity, ecology, and moral framing.</x:v>
      </x:c>
      <x:c r="I1008" s="24" t="str">
        <x:v>god-king realm; divine monarchy</x:v>
      </x:c>
      <x:c r="J1008" s="24" t="str">
        <x:v>Models legitimacy, hierarchy, law, conflict, succession, and state capacity.</x:v>
      </x:c>
      <x:c r="K1008" s="24" t="str">
        <x:v>god-king realm; divine monarchy</x:v>
      </x:c>
      <x:c r="L1008" s="24" t="str">
        <x:v>Preserve each source's ontology, culture, history, and terminology when making comparisons.</x:v>
      </x:c>
      <x:c r="M1008" s="24" t="str">
        <x:v>Core Family</x:v>
      </x:c>
    </x:row>
    <x:row r="1009" ht="44" customHeight="1">
      <x:c r="A1009" s="24" t="str">
        <x:v>CIV-110</x:v>
      </x:c>
      <x:c r="B1009" s="24" t="str">
        <x:v>Dragon-Ruled Realm</x:v>
      </x:c>
      <x:c r="C1009" s="24" t="str">
        <x:v>Civilization &amp; Culture Archetypes</x:v>
      </x:c>
      <x:c r="D1009" s="24" t="str">
        <x:v>CIV-100</x:v>
      </x:c>
      <x:c r="E1009" s="24" t="str">
        <x:f>IF(D1009="","",IFERROR(VLOOKUP(D1009,$A$2:$B$1656,2,FALSE),""))</x:f>
        <x:v>Polity and Governance Archetypes</x:v>
      </x:c>
      <x:c r="F1009" s="24" t="n">
        <x:v>3</x:v>
      </x:c>
      <x:c r="G1009" s="24" t="str">
        <x:v>Polity governed by dragons, dragon riders, draconic bloodlines, or tribute to a dragon sovereign.</x:v>
      </x:c>
      <x:c r="H1009" s="24" t="str">
        <x:v>Separate political form, economy, religion, ethnicity, ecology, and moral framing.</x:v>
      </x:c>
      <x:c r="I1009" s="24" t="str">
        <x:v>dragon empire; wyrm kingdom</x:v>
      </x:c>
      <x:c r="J1009" s="24" t="str">
        <x:v>Models legitimacy, hierarchy, law, conflict, succession, and state capacity.</x:v>
      </x:c>
      <x:c r="K1009" s="24" t="str">
        <x:v>dragon empire; wyrm kingdom</x:v>
      </x:c>
      <x:c r="L1009" s="24" t="str">
        <x:v>Preserve each source's ontology, culture, history, and terminology when making comparisons.</x:v>
      </x:c>
      <x:c r="M1009" s="24" t="str">
        <x:v>Core Family</x:v>
      </x:c>
    </x:row>
    <x:row r="1010" ht="44" customHeight="1">
      <x:c r="A1010" s="24" t="str">
        <x:v>CIV-111</x:v>
      </x:c>
      <x:c r="B1010" s="24" t="str">
        <x:v>Demon Realm or Infernal State</x:v>
      </x:c>
      <x:c r="C1010" s="24" t="str">
        <x:v>Civilization &amp; Culture Archetypes</x:v>
      </x:c>
      <x:c r="D1010" s="24" t="str">
        <x:v>CIV-100</x:v>
      </x:c>
      <x:c r="E1010" s="24" t="str">
        <x:f>IF(D1010="","",IFERROR(VLOOKUP(D1010,$A$2:$B$1656,2,FALSE),""))</x:f>
        <x:v>Polity and Governance Archetypes</x:v>
      </x:c>
      <x:c r="F1010" s="24" t="n">
        <x:v>3</x:v>
      </x:c>
      <x:c r="G1010" s="24" t="str">
        <x:v>Polity inhabited or ruled by demons and structured through conquest, hierarchy, contracts, or metaphysical appetite.</x:v>
      </x:c>
      <x:c r="H1010" s="24" t="str">
        <x:v>Separate political form, economy, religion, ethnicity, ecology, and moral framing.</x:v>
      </x:c>
      <x:c r="I1010" s="24" t="str">
        <x:v>demon kingdom; infernal hierarchy</x:v>
      </x:c>
      <x:c r="J1010" s="24" t="str">
        <x:v>Models legitimacy, hierarchy, law, conflict, succession, and state capacity.</x:v>
      </x:c>
      <x:c r="K1010" s="24" t="str">
        <x:v>demon kingdom; infernal hierarchy</x:v>
      </x:c>
      <x:c r="L1010" s="24" t="str">
        <x:v>Preserve each source's ontology, culture, history, and terminology when making comparisons.</x:v>
      </x:c>
      <x:c r="M1010" s="24" t="str">
        <x:v>Core Family</x:v>
      </x:c>
    </x:row>
    <x:row r="1011" ht="44" customHeight="1">
      <x:c r="A1011" s="24" t="str">
        <x:v>CIV-112</x:v>
      </x:c>
      <x:c r="B1011" s="24" t="str">
        <x:v>Fae Court Polity</x:v>
      </x:c>
      <x:c r="C1011" s="24" t="str">
        <x:v>Civilization &amp; Culture Archetypes</x:v>
      </x:c>
      <x:c r="D1011" s="24" t="str">
        <x:v>CIV-100</x:v>
      </x:c>
      <x:c r="E1011" s="24" t="str">
        <x:f>IF(D1011="","",IFERROR(VLOOKUP(D1011,$A$2:$B$1656,2,FALSE),""))</x:f>
        <x:v>Polity and Governance Archetypes</x:v>
      </x:c>
      <x:c r="F1011" s="24" t="n">
        <x:v>3</x:v>
      </x:c>
      <x:c r="G1011" s="24" t="str">
        <x:v>Otherworldly realm organized through court, season, etiquette, personal bond, and supernatural sovereignty.</x:v>
      </x:c>
      <x:c r="H1011" s="24" t="str">
        <x:v>Separate political form, economy, religion, ethnicity, ecology, and moral framing.</x:v>
      </x:c>
      <x:c r="I1011" s="24" t="str">
        <x:v>faerie court; seasonal kingdom</x:v>
      </x:c>
      <x:c r="J1011" s="24" t="str">
        <x:v>Models legitimacy, hierarchy, law, conflict, succession, and state capacity.</x:v>
      </x:c>
      <x:c r="K1011" s="24" t="str">
        <x:v>faerie court; seasonal kingdom</x:v>
      </x:c>
      <x:c r="L1011" s="24" t="str">
        <x:v>Preserve each source's ontology, culture, history, and terminology when making comparisons.</x:v>
      </x:c>
      <x:c r="M1011" s="24" t="str">
        <x:v>Core Family</x:v>
      </x:c>
    </x:row>
    <x:row r="1012" ht="44" customHeight="1">
      <x:c r="A1012" s="24" t="str">
        <x:v>CIV-113</x:v>
      </x:c>
      <x:c r="B1012" s="24" t="str">
        <x:v>Tribal Confederation</x:v>
      </x:c>
      <x:c r="C1012" s="24" t="str">
        <x:v>Civilization &amp; Culture Archetypes</x:v>
      </x:c>
      <x:c r="D1012" s="24" t="str">
        <x:v>CIV-100</x:v>
      </x:c>
      <x:c r="E1012" s="24" t="str">
        <x:f>IF(D1012="","",IFERROR(VLOOKUP(D1012,$A$2:$B$1656,2,FALSE),""))</x:f>
        <x:v>Polity and Governance Archetypes</x:v>
      </x:c>
      <x:c r="F1012" s="24" t="n">
        <x:v>3</x:v>
      </x:c>
      <x:c r="G1012" s="24" t="str">
        <x:v>Alliance of local, clan, or kin groups retaining autonomy under shared ritual, defense, or leadership.</x:v>
      </x:c>
      <x:c r="H1012" s="24" t="str">
        <x:v>Separate political form, economy, religion, ethnicity, ecology, and moral framing.</x:v>
      </x:c>
      <x:c r="I1012" s="24" t="str">
        <x:v>confederation; league of tribes</x:v>
      </x:c>
      <x:c r="J1012" s="24" t="str">
        <x:v>Models legitimacy, hierarchy, law, conflict, succession, and state capacity.</x:v>
      </x:c>
      <x:c r="K1012" s="24" t="str">
        <x:v>confederation; league of tribes</x:v>
      </x:c>
      <x:c r="L1012" s="24" t="str">
        <x:v>Preserve each source's ontology, culture, history, and terminology when making comparisons.</x:v>
      </x:c>
      <x:c r="M1012" s="24" t="str">
        <x:v>Core Family</x:v>
      </x:c>
    </x:row>
    <x:row r="1013" ht="44" customHeight="1">
      <x:c r="A1013" s="24" t="str">
        <x:v>CIV-114</x:v>
      </x:c>
      <x:c r="B1013" s="24" t="str">
        <x:v>Clan Polity</x:v>
      </x:c>
      <x:c r="C1013" s="24" t="str">
        <x:v>Civilization &amp; Culture Archetypes</x:v>
      </x:c>
      <x:c r="D1013" s="24" t="str">
        <x:v>CIV-100</x:v>
      </x:c>
      <x:c r="E1013" s="24" t="str">
        <x:f>IF(D1013="","",IFERROR(VLOOKUP(D1013,$A$2:$B$1656,2,FALSE),""))</x:f>
        <x:v>Polity and Governance Archetypes</x:v>
      </x:c>
      <x:c r="F1013" s="24" t="n">
        <x:v>3</x:v>
      </x:c>
      <x:c r="G1013" s="24" t="str">
        <x:v>Political order in which extended kin groups are the main units of law, land, warfare, and authority.</x:v>
      </x:c>
      <x:c r="H1013" s="24" t="str">
        <x:v>Separate political form, economy, religion, ethnicity, ecology, and moral framing.</x:v>
      </x:c>
      <x:c r="I1013" s="24" t="str">
        <x:v>clan society; house rule</x:v>
      </x:c>
      <x:c r="J1013" s="24" t="str">
        <x:v>Models legitimacy, hierarchy, law, conflict, succession, and state capacity.</x:v>
      </x:c>
      <x:c r="K1013" s="24" t="str">
        <x:v>clan society; house rule</x:v>
      </x:c>
      <x:c r="L1013" s="24" t="str">
        <x:v>Preserve each source's ontology, culture, history, and terminology when making comparisons.</x:v>
      </x:c>
      <x:c r="M1013" s="24" t="str">
        <x:v>Core Family</x:v>
      </x:c>
    </x:row>
    <x:row r="1014" ht="44" customHeight="1">
      <x:c r="A1014" s="24" t="str">
        <x:v>CIV-115</x:v>
      </x:c>
      <x:c r="B1014" s="24" t="str">
        <x:v>Caste State</x:v>
      </x:c>
      <x:c r="C1014" s="24" t="str">
        <x:v>Civilization &amp; Culture Archetypes</x:v>
      </x:c>
      <x:c r="D1014" s="24" t="str">
        <x:v>CIV-100</x:v>
      </x:c>
      <x:c r="E1014" s="24" t="str">
        <x:f>IF(D1014="","",IFERROR(VLOOKUP(D1014,$A$2:$B$1656,2,FALSE),""))</x:f>
        <x:v>Polity and Governance Archetypes</x:v>
      </x:c>
      <x:c r="F1014" s="24" t="n">
        <x:v>3</x:v>
      </x:c>
      <x:c r="G1014" s="24" t="str">
        <x:v>Polity whose law and economy assign rights and roles through hereditary or ascribed categories.</x:v>
      </x:c>
      <x:c r="H1014" s="24" t="str">
        <x:v>Separate political form, economy, religion, ethnicity, ecology, and moral framing.</x:v>
      </x:c>
      <x:c r="I1014" s="24" t="str">
        <x:v>caste order; estate society</x:v>
      </x:c>
      <x:c r="J1014" s="24" t="str">
        <x:v>Models legitimacy, hierarchy, law, conflict, succession, and state capacity.</x:v>
      </x:c>
      <x:c r="K1014" s="24" t="str">
        <x:v>caste order; estate society</x:v>
      </x:c>
      <x:c r="L1014" s="24" t="str">
        <x:v>Preserve each source's ontology, culture, history, and terminology when making comparisons.</x:v>
      </x:c>
      <x:c r="M1014" s="24" t="str">
        <x:v>Core Family</x:v>
      </x:c>
    </x:row>
    <x:row r="1015" ht="44" customHeight="1">
      <x:c r="A1015" s="24" t="str">
        <x:v>CIV-116</x:v>
      </x:c>
      <x:c r="B1015" s="24" t="str">
        <x:v>Council Republic</x:v>
      </x:c>
      <x:c r="C1015" s="24" t="str">
        <x:v>Civilization &amp; Culture Archetypes</x:v>
      </x:c>
      <x:c r="D1015" s="24" t="str">
        <x:v>CIV-100</x:v>
      </x:c>
      <x:c r="E1015" s="24" t="str">
        <x:f>IF(D1015="","",IFERROR(VLOOKUP(D1015,$A$2:$B$1656,2,FALSE),""))</x:f>
        <x:v>Polity and Governance Archetypes</x:v>
      </x:c>
      <x:c r="F1015" s="24" t="n">
        <x:v>3</x:v>
      </x:c>
      <x:c r="G1015" s="24" t="str">
        <x:v>Polity governed by collective councils of elders, guilds, houses, mages, or citizens.</x:v>
      </x:c>
      <x:c r="H1015" s="24" t="str">
        <x:v>Separate political form, economy, religion, ethnicity, ecology, and moral framing.</x:v>
      </x:c>
      <x:c r="I1015" s="24" t="str">
        <x:v>council state; senate; conclave rule</x:v>
      </x:c>
      <x:c r="J1015" s="24" t="str">
        <x:v>Models legitimacy, hierarchy, law, conflict, succession, and state capacity.</x:v>
      </x:c>
      <x:c r="K1015" s="24" t="str">
        <x:v>council state; senate; conclave rule</x:v>
      </x:c>
      <x:c r="L1015" s="24" t="str">
        <x:v>Preserve each source's ontology, culture, history, and terminology when making comparisons.</x:v>
      </x:c>
      <x:c r="M1015" s="24" t="str">
        <x:v>Core Family</x:v>
      </x:c>
    </x:row>
    <x:row r="1016" ht="44" customHeight="1">
      <x:c r="A1016" s="24" t="str">
        <x:v>CIV-117</x:v>
      </x:c>
      <x:c r="B1016" s="24" t="str">
        <x:v>Military Dictatorship</x:v>
      </x:c>
      <x:c r="C1016" s="24" t="str">
        <x:v>Civilization &amp; Culture Archetypes</x:v>
      </x:c>
      <x:c r="D1016" s="24" t="str">
        <x:v>CIV-100</x:v>
      </x:c>
      <x:c r="E1016" s="24" t="str">
        <x:f>IF(D1016="","",IFERROR(VLOOKUP(D1016,$A$2:$B$1656,2,FALSE),""))</x:f>
        <x:v>Polity and Governance Archetypes</x:v>
      </x:c>
      <x:c r="F1016" s="24" t="n">
        <x:v>3</x:v>
      </x:c>
      <x:c r="G1016" s="24" t="str">
        <x:v>Polity where military command structures directly control government and succession.</x:v>
      </x:c>
      <x:c r="H1016" s="24" t="str">
        <x:v>Separate political form, economy, religion, ethnicity, ecology, and moral framing.</x:v>
      </x:c>
      <x:c r="I1016" s="24" t="str">
        <x:v>junta; war council; martial state</x:v>
      </x:c>
      <x:c r="J1016" s="24" t="str">
        <x:v>Models legitimacy, hierarchy, law, conflict, succession, and state capacity.</x:v>
      </x:c>
      <x:c r="K1016" s="24" t="str">
        <x:v>junta; war council; martial state</x:v>
      </x:c>
      <x:c r="L1016" s="24" t="str">
        <x:v>Preserve each source's ontology, culture, history, and terminology when making comparisons.</x:v>
      </x:c>
      <x:c r="M1016" s="24" t="str">
        <x:v>Core Family</x:v>
      </x:c>
    </x:row>
    <x:row r="1017" ht="44" customHeight="1">
      <x:c r="A1017" s="24" t="str">
        <x:v>CIV-118</x:v>
      </x:c>
      <x:c r="B1017" s="24" t="str">
        <x:v>Warlord Fragmentation</x:v>
      </x:c>
      <x:c r="C1017" s="24" t="str">
        <x:v>Civilization &amp; Culture Archetypes</x:v>
      </x:c>
      <x:c r="D1017" s="24" t="str">
        <x:v>CIV-100</x:v>
      </x:c>
      <x:c r="E1017" s="24" t="str">
        <x:f>IF(D1017="","",IFERROR(VLOOKUP(D1017,$A$2:$B$1656,2,FALSE),""))</x:f>
        <x:v>Polity and Governance Archetypes</x:v>
      </x:c>
      <x:c r="F1017" s="24" t="n">
        <x:v>3</x:v>
      </x:c>
      <x:c r="G1017" s="24" t="str">
        <x:v>Region divided among personal military rulers, shifting coalitions, and weak central institutions.</x:v>
      </x:c>
      <x:c r="H1017" s="24" t="str">
        <x:v>Separate political form, economy, religion, ethnicity, ecology, and moral framing.</x:v>
      </x:c>
      <x:c r="I1017" s="24" t="str">
        <x:v>warlord era; fractured realm</x:v>
      </x:c>
      <x:c r="J1017" s="24" t="str">
        <x:v>Models legitimacy, hierarchy, law, conflict, succession, and state capacity.</x:v>
      </x:c>
      <x:c r="K1017" s="24" t="str">
        <x:v>warlord era; fractured realm</x:v>
      </x:c>
      <x:c r="L1017" s="24" t="str">
        <x:v>Preserve each source's ontology, culture, history, and terminology when making comparisons.</x:v>
      </x:c>
      <x:c r="M1017" s="24" t="str">
        <x:v>Core Family</x:v>
      </x:c>
    </x:row>
    <x:row r="1018" ht="44" customHeight="1">
      <x:c r="A1018" s="24" t="str">
        <x:v>CIV-119</x:v>
      </x:c>
      <x:c r="B1018" s="24" t="str">
        <x:v>Elective Monarchy</x:v>
      </x:c>
      <x:c r="C1018" s="24" t="str">
        <x:v>Civilization &amp; Culture Archetypes</x:v>
      </x:c>
      <x:c r="D1018" s="24" t="str">
        <x:v>CIV-100</x:v>
      </x:c>
      <x:c r="E1018" s="24" t="str">
        <x:f>IF(D1018="","",IFERROR(VLOOKUP(D1018,$A$2:$B$1656,2,FALSE),""))</x:f>
        <x:v>Polity and Governance Archetypes</x:v>
      </x:c>
      <x:c r="F1018" s="24" t="n">
        <x:v>3</x:v>
      </x:c>
      <x:c r="G1018" s="24" t="str">
        <x:v>Monarchy in which a defined elite or assembly chooses among eligible rulers.</x:v>
      </x:c>
      <x:c r="H1018" s="24" t="str">
        <x:v>Separate political form, economy, religion, ethnicity, ecology, and moral framing.</x:v>
      </x:c>
      <x:c r="I1018" s="24" t="str">
        <x:v>elected king; prince-electors</x:v>
      </x:c>
      <x:c r="J1018" s="24" t="str">
        <x:v>Models legitimacy, hierarchy, law, conflict, succession, and state capacity.</x:v>
      </x:c>
      <x:c r="K1018" s="24" t="str">
        <x:v>elected king; prince-electors</x:v>
      </x:c>
      <x:c r="L1018" s="24" t="str">
        <x:v>Preserve each source's ontology, culture, history, and terminology when making comparisons.</x:v>
      </x:c>
      <x:c r="M1018" s="24" t="str">
        <x:v>Core Family</x:v>
      </x:c>
    </x:row>
    <x:row r="1019" ht="44" customHeight="1">
      <x:c r="A1019" s="24" t="str">
        <x:v>CIV-120</x:v>
      </x:c>
      <x:c r="B1019" s="24" t="str">
        <x:v>Dual or Sacred Kingship</x:v>
      </x:c>
      <x:c r="C1019" s="24" t="str">
        <x:v>Civilization &amp; Culture Archetypes</x:v>
      </x:c>
      <x:c r="D1019" s="24" t="str">
        <x:v>CIV-100</x:v>
      </x:c>
      <x:c r="E1019" s="24" t="str">
        <x:f>IF(D1019="","",IFERROR(VLOOKUP(D1019,$A$2:$B$1656,2,FALSE),""))</x:f>
        <x:v>Polity and Governance Archetypes</x:v>
      </x:c>
      <x:c r="F1019" s="24" t="n">
        <x:v>3</x:v>
      </x:c>
      <x:c r="G1019" s="24" t="str">
        <x:v>Rule divided between paired sovereigns or between ritual and military authorities.</x:v>
      </x:c>
      <x:c r="H1019" s="24" t="str">
        <x:v>Separate political form, economy, religion, ethnicity, ecology, and moral framing.</x:v>
      </x:c>
      <x:c r="I1019" s="24" t="str">
        <x:v>dual monarchy; sacred king and war chief</x:v>
      </x:c>
      <x:c r="J1019" s="24" t="str">
        <x:v>Models legitimacy, hierarchy, law, conflict, succession, and state capacity.</x:v>
      </x:c>
      <x:c r="K1019" s="24" t="str">
        <x:v>dual monarchy; sacred king and war chief</x:v>
      </x:c>
      <x:c r="L1019" s="24" t="str">
        <x:v>Preserve each source's ontology, culture, history, and terminology when making comparisons.</x:v>
      </x:c>
      <x:c r="M1019" s="24" t="str">
        <x:v>Core Family</x:v>
      </x:c>
    </x:row>
    <x:row r="1020" ht="44" customHeight="1">
      <x:c r="A1020" s="24" t="str">
        <x:v>CIV-121</x:v>
      </x:c>
      <x:c r="B1020" s="24" t="str">
        <x:v>Hive Polity</x:v>
      </x:c>
      <x:c r="C1020" s="24" t="str">
        <x:v>Civilization &amp; Culture Archetypes</x:v>
      </x:c>
      <x:c r="D1020" s="24" t="str">
        <x:v>CIV-100</x:v>
      </x:c>
      <x:c r="E1020" s="24" t="str">
        <x:f>IF(D1020="","",IFERROR(VLOOKUP(D1020,$A$2:$B$1656,2,FALSE),""))</x:f>
        <x:v>Polity and Governance Archetypes</x:v>
      </x:c>
      <x:c r="F1020" s="24" t="n">
        <x:v>3</x:v>
      </x:c>
      <x:c r="G1020" s="24" t="str">
        <x:v>Society organized through biological caste, queen or core authority, and collective coordination.</x:v>
      </x:c>
      <x:c r="H1020" s="24" t="str">
        <x:v>Separate political form, economy, religion, ethnicity, ecology, and moral framing.</x:v>
      </x:c>
      <x:c r="I1020" s="24" t="str">
        <x:v>hive state; brood society</x:v>
      </x:c>
      <x:c r="J1020" s="24" t="str">
        <x:v>Models legitimacy, hierarchy, law, conflict, succession, and state capacity.</x:v>
      </x:c>
      <x:c r="K1020" s="24" t="str">
        <x:v>hive state; brood society</x:v>
      </x:c>
      <x:c r="L1020" s="24" t="str">
        <x:v>Preserve each source's ontology, culture, history, and terminology when making comparisons.</x:v>
      </x:c>
      <x:c r="M1020" s="24" t="str">
        <x:v>Core Family</x:v>
      </x:c>
    </x:row>
    <x:row r="1021" ht="44" customHeight="1">
      <x:c r="A1021" s="24" t="str">
        <x:v>CIV-122</x:v>
      </x:c>
      <x:c r="B1021" s="24" t="str">
        <x:v>Collective-Mind Polity</x:v>
      </x:c>
      <x:c r="C1021" s="24" t="str">
        <x:v>Civilization &amp; Culture Archetypes</x:v>
      </x:c>
      <x:c r="D1021" s="24" t="str">
        <x:v>CIV-100</x:v>
      </x:c>
      <x:c r="E1021" s="24" t="str">
        <x:f>IF(D1021="","",IFERROR(VLOOKUP(D1021,$A$2:$B$1656,2,FALSE),""))</x:f>
        <x:v>Polity and Governance Archetypes</x:v>
      </x:c>
      <x:c r="F1021" s="24" t="n">
        <x:v>3</x:v>
      </x:c>
      <x:c r="G1021" s="24" t="str">
        <x:v>Society governed through shared consciousness or distributed cognition rather than individual institutions.</x:v>
      </x:c>
      <x:c r="H1021" s="24" t="str">
        <x:v>Separate political form, economy, religion, ethnicity, ecology, and moral framing.</x:v>
      </x:c>
      <x:c r="I1021" s="24" t="str">
        <x:v>hive mind civilization; consensus mind</x:v>
      </x:c>
      <x:c r="J1021" s="24" t="str">
        <x:v>Models legitimacy, hierarchy, law, conflict, succession, and state capacity.</x:v>
      </x:c>
      <x:c r="K1021" s="24" t="str">
        <x:v>hive mind civilization; consensus mind</x:v>
      </x:c>
      <x:c r="L1021" s="24" t="str">
        <x:v>Preserve each source's ontology, culture, history, and terminology when making comparisons.</x:v>
      </x:c>
      <x:c r="M1021" s="24" t="str">
        <x:v>Core Family</x:v>
      </x:c>
    </x:row>
    <x:row r="1022" ht="44" customHeight="1">
      <x:c r="A1022" s="24" t="str">
        <x:v>CIV-123</x:v>
      </x:c>
      <x:c r="B1022" s="24" t="str">
        <x:v>Anarchic or Stateless Network</x:v>
      </x:c>
      <x:c r="C1022" s="24" t="str">
        <x:v>Civilization &amp; Culture Archetypes</x:v>
      </x:c>
      <x:c r="D1022" s="24" t="str">
        <x:v>CIV-100</x:v>
      </x:c>
      <x:c r="E1022" s="24" t="str">
        <x:f>IF(D1022="","",IFERROR(VLOOKUP(D1022,$A$2:$B$1656,2,FALSE),""))</x:f>
        <x:v>Polity and Governance Archetypes</x:v>
      </x:c>
      <x:c r="F1022" s="24" t="n">
        <x:v>3</x:v>
      </x:c>
      <x:c r="G1022" s="24" t="str">
        <x:v>Society coordinated through custom, kinship, guilds, communes, or voluntary networks without centralized state authority.</x:v>
      </x:c>
      <x:c r="H1022" s="24" t="str">
        <x:v>Separate political form, economy, religion, ethnicity, ecology, and moral framing.</x:v>
      </x:c>
      <x:c r="I1022" s="24" t="str">
        <x:v>stateless society; free communes; network polity</x:v>
      </x:c>
      <x:c r="J1022" s="24" t="str">
        <x:v>Models legitimacy, hierarchy, law, conflict, succession, and state capacity.</x:v>
      </x:c>
      <x:c r="K1022" s="24" t="str">
        <x:v>stateless society; free communes; network polity</x:v>
      </x:c>
      <x:c r="L1022" s="24" t="str">
        <x:v>Preserve each source's ontology, culture, history, and terminology when making comparisons.</x:v>
      </x:c>
      <x:c r="M1022" s="24" t="str">
        <x:v>Core Family</x:v>
      </x:c>
    </x:row>
    <x:row r="1023" ht="44" customHeight="1">
      <x:c r="A1023" s="24" t="str">
        <x:v>CIV-124</x:v>
      </x:c>
      <x:c r="B1023" s="24" t="str">
        <x:v>Colonial Administration</x:v>
      </x:c>
      <x:c r="C1023" s="24" t="str">
        <x:v>Civilization &amp; Culture Archetypes</x:v>
      </x:c>
      <x:c r="D1023" s="24" t="str">
        <x:v>CIV-100</x:v>
      </x:c>
      <x:c r="E1023" s="24" t="str">
        <x:f>IF(D1023="","",IFERROR(VLOOKUP(D1023,$A$2:$B$1656,2,FALSE),""))</x:f>
        <x:v>Polity and Governance Archetypes</x:v>
      </x:c>
      <x:c r="F1023" s="24" t="n">
        <x:v>3</x:v>
      </x:c>
      <x:c r="G1023" s="24" t="str">
        <x:v>Political order imposed by an outside power to extract resources, settle territory, or govern subordinate peoples.</x:v>
      </x:c>
      <x:c r="H1023" s="24" t="str">
        <x:v>Separate political form, economy, religion, ethnicity, ecology, and moral framing.</x:v>
      </x:c>
      <x:c r="I1023" s="24" t="str">
        <x:v>colony; imperial province; occupied territory</x:v>
      </x:c>
      <x:c r="J1023" s="24" t="str">
        <x:v>Models legitimacy, hierarchy, law, conflict, succession, and state capacity.</x:v>
      </x:c>
      <x:c r="K1023" s="24" t="str">
        <x:v>colony; imperial province; occupied territory</x:v>
      </x:c>
      <x:c r="L1023" s="24" t="str">
        <x:v>Preserve each source's ontology, culture, history, and terminology when making comparisons.</x:v>
      </x:c>
      <x:c r="M1023" s="24" t="str">
        <x:v>Core Family</x:v>
      </x:c>
    </x:row>
    <x:row r="1024" ht="44" customHeight="1">
      <x:c r="A1024" s="24" t="str">
        <x:v>CIV-125</x:v>
      </x:c>
      <x:c r="B1024" s="24" t="str">
        <x:v>Rebel or Revolutionary Government</x:v>
      </x:c>
      <x:c r="C1024" s="24" t="str">
        <x:v>Civilization &amp; Culture Archetypes</x:v>
      </x:c>
      <x:c r="D1024" s="24" t="str">
        <x:v>CIV-100</x:v>
      </x:c>
      <x:c r="E1024" s="24" t="str">
        <x:f>IF(D1024="","",IFERROR(VLOOKUP(D1024,$A$2:$B$1656,2,FALSE),""))</x:f>
        <x:v>Polity and Governance Archetypes</x:v>
      </x:c>
      <x:c r="F1024" s="24" t="n">
        <x:v>3</x:v>
      </x:c>
      <x:c r="G1024" s="24" t="str">
        <x:v>Emergent authority formed through resistance, liberation, councils, cells, or wartime necessity.</x:v>
      </x:c>
      <x:c r="H1024" s="24" t="str">
        <x:v>Separate political form, economy, religion, ethnicity, ecology, and moral framing.</x:v>
      </x:c>
      <x:c r="I1024" s="24" t="str">
        <x:v>rebel alliance; provisional government; commune</x:v>
      </x:c>
      <x:c r="J1024" s="24" t="str">
        <x:v>Models legitimacy, hierarchy, law, conflict, succession, and state capacity.</x:v>
      </x:c>
      <x:c r="K1024" s="24" t="str">
        <x:v>rebel alliance; provisional government; commune</x:v>
      </x:c>
      <x:c r="L1024" s="24" t="str">
        <x:v>Preserve each source's ontology, culture, history, and terminology when making comparisons.</x:v>
      </x:c>
      <x:c r="M1024" s="24" t="str">
        <x:v>Core Family</x:v>
      </x:c>
    </x:row>
    <x:row r="1025" ht="44" customHeight="1">
      <x:c r="A1025" s="24" t="str">
        <x:v>CIV-201</x:v>
      </x:c>
      <x:c r="B1025" s="24" t="str">
        <x:v>Elven Forest Realm</x:v>
      </x:c>
      <x:c r="C1025" s="24" t="str">
        <x:v>Civilization &amp; Culture Archetypes</x:v>
      </x:c>
      <x:c r="D1025" s="24" t="str">
        <x:v>CIV-200</x:v>
      </x:c>
      <x:c r="E1025" s="24" t="str">
        <x:f>IF(D1025="","",IFERROR(VLOOKUP(D1025,$A$2:$B$1656,2,FALSE),""))</x:f>
        <x:v>Settlement and Environmental Archetypes</x:v>
      </x:c>
      <x:c r="F1025" s="24" t="n">
        <x:v>3</x:v>
      </x:c>
      <x:c r="G1025" s="24" t="str">
        <x:v>Long-lived or magical society integrated with forests, hidden paths, ancient memory, and selective isolation.</x:v>
      </x:c>
      <x:c r="H1025" s="24" t="str">
        <x:v>Separate political form, economy, religion, ethnicity, ecology, and moral framing.</x:v>
      </x:c>
      <x:c r="I1025" s="24" t="str">
        <x:v>forest kingdom; woodland elves; living city</x:v>
      </x:c>
      <x:c r="J1025" s="24" t="str">
        <x:v>Models habitat, mobility, built environment, subsistence, defense, and ecological relation.</x:v>
      </x:c>
      <x:c r="K1025" s="24" t="str">
        <x:v>forest kingdom; woodland elves; living city</x:v>
      </x:c>
      <x:c r="L1025" s="24" t="str">
        <x:v>Preserve each source's ontology, culture, history, and terminology when making comparisons.</x:v>
      </x:c>
      <x:c r="M1025" s="24" t="str">
        <x:v>Core Family</x:v>
      </x:c>
    </x:row>
    <x:row r="1026" ht="44" customHeight="1">
      <x:c r="A1026" s="24" t="str">
        <x:v>CIV-202</x:v>
      </x:c>
      <x:c r="B1026" s="24" t="str">
        <x:v>Dwarven Mountain Hold</x:v>
      </x:c>
      <x:c r="C1026" s="24" t="str">
        <x:v>Civilization &amp; Culture Archetypes</x:v>
      </x:c>
      <x:c r="D1026" s="24" t="str">
        <x:v>CIV-200</x:v>
      </x:c>
      <x:c r="E1026" s="24" t="str">
        <x:f>IF(D1026="","",IFERROR(VLOOKUP(D1026,$A$2:$B$1656,2,FALSE),""))</x:f>
        <x:v>Settlement and Environmental Archetypes</x:v>
      </x:c>
      <x:c r="F1026" s="24" t="n">
        <x:v>3</x:v>
      </x:c>
      <x:c r="G1026" s="24" t="str">
        <x:v>Subterranean or mountain society organized around halls, mining, craft, clan, fortification, and ancestral continuity.</x:v>
      </x:c>
      <x:c r="H1026" s="24" t="str">
        <x:v>Separate political form, economy, religion, ethnicity, ecology, and moral framing.</x:v>
      </x:c>
      <x:c r="I1026" s="24" t="str">
        <x:v>mountain hold; underkingdom; delving realm</x:v>
      </x:c>
      <x:c r="J1026" s="24" t="str">
        <x:v>Models habitat, mobility, built environment, subsistence, defense, and ecological relation.</x:v>
      </x:c>
      <x:c r="K1026" s="24" t="str">
        <x:v>mountain hold; underkingdom; delving realm</x:v>
      </x:c>
      <x:c r="L1026" s="24" t="str">
        <x:v>Preserve each source's ontology, culture, history, and terminology when making comparisons.</x:v>
      </x:c>
      <x:c r="M1026" s="24" t="str">
        <x:v>Core Family</x:v>
      </x:c>
    </x:row>
    <x:row r="1027" ht="44" customHeight="1">
      <x:c r="A1027" s="24" t="str">
        <x:v>CIV-203</x:v>
      </x:c>
      <x:c r="B1027" s="24" t="str">
        <x:v>Orcish Warband or Confederacy</x:v>
      </x:c>
      <x:c r="C1027" s="24" t="str">
        <x:v>Civilization &amp; Culture Archetypes</x:v>
      </x:c>
      <x:c r="D1027" s="24" t="str">
        <x:v>CIV-200</x:v>
      </x:c>
      <x:c r="E1027" s="24" t="str">
        <x:f>IF(D1027="","",IFERROR(VLOOKUP(D1027,$A$2:$B$1656,2,FALSE),""))</x:f>
        <x:v>Settlement and Environmental Archetypes</x:v>
      </x:c>
      <x:c r="F1027" s="24" t="n">
        <x:v>3</x:v>
      </x:c>
      <x:c r="G1027" s="24" t="str">
        <x:v>Mobile or semi-settled orc-centered society organized around clans, warfare, honor, survival, or contested nationhood.</x:v>
      </x:c>
      <x:c r="H1027" s="24" t="str">
        <x:v>Separate political form, economy, religion, ethnicity, ecology, and moral framing.</x:v>
      </x:c>
      <x:c r="I1027" s="24" t="str">
        <x:v>orc horde; clan confederacy; warcamp</x:v>
      </x:c>
      <x:c r="J1027" s="24" t="str">
        <x:v>Models habitat, mobility, built environment, subsistence, defense, and ecological relation.</x:v>
      </x:c>
      <x:c r="K1027" s="24" t="str">
        <x:v>orc horde; clan confederacy; warcamp</x:v>
      </x:c>
      <x:c r="L1027" s="24" t="str">
        <x:v>Preserve each source's ontology, culture, history, and terminology when making comparisons.</x:v>
      </x:c>
      <x:c r="M1027" s="24" t="str">
        <x:v>Core Family</x:v>
      </x:c>
    </x:row>
    <x:row r="1028" ht="44" customHeight="1">
      <x:c r="A1028" s="24" t="str">
        <x:v>CIV-204</x:v>
      </x:c>
      <x:c r="B1028" s="24" t="str">
        <x:v>Goblin Undercity</x:v>
      </x:c>
      <x:c r="C1028" s="24" t="str">
        <x:v>Civilization &amp; Culture Archetypes</x:v>
      </x:c>
      <x:c r="D1028" s="24" t="str">
        <x:v>CIV-200</x:v>
      </x:c>
      <x:c r="E1028" s="24" t="str">
        <x:f>IF(D1028="","",IFERROR(VLOOKUP(D1028,$A$2:$B$1656,2,FALSE),""))</x:f>
        <x:v>Settlement and Environmental Archetypes</x:v>
      </x:c>
      <x:c r="F1028" s="24" t="n">
        <x:v>3</x:v>
      </x:c>
      <x:c r="G1028" s="24" t="str">
        <x:v>Dense subterranean or marginal settlement built around scavenging, tunnels, traps, trade, craft, and survival.</x:v>
      </x:c>
      <x:c r="H1028" s="24" t="str">
        <x:v>Separate political form, economy, religion, ethnicity, ecology, and moral framing.</x:v>
      </x:c>
      <x:c r="I1028" s="24" t="str">
        <x:v>goblin warrens; undercity; tunnel town</x:v>
      </x:c>
      <x:c r="J1028" s="24" t="str">
        <x:v>Models habitat, mobility, built environment, subsistence, defense, and ecological relation.</x:v>
      </x:c>
      <x:c r="K1028" s="24" t="str">
        <x:v>goblin warrens; undercity; tunnel town</x:v>
      </x:c>
      <x:c r="L1028" s="24" t="str">
        <x:v>Preserve each source's ontology, culture, history, and terminology when making comparisons.</x:v>
      </x:c>
      <x:c r="M1028" s="24" t="str">
        <x:v>Core Family</x:v>
      </x:c>
    </x:row>
    <x:row r="1029" ht="44" customHeight="1">
      <x:c r="A1029" s="24" t="str">
        <x:v>CIV-205</x:v>
      </x:c>
      <x:c r="B1029" s="24" t="str">
        <x:v>Nomadic Horse Culture</x:v>
      </x:c>
      <x:c r="C1029" s="24" t="str">
        <x:v>Civilization &amp; Culture Archetypes</x:v>
      </x:c>
      <x:c r="D1029" s="24" t="str">
        <x:v>CIV-200</x:v>
      </x:c>
      <x:c r="E1029" s="24" t="str">
        <x:f>IF(D1029="","",IFERROR(VLOOKUP(D1029,$A$2:$B$1656,2,FALSE),""))</x:f>
        <x:v>Settlement and Environmental Archetypes</x:v>
      </x:c>
      <x:c r="F1029" s="24" t="n">
        <x:v>3</x:v>
      </x:c>
      <x:c r="G1029" s="24" t="str">
        <x:v>Mobile pastoral society whose economy, warfare, status, and cosmology center on horses and open land.</x:v>
      </x:c>
      <x:c r="H1029" s="24" t="str">
        <x:v>Separate political form, economy, religion, ethnicity, ecology, and moral framing.</x:v>
      </x:c>
      <x:c r="I1029" s="24" t="str">
        <x:v>steppe nomads; horse lords; mounted clans</x:v>
      </x:c>
      <x:c r="J1029" s="24" t="str">
        <x:v>Models habitat, mobility, built environment, subsistence, defense, and ecological relation.</x:v>
      </x:c>
      <x:c r="K1029" s="24" t="str">
        <x:v>steppe nomads; horse lords; mounted clans</x:v>
      </x:c>
      <x:c r="L1029" s="24" t="str">
        <x:v>Avoid collapsing distinct Eurasian and other pastoral societies into a single 'horse barbarian' stereotype.</x:v>
      </x:c>
      <x:c r="M1029" s="24" t="str">
        <x:v>Core Family</x:v>
      </x:c>
    </x:row>
    <x:row r="1030" ht="44" customHeight="1">
      <x:c r="A1030" s="24" t="str">
        <x:v>CIV-206</x:v>
      </x:c>
      <x:c r="B1030" s="24" t="str">
        <x:v>Seafaring Raider Culture</x:v>
      </x:c>
      <x:c r="C1030" s="24" t="str">
        <x:v>Civilization &amp; Culture Archetypes</x:v>
      </x:c>
      <x:c r="D1030" s="24" t="str">
        <x:v>CIV-200</x:v>
      </x:c>
      <x:c r="E1030" s="24" t="str">
        <x:f>IF(D1030="","",IFERROR(VLOOKUP(D1030,$A$2:$B$1656,2,FALSE),""))</x:f>
        <x:v>Settlement and Environmental Archetypes</x:v>
      </x:c>
      <x:c r="F1030" s="24" t="n">
        <x:v>3</x:v>
      </x:c>
      <x:c r="G1030" s="24" t="str">
        <x:v>Maritime society combining trade, exploration, raiding, fishing, shipbuilding, and coastal politics.</x:v>
      </x:c>
      <x:c r="H1030" s="24" t="str">
        <x:v>Separate political form, economy, religion, ethnicity, ecology, and moral framing.</x:v>
      </x:c>
      <x:c r="I1030" s="24" t="str">
        <x:v>sea raiders; reavers; longship culture</x:v>
      </x:c>
      <x:c r="J1030" s="24" t="str">
        <x:v>Models habitat, mobility, built environment, subsistence, defense, and ecological relation.</x:v>
      </x:c>
      <x:c r="K1030" s="24" t="str">
        <x:v>sea raiders; reavers; longship culture</x:v>
      </x:c>
      <x:c r="L1030" s="24" t="str">
        <x:v>Preserve each source's ontology, culture, history, and terminology when making comparisons.</x:v>
      </x:c>
      <x:c r="M1030" s="24" t="str">
        <x:v>Core Family</x:v>
      </x:c>
    </x:row>
    <x:row r="1031" ht="44" customHeight="1">
      <x:c r="A1031" s="24" t="str">
        <x:v>CIV-207</x:v>
      </x:c>
      <x:c r="B1031" s="24" t="str">
        <x:v>Maritime Trading League</x:v>
      </x:c>
      <x:c r="C1031" s="24" t="str">
        <x:v>Civilization &amp; Culture Archetypes</x:v>
      </x:c>
      <x:c r="D1031" s="24" t="str">
        <x:v>CIV-200</x:v>
      </x:c>
      <x:c r="E1031" s="24" t="str">
        <x:f>IF(D1031="","",IFERROR(VLOOKUP(D1031,$A$2:$B$1656,2,FALSE),""))</x:f>
        <x:v>Settlement and Environmental Archetypes</x:v>
      </x:c>
      <x:c r="F1031" s="24" t="n">
        <x:v>3</x:v>
      </x:c>
      <x:c r="G1031" s="24" t="str">
        <x:v>Network of port cities and islands linked by commerce, navies, diasporas, and merchant law.</x:v>
      </x:c>
      <x:c r="H1031" s="24" t="str">
        <x:v>Separate political form, economy, religion, ethnicity, ecology, and moral framing.</x:v>
      </x:c>
      <x:c r="I1031" s="24" t="str">
        <x:v>trade league; island confederacy; thalassocracy</x:v>
      </x:c>
      <x:c r="J1031" s="24" t="str">
        <x:v>Models habitat, mobility, built environment, subsistence, defense, and ecological relation.</x:v>
      </x:c>
      <x:c r="K1031" s="24" t="str">
        <x:v>trade league; island confederacy; thalassocracy</x:v>
      </x:c>
      <x:c r="L1031" s="24" t="str">
        <x:v>Preserve each source's ontology, culture, history, and terminology when making comparisons.</x:v>
      </x:c>
      <x:c r="M1031" s="24" t="str">
        <x:v>Core Family</x:v>
      </x:c>
    </x:row>
    <x:row r="1032" ht="44" customHeight="1">
      <x:c r="A1032" s="24" t="str">
        <x:v>CIV-208</x:v>
      </x:c>
      <x:c r="B1032" s="24" t="str">
        <x:v>Desert Caravan Culture</x:v>
      </x:c>
      <x:c r="C1032" s="24" t="str">
        <x:v>Civilization &amp; Culture Archetypes</x:v>
      </x:c>
      <x:c r="D1032" s="24" t="str">
        <x:v>CIV-200</x:v>
      </x:c>
      <x:c r="E1032" s="24" t="str">
        <x:f>IF(D1032="","",IFERROR(VLOOKUP(D1032,$A$2:$B$1656,2,FALSE),""))</x:f>
        <x:v>Settlement and Environmental Archetypes</x:v>
      </x:c>
      <x:c r="F1032" s="24" t="n">
        <x:v>3</x:v>
      </x:c>
      <x:c r="G1032" s="24" t="str">
        <x:v>Society organized around oases, caravans, water rights, mobile trade, pastoralism, and desert survival.</x:v>
      </x:c>
      <x:c r="H1032" s="24" t="str">
        <x:v>Separate political form, economy, religion, ethnicity, ecology, and moral framing.</x:v>
      </x:c>
      <x:c r="I1032" s="24" t="str">
        <x:v>caravan society; oasis cities; desert confederation</x:v>
      </x:c>
      <x:c r="J1032" s="24" t="str">
        <x:v>Models habitat, mobility, built environment, subsistence, defense, and ecological relation.</x:v>
      </x:c>
      <x:c r="K1032" s="24" t="str">
        <x:v>caravan society; oasis cities; desert confederation</x:v>
      </x:c>
      <x:c r="L1032" s="24" t="str">
        <x:v>Preserve each source's ontology, culture, history, and terminology when making comparisons.</x:v>
      </x:c>
      <x:c r="M1032" s="24" t="str">
        <x:v>Core Family</x:v>
      </x:c>
    </x:row>
    <x:row r="1033" ht="44" customHeight="1">
      <x:c r="A1033" s="24" t="str">
        <x:v>CIV-209</x:v>
      </x:c>
      <x:c r="B1033" s="24" t="str">
        <x:v>Steppe Khanate</x:v>
      </x:c>
      <x:c r="C1033" s="24" t="str">
        <x:v>Civilization &amp; Culture Archetypes</x:v>
      </x:c>
      <x:c r="D1033" s="24" t="str">
        <x:v>CIV-200</x:v>
      </x:c>
      <x:c r="E1033" s="24" t="str">
        <x:f>IF(D1033="","",IFERROR(VLOOKUP(D1033,$A$2:$B$1656,2,FALSE),""))</x:f>
        <x:v>Settlement and Environmental Archetypes</x:v>
      </x:c>
      <x:c r="F1033" s="24" t="n">
        <x:v>3</x:v>
      </x:c>
      <x:c r="G1033" s="24" t="str">
        <x:v>Mobile imperial or confederated polity built on cavalry, tribute, kinship, and expansive grassland networks.</x:v>
      </x:c>
      <x:c r="H1033" s="24" t="str">
        <x:v>Separate political form, economy, religion, ethnicity, ecology, and moral framing.</x:v>
      </x:c>
      <x:c r="I1033" s="24" t="str">
        <x:v>khanate; horse empire</x:v>
      </x:c>
      <x:c r="J1033" s="24" t="str">
        <x:v>Models habitat, mobility, built environment, subsistence, defense, and ecological relation.</x:v>
      </x:c>
      <x:c r="K1033" s="24" t="str">
        <x:v>khanate; horse empire</x:v>
      </x:c>
      <x:c r="L1033" s="24" t="str">
        <x:v>Preserve each source's ontology, culture, history, and terminology when making comparisons.</x:v>
      </x:c>
      <x:c r="M1033" s="24" t="str">
        <x:v>Core Family</x:v>
      </x:c>
    </x:row>
    <x:row r="1034" ht="44" customHeight="1">
      <x:c r="A1034" s="24" t="str">
        <x:v>CIV-210</x:v>
      </x:c>
      <x:c r="B1034" s="24" t="str">
        <x:v>Icebound Survival Culture</x:v>
      </x:c>
      <x:c r="C1034" s="24" t="str">
        <x:v>Civilization &amp; Culture Archetypes</x:v>
      </x:c>
      <x:c r="D1034" s="24" t="str">
        <x:v>CIV-200</x:v>
      </x:c>
      <x:c r="E1034" s="24" t="str">
        <x:f>IF(D1034="","",IFERROR(VLOOKUP(D1034,$A$2:$B$1656,2,FALSE),""))</x:f>
        <x:v>Settlement and Environmental Archetypes</x:v>
      </x:c>
      <x:c r="F1034" s="24" t="n">
        <x:v>3</x:v>
      </x:c>
      <x:c r="G1034" s="24" t="str">
        <x:v>Society adapted to extreme cold through seasonal mobility, communal stores, specialized technology, and spiritual ecology.</x:v>
      </x:c>
      <x:c r="H1034" s="24" t="str">
        <x:v>Separate political form, economy, religion, ethnicity, ecology, and moral framing.</x:v>
      </x:c>
      <x:c r="I1034" s="24" t="str">
        <x:v>northern clans; tundra people; frost realm</x:v>
      </x:c>
      <x:c r="J1034" s="24" t="str">
        <x:v>Models habitat, mobility, built environment, subsistence, defense, and ecological relation.</x:v>
      </x:c>
      <x:c r="K1034" s="24" t="str">
        <x:v>northern clans; tundra people; frost realm</x:v>
      </x:c>
      <x:c r="L1034" s="24" t="str">
        <x:v>Preserve each source's ontology, culture, history, and terminology when making comparisons.</x:v>
      </x:c>
      <x:c r="M1034" s="24" t="str">
        <x:v>Core Family</x:v>
      </x:c>
    </x:row>
    <x:row r="1035" ht="44" customHeight="1">
      <x:c r="A1035" s="24" t="str">
        <x:v>CIV-211</x:v>
      </x:c>
      <x:c r="B1035" s="24" t="str">
        <x:v>Undersea Kingdom</x:v>
      </x:c>
      <x:c r="C1035" s="24" t="str">
        <x:v>Civilization &amp; Culture Archetypes</x:v>
      </x:c>
      <x:c r="D1035" s="24" t="str">
        <x:v>CIV-200</x:v>
      </x:c>
      <x:c r="E1035" s="24" t="str">
        <x:f>IF(D1035="","",IFERROR(VLOOKUP(D1035,$A$2:$B$1656,2,FALSE),""))</x:f>
        <x:v>Settlement and Environmental Archetypes</x:v>
      </x:c>
      <x:c r="F1035" s="24" t="n">
        <x:v>3</x:v>
      </x:c>
      <x:c r="G1035" s="24" t="str">
        <x:v>Aquatic polity organized around reefs, trenches, currents, pressure, maritime resources, and relation to surface worlds.</x:v>
      </x:c>
      <x:c r="H1035" s="24" t="str">
        <x:v>Separate political form, economy, religion, ethnicity, ecology, and moral framing.</x:v>
      </x:c>
      <x:c r="I1035" s="24" t="str">
        <x:v>merfolk kingdom; deep realm; coral city</x:v>
      </x:c>
      <x:c r="J1035" s="24" t="str">
        <x:v>Models habitat, mobility, built environment, subsistence, defense, and ecological relation.</x:v>
      </x:c>
      <x:c r="K1035" s="24" t="str">
        <x:v>merfolk kingdom; deep realm; coral city</x:v>
      </x:c>
      <x:c r="L1035" s="24" t="str">
        <x:v>Preserve each source's ontology, culture, history, and terminology when making comparisons.</x:v>
      </x:c>
      <x:c r="M1035" s="24" t="str">
        <x:v>Core Family</x:v>
      </x:c>
    </x:row>
    <x:row r="1036" ht="44" customHeight="1">
      <x:c r="A1036" s="24" t="str">
        <x:v>CIV-212</x:v>
      </x:c>
      <x:c r="B1036" s="24" t="str">
        <x:v>Floating City or Sky Realm</x:v>
      </x:c>
      <x:c r="C1036" s="24" t="str">
        <x:v>Civilization &amp; Culture Archetypes</x:v>
      </x:c>
      <x:c r="D1036" s="24" t="str">
        <x:v>CIV-200</x:v>
      </x:c>
      <x:c r="E1036" s="24" t="str">
        <x:f>IF(D1036="","",IFERROR(VLOOKUP(D1036,$A$2:$B$1656,2,FALSE),""))</x:f>
        <x:v>Settlement and Environmental Archetypes</x:v>
      </x:c>
      <x:c r="F1036" s="24" t="n">
        <x:v>3</x:v>
      </x:c>
      <x:c r="G1036" s="24" t="str">
        <x:v>Settlement suspended in air, carried by creatures, built on islands, or maintained through magic or technology.</x:v>
      </x:c>
      <x:c r="H1036" s="24" t="str">
        <x:v>Separate political form, economy, religion, ethnicity, ecology, and moral framing.</x:v>
      </x:c>
      <x:c r="I1036" s="24" t="str">
        <x:v>sky city; floating islands; cloud kingdom</x:v>
      </x:c>
      <x:c r="J1036" s="24" t="str">
        <x:v>Models habitat, mobility, built environment, subsistence, defense, and ecological relation.</x:v>
      </x:c>
      <x:c r="K1036" s="24" t="str">
        <x:v>sky city; floating islands; cloud kingdom</x:v>
      </x:c>
      <x:c r="L1036" s="24" t="str">
        <x:v>Preserve each source's ontology, culture, history, and terminology when making comparisons.</x:v>
      </x:c>
      <x:c r="M1036" s="24" t="str">
        <x:v>Core Family</x:v>
      </x:c>
    </x:row>
    <x:row r="1037" ht="44" customHeight="1">
      <x:c r="A1037" s="24" t="str">
        <x:v>CIV-213</x:v>
      </x:c>
      <x:c r="B1037" s="24" t="str">
        <x:v>Underground Civilization</x:v>
      </x:c>
      <x:c r="C1037" s="24" t="str">
        <x:v>Civilization &amp; Culture Archetypes</x:v>
      </x:c>
      <x:c r="D1037" s="24" t="str">
        <x:v>CIV-200</x:v>
      </x:c>
      <x:c r="E1037" s="24" t="str">
        <x:f>IF(D1037="","",IFERROR(VLOOKUP(D1037,$A$2:$B$1656,2,FALSE),""))</x:f>
        <x:v>Settlement and Environmental Archetypes</x:v>
      </x:c>
      <x:c r="F1037" s="24" t="n">
        <x:v>3</x:v>
      </x:c>
      <x:c r="G1037" s="24" t="str">
        <x:v>Large society beneath the surface with its own agriculture, trade, light systems, and cosmology.</x:v>
      </x:c>
      <x:c r="H1037" s="24" t="str">
        <x:v>Separate political form, economy, religion, ethnicity, ecology, and moral framing.</x:v>
      </x:c>
      <x:c r="I1037" s="24" t="str">
        <x:v>underdark realm; subterranean empire; cavern society</x:v>
      </x:c>
      <x:c r="J1037" s="24" t="str">
        <x:v>Models habitat, mobility, built environment, subsistence, defense, and ecological relation.</x:v>
      </x:c>
      <x:c r="K1037" s="24" t="str">
        <x:v>underdark realm; subterranean empire; cavern society</x:v>
      </x:c>
      <x:c r="L1037" s="24" t="str">
        <x:v>Preserve each source's ontology, culture, history, and terminology when making comparisons.</x:v>
      </x:c>
      <x:c r="M1037" s="24" t="str">
        <x:v>Core Family</x:v>
      </x:c>
    </x:row>
    <x:row r="1038" ht="44" customHeight="1">
      <x:c r="A1038" s="24" t="str">
        <x:v>CIV-214</x:v>
      </x:c>
      <x:c r="B1038" s="24" t="str">
        <x:v>Hidden Valley or Secret Kingdom</x:v>
      </x:c>
      <x:c r="C1038" s="24" t="str">
        <x:v>Civilization &amp; Culture Archetypes</x:v>
      </x:c>
      <x:c r="D1038" s="24" t="str">
        <x:v>CIV-200</x:v>
      </x:c>
      <x:c r="E1038" s="24" t="str">
        <x:f>IF(D1038="","",IFERROR(VLOOKUP(D1038,$A$2:$B$1656,2,FALSE),""))</x:f>
        <x:v>Settlement and Environmental Archetypes</x:v>
      </x:c>
      <x:c r="F1038" s="24" t="n">
        <x:v>3</x:v>
      </x:c>
      <x:c r="G1038" s="24" t="str">
        <x:v>Geographically or magically isolated society protected from external history and change.</x:v>
      </x:c>
      <x:c r="H1038" s="24" t="str">
        <x:v>Separate political form, economy, religion, ethnicity, ecology, and moral framing.</x:v>
      </x:c>
      <x:c r="I1038" s="24" t="str">
        <x:v>hidden kingdom; lost valley; concealed realm</x:v>
      </x:c>
      <x:c r="J1038" s="24" t="str">
        <x:v>Models habitat, mobility, built environment, subsistence, defense, and ecological relation.</x:v>
      </x:c>
      <x:c r="K1038" s="24" t="str">
        <x:v>hidden kingdom; lost valley; concealed realm</x:v>
      </x:c>
      <x:c r="L1038" s="24" t="str">
        <x:v>Preserve each source's ontology, culture, history, and terminology when making comparisons.</x:v>
      </x:c>
      <x:c r="M1038" s="24" t="str">
        <x:v>Core Family</x:v>
      </x:c>
    </x:row>
    <x:row r="1039" ht="44" customHeight="1">
      <x:c r="A1039" s="24" t="str">
        <x:v>CIV-215</x:v>
      </x:c>
      <x:c r="B1039" s="24" t="str">
        <x:v>Frontier March</x:v>
      </x:c>
      <x:c r="C1039" s="24" t="str">
        <x:v>Civilization &amp; Culture Archetypes</x:v>
      </x:c>
      <x:c r="D1039" s="24" t="str">
        <x:v>CIV-200</x:v>
      </x:c>
      <x:c r="E1039" s="24" t="str">
        <x:f>IF(D1039="","",IFERROR(VLOOKUP(D1039,$A$2:$B$1656,2,FALSE),""))</x:f>
        <x:v>Settlement and Environmental Archetypes</x:v>
      </x:c>
      <x:c r="F1039" s="24" t="n">
        <x:v>3</x:v>
      </x:c>
      <x:c r="G1039" s="24" t="str">
        <x:v>Border society shaped by defense, settlement, cultural exchange, monster threat, and weak central control.</x:v>
      </x:c>
      <x:c r="H1039" s="24" t="str">
        <x:v>Separate political form, economy, religion, ethnicity, ecology, and moral framing.</x:v>
      </x:c>
      <x:c r="I1039" s="24" t="str">
        <x:v>marches; borderlands; frontier</x:v>
      </x:c>
      <x:c r="J1039" s="24" t="str">
        <x:v>Models habitat, mobility, built environment, subsistence, defense, and ecological relation.</x:v>
      </x:c>
      <x:c r="K1039" s="24" t="str">
        <x:v>marches; borderlands; frontier</x:v>
      </x:c>
      <x:c r="L1039" s="24" t="str">
        <x:v>Preserve each source's ontology, culture, history, and terminology when making comparisons.</x:v>
      </x:c>
      <x:c r="M1039" s="24" t="str">
        <x:v>Core Family</x:v>
      </x:c>
    </x:row>
    <x:row r="1040" ht="44" customHeight="1">
      <x:c r="A1040" s="24" t="str">
        <x:v>CIV-216</x:v>
      </x:c>
      <x:c r="B1040" s="24" t="str">
        <x:v>Walled Free City</x:v>
      </x:c>
      <x:c r="C1040" s="24" t="str">
        <x:v>Civilization &amp; Culture Archetypes</x:v>
      </x:c>
      <x:c r="D1040" s="24" t="str">
        <x:v>CIV-200</x:v>
      </x:c>
      <x:c r="E1040" s="24" t="str">
        <x:f>IF(D1040="","",IFERROR(VLOOKUP(D1040,$A$2:$B$1656,2,FALSE),""))</x:f>
        <x:v>Settlement and Environmental Archetypes</x:v>
      </x:c>
      <x:c r="F1040" s="24" t="n">
        <x:v>3</x:v>
      </x:c>
      <x:c r="G1040" s="24" t="str">
        <x:v>Independent fortified city whose identity centers on defense, trade, guilds, and negotiated citizenship.</x:v>
      </x:c>
      <x:c r="H1040" s="24" t="str">
        <x:v>Separate political form, economy, religion, ethnicity, ecology, and moral framing.</x:v>
      </x:c>
      <x:c r="I1040" s="24" t="str">
        <x:v>free city; fortress city; city republic</x:v>
      </x:c>
      <x:c r="J1040" s="24" t="str">
        <x:v>Models habitat, mobility, built environment, subsistence, defense, and ecological relation.</x:v>
      </x:c>
      <x:c r="K1040" s="24" t="str">
        <x:v>free city; fortress city; city republic</x:v>
      </x:c>
      <x:c r="L1040" s="24" t="str">
        <x:v>Preserve each source's ontology, culture, history, and terminology when making comparisons.</x:v>
      </x:c>
      <x:c r="M1040" s="24" t="str">
        <x:v>Core Family</x:v>
      </x:c>
    </x:row>
    <x:row r="1041" ht="44" customHeight="1">
      <x:c r="A1041" s="24" t="str">
        <x:v>CIV-217</x:v>
      </x:c>
      <x:c r="B1041" s="24" t="str">
        <x:v>Monastic Mountain Society</x:v>
      </x:c>
      <x:c r="C1041" s="24" t="str">
        <x:v>Civilization &amp; Culture Archetypes</x:v>
      </x:c>
      <x:c r="D1041" s="24" t="str">
        <x:v>CIV-200</x:v>
      </x:c>
      <x:c r="E1041" s="24" t="str">
        <x:f>IF(D1041="","",IFERROR(VLOOKUP(D1041,$A$2:$B$1656,2,FALSE),""))</x:f>
        <x:v>Settlement and Environmental Archetypes</x:v>
      </x:c>
      <x:c r="F1041" s="24" t="n">
        <x:v>3</x:v>
      </x:c>
      <x:c r="G1041" s="24" t="str">
        <x:v>Community organized around isolated monasteries, pilgrimage, martial discipline, and spiritual landscape.</x:v>
      </x:c>
      <x:c r="H1041" s="24" t="str">
        <x:v>Separate political form, economy, religion, ethnicity, ecology, and moral framing.</x:v>
      </x:c>
      <x:c r="I1041" s="24" t="str">
        <x:v>mountain sect; monastery realm; sacred peaks</x:v>
      </x:c>
      <x:c r="J1041" s="24" t="str">
        <x:v>Models habitat, mobility, built environment, subsistence, defense, and ecological relation.</x:v>
      </x:c>
      <x:c r="K1041" s="24" t="str">
        <x:v>mountain sect; monastery realm; sacred peaks</x:v>
      </x:c>
      <x:c r="L1041" s="24" t="str">
        <x:v>Preserve each source's ontology, culture, history, and terminology when making comparisons.</x:v>
      </x:c>
      <x:c r="M1041" s="24" t="str">
        <x:v>Core Family</x:v>
      </x:c>
    </x:row>
    <x:row r="1042" ht="44" customHeight="1">
      <x:c r="A1042" s="24" t="str">
        <x:v>CIV-218</x:v>
      </x:c>
      <x:c r="B1042" s="24" t="str">
        <x:v>Living City</x:v>
      </x:c>
      <x:c r="C1042" s="24" t="str">
        <x:v>Civilization &amp; Culture Archetypes</x:v>
      </x:c>
      <x:c r="D1042" s="24" t="str">
        <x:v>CIV-200</x:v>
      </x:c>
      <x:c r="E1042" s="24" t="str">
        <x:f>IF(D1042="","",IFERROR(VLOOKUP(D1042,$A$2:$B$1656,2,FALSE),""))</x:f>
        <x:v>Settlement and Environmental Archetypes</x:v>
      </x:c>
      <x:c r="F1042" s="24" t="n">
        <x:v>3</x:v>
      </x:c>
      <x:c r="G1042" s="24" t="str">
        <x:v>Settlement that is biologically, magically, spiritually, or mechanically alive and participates in governance or ecology.</x:v>
      </x:c>
      <x:c r="H1042" s="24" t="str">
        <x:v>Separate political form, economy, religion, ethnicity, ecology, and moral framing.</x:v>
      </x:c>
      <x:c r="I1042" s="24" t="str">
        <x:v>sentient city; city organism; living fortress</x:v>
      </x:c>
      <x:c r="J1042" s="24" t="str">
        <x:v>Models habitat, mobility, built environment, subsistence, defense, and ecological relation.</x:v>
      </x:c>
      <x:c r="K1042" s="24" t="str">
        <x:v>sentient city; city organism; living fortress</x:v>
      </x:c>
      <x:c r="L1042" s="24" t="str">
        <x:v>Preserve each source's ontology, culture, history, and terminology when making comparisons.</x:v>
      </x:c>
      <x:c r="M1042" s="24" t="str">
        <x:v>Core Family</x:v>
      </x:c>
    </x:row>
    <x:row r="1043" ht="44" customHeight="1">
      <x:c r="A1043" s="24" t="str">
        <x:v>CIV-219</x:v>
      </x:c>
      <x:c r="B1043" s="24" t="str">
        <x:v>Dungeon Civilization</x:v>
      </x:c>
      <x:c r="C1043" s="24" t="str">
        <x:v>Civilization &amp; Culture Archetypes</x:v>
      </x:c>
      <x:c r="D1043" s="24" t="str">
        <x:v>CIV-200</x:v>
      </x:c>
      <x:c r="E1043" s="24" t="str">
        <x:f>IF(D1043="","",IFERROR(VLOOKUP(D1043,$A$2:$B$1656,2,FALSE),""))</x:f>
        <x:v>Settlement and Environmental Archetypes</x:v>
      </x:c>
      <x:c r="F1043" s="24" t="n">
        <x:v>3</x:v>
      </x:c>
      <x:c r="G1043" s="24" t="str">
        <x:v>Society adapted to a multi-level hostile or resource-rich dungeon as permanent habitat.</x:v>
      </x:c>
      <x:c r="H1043" s="24" t="str">
        <x:v>Separate political form, economy, religion, ethnicity, ecology, and moral framing.</x:v>
      </x:c>
      <x:c r="I1043" s="24" t="str">
        <x:v>dungeon city; labyrinth society; floor kingdom</x:v>
      </x:c>
      <x:c r="J1043" s="24" t="str">
        <x:v>Models habitat, mobility, built environment, subsistence, defense, and ecological relation.</x:v>
      </x:c>
      <x:c r="K1043" s="24" t="str">
        <x:v>dungeon city; labyrinth society; floor kingdom</x:v>
      </x:c>
      <x:c r="L1043" s="24" t="str">
        <x:v>Preserve each source's ontology, culture, history, and terminology when making comparisons.</x:v>
      </x:c>
      <x:c r="M1043" s="24" t="str">
        <x:v>Core Family</x:v>
      </x:c>
    </x:row>
    <x:row r="1044" ht="44" customHeight="1">
      <x:c r="A1044" s="24" t="str">
        <x:v>CIV-220</x:v>
      </x:c>
      <x:c r="B1044" s="24" t="str">
        <x:v>Migratory World or Fleet Culture</x:v>
      </x:c>
      <x:c r="C1044" s="24" t="str">
        <x:v>Civilization &amp; Culture Archetypes</x:v>
      </x:c>
      <x:c r="D1044" s="24" t="str">
        <x:v>CIV-200</x:v>
      </x:c>
      <x:c r="E1044" s="24" t="str">
        <x:f>IF(D1044="","",IFERROR(VLOOKUP(D1044,$A$2:$B$1656,2,FALSE),""))</x:f>
        <x:v>Settlement and Environmental Archetypes</x:v>
      </x:c>
      <x:c r="F1044" s="24" t="n">
        <x:v>3</x:v>
      </x:c>
      <x:c r="G1044" s="24" t="str">
        <x:v>People living in moving ships, caravans, beasts, cities, or planar routes rather than fixed territory.</x:v>
      </x:c>
      <x:c r="H1044" s="24" t="str">
        <x:v>Separate political form, economy, religion, ethnicity, ecology, and moral framing.</x:v>
      </x:c>
      <x:c r="I1044" s="24" t="str">
        <x:v>fleet people; wandering city; migrant nation</x:v>
      </x:c>
      <x:c r="J1044" s="24" t="str">
        <x:v>Models habitat, mobility, built environment, subsistence, defense, and ecological relation.</x:v>
      </x:c>
      <x:c r="K1044" s="24" t="str">
        <x:v>fleet people; wandering city; migrant nation</x:v>
      </x:c>
      <x:c r="L1044" s="24" t="str">
        <x:v>Preserve each source's ontology, culture, history, and terminology when making comparisons.</x:v>
      </x:c>
      <x:c r="M1044" s="24" t="str">
        <x:v>Core Family</x:v>
      </x:c>
    </x:row>
    <x:row r="1045" ht="44" customHeight="1">
      <x:c r="A1045" s="24" t="str">
        <x:v>CIV-221</x:v>
      </x:c>
      <x:c r="B1045" s="24" t="str">
        <x:v>Ruined-City Remnant</x:v>
      </x:c>
      <x:c r="C1045" s="24" t="str">
        <x:v>Civilization &amp; Culture Archetypes</x:v>
      </x:c>
      <x:c r="D1045" s="24" t="str">
        <x:v>CIV-200</x:v>
      </x:c>
      <x:c r="E1045" s="24" t="str">
        <x:f>IF(D1045="","",IFERROR(VLOOKUP(D1045,$A$2:$B$1656,2,FALSE),""))</x:f>
        <x:v>Settlement and Environmental Archetypes</x:v>
      </x:c>
      <x:c r="F1045" s="24" t="n">
        <x:v>3</x:v>
      </x:c>
      <x:c r="G1045" s="24" t="str">
        <x:v>Community inhabiting and reusing the infrastructure of a fallen civilization.</x:v>
      </x:c>
      <x:c r="H1045" s="24" t="str">
        <x:v>Separate political form, economy, religion, ethnicity, ecology, and moral framing.</x:v>
      </x:c>
      <x:c r="I1045" s="24" t="str">
        <x:v>ruin dwellers; post-imperial city; scavenger settlement</x:v>
      </x:c>
      <x:c r="J1045" s="24" t="str">
        <x:v>Models habitat, mobility, built environment, subsistence, defense, and ecological relation.</x:v>
      </x:c>
      <x:c r="K1045" s="24" t="str">
        <x:v>ruin dwellers; post-imperial city; scavenger settlement</x:v>
      </x:c>
      <x:c r="L1045" s="24" t="str">
        <x:v>Preserve each source's ontology, culture, history, and terminology when making comparisons.</x:v>
      </x:c>
      <x:c r="M1045" s="24" t="str">
        <x:v>Core Family</x:v>
      </x:c>
    </x:row>
    <x:row r="1046" ht="44" customHeight="1">
      <x:c r="A1046" s="24" t="str">
        <x:v>CIV-222</x:v>
      </x:c>
      <x:c r="B1046" s="24" t="str">
        <x:v>Spirit-Integrated Landscape Society</x:v>
      </x:c>
      <x:c r="C1046" s="24" t="str">
        <x:v>Civilization &amp; Culture Archetypes</x:v>
      </x:c>
      <x:c r="D1046" s="24" t="str">
        <x:v>CIV-200</x:v>
      </x:c>
      <x:c r="E1046" s="24" t="str">
        <x:f>IF(D1046="","",IFERROR(VLOOKUP(D1046,$A$2:$B$1656,2,FALSE),""))</x:f>
        <x:v>Settlement and Environmental Archetypes</x:v>
      </x:c>
      <x:c r="F1046" s="24" t="n">
        <x:v>3</x:v>
      </x:c>
      <x:c r="G1046" s="24" t="str">
        <x:v>Community whose law and livelihood explicitly include local spirits, ancestors, sacred beings, and reciprocal ecological obligations.</x:v>
      </x:c>
      <x:c r="H1046" s="24" t="str">
        <x:v>Separate political form, economy, religion, ethnicity, ecology, and moral framing.</x:v>
      </x:c>
      <x:c r="I1046" s="24" t="str">
        <x:v>spirit village; animist polity; kami-integrated society</x:v>
      </x:c>
      <x:c r="J1046" s="24" t="str">
        <x:v>Models habitat, mobility, built environment, subsistence, defense, and ecological relation.</x:v>
      </x:c>
      <x:c r="K1046" s="24" t="str">
        <x:v>spirit village; animist polity; kami-integrated society</x:v>
      </x:c>
      <x:c r="L1046" s="24" t="str">
        <x:v>Preserve each source's ontology, culture, history, and terminology when making comparisons.</x:v>
      </x:c>
      <x:c r="M1046" s="24" t="str">
        <x:v>Core Family</x:v>
      </x:c>
    </x:row>
    <x:row r="1047" ht="44" customHeight="1">
      <x:c r="A1047" s="24" t="str">
        <x:v>CIV-223</x:v>
      </x:c>
      <x:c r="B1047" s="24" t="str">
        <x:v>Monster-Human Coexistence Settlement</x:v>
      </x:c>
      <x:c r="C1047" s="24" t="str">
        <x:v>Civilization &amp; Culture Archetypes</x:v>
      </x:c>
      <x:c r="D1047" s="24" t="str">
        <x:v>CIV-200</x:v>
      </x:c>
      <x:c r="E1047" s="24" t="str">
        <x:f>IF(D1047="","",IFERROR(VLOOKUP(D1047,$A$2:$B$1656,2,FALSE),""))</x:f>
        <x:v>Settlement and Environmental Archetypes</x:v>
      </x:c>
      <x:c r="F1047" s="24" t="n">
        <x:v>3</x:v>
      </x:c>
      <x:c r="G1047" s="24" t="str">
        <x:v>Society built around negotiated citizenship, ecology, law, and economy among humans and beings usually treated as monsters.</x:v>
      </x:c>
      <x:c r="H1047" s="24" t="str">
        <x:v>Separate political form, economy, religion, ethnicity, ecology, and moral framing.</x:v>
      </x:c>
      <x:c r="I1047" s="24" t="str">
        <x:v>mixed-species city; monster town; coexistence realm</x:v>
      </x:c>
      <x:c r="J1047" s="24" t="str">
        <x:v>Models habitat, mobility, built environment, subsistence, defense, and ecological relation.</x:v>
      </x:c>
      <x:c r="K1047" s="24" t="str">
        <x:v>mixed-species city; monster town; coexistence realm</x:v>
      </x:c>
      <x:c r="L1047" s="24" t="str">
        <x:v>Preserve each source's ontology, culture, history, and terminology when making comparisons.</x:v>
      </x:c>
      <x:c r="M1047" s="24" t="str">
        <x:v>Core Family</x:v>
      </x:c>
    </x:row>
    <x:row r="1048" ht="44" customHeight="1">
      <x:c r="A1048" s="24" t="str">
        <x:v>CIV-224</x:v>
      </x:c>
      <x:c r="B1048" s="24" t="str">
        <x:v>Isolationist Island Culture</x:v>
      </x:c>
      <x:c r="C1048" s="24" t="str">
        <x:v>Civilization &amp; Culture Archetypes</x:v>
      </x:c>
      <x:c r="D1048" s="24" t="str">
        <x:v>CIV-200</x:v>
      </x:c>
      <x:c r="E1048" s="24" t="str">
        <x:f>IF(D1048="","",IFERROR(VLOOKUP(D1048,$A$2:$B$1656,2,FALSE),""))</x:f>
        <x:v>Settlement and Environmental Archetypes</x:v>
      </x:c>
      <x:c r="F1048" s="24" t="n">
        <x:v>3</x:v>
      </x:c>
      <x:c r="G1048" s="24" t="str">
        <x:v>Insular society protected or constrained by sea, taboo, magic, limited resources, and controlled contact.</x:v>
      </x:c>
      <x:c r="H1048" s="24" t="str">
        <x:v>Separate political form, economy, religion, ethnicity, ecology, and moral framing.</x:v>
      </x:c>
      <x:c r="I1048" s="24" t="str">
        <x:v>island kingdom; closed realm</x:v>
      </x:c>
      <x:c r="J1048" s="24" t="str">
        <x:v>Models habitat, mobility, built environment, subsistence, defense, and ecological relation.</x:v>
      </x:c>
      <x:c r="K1048" s="24" t="str">
        <x:v>island kingdom; closed realm</x:v>
      </x:c>
      <x:c r="L1048" s="24" t="str">
        <x:v>Preserve each source's ontology, culture, history, and terminology when making comparisons.</x:v>
      </x:c>
      <x:c r="M1048" s="24" t="str">
        <x:v>Core Family</x:v>
      </x:c>
    </x:row>
    <x:row r="1049" ht="44" customHeight="1">
      <x:c r="A1049" s="24" t="str">
        <x:v>CIV-225</x:v>
      </x:c>
      <x:c r="B1049" s="24" t="str">
        <x:v>Pilgrimage City</x:v>
      </x:c>
      <x:c r="C1049" s="24" t="str">
        <x:v>Civilization &amp; Culture Archetypes</x:v>
      </x:c>
      <x:c r="D1049" s="24" t="str">
        <x:v>CIV-200</x:v>
      </x:c>
      <x:c r="E1049" s="24" t="str">
        <x:f>IF(D1049="","",IFERROR(VLOOKUP(D1049,$A$2:$B$1656,2,FALSE),""))</x:f>
        <x:v>Settlement and Environmental Archetypes</x:v>
      </x:c>
      <x:c r="F1049" s="24" t="n">
        <x:v>3</x:v>
      </x:c>
      <x:c r="G1049" s="24" t="str">
        <x:v>Settlement whose economy, architecture, authority, and population center on sacred travel and ritual visitation.</x:v>
      </x:c>
      <x:c r="H1049" s="24" t="str">
        <x:v>Separate political form, economy, religion, ethnicity, ecology, and moral framing.</x:v>
      </x:c>
      <x:c r="I1049" s="24" t="str">
        <x:v>holy city; shrine town; pilgrimage center</x:v>
      </x:c>
      <x:c r="J1049" s="24" t="str">
        <x:v>Models habitat, mobility, built environment, subsistence, defense, and ecological relation.</x:v>
      </x:c>
      <x:c r="K1049" s="24" t="str">
        <x:v>holy city; shrine town; pilgrimage center</x:v>
      </x:c>
      <x:c r="L1049" s="24" t="str">
        <x:v>Preserve each source's ontology, culture, history, and terminology when making comparisons.</x:v>
      </x:c>
      <x:c r="M1049" s="24" t="str">
        <x:v>Core Family</x:v>
      </x:c>
    </x:row>
    <x:row r="1050" ht="44" customHeight="1">
      <x:c r="A1050" s="24" t="str">
        <x:v>CIV-301</x:v>
      </x:c>
      <x:c r="B1050" s="24" t="str">
        <x:v>Guild-Dominated City</x:v>
      </x:c>
      <x:c r="C1050" s="24" t="str">
        <x:v>Civilization &amp; Culture Archetypes</x:v>
      </x:c>
      <x:c r="D1050" s="24" t="str">
        <x:v>CIV-300</x:v>
      </x:c>
      <x:c r="E1050" s="24" t="str">
        <x:f>IF(D1050="","",IFERROR(VLOOKUP(D1050,$A$2:$B$1656,2,FALSE),""))</x:f>
        <x:v>Economic and Institutional Archetypes</x:v>
      </x:c>
      <x:c r="F1050" s="24" t="n">
        <x:v>3</x:v>
      </x:c>
      <x:c r="G1050" s="24" t="str">
        <x:v>Urban society where professional guilds exercise major political, legal, economic, and military power.</x:v>
      </x:c>
      <x:c r="H1050" s="24" t="str">
        <x:v>Separate political form, economy, religion, ethnicity, ecology, and moral framing.</x:v>
      </x:c>
      <x:c r="I1050" s="24" t="str">
        <x:v>guild city; craft oligarchy</x:v>
      </x:c>
      <x:c r="J1050" s="24" t="str">
        <x:v>Models labor, resources, institutions, trade, technology, magic access, and incentives.</x:v>
      </x:c>
      <x:c r="K1050" s="24" t="str">
        <x:v>guild city; craft oligarchy</x:v>
      </x:c>
      <x:c r="L1050" s="24" t="str">
        <x:v>Preserve each source's ontology, culture, history, and terminology when making comparisons.</x:v>
      </x:c>
      <x:c r="M1050" s="24" t="str">
        <x:v>Core Family</x:v>
      </x:c>
    </x:row>
    <x:row r="1051" ht="44" customHeight="1">
      <x:c r="A1051" s="24" t="str">
        <x:v>CIV-302</x:v>
      </x:c>
      <x:c r="B1051" s="24" t="str">
        <x:v>Adventurer Economy</x:v>
      </x:c>
      <x:c r="C1051" s="24" t="str">
        <x:v>Civilization &amp; Culture Archetypes</x:v>
      </x:c>
      <x:c r="D1051" s="24" t="str">
        <x:v>CIV-300</x:v>
      </x:c>
      <x:c r="E1051" s="24" t="str">
        <x:f>IF(D1051="","",IFERROR(VLOOKUP(D1051,$A$2:$B$1656,2,FALSE),""))</x:f>
        <x:v>Economic and Institutional Archetypes</x:v>
      </x:c>
      <x:c r="F1051" s="24" t="n">
        <x:v>3</x:v>
      </x:c>
      <x:c r="G1051" s="24" t="str">
        <x:v>Society that institutionalizes quests, monster parts, dungeon loot, ranks, and mobile armed freelancers.</x:v>
      </x:c>
      <x:c r="H1051" s="24" t="str">
        <x:v>Separate political form, economy, religion, ethnicity, ecology, and moral framing.</x:v>
      </x:c>
      <x:c r="I1051" s="24" t="str">
        <x:v>adventurer guild economy; quest market</x:v>
      </x:c>
      <x:c r="J1051" s="24" t="str">
        <x:v>Models labor, resources, institutions, trade, technology, magic access, and incentives.</x:v>
      </x:c>
      <x:c r="K1051" s="24" t="str">
        <x:v>adventurer guild economy; quest market</x:v>
      </x:c>
      <x:c r="L1051" s="24" t="str">
        <x:v>Preserve each source's ontology, culture, history, and terminology when making comparisons.</x:v>
      </x:c>
      <x:c r="M1051" s="24" t="str">
        <x:v>Core Family</x:v>
      </x:c>
    </x:row>
    <x:row r="1052" ht="44" customHeight="1">
      <x:c r="A1052" s="24" t="str">
        <x:v>CIV-303</x:v>
      </x:c>
      <x:c r="B1052" s="24" t="str">
        <x:v>Dungeon Extraction Economy</x:v>
      </x:c>
      <x:c r="C1052" s="24" t="str">
        <x:v>Civilization &amp; Culture Archetypes</x:v>
      </x:c>
      <x:c r="D1052" s="24" t="str">
        <x:v>CIV-300</x:v>
      </x:c>
      <x:c r="E1052" s="24" t="str">
        <x:f>IF(D1052="","",IFERROR(VLOOKUP(D1052,$A$2:$B$1656,2,FALSE),""))</x:f>
        <x:v>Economic and Institutional Archetypes</x:v>
      </x:c>
      <x:c r="F1052" s="24" t="n">
        <x:v>3</x:v>
      </x:c>
      <x:c r="G1052" s="24" t="str">
        <x:v>Economy built around harvesting artifacts, minerals, monsters, mana, or knowledge from dangerous sites.</x:v>
      </x:c>
      <x:c r="H1052" s="24" t="str">
        <x:v>Separate political form, economy, religion, ethnicity, ecology, and moral framing.</x:v>
      </x:c>
      <x:c r="I1052" s="24" t="str">
        <x:v>dungeon mining; relic economy; delver economy</x:v>
      </x:c>
      <x:c r="J1052" s="24" t="str">
        <x:v>Models labor, resources, institutions, trade, technology, magic access, and incentives.</x:v>
      </x:c>
      <x:c r="K1052" s="24" t="str">
        <x:v>dungeon mining; relic economy; delver economy</x:v>
      </x:c>
      <x:c r="L1052" s="24" t="str">
        <x:v>Preserve each source's ontology, culture, history, and terminology when making comparisons.</x:v>
      </x:c>
      <x:c r="M1052" s="24" t="str">
        <x:v>Core Family</x:v>
      </x:c>
    </x:row>
    <x:row r="1053" ht="44" customHeight="1">
      <x:c r="A1053" s="24" t="str">
        <x:v>CIV-304</x:v>
      </x:c>
      <x:c r="B1053" s="24" t="str">
        <x:v>Magical Academy Society</x:v>
      </x:c>
      <x:c r="C1053" s="24" t="str">
        <x:v>Civilization &amp; Culture Archetypes</x:v>
      </x:c>
      <x:c r="D1053" s="24" t="str">
        <x:v>CIV-300</x:v>
      </x:c>
      <x:c r="E1053" s="24" t="str">
        <x:f>IF(D1053="","",IFERROR(VLOOKUP(D1053,$A$2:$B$1656,2,FALSE),""))</x:f>
        <x:v>Economic and Institutional Archetypes</x:v>
      </x:c>
      <x:c r="F1053" s="24" t="n">
        <x:v>3</x:v>
      </x:c>
      <x:c r="G1053" s="24" t="str">
        <x:v>Society whose elite formation, research, status, and innovation center on magic schools and examinations.</x:v>
      </x:c>
      <x:c r="H1053" s="24" t="str">
        <x:v>Separate political form, economy, religion, ethnicity, ecology, and moral framing.</x:v>
      </x:c>
      <x:c r="I1053" s="24" t="str">
        <x:v>wizard-school society; academy city</x:v>
      </x:c>
      <x:c r="J1053" s="24" t="str">
        <x:v>Models labor, resources, institutions, trade, technology, magic access, and incentives.</x:v>
      </x:c>
      <x:c r="K1053" s="24" t="str">
        <x:v>wizard-school society; academy city</x:v>
      </x:c>
      <x:c r="L1053" s="24" t="str">
        <x:v>Preserve each source's ontology, culture, history, and terminology when making comparisons.</x:v>
      </x:c>
      <x:c r="M1053" s="24" t="str">
        <x:v>Core Family</x:v>
      </x:c>
    </x:row>
    <x:row r="1054" ht="44" customHeight="1">
      <x:c r="A1054" s="24" t="str">
        <x:v>CIV-305</x:v>
      </x:c>
      <x:c r="B1054" s="24" t="str">
        <x:v>Artisan and Smith Culture</x:v>
      </x:c>
      <x:c r="C1054" s="24" t="str">
        <x:v>Civilization &amp; Culture Archetypes</x:v>
      </x:c>
      <x:c r="D1054" s="24" t="str">
        <x:v>CIV-300</x:v>
      </x:c>
      <x:c r="E1054" s="24" t="str">
        <x:f>IF(D1054="","",IFERROR(VLOOKUP(D1054,$A$2:$B$1656,2,FALSE),""))</x:f>
        <x:v>Economic and Institutional Archetypes</x:v>
      </x:c>
      <x:c r="F1054" s="24" t="n">
        <x:v>3</x:v>
      </x:c>
      <x:c r="G1054" s="24" t="str">
        <x:v>Society in which craft mastery, workshops, guild lineages, and objects organize status and identity.</x:v>
      </x:c>
      <x:c r="H1054" s="24" t="str">
        <x:v>Separate political form, economy, religion, ethnicity, ecology, and moral framing.</x:v>
      </x:c>
      <x:c r="I1054" s="24" t="str">
        <x:v>smith culture; artisan republic; forge society</x:v>
      </x:c>
      <x:c r="J1054" s="24" t="str">
        <x:v>Models labor, resources, institutions, trade, technology, magic access, and incentives.</x:v>
      </x:c>
      <x:c r="K1054" s="24" t="str">
        <x:v>smith culture; artisan republic; forge society</x:v>
      </x:c>
      <x:c r="L1054" s="24" t="str">
        <x:v>Preserve each source's ontology, culture, history, and terminology when making comparisons.</x:v>
      </x:c>
      <x:c r="M1054" s="24" t="str">
        <x:v>Core Family</x:v>
      </x:c>
    </x:row>
    <x:row r="1055" ht="44" customHeight="1">
      <x:c r="A1055" s="24" t="str">
        <x:v>CIV-306</x:v>
      </x:c>
      <x:c r="B1055" s="24" t="str">
        <x:v>Merchant Diaspora</x:v>
      </x:c>
      <x:c r="C1055" s="24" t="str">
        <x:v>Civilization &amp; Culture Archetypes</x:v>
      </x:c>
      <x:c r="D1055" s="24" t="str">
        <x:v>CIV-300</x:v>
      </x:c>
      <x:c r="E1055" s="24" t="str">
        <x:f>IF(D1055="","",IFERROR(VLOOKUP(D1055,$A$2:$B$1656,2,FALSE),""))</x:f>
        <x:v>Economic and Institutional Archetypes</x:v>
      </x:c>
      <x:c r="F1055" s="24" t="n">
        <x:v>3</x:v>
      </x:c>
      <x:c r="G1055" s="24" t="str">
        <x:v>Transregional commercial community maintaining kinship, law, language, and trust across multiple polities.</x:v>
      </x:c>
      <x:c r="H1055" s="24" t="str">
        <x:v>Separate political form, economy, religion, ethnicity, ecology, and moral framing.</x:v>
      </x:c>
      <x:c r="I1055" s="24" t="str">
        <x:v>trade diaspora; caravan people; merchant minority</x:v>
      </x:c>
      <x:c r="J1055" s="24" t="str">
        <x:v>Models labor, resources, institutions, trade, technology, magic access, and incentives.</x:v>
      </x:c>
      <x:c r="K1055" s="24" t="str">
        <x:v>trade diaspora; caravan people; merchant minority</x:v>
      </x:c>
      <x:c r="L1055" s="24" t="str">
        <x:v>Preserve each source's ontology, culture, history, and terminology when making comparisons.</x:v>
      </x:c>
      <x:c r="M1055" s="24" t="str">
        <x:v>Core Family</x:v>
      </x:c>
    </x:row>
    <x:row r="1056" ht="44" customHeight="1">
      <x:c r="A1056" s="24" t="str">
        <x:v>CIV-307</x:v>
      </x:c>
      <x:c r="B1056" s="24" t="str">
        <x:v>Agrarian Temple Economy</x:v>
      </x:c>
      <x:c r="C1056" s="24" t="str">
        <x:v>Civilization &amp; Culture Archetypes</x:v>
      </x:c>
      <x:c r="D1056" s="24" t="str">
        <x:v>CIV-300</x:v>
      </x:c>
      <x:c r="E1056" s="24" t="str">
        <x:f>IF(D1056="","",IFERROR(VLOOKUP(D1056,$A$2:$B$1656,2,FALSE),""))</x:f>
        <x:v>Economic and Institutional Archetypes</x:v>
      </x:c>
      <x:c r="F1056" s="24" t="n">
        <x:v>3</x:v>
      </x:c>
      <x:c r="G1056" s="24" t="str">
        <x:v>Society where temples coordinate land, storage, redistribution, calendars, labor, and ritual legitimacy.</x:v>
      </x:c>
      <x:c r="H1056" s="24" t="str">
        <x:v>Separate political form, economy, religion, ethnicity, ecology, and moral framing.</x:v>
      </x:c>
      <x:c r="I1056" s="24" t="str">
        <x:v>temple economy; sacred granary</x:v>
      </x:c>
      <x:c r="J1056" s="24" t="str">
        <x:v>Models labor, resources, institutions, trade, technology, magic access, and incentives.</x:v>
      </x:c>
      <x:c r="K1056" s="24" t="str">
        <x:v>temple economy; sacred granary</x:v>
      </x:c>
      <x:c r="L1056" s="24" t="str">
        <x:v>Preserve each source's ontology, culture, history, and terminology when making comparisons.</x:v>
      </x:c>
      <x:c r="M1056" s="24" t="str">
        <x:v>Core Family</x:v>
      </x:c>
    </x:row>
    <x:row r="1057" ht="44" customHeight="1">
      <x:c r="A1057" s="24" t="str">
        <x:v>CIV-308</x:v>
      </x:c>
      <x:c r="B1057" s="24" t="str">
        <x:v>Tribute Economy</x:v>
      </x:c>
      <x:c r="C1057" s="24" t="str">
        <x:v>Civilization &amp; Culture Archetypes</x:v>
      </x:c>
      <x:c r="D1057" s="24" t="str">
        <x:v>CIV-300</x:v>
      </x:c>
      <x:c r="E1057" s="24" t="str">
        <x:f>IF(D1057="","",IFERROR(VLOOKUP(D1057,$A$2:$B$1656,2,FALSE),""))</x:f>
        <x:v>Economic and Institutional Archetypes</x:v>
      </x:c>
      <x:c r="F1057" s="24" t="n">
        <x:v>3</x:v>
      </x:c>
      <x:c r="G1057" s="24" t="str">
        <x:v>Political economy based on subordinate groups delivering goods, labor, hostages, or symbolic submission to a center.</x:v>
      </x:c>
      <x:c r="H1057" s="24" t="str">
        <x:v>Separate political form, economy, religion, ethnicity, ecology, and moral framing.</x:v>
      </x:c>
      <x:c r="I1057" s="24" t="str">
        <x:v>tribute system; imperial extraction</x:v>
      </x:c>
      <x:c r="J1057" s="24" t="str">
        <x:v>Models labor, resources, institutions, trade, technology, magic access, and incentives.</x:v>
      </x:c>
      <x:c r="K1057" s="24" t="str">
        <x:v>tribute system; imperial extraction</x:v>
      </x:c>
      <x:c r="L1057" s="24" t="str">
        <x:v>Preserve each source's ontology, culture, history, and terminology when making comparisons.</x:v>
      </x:c>
      <x:c r="M1057" s="24" t="str">
        <x:v>Core Family</x:v>
      </x:c>
    </x:row>
    <x:row r="1058" ht="44" customHeight="1">
      <x:c r="A1058" s="24" t="str">
        <x:v>CIV-309</x:v>
      </x:c>
      <x:c r="B1058" s="24" t="str">
        <x:v>Slave or Bonded-Labor Economy</x:v>
      </x:c>
      <x:c r="C1058" s="24" t="str">
        <x:v>Civilization &amp; Culture Archetypes</x:v>
      </x:c>
      <x:c r="D1058" s="24" t="str">
        <x:v>CIV-300</x:v>
      </x:c>
      <x:c r="E1058" s="24" t="str">
        <x:f>IF(D1058="","",IFERROR(VLOOKUP(D1058,$A$2:$B$1656,2,FALSE),""))</x:f>
        <x:v>Economic and Institutional Archetypes</x:v>
      </x:c>
      <x:c r="F1058" s="24" t="n">
        <x:v>3</x:v>
      </x:c>
      <x:c r="G1058" s="24" t="str">
        <x:v>Society structurally dependent on coerced labor, ownership, debt bondage, or magically enforced service.</x:v>
      </x:c>
      <x:c r="H1058" s="24" t="str">
        <x:v>Separate political form, economy, religion, ethnicity, ecology, and moral framing.</x:v>
      </x:c>
      <x:c r="I1058" s="24" t="str">
        <x:v>slave empire; thrall economy; debt bondage</x:v>
      </x:c>
      <x:c r="J1058" s="24" t="str">
        <x:v>Models labor, resources, institutions, trade, technology, magic access, and incentives.</x:v>
      </x:c>
      <x:c r="K1058" s="24" t="str">
        <x:v>slave empire; thrall economy; debt bondage</x:v>
      </x:c>
      <x:c r="L1058" s="24" t="str">
        <x:v>Preserve each source's ontology, culture, history, and terminology when making comparisons.</x:v>
      </x:c>
      <x:c r="M1058" s="24" t="str">
        <x:v>Core Family</x:v>
      </x:c>
    </x:row>
    <x:row r="1059" ht="44" customHeight="1">
      <x:c r="A1059" s="24" t="str">
        <x:v>CIV-310</x:v>
      </x:c>
      <x:c r="B1059" s="24" t="str">
        <x:v>Necromantic Labor Economy</x:v>
      </x:c>
      <x:c r="C1059" s="24" t="str">
        <x:v>Civilization &amp; Culture Archetypes</x:v>
      </x:c>
      <x:c r="D1059" s="24" t="str">
        <x:v>CIV-300</x:v>
      </x:c>
      <x:c r="E1059" s="24" t="str">
        <x:f>IF(D1059="","",IFERROR(VLOOKUP(D1059,$A$2:$B$1656,2,FALSE),""))</x:f>
        <x:v>Economic and Institutional Archetypes</x:v>
      </x:c>
      <x:c r="F1059" s="24" t="n">
        <x:v>3</x:v>
      </x:c>
      <x:c r="G1059" s="24" t="str">
        <x:v>Economy using undead labor, raising ethical and political questions about bodies, souls, unemployment, and control.</x:v>
      </x:c>
      <x:c r="H1059" s="24" t="str">
        <x:v>Separate political form, economy, religion, ethnicity, ecology, and moral framing.</x:v>
      </x:c>
      <x:c r="I1059" s="24" t="str">
        <x:v>undead workforce; skeleton labor; necro-economy</x:v>
      </x:c>
      <x:c r="J1059" s="24" t="str">
        <x:v>Models labor, resources, institutions, trade, technology, magic access, and incentives.</x:v>
      </x:c>
      <x:c r="K1059" s="24" t="str">
        <x:v>undead workforce; skeleton labor; necro-economy</x:v>
      </x:c>
      <x:c r="L1059" s="24" t="str">
        <x:v>Preserve each source's ontology, culture, history, and terminology when making comparisons.</x:v>
      </x:c>
      <x:c r="M1059" s="24" t="str">
        <x:v>Core Family</x:v>
      </x:c>
    </x:row>
    <x:row r="1060" ht="44" customHeight="1">
      <x:c r="A1060" s="24" t="str">
        <x:v>CIV-311</x:v>
      </x:c>
      <x:c r="B1060" s="24" t="str">
        <x:v>Construct Labor Economy</x:v>
      </x:c>
      <x:c r="C1060" s="24" t="str">
        <x:v>Civilization &amp; Culture Archetypes</x:v>
      </x:c>
      <x:c r="D1060" s="24" t="str">
        <x:v>CIV-300</x:v>
      </x:c>
      <x:c r="E1060" s="24" t="str">
        <x:f>IF(D1060="","",IFERROR(VLOOKUP(D1060,$A$2:$B$1656,2,FALSE),""))</x:f>
        <x:v>Economic and Institutional Archetypes</x:v>
      </x:c>
      <x:c r="F1060" s="24" t="n">
        <x:v>3</x:v>
      </x:c>
      <x:c r="G1060" s="24" t="str">
        <x:v>Society dependent on golems, automata, homunculi, or engineered workers.</x:v>
      </x:c>
      <x:c r="H1060" s="24" t="str">
        <x:v>Separate political form, economy, religion, ethnicity, ecology, and moral framing.</x:v>
      </x:c>
      <x:c r="I1060" s="24" t="str">
        <x:v>golem industry; clockwork labor; artificial servants</x:v>
      </x:c>
      <x:c r="J1060" s="24" t="str">
        <x:v>Models labor, resources, institutions, trade, technology, magic access, and incentives.</x:v>
      </x:c>
      <x:c r="K1060" s="24" t="str">
        <x:v>golem industry; clockwork labor; artificial servants</x:v>
      </x:c>
      <x:c r="L1060" s="24" t="str">
        <x:v>Preserve each source's ontology, culture, history, and terminology when making comparisons.</x:v>
      </x:c>
      <x:c r="M1060" s="24" t="str">
        <x:v>Core Family</x:v>
      </x:c>
    </x:row>
    <x:row r="1061" ht="44" customHeight="1">
      <x:c r="A1061" s="24" t="str">
        <x:v>CIV-312</x:v>
      </x:c>
      <x:c r="B1061" s="24" t="str">
        <x:v>Magitech Industrial Society</x:v>
      </x:c>
      <x:c r="C1061" s="24" t="str">
        <x:v>Civilization &amp; Culture Archetypes</x:v>
      </x:c>
      <x:c r="D1061" s="24" t="str">
        <x:v>CIV-300</x:v>
      </x:c>
      <x:c r="E1061" s="24" t="str">
        <x:f>IF(D1061="","",IFERROR(VLOOKUP(D1061,$A$2:$B$1656,2,FALSE),""))</x:f>
        <x:v>Economic and Institutional Archetypes</x:v>
      </x:c>
      <x:c r="F1061" s="24" t="n">
        <x:v>3</x:v>
      </x:c>
      <x:c r="G1061" s="24" t="str">
        <x:v>Society combining mass production, magical energy, engineering, corporations, and disruptive technological change.</x:v>
      </x:c>
      <x:c r="H1061" s="24" t="str">
        <x:v>Separate political form, economy, religion, ethnicity, ecology, and moral framing.</x:v>
      </x:c>
      <x:c r="I1061" s="24" t="str">
        <x:v>magitech empire; crystal industry; arcane industrialism</x:v>
      </x:c>
      <x:c r="J1061" s="24" t="str">
        <x:v>Models labor, resources, institutions, trade, technology, magic access, and incentives.</x:v>
      </x:c>
      <x:c r="K1061" s="24" t="str">
        <x:v>magitech empire; crystal industry; arcane industrialism</x:v>
      </x:c>
      <x:c r="L1061" s="24" t="str">
        <x:v>Preserve each source's ontology, culture, history, and terminology when making comparisons.</x:v>
      </x:c>
      <x:c r="M1061" s="24" t="str">
        <x:v>Core Family</x:v>
      </x:c>
    </x:row>
    <x:row r="1062" ht="44" customHeight="1">
      <x:c r="A1062" s="24" t="str">
        <x:v>CIV-313</x:v>
      </x:c>
      <x:c r="B1062" s="24" t="str">
        <x:v>Post-Scarcity Magical Society</x:v>
      </x:c>
      <x:c r="C1062" s="24" t="str">
        <x:v>Civilization &amp; Culture Archetypes</x:v>
      </x:c>
      <x:c r="D1062" s="24" t="str">
        <x:v>CIV-300</x:v>
      </x:c>
      <x:c r="E1062" s="24" t="str">
        <x:f>IF(D1062="","",IFERROR(VLOOKUP(D1062,$A$2:$B$1656,2,FALSE),""))</x:f>
        <x:v>Economic and Institutional Archetypes</x:v>
      </x:c>
      <x:c r="F1062" s="24" t="n">
        <x:v>3</x:v>
      </x:c>
      <x:c r="G1062" s="24" t="str">
        <x:v>Society where creation, teleportation, automation, or divine provision reduces ordinary material scarcity.</x:v>
      </x:c>
      <x:c r="H1062" s="24" t="str">
        <x:v>Separate political form, economy, religion, ethnicity, ecology, and moral framing.</x:v>
      </x:c>
      <x:c r="I1062" s="24" t="str">
        <x:v>utopian magic economy; replicator society</x:v>
      </x:c>
      <x:c r="J1062" s="24" t="str">
        <x:v>Models labor, resources, institutions, trade, technology, magic access, and incentives.</x:v>
      </x:c>
      <x:c r="K1062" s="24" t="str">
        <x:v>utopian magic economy; replicator society</x:v>
      </x:c>
      <x:c r="L1062" s="24" t="str">
        <x:v>Preserve each source's ontology, culture, history, and terminology when making comparisons.</x:v>
      </x:c>
      <x:c r="M1062" s="24" t="str">
        <x:v>Core Family</x:v>
      </x:c>
    </x:row>
    <x:row r="1063" ht="44" customHeight="1">
      <x:c r="A1063" s="24" t="str">
        <x:v>CIV-314</x:v>
      </x:c>
      <x:c r="B1063" s="24" t="str">
        <x:v>Mana Resource Economy</x:v>
      </x:c>
      <x:c r="C1063" s="24" t="str">
        <x:v>Civilization &amp; Culture Archetypes</x:v>
      </x:c>
      <x:c r="D1063" s="24" t="str">
        <x:v>CIV-300</x:v>
      </x:c>
      <x:c r="E1063" s="24" t="str">
        <x:f>IF(D1063="","",IFERROR(VLOOKUP(D1063,$A$2:$B$1656,2,FALSE),""))</x:f>
        <x:v>Economic and Institutional Archetypes</x:v>
      </x:c>
      <x:c r="F1063" s="24" t="n">
        <x:v>3</x:v>
      </x:c>
      <x:c r="G1063" s="24" t="str">
        <x:v>Economy organized around extraction, storage, taxation, trade, or depletion of magical energy.</x:v>
      </x:c>
      <x:c r="H1063" s="24" t="str">
        <x:v>Separate political form, economy, religion, ethnicity, ecology, and moral framing.</x:v>
      </x:c>
      <x:c r="I1063" s="24" t="str">
        <x:v>mana economy; crystal trade; ley extraction</x:v>
      </x:c>
      <x:c r="J1063" s="24" t="str">
        <x:v>Models labor, resources, institutions, trade, technology, magic access, and incentives.</x:v>
      </x:c>
      <x:c r="K1063" s="24" t="str">
        <x:v>mana economy; crystal trade; ley extraction</x:v>
      </x:c>
      <x:c r="L1063" s="24" t="str">
        <x:v>Preserve each source's ontology, culture, history, and terminology when making comparisons.</x:v>
      </x:c>
      <x:c r="M1063" s="24" t="str">
        <x:v>Core Family</x:v>
      </x:c>
    </x:row>
    <x:row r="1064" ht="44" customHeight="1">
      <x:c r="A1064" s="24" t="str">
        <x:v>CIV-315</x:v>
      </x:c>
      <x:c r="B1064" s="24" t="str">
        <x:v>Monster-Part Economy</x:v>
      </x:c>
      <x:c r="C1064" s="24" t="str">
        <x:v>Civilization &amp; Culture Archetypes</x:v>
      </x:c>
      <x:c r="D1064" s="24" t="str">
        <x:v>CIV-300</x:v>
      </x:c>
      <x:c r="E1064" s="24" t="str">
        <x:f>IF(D1064="","",IFERROR(VLOOKUP(D1064,$A$2:$B$1656,2,FALSE),""))</x:f>
        <x:v>Economic and Institutional Archetypes</x:v>
      </x:c>
      <x:c r="F1064" s="24" t="n">
        <x:v>3</x:v>
      </x:c>
      <x:c r="G1064" s="24" t="str">
        <x:v>Craft, medicine, magic, food, and trade depend on hunting and processing supernatural creatures.</x:v>
      </x:c>
      <x:c r="H1064" s="24" t="str">
        <x:v>Separate political form, economy, religion, ethnicity, ecology, and moral framing.</x:v>
      </x:c>
      <x:c r="I1064" s="24" t="str">
        <x:v>monster materials; hunter economy; alchemical parts</x:v>
      </x:c>
      <x:c r="J1064" s="24" t="str">
        <x:v>Models labor, resources, institutions, trade, technology, magic access, and incentives.</x:v>
      </x:c>
      <x:c r="K1064" s="24" t="str">
        <x:v>monster materials; hunter economy; alchemical parts</x:v>
      </x:c>
      <x:c r="L1064" s="24" t="str">
        <x:v>Preserve each source's ontology, culture, history, and terminology when making comparisons.</x:v>
      </x:c>
      <x:c r="M1064" s="24" t="str">
        <x:v>Core Family</x:v>
      </x:c>
    </x:row>
    <x:row r="1065" ht="44" customHeight="1">
      <x:c r="A1065" s="24" t="str">
        <x:v>CIV-316</x:v>
      </x:c>
      <x:c r="B1065" s="24" t="str">
        <x:v>Relic and Salvage Economy</x:v>
      </x:c>
      <x:c r="C1065" s="24" t="str">
        <x:v>Civilization &amp; Culture Archetypes</x:v>
      </x:c>
      <x:c r="D1065" s="24" t="str">
        <x:v>CIV-300</x:v>
      </x:c>
      <x:c r="E1065" s="24" t="str">
        <x:f>IF(D1065="","",IFERROR(VLOOKUP(D1065,$A$2:$B$1656,2,FALSE),""))</x:f>
        <x:v>Economic and Institutional Archetypes</x:v>
      </x:c>
      <x:c r="F1065" s="24" t="n">
        <x:v>3</x:v>
      </x:c>
      <x:c r="G1065" s="24" t="str">
        <x:v>Society depends on artifacts and infrastructure recovered from a more advanced or magical past.</x:v>
      </x:c>
      <x:c r="H1065" s="24" t="str">
        <x:v>Separate political form, economy, religion, ethnicity, ecology, and moral framing.</x:v>
      </x:c>
      <x:c r="I1065" s="24" t="str">
        <x:v>salvage culture; ruin economy; precursor technology</x:v>
      </x:c>
      <x:c r="J1065" s="24" t="str">
        <x:v>Models labor, resources, institutions, trade, technology, magic access, and incentives.</x:v>
      </x:c>
      <x:c r="K1065" s="24" t="str">
        <x:v>salvage culture; ruin economy; precursor technology</x:v>
      </x:c>
      <x:c r="L1065" s="24" t="str">
        <x:v>Preserve each source's ontology, culture, history, and terminology when making comparisons.</x:v>
      </x:c>
      <x:c r="M1065" s="24" t="str">
        <x:v>Core Family</x:v>
      </x:c>
    </x:row>
    <x:row r="1066" ht="44" customHeight="1">
      <x:c r="A1066" s="24" t="str">
        <x:v>CIV-317</x:v>
      </x:c>
      <x:c r="B1066" s="24" t="str">
        <x:v>Caravan Trade Network</x:v>
      </x:c>
      <x:c r="C1066" s="24" t="str">
        <x:v>Civilization &amp; Culture Archetypes</x:v>
      </x:c>
      <x:c r="D1066" s="24" t="str">
        <x:v>CIV-300</x:v>
      </x:c>
      <x:c r="E1066" s="24" t="str">
        <x:f>IF(D1066="","",IFERROR(VLOOKUP(D1066,$A$2:$B$1656,2,FALSE),""))</x:f>
        <x:v>Economic and Institutional Archetypes</x:v>
      </x:c>
      <x:c r="F1066" s="24" t="n">
        <x:v>3</x:v>
      </x:c>
      <x:c r="G1066" s="24" t="str">
        <x:v>Long-distance exchange organized through routes, seasonal markets, guides, guards, and negotiated passage.</x:v>
      </x:c>
      <x:c r="H1066" s="24" t="str">
        <x:v>Separate political form, economy, religion, ethnicity, ecology, and moral framing.</x:v>
      </x:c>
      <x:c r="I1066" s="24" t="str">
        <x:v>silk-road analogue; caravan system</x:v>
      </x:c>
      <x:c r="J1066" s="24" t="str">
        <x:v>Models labor, resources, institutions, trade, technology, magic access, and incentives.</x:v>
      </x:c>
      <x:c r="K1066" s="24" t="str">
        <x:v>silk-road analogue; caravan system</x:v>
      </x:c>
      <x:c r="L1066" s="24" t="str">
        <x:v>Preserve each source's ontology, culture, history, and terminology when making comparisons.</x:v>
      </x:c>
      <x:c r="M1066" s="24" t="str">
        <x:v>Core Family</x:v>
      </x:c>
    </x:row>
    <x:row r="1067" ht="44" customHeight="1">
      <x:c r="A1067" s="24" t="str">
        <x:v>CIV-318</x:v>
      </x:c>
      <x:c r="B1067" s="24" t="str">
        <x:v>Pirate Confederacy Economy</x:v>
      </x:c>
      <x:c r="C1067" s="24" t="str">
        <x:v>Civilization &amp; Culture Archetypes</x:v>
      </x:c>
      <x:c r="D1067" s="24" t="str">
        <x:v>CIV-300</x:v>
      </x:c>
      <x:c r="E1067" s="24" t="str">
        <x:f>IF(D1067="","",IFERROR(VLOOKUP(D1067,$A$2:$B$1656,2,FALSE),""))</x:f>
        <x:v>Economic and Institutional Archetypes</x:v>
      </x:c>
      <x:c r="F1067" s="24" t="n">
        <x:v>3</x:v>
      </x:c>
      <x:c r="G1067" s="24" t="str">
        <x:v>Maritime economy combining plunder, smuggling, protection, free ports, and informal law.</x:v>
      </x:c>
      <x:c r="H1067" s="24" t="str">
        <x:v>Separate political form, economy, religion, ethnicity, ecology, and moral framing.</x:v>
      </x:c>
      <x:c r="I1067" s="24" t="str">
        <x:v>pirate haven; corsair league</x:v>
      </x:c>
      <x:c r="J1067" s="24" t="str">
        <x:v>Models labor, resources, institutions, trade, technology, magic access, and incentives.</x:v>
      </x:c>
      <x:c r="K1067" s="24" t="str">
        <x:v>pirate haven; corsair league</x:v>
      </x:c>
      <x:c r="L1067" s="24" t="str">
        <x:v>Preserve each source's ontology, culture, history, and terminology when making comparisons.</x:v>
      </x:c>
      <x:c r="M1067" s="24" t="str">
        <x:v>Core Family</x:v>
      </x:c>
    </x:row>
    <x:row r="1068" ht="44" customHeight="1">
      <x:c r="A1068" s="24" t="str">
        <x:v>CIV-319</x:v>
      </x:c>
      <x:c r="B1068" s="24" t="str">
        <x:v>Mage Monopoly</x:v>
      </x:c>
      <x:c r="C1068" s="24" t="str">
        <x:v>Civilization &amp; Culture Archetypes</x:v>
      </x:c>
      <x:c r="D1068" s="24" t="str">
        <x:v>CIV-300</x:v>
      </x:c>
      <x:c r="E1068" s="24" t="str">
        <x:f>IF(D1068="","",IFERROR(VLOOKUP(D1068,$A$2:$B$1656,2,FALSE),""))</x:f>
        <x:v>Economic and Institutional Archetypes</x:v>
      </x:c>
      <x:c r="F1068" s="24" t="n">
        <x:v>3</x:v>
      </x:c>
      <x:c r="G1068" s="24" t="str">
        <x:v>Magic users or institutions control key services such as healing, transport, weather, communication, or warfare.</x:v>
      </x:c>
      <x:c r="H1068" s="24" t="str">
        <x:v>Separate political form, economy, religion, ethnicity, ecology, and moral framing.</x:v>
      </x:c>
      <x:c r="I1068" s="24" t="str">
        <x:v>arcane monopoly; licensed magic; spell cartel</x:v>
      </x:c>
      <x:c r="J1068" s="24" t="str">
        <x:v>Models labor, resources, institutions, trade, technology, magic access, and incentives.</x:v>
      </x:c>
      <x:c r="K1068" s="24" t="str">
        <x:v>arcane monopoly; licensed magic; spell cartel</x:v>
      </x:c>
      <x:c r="L1068" s="24" t="str">
        <x:v>Preserve each source's ontology, culture, history, and terminology when making comparisons.</x:v>
      </x:c>
      <x:c r="M1068" s="24" t="str">
        <x:v>Core Family</x:v>
      </x:c>
    </x:row>
    <x:row r="1069" ht="44" customHeight="1">
      <x:c r="A1069" s="24" t="str">
        <x:v>CIV-320</x:v>
      </x:c>
      <x:c r="B1069" s="24" t="str">
        <x:v>Anti-Magic Economy</x:v>
      </x:c>
      <x:c r="C1069" s="24" t="str">
        <x:v>Civilization &amp; Culture Archetypes</x:v>
      </x:c>
      <x:c r="D1069" s="24" t="str">
        <x:v>CIV-300</x:v>
      </x:c>
      <x:c r="E1069" s="24" t="str">
        <x:f>IF(D1069="","",IFERROR(VLOOKUP(D1069,$A$2:$B$1656,2,FALSE),""))</x:f>
        <x:v>Economic and Institutional Archetypes</x:v>
      </x:c>
      <x:c r="F1069" s="24" t="n">
        <x:v>3</x:v>
      </x:c>
      <x:c r="G1069" s="24" t="str">
        <x:v>Society restricts supernatural practice and develops institutions, technology, or ideology to replace and suppress it.</x:v>
      </x:c>
      <x:c r="H1069" s="24" t="str">
        <x:v>Separate political form, economy, religion, ethnicity, ecology, and moral framing.</x:v>
      </x:c>
      <x:c r="I1069" s="24" t="str">
        <x:v>null state; anti-mage society; technocratic reaction</x:v>
      </x:c>
      <x:c r="J1069" s="24" t="str">
        <x:v>Models labor, resources, institutions, trade, technology, magic access, and incentives.</x:v>
      </x:c>
      <x:c r="K1069" s="24" t="str">
        <x:v>null state; anti-mage society; technocratic reaction</x:v>
      </x:c>
      <x:c r="L1069" s="24" t="str">
        <x:v>Preserve each source's ontology, culture, history, and terminology when making comparisons.</x:v>
      </x:c>
      <x:c r="M1069" s="24" t="str">
        <x:v>Core Family</x:v>
      </x:c>
    </x:row>
    <x:row r="1070" ht="44" customHeight="1">
      <x:c r="A1070" s="24" t="str">
        <x:v>CIV-321</x:v>
      </x:c>
      <x:c r="B1070" s="24" t="str">
        <x:v>Crafting-Progression Society</x:v>
      </x:c>
      <x:c r="C1070" s="24" t="str">
        <x:v>Civilization &amp; Culture Archetypes</x:v>
      </x:c>
      <x:c r="D1070" s="24" t="str">
        <x:v>CIV-300</x:v>
      </x:c>
      <x:c r="E1070" s="24" t="str">
        <x:f>IF(D1070="","",IFERROR(VLOOKUP(D1070,$A$2:$B$1656,2,FALSE),""))</x:f>
        <x:v>Economic and Institutional Archetypes</x:v>
      </x:c>
      <x:c r="F1070" s="24" t="n">
        <x:v>3</x:v>
      </x:c>
      <x:c r="G1070" s="24" t="str">
        <x:v>Status and power are gained through recipe discovery, quality tiers, production classes, and artisan levels.</x:v>
      </x:c>
      <x:c r="H1070" s="24" t="str">
        <x:v>Separate political form, economy, religion, ethnicity, ecology, and moral framing.</x:v>
      </x:c>
      <x:c r="I1070" s="24" t="str">
        <x:v>crafting world; production class society</x:v>
      </x:c>
      <x:c r="J1070" s="24" t="str">
        <x:v>Models labor, resources, institutions, trade, technology, magic access, and incentives.</x:v>
      </x:c>
      <x:c r="K1070" s="24" t="str">
        <x:v>crafting world; production class society</x:v>
      </x:c>
      <x:c r="L1070" s="24" t="str">
        <x:v>Preserve each source's ontology, culture, history, and terminology when making comparisons.</x:v>
      </x:c>
      <x:c r="M1070" s="24" t="str">
        <x:v>Core Family</x:v>
      </x:c>
    </x:row>
    <x:row r="1071" ht="44" customHeight="1">
      <x:c r="A1071" s="24" t="str">
        <x:v>CIV-322</x:v>
      </x:c>
      <x:c r="B1071" s="24" t="str">
        <x:v>Quest Board Governance</x:v>
      </x:c>
      <x:c r="C1071" s="24" t="str">
        <x:v>Civilization &amp; Culture Archetypes</x:v>
      </x:c>
      <x:c r="D1071" s="24" t="str">
        <x:v>CIV-300</x:v>
      </x:c>
      <x:c r="E1071" s="24" t="str">
        <x:f>IF(D1071="","",IFERROR(VLOOKUP(D1071,$A$2:$B$1656,2,FALSE),""))</x:f>
        <x:v>Economic and Institutional Archetypes</x:v>
      </x:c>
      <x:c r="F1071" s="24" t="n">
        <x:v>3</x:v>
      </x:c>
      <x:c r="G1071" s="24" t="str">
        <x:v>Public needs and state functions are outsourced through standardized posted missions and rewards.</x:v>
      </x:c>
      <x:c r="H1071" s="24" t="str">
        <x:v>Separate political form, economy, religion, ethnicity, ecology, and moral framing.</x:v>
      </x:c>
      <x:c r="I1071" s="24" t="str">
        <x:v>quest board; bounty administration; adventurer contracting</x:v>
      </x:c>
      <x:c r="J1071" s="24" t="str">
        <x:v>Models labor, resources, institutions, trade, technology, magic access, and incentives.</x:v>
      </x:c>
      <x:c r="K1071" s="24" t="str">
        <x:v>quest board; bounty administration; adventurer contracting</x:v>
      </x:c>
      <x:c r="L1071" s="24" t="str">
        <x:v>Preserve each source's ontology, culture, history, and terminology when making comparisons.</x:v>
      </x:c>
      <x:c r="M1071" s="24" t="str">
        <x:v>Core Family</x:v>
      </x:c>
    </x:row>
    <x:row r="1072" ht="44" customHeight="1">
      <x:c r="A1072" s="24" t="str">
        <x:v>CIV-401</x:v>
      </x:c>
      <x:c r="B1072" s="24" t="str">
        <x:v>Ancient Golden-Age Civilization</x:v>
      </x:c>
      <x:c r="C1072" s="24" t="str">
        <x:v>Civilization &amp; Culture Archetypes</x:v>
      </x:c>
      <x:c r="D1072" s="24" t="str">
        <x:v>CIV-400</x:v>
      </x:c>
      <x:c r="E1072" s="24" t="str">
        <x:f>IF(D1072="","",IFERROR(VLOOKUP(D1072,$A$2:$B$1656,2,FALSE),""))</x:f>
        <x:v>Historical and Ideological Archetypes</x:v>
      </x:c>
      <x:c r="F1072" s="24" t="n">
        <x:v>3</x:v>
      </x:c>
      <x:c r="G1072" s="24" t="str">
        <x:v>Idealized or genuinely advanced predecessor society whose achievements define present aspirations.</x:v>
      </x:c>
      <x:c r="H1072" s="24" t="str">
        <x:v>Separate political form, economy, religion, ethnicity, ecology, and moral framing.</x:v>
      </x:c>
      <x:c r="I1072" s="24" t="str">
        <x:v>golden age; elder civilization; high age</x:v>
      </x:c>
      <x:c r="J1072" s="24" t="str">
        <x:v>Models historical memory, decline, identity, ideology, trauma, supremacy, reform, and intergroup relations.</x:v>
      </x:c>
      <x:c r="K1072" s="24" t="str">
        <x:v>golden age; elder civilization; high age</x:v>
      </x:c>
      <x:c r="L1072" s="24" t="str">
        <x:v>Preserve each source's ontology, culture, history, and terminology when making comparisons.</x:v>
      </x:c>
      <x:c r="M1072" s="24" t="str">
        <x:v>Core Family</x:v>
      </x:c>
    </x:row>
    <x:row r="1073" ht="44" customHeight="1">
      <x:c r="A1073" s="24" t="str">
        <x:v>CIV-402</x:v>
      </x:c>
      <x:c r="B1073" s="24" t="str">
        <x:v>Fallen Ancient Empire</x:v>
      </x:c>
      <x:c r="C1073" s="24" t="str">
        <x:v>Civilization &amp; Culture Archetypes</x:v>
      </x:c>
      <x:c r="D1073" s="24" t="str">
        <x:v>CIV-400</x:v>
      </x:c>
      <x:c r="E1073" s="24" t="str">
        <x:f>IF(D1073="","",IFERROR(VLOOKUP(D1073,$A$2:$B$1656,2,FALSE),""))</x:f>
        <x:v>Historical and Ideological Archetypes</x:v>
      </x:c>
      <x:c r="F1073" s="24" t="n">
        <x:v>3</x:v>
      </x:c>
      <x:c r="G1073" s="24" t="str">
        <x:v>Powerful predecessor civilization destroyed by hubris, war, corruption, magic, or catastrophe, leaving ruins and legacies.</x:v>
      </x:c>
      <x:c r="H1073" s="24" t="str">
        <x:v>Separate political form, economy, religion, ethnicity, ecology, and moral framing.</x:v>
      </x:c>
      <x:c r="I1073" s="24" t="str">
        <x:v>fallen empire; precursor civilization; lost age</x:v>
      </x:c>
      <x:c r="J1073" s="24" t="str">
        <x:v>Models historical memory, decline, identity, ideology, trauma, supremacy, reform, and intergroup relations.</x:v>
      </x:c>
      <x:c r="K1073" s="24" t="str">
        <x:v>fallen empire; precursor civilization; lost age</x:v>
      </x:c>
      <x:c r="L1073" s="24" t="str">
        <x:v>Preserve each source's ontology, culture, history, and terminology when making comparisons.</x:v>
      </x:c>
      <x:c r="M1073" s="24" t="str">
        <x:v>Core Family</x:v>
      </x:c>
    </x:row>
    <x:row r="1074" ht="44" customHeight="1">
      <x:c r="A1074" s="24" t="str">
        <x:v>CIV-403</x:v>
      </x:c>
      <x:c r="B1074" s="24" t="str">
        <x:v>Lost Civilization</x:v>
      </x:c>
      <x:c r="C1074" s="24" t="str">
        <x:v>Civilization &amp; Culture Archetypes</x:v>
      </x:c>
      <x:c r="D1074" s="24" t="str">
        <x:v>CIV-400</x:v>
      </x:c>
      <x:c r="E1074" s="24" t="str">
        <x:f>IF(D1074="","",IFERROR(VLOOKUP(D1074,$A$2:$B$1656,2,FALSE),""))</x:f>
        <x:v>Historical and Ideological Archetypes</x:v>
      </x:c>
      <x:c r="F1074" s="24" t="n">
        <x:v>3</x:v>
      </x:c>
      <x:c r="G1074" s="24" t="str">
        <x:v>Society absent from present knowledge except through ruins, texts, descendants, or hidden survival.</x:v>
      </x:c>
      <x:c r="H1074" s="24" t="str">
        <x:v>Separate political form, economy, religion, ethnicity, ecology, and moral framing.</x:v>
      </x:c>
      <x:c r="I1074" s="24" t="str">
        <x:v>lost city; vanished people; forgotten kingdom</x:v>
      </x:c>
      <x:c r="J1074" s="24" t="str">
        <x:v>Models historical memory, decline, identity, ideology, trauma, supremacy, reform, and intergroup relations.</x:v>
      </x:c>
      <x:c r="K1074" s="24" t="str">
        <x:v>lost city; vanished people; forgotten kingdom</x:v>
      </x:c>
      <x:c r="L1074" s="24" t="str">
        <x:v>Preserve each source's ontology, culture, history, and terminology when making comparisons.</x:v>
      </x:c>
      <x:c r="M1074" s="24" t="str">
        <x:v>Core Family</x:v>
      </x:c>
    </x:row>
    <x:row r="1075" ht="44" customHeight="1">
      <x:c r="A1075" s="24" t="str">
        <x:v>CIV-404</x:v>
      </x:c>
      <x:c r="B1075" s="24" t="str">
        <x:v>Fading Elder People</x:v>
      </x:c>
      <x:c r="C1075" s="24" t="str">
        <x:v>Civilization &amp; Culture Archetypes</x:v>
      </x:c>
      <x:c r="D1075" s="24" t="str">
        <x:v>CIV-400</x:v>
      </x:c>
      <x:c r="E1075" s="24" t="str">
        <x:f>IF(D1075="","",IFERROR(VLOOKUP(D1075,$A$2:$B$1656,2,FALSE),""))</x:f>
        <x:v>Historical and Ideological Archetypes</x:v>
      </x:c>
      <x:c r="F1075" s="24" t="n">
        <x:v>3</x:v>
      </x:c>
      <x:c r="G1075" s="24" t="str">
        <x:v>Long-lived or ancient culture declining demographically, magically, politically, or historically.</x:v>
      </x:c>
      <x:c r="H1075" s="24" t="str">
        <x:v>Separate political form, economy, religion, ethnicity, ecology, and moral framing.</x:v>
      </x:c>
      <x:c r="I1075" s="24" t="str">
        <x:v>fading elves; last immortals; elder remnant</x:v>
      </x:c>
      <x:c r="J1075" s="24" t="str">
        <x:v>Models historical memory, decline, identity, ideology, trauma, supremacy, reform, and intergroup relations.</x:v>
      </x:c>
      <x:c r="K1075" s="24" t="str">
        <x:v>fading elves; last immortals; elder remnant</x:v>
      </x:c>
      <x:c r="L1075" s="24" t="str">
        <x:v>Preserve each source's ontology, culture, history, and terminology when making comparisons.</x:v>
      </x:c>
      <x:c r="M1075" s="24" t="str">
        <x:v>Core Family</x:v>
      </x:c>
    </x:row>
    <x:row r="1076" ht="44" customHeight="1">
      <x:c r="A1076" s="24" t="str">
        <x:v>CIV-405</x:v>
      </x:c>
      <x:c r="B1076" s="24" t="str">
        <x:v>Post-Apocalyptic Remnant</x:v>
      </x:c>
      <x:c r="C1076" s="24" t="str">
        <x:v>Civilization &amp; Culture Archetypes</x:v>
      </x:c>
      <x:c r="D1076" s="24" t="str">
        <x:v>CIV-400</x:v>
      </x:c>
      <x:c r="E1076" s="24" t="str">
        <x:f>IF(D1076="","",IFERROR(VLOOKUP(D1076,$A$2:$B$1656,2,FALSE),""))</x:f>
        <x:v>Historical and Ideological Archetypes</x:v>
      </x:c>
      <x:c r="F1076" s="24" t="n">
        <x:v>3</x:v>
      </x:c>
      <x:c r="G1076" s="24" t="str">
        <x:v>Community surviving after civilizational collapse with partial knowledge and repurposed ruins.</x:v>
      </x:c>
      <x:c r="H1076" s="24" t="str">
        <x:v>Separate political form, economy, religion, ethnicity, ecology, and moral framing.</x:v>
      </x:c>
      <x:c r="I1076" s="24" t="str">
        <x:v>remnant society; after-the-fall culture</x:v>
      </x:c>
      <x:c r="J1076" s="24" t="str">
        <x:v>Models historical memory, decline, identity, ideology, trauma, supremacy, reform, and intergroup relations.</x:v>
      </x:c>
      <x:c r="K1076" s="24" t="str">
        <x:v>remnant society; after-the-fall culture</x:v>
      </x:c>
      <x:c r="L1076" s="24" t="str">
        <x:v>Preserve each source's ontology, culture, history, and terminology when making comparisons.</x:v>
      </x:c>
      <x:c r="M1076" s="24" t="str">
        <x:v>Core Family</x:v>
      </x:c>
    </x:row>
    <x:row r="1077" ht="44" customHeight="1">
      <x:c r="A1077" s="24" t="str">
        <x:v>CIV-406</x:v>
      </x:c>
      <x:c r="B1077" s="24" t="str">
        <x:v>Diaspora or Exile People</x:v>
      </x:c>
      <x:c r="C1077" s="24" t="str">
        <x:v>Civilization &amp; Culture Archetypes</x:v>
      </x:c>
      <x:c r="D1077" s="24" t="str">
        <x:v>CIV-400</x:v>
      </x:c>
      <x:c r="E1077" s="24" t="str">
        <x:f>IF(D1077="","",IFERROR(VLOOKUP(D1077,$A$2:$B$1656,2,FALSE),""))</x:f>
        <x:v>Historical and Ideological Archetypes</x:v>
      </x:c>
      <x:c r="F1077" s="24" t="n">
        <x:v>3</x:v>
      </x:c>
      <x:c r="G1077" s="24" t="str">
        <x:v>Community dispersed from a homeland while maintaining memory, identity, law, and return narratives.</x:v>
      </x:c>
      <x:c r="H1077" s="24" t="str">
        <x:v>Separate political form, economy, religion, ethnicity, ecology, and moral framing.</x:v>
      </x:c>
      <x:c r="I1077" s="24" t="str">
        <x:v>diaspora; exiles; displaced people</x:v>
      </x:c>
      <x:c r="J1077" s="24" t="str">
        <x:v>Models historical memory, decline, identity, ideology, trauma, supremacy, reform, and intergroup relations.</x:v>
      </x:c>
      <x:c r="K1077" s="24" t="str">
        <x:v>diaspora; exiles; displaced people</x:v>
      </x:c>
      <x:c r="L1077" s="24" t="str">
        <x:v>Preserve each source's ontology, culture, history, and terminology when making comparisons.</x:v>
      </x:c>
      <x:c r="M1077" s="24" t="str">
        <x:v>Core Family</x:v>
      </x:c>
    </x:row>
    <x:row r="1078" ht="44" customHeight="1">
      <x:c r="A1078" s="24" t="str">
        <x:v>CIV-407</x:v>
      </x:c>
      <x:c r="B1078" s="24" t="str">
        <x:v>Colonized People</x:v>
      </x:c>
      <x:c r="C1078" s="24" t="str">
        <x:v>Civilization &amp; Culture Archetypes</x:v>
      </x:c>
      <x:c r="D1078" s="24" t="str">
        <x:v>CIV-400</x:v>
      </x:c>
      <x:c r="E1078" s="24" t="str">
        <x:f>IF(D1078="","",IFERROR(VLOOKUP(D1078,$A$2:$B$1656,2,FALSE),""))</x:f>
        <x:v>Historical and Ideological Archetypes</x:v>
      </x:c>
      <x:c r="F1078" s="24" t="n">
        <x:v>3</x:v>
      </x:c>
      <x:c r="G1078" s="24" t="str">
        <x:v>Population subjected to outside rule, settlement, extraction, cultural suppression, or racial hierarchy.</x:v>
      </x:c>
      <x:c r="H1078" s="24" t="str">
        <x:v>Separate political form, economy, religion, ethnicity, ecology, and moral framing.</x:v>
      </x:c>
      <x:c r="I1078" s="24" t="str">
        <x:v>colonized realm; occupied people; subject nation</x:v>
      </x:c>
      <x:c r="J1078" s="24" t="str">
        <x:v>Models historical memory, decline, identity, ideology, trauma, supremacy, reform, and intergroup relations.</x:v>
      </x:c>
      <x:c r="K1078" s="24" t="str">
        <x:v>colonized realm; occupied people; subject nation</x:v>
      </x:c>
      <x:c r="L1078" s="24" t="str">
        <x:v>Preserve each source's ontology, culture, history, and terminology when making comparisons.</x:v>
      </x:c>
      <x:c r="M1078" s="24" t="str">
        <x:v>Core Family</x:v>
      </x:c>
    </x:row>
    <x:row r="1079" ht="44" customHeight="1">
      <x:c r="A1079" s="24" t="str">
        <x:v>CIV-408</x:v>
      </x:c>
      <x:c r="B1079" s="24" t="str">
        <x:v>Rebel Alliance</x:v>
      </x:c>
      <x:c r="C1079" s="24" t="str">
        <x:v>Civilization &amp; Culture Archetypes</x:v>
      </x:c>
      <x:c r="D1079" s="24" t="str">
        <x:v>CIV-400</x:v>
      </x:c>
      <x:c r="E1079" s="24" t="str">
        <x:f>IF(D1079="","",IFERROR(VLOOKUP(D1079,$A$2:$B$1656,2,FALSE),""))</x:f>
        <x:v>Historical and Ideological Archetypes</x:v>
      </x:c>
      <x:c r="F1079" s="24" t="n">
        <x:v>3</x:v>
      </x:c>
      <x:c r="G1079" s="24" t="str">
        <x:v>Coalition of factions and peoples united against empire or tyranny despite different interests.</x:v>
      </x:c>
      <x:c r="H1079" s="24" t="str">
        <x:v>Separate political form, economy, religion, ethnicity, ecology, and moral framing.</x:v>
      </x:c>
      <x:c r="I1079" s="24" t="str">
        <x:v>resistance; rebel coalition; liberation front</x:v>
      </x:c>
      <x:c r="J1079" s="24" t="str">
        <x:v>Models historical memory, decline, identity, ideology, trauma, supremacy, reform, and intergroup relations.</x:v>
      </x:c>
      <x:c r="K1079" s="24" t="str">
        <x:v>resistance; rebel coalition; liberation front</x:v>
      </x:c>
      <x:c r="L1079" s="24" t="str">
        <x:v>Preserve each source's ontology, culture, history, and terminology when making comparisons.</x:v>
      </x:c>
      <x:c r="M1079" s="24" t="str">
        <x:v>Core Family</x:v>
      </x:c>
    </x:row>
    <x:row r="1080" ht="44" customHeight="1">
      <x:c r="A1080" s="24" t="str">
        <x:v>CIV-409</x:v>
      </x:c>
      <x:c r="B1080" s="24" t="str">
        <x:v>Utopian Enclave</x:v>
      </x:c>
      <x:c r="C1080" s="24" t="str">
        <x:v>Civilization &amp; Culture Archetypes</x:v>
      </x:c>
      <x:c r="D1080" s="24" t="str">
        <x:v>CIV-400</x:v>
      </x:c>
      <x:c r="E1080" s="24" t="str">
        <x:f>IF(D1080="","",IFERROR(VLOOKUP(D1080,$A$2:$B$1656,2,FALSE),""))</x:f>
        <x:v>Historical and Ideological Archetypes</x:v>
      </x:c>
      <x:c r="F1080" s="24" t="n">
        <x:v>3</x:v>
      </x:c>
      <x:c r="G1080" s="24" t="str">
        <x:v>Protected community presented as unusually just, harmonious, abundant, or enlightened, often with hidden costs.</x:v>
      </x:c>
      <x:c r="H1080" s="24" t="str">
        <x:v>Separate political form, economy, religion, ethnicity, ecology, and moral framing.</x:v>
      </x:c>
      <x:c r="I1080" s="24" t="str">
        <x:v>utopia; hidden paradise; ideal city</x:v>
      </x:c>
      <x:c r="J1080" s="24" t="str">
        <x:v>Models historical memory, decline, identity, ideology, trauma, supremacy, reform, and intergroup relations.</x:v>
      </x:c>
      <x:c r="K1080" s="24" t="str">
        <x:v>utopia; hidden paradise; ideal city</x:v>
      </x:c>
      <x:c r="L1080" s="24" t="str">
        <x:v>Preserve each source's ontology, culture, history, and terminology when making comparisons.</x:v>
      </x:c>
      <x:c r="M1080" s="24" t="str">
        <x:v>Core Family</x:v>
      </x:c>
    </x:row>
    <x:row r="1081" ht="44" customHeight="1">
      <x:c r="A1081" s="24" t="str">
        <x:v>CIV-410</x:v>
      </x:c>
      <x:c r="B1081" s="24" t="str">
        <x:v>Dystopian Magical State</x:v>
      </x:c>
      <x:c r="C1081" s="24" t="str">
        <x:v>Civilization &amp; Culture Archetypes</x:v>
      </x:c>
      <x:c r="D1081" s="24" t="str">
        <x:v>CIV-400</x:v>
      </x:c>
      <x:c r="E1081" s="24" t="str">
        <x:f>IF(D1081="","",IFERROR(VLOOKUP(D1081,$A$2:$B$1656,2,FALSE),""))</x:f>
        <x:v>Historical and Ideological Archetypes</x:v>
      </x:c>
      <x:c r="F1081" s="24" t="n">
        <x:v>3</x:v>
      </x:c>
      <x:c r="G1081" s="24" t="str">
        <x:v>Society where magic, prophecy, surveillance, caste, immortality, or system rules enable pervasive control.</x:v>
      </x:c>
      <x:c r="H1081" s="24" t="str">
        <x:v>Separate political form, economy, religion, ethnicity, ecology, and moral framing.</x:v>
      </x:c>
      <x:c r="I1081" s="24" t="str">
        <x:v>magical dystopia; sorcerous police state</x:v>
      </x:c>
      <x:c r="J1081" s="24" t="str">
        <x:v>Models historical memory, decline, identity, ideology, trauma, supremacy, reform, and intergroup relations.</x:v>
      </x:c>
      <x:c r="K1081" s="24" t="str">
        <x:v>magical dystopia; sorcerous police state</x:v>
      </x:c>
      <x:c r="L1081" s="24" t="str">
        <x:v>Preserve each source's ontology, culture, history, and terminology when making comparisons.</x:v>
      </x:c>
      <x:c r="M1081" s="24" t="str">
        <x:v>Core Family</x:v>
      </x:c>
    </x:row>
    <x:row r="1082" ht="44" customHeight="1">
      <x:c r="A1082" s="24" t="str">
        <x:v>CIV-411</x:v>
      </x:c>
      <x:c r="B1082" s="24" t="str">
        <x:v>Isolationist Elder Realm</x:v>
      </x:c>
      <x:c r="C1082" s="24" t="str">
        <x:v>Civilization &amp; Culture Archetypes</x:v>
      </x:c>
      <x:c r="D1082" s="24" t="str">
        <x:v>CIV-400</x:v>
      </x:c>
      <x:c r="E1082" s="24" t="str">
        <x:f>IF(D1082="","",IFERROR(VLOOKUP(D1082,$A$2:$B$1656,2,FALSE),""))</x:f>
        <x:v>Historical and Ideological Archetypes</x:v>
      </x:c>
      <x:c r="F1082" s="24" t="n">
        <x:v>3</x:v>
      </x:c>
      <x:c r="G1082" s="24" t="str">
        <x:v>Ancient society that limits contact to preserve culture, safety, purity, secrecy, or power.</x:v>
      </x:c>
      <x:c r="H1082" s="24" t="str">
        <x:v>Separate political form, economy, religion, ethnicity, ecology, and moral framing.</x:v>
      </x:c>
      <x:c r="I1082" s="24" t="str">
        <x:v>hidden elves; closed kingdom; sealed nation</x:v>
      </x:c>
      <x:c r="J1082" s="24" t="str">
        <x:v>Models historical memory, decline, identity, ideology, trauma, supremacy, reform, and intergroup relations.</x:v>
      </x:c>
      <x:c r="K1082" s="24" t="str">
        <x:v>hidden elves; closed kingdom; sealed nation</x:v>
      </x:c>
      <x:c r="L1082" s="24" t="str">
        <x:v>Preserve each source's ontology, culture, history, and terminology when making comparisons.</x:v>
      </x:c>
      <x:c r="M1082" s="24" t="str">
        <x:v>Core Family</x:v>
      </x:c>
    </x:row>
    <x:row r="1083" ht="44" customHeight="1">
      <x:c r="A1083" s="24" t="str">
        <x:v>CIV-412</x:v>
      </x:c>
      <x:c r="B1083" s="24" t="str">
        <x:v>Expansionist Empire</x:v>
      </x:c>
      <x:c r="C1083" s="24" t="str">
        <x:v>Civilization &amp; Culture Archetypes</x:v>
      </x:c>
      <x:c r="D1083" s="24" t="str">
        <x:v>CIV-400</x:v>
      </x:c>
      <x:c r="E1083" s="24" t="str">
        <x:f>IF(D1083="","",IFERROR(VLOOKUP(D1083,$A$2:$B$1656,2,FALSE),""))</x:f>
        <x:v>Historical and Ideological Archetypes</x:v>
      </x:c>
      <x:c r="F1083" s="24" t="n">
        <x:v>3</x:v>
      </x:c>
      <x:c r="G1083" s="24" t="str">
        <x:v>State ideologically and institutionally committed to conquest, assimilation, settlement, and tribute.</x:v>
      </x:c>
      <x:c r="H1083" s="24" t="str">
        <x:v>Separate political form, economy, religion, ethnicity, ecology, and moral framing.</x:v>
      </x:c>
      <x:c r="I1083" s="24" t="str">
        <x:v>conquering empire; imperial machine</x:v>
      </x:c>
      <x:c r="J1083" s="24" t="str">
        <x:v>Models historical memory, decline, identity, ideology, trauma, supremacy, reform, and intergroup relations.</x:v>
      </x:c>
      <x:c r="K1083" s="24" t="str">
        <x:v>conquering empire; imperial machine</x:v>
      </x:c>
      <x:c r="L1083" s="24" t="str">
        <x:v>Preserve each source's ontology, culture, history, and terminology when making comparisons.</x:v>
      </x:c>
      <x:c r="M1083" s="24" t="str">
        <x:v>Core Family</x:v>
      </x:c>
    </x:row>
    <x:row r="1084" ht="44" customHeight="1">
      <x:c r="A1084" s="24" t="str">
        <x:v>CIV-413</x:v>
      </x:c>
      <x:c r="B1084" s="24" t="str">
        <x:v>Holy Mission Society</x:v>
      </x:c>
      <x:c r="C1084" s="24" t="str">
        <x:v>Civilization &amp; Culture Archetypes</x:v>
      </x:c>
      <x:c r="D1084" s="24" t="str">
        <x:v>CIV-400</x:v>
      </x:c>
      <x:c r="E1084" s="24" t="str">
        <x:f>IF(D1084="","",IFERROR(VLOOKUP(D1084,$A$2:$B$1656,2,FALSE),""))</x:f>
        <x:v>Historical and Ideological Archetypes</x:v>
      </x:c>
      <x:c r="F1084" s="24" t="n">
        <x:v>3</x:v>
      </x:c>
      <x:c r="G1084" s="24" t="str">
        <x:v>Culture organized around sacred destiny, pilgrimage, conversion, crusade, or protection of cosmic order.</x:v>
      </x:c>
      <x:c r="H1084" s="24" t="str">
        <x:v>Separate political form, economy, religion, ethnicity, ecology, and moral framing.</x:v>
      </x:c>
      <x:c r="I1084" s="24" t="str">
        <x:v>chosen kingdom; crusading realm; sacred mandate</x:v>
      </x:c>
      <x:c r="J1084" s="24" t="str">
        <x:v>Models historical memory, decline, identity, ideology, trauma, supremacy, reform, and intergroup relations.</x:v>
      </x:c>
      <x:c r="K1084" s="24" t="str">
        <x:v>chosen kingdom; crusading realm; sacred mandate</x:v>
      </x:c>
      <x:c r="L1084" s="24" t="str">
        <x:v>Preserve each source's ontology, culture, history, and terminology when making comparisons.</x:v>
      </x:c>
      <x:c r="M1084" s="24" t="str">
        <x:v>Core Family</x:v>
      </x:c>
    </x:row>
    <x:row r="1085" ht="44" customHeight="1">
      <x:c r="A1085" s="24" t="str">
        <x:v>CIV-414</x:v>
      </x:c>
      <x:c r="B1085" s="24" t="str">
        <x:v>Ritualized Warrior Culture</x:v>
      </x:c>
      <x:c r="C1085" s="24" t="str">
        <x:v>Civilization &amp; Culture Archetypes</x:v>
      </x:c>
      <x:c r="D1085" s="24" t="str">
        <x:v>CIV-400</x:v>
      </x:c>
      <x:c r="E1085" s="24" t="str">
        <x:f>IF(D1085="","",IFERROR(VLOOKUP(D1085,$A$2:$B$1656,2,FALSE),""))</x:f>
        <x:v>Historical and Ideological Archetypes</x:v>
      </x:c>
      <x:c r="F1085" s="24" t="n">
        <x:v>3</x:v>
      </x:c>
      <x:c r="G1085" s="24" t="str">
        <x:v>Society in which martial status, initiation, duels, raiding, or honor codes organize adulthood and hierarchy.</x:v>
      </x:c>
      <x:c r="H1085" s="24" t="str">
        <x:v>Separate political form, economy, religion, ethnicity, ecology, and moral framing.</x:v>
      </x:c>
      <x:c r="I1085" s="24" t="str">
        <x:v>warrior society; martial caste; honor culture</x:v>
      </x:c>
      <x:c r="J1085" s="24" t="str">
        <x:v>Models historical memory, decline, identity, ideology, trauma, supremacy, reform, and intergroup relations.</x:v>
      </x:c>
      <x:c r="K1085" s="24" t="str">
        <x:v>warrior society; martial caste; honor culture</x:v>
      </x:c>
      <x:c r="L1085" s="24" t="str">
        <x:v>Preserve each source's ontology, culture, history, and terminology when making comparisons.</x:v>
      </x:c>
      <x:c r="M1085" s="24" t="str">
        <x:v>Core Family</x:v>
      </x:c>
    </x:row>
    <x:row r="1086" ht="44" customHeight="1">
      <x:c r="A1086" s="24" t="str">
        <x:v>CIV-415</x:v>
      </x:c>
      <x:c r="B1086" s="24" t="str">
        <x:v>Scholar-Bureaucratic Culture</x:v>
      </x:c>
      <x:c r="C1086" s="24" t="str">
        <x:v>Civilization &amp; Culture Archetypes</x:v>
      </x:c>
      <x:c r="D1086" s="24" t="str">
        <x:v>CIV-400</x:v>
      </x:c>
      <x:c r="E1086" s="24" t="str">
        <x:f>IF(D1086="","",IFERROR(VLOOKUP(D1086,$A$2:$B$1656,2,FALSE),""))</x:f>
        <x:v>Historical and Ideological Archetypes</x:v>
      </x:c>
      <x:c r="F1086" s="24" t="n">
        <x:v>3</x:v>
      </x:c>
      <x:c r="G1086" s="24" t="str">
        <x:v>Society where examinations, literacy, records, and learned officials organize status and governance.</x:v>
      </x:c>
      <x:c r="H1086" s="24" t="str">
        <x:v>Separate political form, economy, religion, ethnicity, ecology, and moral framing.</x:v>
      </x:c>
      <x:c r="I1086" s="24" t="str">
        <x:v>exam state; scholar officials; literati analogue</x:v>
      </x:c>
      <x:c r="J1086" s="24" t="str">
        <x:v>Models historical memory, decline, identity, ideology, trauma, supremacy, reform, and intergroup relations.</x:v>
      </x:c>
      <x:c r="K1086" s="24" t="str">
        <x:v>exam state; scholar officials; literati analogue</x:v>
      </x:c>
      <x:c r="L1086" s="24" t="str">
        <x:v>Preserve each source's ontology, culture, history, and terminology when making comparisons.</x:v>
      </x:c>
      <x:c r="M1086" s="24" t="str">
        <x:v>Core Family</x:v>
      </x:c>
    </x:row>
    <x:row r="1087" ht="44" customHeight="1">
      <x:c r="A1087" s="24" t="str">
        <x:v>CIV-416</x:v>
      </x:c>
      <x:c r="B1087" s="24" t="str">
        <x:v>Ancestor-Governed Society</x:v>
      </x:c>
      <x:c r="C1087" s="24" t="str">
        <x:v>Civilization &amp; Culture Archetypes</x:v>
      </x:c>
      <x:c r="D1087" s="24" t="str">
        <x:v>CIV-400</x:v>
      </x:c>
      <x:c r="E1087" s="24" t="str">
        <x:f>IF(D1087="","",IFERROR(VLOOKUP(D1087,$A$2:$B$1656,2,FALSE),""))</x:f>
        <x:v>Historical and Ideological Archetypes</x:v>
      </x:c>
      <x:c r="F1087" s="24" t="n">
        <x:v>3</x:v>
      </x:c>
      <x:c r="G1087" s="24" t="str">
        <x:v>Living institutions are directly constrained or advised by active ancestors, preserved rulers, or ancestral law.</x:v>
      </x:c>
      <x:c r="H1087" s="24" t="str">
        <x:v>Separate political form, economy, religion, ethnicity, ecology, and moral framing.</x:v>
      </x:c>
      <x:c r="I1087" s="24" t="str">
        <x:v>ancestor council; dead rulers; lineage state</x:v>
      </x:c>
      <x:c r="J1087" s="24" t="str">
        <x:v>Models historical memory, decline, identity, ideology, trauma, supremacy, reform, and intergroup relations.</x:v>
      </x:c>
      <x:c r="K1087" s="24" t="str">
        <x:v>ancestor council; dead rulers; lineage state</x:v>
      </x:c>
      <x:c r="L1087" s="24" t="str">
        <x:v>Preserve each source's ontology, culture, history, and terminology when making comparisons.</x:v>
      </x:c>
      <x:c r="M1087" s="24" t="str">
        <x:v>Core Family</x:v>
      </x:c>
    </x:row>
    <x:row r="1088" ht="44" customHeight="1">
      <x:c r="A1088" s="24" t="str">
        <x:v>CIV-417</x:v>
      </x:c>
      <x:c r="B1088" s="24" t="str">
        <x:v>Prophecy-Governed Society</x:v>
      </x:c>
      <x:c r="C1088" s="24" t="str">
        <x:v>Civilization &amp; Culture Archetypes</x:v>
      </x:c>
      <x:c r="D1088" s="24" t="str">
        <x:v>CIV-400</x:v>
      </x:c>
      <x:c r="E1088" s="24" t="str">
        <x:f>IF(D1088="","",IFERROR(VLOOKUP(D1088,$A$2:$B$1656,2,FALSE),""))</x:f>
        <x:v>Historical and Ideological Archetypes</x:v>
      </x:c>
      <x:c r="F1088" s="24" t="n">
        <x:v>3</x:v>
      </x:c>
      <x:c r="G1088" s="24" t="str">
        <x:v>Political and social decisions are organized around oracles, foretold roles, auspicious timing, or fate institutions.</x:v>
      </x:c>
      <x:c r="H1088" s="24" t="str">
        <x:v>Separate political form, economy, religion, ethnicity, ecology, and moral framing.</x:v>
      </x:c>
      <x:c r="I1088" s="24" t="str">
        <x:v>oracle state; fate bureaucracy; prophetic kingdom</x:v>
      </x:c>
      <x:c r="J1088" s="24" t="str">
        <x:v>Models historical memory, decline, identity, ideology, trauma, supremacy, reform, and intergroup relations.</x:v>
      </x:c>
      <x:c r="K1088" s="24" t="str">
        <x:v>oracle state; fate bureaucracy; prophetic kingdom</x:v>
      </x:c>
      <x:c r="L1088" s="24" t="str">
        <x:v>Preserve each source's ontology, culture, history, and terminology when making comparisons.</x:v>
      </x:c>
      <x:c r="M1088" s="24" t="str">
        <x:v>Core Family</x:v>
      </x:c>
    </x:row>
    <x:row r="1089" ht="44" customHeight="1">
      <x:c r="A1089" s="24" t="str">
        <x:v>CIV-418</x:v>
      </x:c>
      <x:c r="B1089" s="24" t="str">
        <x:v>Cyclically Destroyed Society</x:v>
      </x:c>
      <x:c r="C1089" s="24" t="str">
        <x:v>Civilization &amp; Culture Archetypes</x:v>
      </x:c>
      <x:c r="D1089" s="24" t="str">
        <x:v>CIV-400</x:v>
      </x:c>
      <x:c r="E1089" s="24" t="str">
        <x:f>IF(D1089="","",IFERROR(VLOOKUP(D1089,$A$2:$B$1656,2,FALSE),""))</x:f>
        <x:v>Historical and Ideological Archetypes</x:v>
      </x:c>
      <x:c r="F1089" s="24" t="n">
        <x:v>3</x:v>
      </x:c>
      <x:c r="G1089" s="24" t="str">
        <x:v>Civilization repeatedly collapses and renews through cosmic ages, resets, invasions, or ritual catastrophe.</x:v>
      </x:c>
      <x:c r="H1089" s="24" t="str">
        <x:v>Separate political form, economy, religion, ethnicity, ecology, and moral framing.</x:v>
      </x:c>
      <x:c r="I1089" s="24" t="str">
        <x:v>cycle civilization; recurring calamity; age reset</x:v>
      </x:c>
      <x:c r="J1089" s="24" t="str">
        <x:v>Models historical memory, decline, identity, ideology, trauma, supremacy, reform, and intergroup relations.</x:v>
      </x:c>
      <x:c r="K1089" s="24" t="str">
        <x:v>cycle civilization; recurring calamity; age reset</x:v>
      </x:c>
      <x:c r="L1089" s="24" t="str">
        <x:v>Preserve each source's ontology, culture, history, and terminology when making comparisons.</x:v>
      </x:c>
      <x:c r="M1089" s="24" t="str">
        <x:v>Core Family</x:v>
      </x:c>
    </x:row>
    <x:row r="1090" ht="44" customHeight="1">
      <x:c r="A1090" s="24" t="str">
        <x:v>CIV-419</x:v>
      </x:c>
      <x:c r="B1090" s="24" t="str">
        <x:v>Memory-Erased Society</x:v>
      </x:c>
      <x:c r="C1090" s="24" t="str">
        <x:v>Civilization &amp; Culture Archetypes</x:v>
      </x:c>
      <x:c r="D1090" s="24" t="str">
        <x:v>CIV-400</x:v>
      </x:c>
      <x:c r="E1090" s="24" t="str">
        <x:f>IF(D1090="","",IFERROR(VLOOKUP(D1090,$A$2:$B$1656,2,FALSE),""))</x:f>
        <x:v>Historical and Ideological Archetypes</x:v>
      </x:c>
      <x:c r="F1090" s="24" t="n">
        <x:v>3</x:v>
      </x:c>
      <x:c r="G1090" s="24" t="str">
        <x:v>A people has lost or been deprived of history, names, magic, or knowledge through deliberate or supernatural means.</x:v>
      </x:c>
      <x:c r="H1090" s="24" t="str">
        <x:v>Separate political form, economy, religion, ethnicity, ecology, and moral framing.</x:v>
      </x:c>
      <x:c r="I1090" s="24" t="str">
        <x:v>amnesiac culture; erased past; censored world</x:v>
      </x:c>
      <x:c r="J1090" s="24" t="str">
        <x:v>Models historical memory, decline, identity, ideology, trauma, supremacy, reform, and intergroup relations.</x:v>
      </x:c>
      <x:c r="K1090" s="24" t="str">
        <x:v>amnesiac culture; erased past; censored world</x:v>
      </x:c>
      <x:c r="L1090" s="24" t="str">
        <x:v>Preserve each source's ontology, culture, history, and terminology when making comparisons.</x:v>
      </x:c>
      <x:c r="M1090" s="24" t="str">
        <x:v>Core Family</x:v>
      </x:c>
    </x:row>
    <x:row r="1091" ht="44" customHeight="1">
      <x:c r="A1091" s="24" t="str">
        <x:v>CIV-420</x:v>
      </x:c>
      <x:c r="B1091" s="24" t="str">
        <x:v>Reconciled Multi-People Federation</x:v>
      </x:c>
      <x:c r="C1091" s="24" t="str">
        <x:v>Civilization &amp; Culture Archetypes</x:v>
      </x:c>
      <x:c r="D1091" s="24" t="str">
        <x:v>CIV-400</x:v>
      </x:c>
      <x:c r="E1091" s="24" t="str">
        <x:f>IF(D1091="","",IFERROR(VLOOKUP(D1091,$A$2:$B$1656,2,FALSE),""))</x:f>
        <x:v>Historical and Ideological Archetypes</x:v>
      </x:c>
      <x:c r="F1091" s="24" t="n">
        <x:v>3</x:v>
      </x:c>
      <x:c r="G1091" s="24" t="str">
        <x:v>Polity built through negotiated coexistence among formerly hostile species, cultures, or realms.</x:v>
      </x:c>
      <x:c r="H1091" s="24" t="str">
        <x:v>Separate political form, economy, religion, ethnicity, ecology, and moral framing.</x:v>
      </x:c>
      <x:c r="I1091" s="24" t="str">
        <x:v>federation; alliance of peoples; plural kingdom</x:v>
      </x:c>
      <x:c r="J1091" s="24" t="str">
        <x:v>Models historical memory, decline, identity, ideology, trauma, supremacy, reform, and intergroup relations.</x:v>
      </x:c>
      <x:c r="K1091" s="24" t="str">
        <x:v>federation; alliance of peoples; plural kingdom</x:v>
      </x:c>
      <x:c r="L1091" s="24" t="str">
        <x:v>Preserve each source's ontology, culture, history, and terminology when making comparisons.</x:v>
      </x:c>
      <x:c r="M1091" s="24" t="str">
        <x:v>Core Family</x:v>
      </x:c>
    </x:row>
    <x:row r="1092" ht="44" customHeight="1">
      <x:c r="A1092" s="24" t="str">
        <x:v>CIV-421</x:v>
      </x:c>
      <x:c r="B1092" s="24" t="str">
        <x:v>Segregated Multi-People Society</x:v>
      </x:c>
      <x:c r="C1092" s="24" t="str">
        <x:v>Civilization &amp; Culture Archetypes</x:v>
      </x:c>
      <x:c r="D1092" s="24" t="str">
        <x:v>CIV-400</x:v>
      </x:c>
      <x:c r="E1092" s="24" t="str">
        <x:f>IF(D1092="","",IFERROR(VLOOKUP(D1092,$A$2:$B$1656,2,FALSE),""))</x:f>
        <x:v>Historical and Ideological Archetypes</x:v>
      </x:c>
      <x:c r="F1092" s="24" t="n">
        <x:v>3</x:v>
      </x:c>
      <x:c r="G1092" s="24" t="str">
        <x:v>Polity formally or informally separates peoples by district, occupation, law, caste, or magical status.</x:v>
      </x:c>
      <x:c r="H1092" s="24" t="str">
        <x:v>Separate political form, economy, religion, ethnicity, ecology, and moral framing.</x:v>
      </x:c>
      <x:c r="I1092" s="24" t="str">
        <x:v>racial caste state; species quarters; divided realm</x:v>
      </x:c>
      <x:c r="J1092" s="24" t="str">
        <x:v>Models historical memory, decline, identity, ideology, trauma, supremacy, reform, and intergroup relations.</x:v>
      </x:c>
      <x:c r="K1092" s="24" t="str">
        <x:v>racial caste state; species quarters; divided realm</x:v>
      </x:c>
      <x:c r="L1092" s="24" t="str">
        <x:v>Preserve each source's ontology, culture, history, and terminology when making comparisons.</x:v>
      </x:c>
      <x:c r="M1092" s="24" t="str">
        <x:v>Core Family</x:v>
      </x:c>
    </x:row>
    <x:row r="1093" ht="44" customHeight="1">
      <x:c r="A1093" s="24" t="str">
        <x:v>CIV-422</x:v>
      </x:c>
      <x:c r="B1093" s="24" t="str">
        <x:v>Human-Supremacist State</x:v>
      </x:c>
      <x:c r="C1093" s="24" t="str">
        <x:v>Civilization &amp; Culture Archetypes</x:v>
      </x:c>
      <x:c r="D1093" s="24" t="str">
        <x:v>CIV-400</x:v>
      </x:c>
      <x:c r="E1093" s="24" t="str">
        <x:f>IF(D1093="","",IFERROR(VLOOKUP(D1093,$A$2:$B$1656,2,FALSE),""))</x:f>
        <x:v>Historical and Ideological Archetypes</x:v>
      </x:c>
      <x:c r="F1093" s="24" t="n">
        <x:v>3</x:v>
      </x:c>
      <x:c r="G1093" s="24" t="str">
        <x:v>Political order asserting human dominance and restricting, assimilating, or eliminating other beings.</x:v>
      </x:c>
      <x:c r="H1093" s="24" t="str">
        <x:v>Separate political form, economy, religion, ethnicity, ecology, and moral framing.</x:v>
      </x:c>
      <x:c r="I1093" s="24" t="str">
        <x:v>human empire; anti-nonhuman regime</x:v>
      </x:c>
      <x:c r="J1093" s="24" t="str">
        <x:v>Models historical memory, decline, identity, ideology, trauma, supremacy, reform, and intergroup relations.</x:v>
      </x:c>
      <x:c r="K1093" s="24" t="str">
        <x:v>human empire; anti-nonhuman regime</x:v>
      </x:c>
      <x:c r="L1093" s="24" t="str">
        <x:v>Preserve each source's ontology, culture, history, and terminology when making comparisons.</x:v>
      </x:c>
      <x:c r="M1093" s="24" t="str">
        <x:v>Core Family</x:v>
      </x:c>
    </x:row>
    <x:row r="1094" ht="44" customHeight="1">
      <x:c r="A1094" s="24" t="str">
        <x:v>CIV-423</x:v>
      </x:c>
      <x:c r="B1094" s="24" t="str">
        <x:v>Elder-People Supremacist State</x:v>
      </x:c>
      <x:c r="C1094" s="24" t="str">
        <x:v>Civilization &amp; Culture Archetypes</x:v>
      </x:c>
      <x:c r="D1094" s="24" t="str">
        <x:v>CIV-400</x:v>
      </x:c>
      <x:c r="E1094" s="24" t="str">
        <x:f>IF(D1094="","",IFERROR(VLOOKUP(D1094,$A$2:$B$1656,2,FALSE),""))</x:f>
        <x:v>Historical and Ideological Archetypes</x:v>
      </x:c>
      <x:c r="F1094" s="24" t="n">
        <x:v>3</x:v>
      </x:c>
      <x:c r="G1094" s="24" t="str">
        <x:v>Political order asserting the inherited right of an ancient, magical, or long-lived people to dominate others.</x:v>
      </x:c>
      <x:c r="H1094" s="24" t="str">
        <x:v>Separate political form, economy, religion, ethnicity, ecology, and moral framing.</x:v>
      </x:c>
      <x:c r="I1094" s="24" t="str">
        <x:v>elven empire; dragon supremacy; immortal caste</x:v>
      </x:c>
      <x:c r="J1094" s="24" t="str">
        <x:v>Models historical memory, decline, identity, ideology, trauma, supremacy, reform, and intergroup relations.</x:v>
      </x:c>
      <x:c r="K1094" s="24" t="str">
        <x:v>elven empire; dragon supremacy; immortal caste</x:v>
      </x:c>
      <x:c r="L1094" s="24" t="str">
        <x:v>Preserve each source's ontology, culture, history, and terminology when making comparisons.</x:v>
      </x:c>
      <x:c r="M1094" s="24" t="str">
        <x:v>Core Family</x:v>
      </x:c>
    </x:row>
    <x:row r="1095" ht="44" customHeight="1">
      <x:c r="A1095" s="24" t="str">
        <x:v>CIV-424</x:v>
      </x:c>
      <x:c r="B1095" s="24" t="str">
        <x:v>Monster-Reclamation Society</x:v>
      </x:c>
      <x:c r="C1095" s="24" t="str">
        <x:v>Civilization &amp; Culture Archetypes</x:v>
      </x:c>
      <x:c r="D1095" s="24" t="str">
        <x:v>CIV-400</x:v>
      </x:c>
      <x:c r="E1095" s="24" t="str">
        <x:f>IF(D1095="","",IFERROR(VLOOKUP(D1095,$A$2:$B$1656,2,FALSE),""))</x:f>
        <x:v>Historical and Ideological Archetypes</x:v>
      </x:c>
      <x:c r="F1095" s="24" t="n">
        <x:v>3</x:v>
      </x:c>
      <x:c r="G1095" s="24" t="str">
        <x:v>Formerly demonized beings establish personhood, law, homeland, or political agency.</x:v>
      </x:c>
      <x:c r="H1095" s="24" t="str">
        <x:v>Separate political form, economy, religion, ethnicity, ecology, and moral framing.</x:v>
      </x:c>
      <x:c r="I1095" s="24" t="str">
        <x:v>monster nation; reclaimed orcs; undead rights society</x:v>
      </x:c>
      <x:c r="J1095" s="24" t="str">
        <x:v>Models historical memory, decline, identity, ideology, trauma, supremacy, reform, and intergroup relations.</x:v>
      </x:c>
      <x:c r="K1095" s="24" t="str">
        <x:v>monster nation; reclaimed orcs; undead rights society</x:v>
      </x:c>
      <x:c r="L1095" s="24" t="str">
        <x:v>Preserve each source's ontology, culture, history, and terminology when making comparisons.</x:v>
      </x:c>
      <x:c r="M1095" s="24" t="str">
        <x:v>Core Family</x:v>
      </x:c>
    </x:row>
    <x:row r="1096" ht="44" customHeight="1">
      <x:c r="A1096" s="24" t="str">
        <x:v>CIV-425</x:v>
      </x:c>
      <x:c r="B1096" s="24" t="str">
        <x:v>World-Tree Civilization</x:v>
      </x:c>
      <x:c r="C1096" s="24" t="str">
        <x:v>Civilization &amp; Culture Archetypes</x:v>
      </x:c>
      <x:c r="D1096" s="24" t="str">
        <x:v>CIV-400</x:v>
      </x:c>
      <x:c r="E1096" s="24" t="str">
        <x:f>IF(D1096="","",IFERROR(VLOOKUP(D1096,$A$2:$B$1656,2,FALSE),""))</x:f>
        <x:v>Historical and Ideological Archetypes</x:v>
      </x:c>
      <x:c r="F1096" s="24" t="n">
        <x:v>3</x:v>
      </x:c>
      <x:c r="G1096" s="24" t="str">
        <x:v>Society organized physically and cosmologically around a sacred or living tree connecting realms.</x:v>
      </x:c>
      <x:c r="H1096" s="24" t="str">
        <x:v>Separate political form, economy, religion, ethnicity, ecology, and moral framing.</x:v>
      </x:c>
      <x:c r="I1096" s="24" t="str">
        <x:v>world tree city; tree kingdom; canopy civilization</x:v>
      </x:c>
      <x:c r="J1096" s="24" t="str">
        <x:v>Models historical memory, decline, identity, ideology, trauma, supremacy, reform, and intergroup relations.</x:v>
      </x:c>
      <x:c r="K1096" s="24" t="str">
        <x:v>world tree city; tree kingdom; canopy civilization</x:v>
      </x:c>
      <x:c r="L1096" s="24" t="str">
        <x:v>Preserve each source's ontology, culture, history, and terminology when making comparisons.</x:v>
      </x:c>
      <x:c r="M1096" s="24" t="str">
        <x:v>Core Family</x:v>
      </x:c>
    </x:row>
    <x:row r="1097" ht="44" customHeight="1">
      <x:c r="A1097" s="24" t="str">
        <x:v>CIV-426</x:v>
      </x:c>
      <x:c r="B1097" s="24" t="str">
        <x:v>Dragon-Cycle Civilization</x:v>
      </x:c>
      <x:c r="C1097" s="24" t="str">
        <x:v>Civilization &amp; Culture Archetypes</x:v>
      </x:c>
      <x:c r="D1097" s="24" t="str">
        <x:v>CIV-400</x:v>
      </x:c>
      <x:c r="E1097" s="24" t="str">
        <x:f>IF(D1097="","",IFERROR(VLOOKUP(D1097,$A$2:$B$1656,2,FALSE),""))</x:f>
        <x:v>Historical and Ideological Archetypes</x:v>
      </x:c>
      <x:c r="F1097" s="24" t="n">
        <x:v>3</x:v>
      </x:c>
      <x:c r="G1097" s="24" t="str">
        <x:v>Society's eras, legitimacy, or catastrophe are structured by dragon births, flights, bonds, or returns.</x:v>
      </x:c>
      <x:c r="H1097" s="24" t="str">
        <x:v>Separate political form, economy, religion, ethnicity, ecology, and moral framing.</x:v>
      </x:c>
      <x:c r="I1097" s="24" t="str">
        <x:v>age of dragons; dragon dynasties; draconic cycle</x:v>
      </x:c>
      <x:c r="J1097" s="24" t="str">
        <x:v>Models historical memory, decline, identity, ideology, trauma, supremacy, reform, and intergroup relations.</x:v>
      </x:c>
      <x:c r="K1097" s="24" t="str">
        <x:v>age of dragons; dragon dynasties; draconic cycle</x:v>
      </x:c>
      <x:c r="L1097" s="24" t="str">
        <x:v>Preserve each source's ontology, culture, history, and terminology when making comparisons.</x:v>
      </x:c>
      <x:c r="M1097" s="24" t="str">
        <x:v>Core Family</x:v>
      </x:c>
    </x:row>
    <x:row r="1098" ht="44" customHeight="1">
      <x:c r="A1098" s="24" t="str">
        <x:v>MEC-100</x:v>
      </x:c>
      <x:c r="B1098" s="24" t="str">
        <x:v>Combat Function Archetypes</x:v>
      </x:c>
      <x:c r="C1098" s="24" t="str">
        <x:v>Game-Mechanical Archetypes</x:v>
      </x:c>
      <x:c r="D1098" s="24" t="str">
        <x:v>MEC-000</x:v>
      </x:c>
      <x:c r="E1098" s="24" t="str">
        <x:f>IF(D1098="","",IFERROR(VLOOKUP(D1098,$A$2:$B$1656,2,FALSE),""))</x:f>
        <x:v>Game-Mechanical Archetypes</x:v>
      </x:c>
      <x:c r="F1098" s="24" t="n">
        <x:v>2</x:v>
      </x:c>
      <x:c r="G1098" s="24" t="str">
        <x:v>Encounter roles defined by damage, protection, healing, control, mobility, and target selection.</x:v>
      </x:c>
      <x:c r="H1098" s="24" t="str">
        <x:v>Mechanical role describes rules behavior; it does not by itself establish lore, profession, or personality.</x:v>
      </x:c>
      <x:c r="I1098" s="24" t="str"/>
      <x:c r="J1098" s="24" t="str">
        <x:v>Enables comparison among tabletop classes, tactical jobs, CRPG builds, JRPG roles, and MMO functions.</x:v>
      </x:c>
      <x:c r="K1098" s="24" t="str">
        <x:v>Combat Function Archetypes</x:v>
      </x:c>
      <x:c r="L1098" s="24" t="str">
        <x:v>Preserve each source's ontology, culture, history, and terminology when making comparisons.</x:v>
      </x:c>
      <x:c r="M1098" s="24" t="str">
        <x:v>Category</x:v>
      </x:c>
    </x:row>
    <x:row r="1099" ht="44" customHeight="1">
      <x:c r="A1099" s="24" t="str">
        <x:v>MEC-200</x:v>
      </x:c>
      <x:c r="B1099" s="24" t="str">
        <x:v>Resource and Casting Models</x:v>
      </x:c>
      <x:c r="C1099" s="24" t="str">
        <x:v>Game-Mechanical Archetypes</x:v>
      </x:c>
      <x:c r="D1099" s="24" t="str">
        <x:v>MEC-000</x:v>
      </x:c>
      <x:c r="E1099" s="24" t="str">
        <x:f>IF(D1099="","",IFERROR(VLOOKUP(D1099,$A$2:$B$1656,2,FALSE),""))</x:f>
        <x:v>Game-Mechanical Archetypes</x:v>
      </x:c>
      <x:c r="F1099" s="24" t="n">
        <x:v>2</x:v>
      </x:c>
      <x:c r="G1099" s="24" t="str">
        <x:v>How abilities are prepared, paid for, refreshed, risked, or sequenced.</x:v>
      </x:c>
      <x:c r="H1099" s="24" t="str">
        <x:v>Mechanical role describes rules behavior; it does not by itself establish lore, profession, or personality.</x:v>
      </x:c>
      <x:c r="I1099" s="24" t="str"/>
      <x:c r="J1099" s="24" t="str">
        <x:v>Enables comparison among tabletop classes, tactical jobs, CRPG builds, JRPG roles, and MMO functions.</x:v>
      </x:c>
      <x:c r="K1099" s="24" t="str">
        <x:v>Resource and Casting Models</x:v>
      </x:c>
      <x:c r="L1099" s="24" t="str">
        <x:v>Preserve each source's ontology, culture, history, and terminology when making comparisons.</x:v>
      </x:c>
      <x:c r="M1099" s="24" t="str">
        <x:v>Category</x:v>
      </x:c>
    </x:row>
    <x:row r="1100" ht="44" customHeight="1">
      <x:c r="A1100" s="24" t="str">
        <x:v>MEC-300</x:v>
      </x:c>
      <x:c r="B1100" s="24" t="str">
        <x:v>Progression and Build Models</x:v>
      </x:c>
      <x:c r="C1100" s="24" t="str">
        <x:v>Game-Mechanical Archetypes</x:v>
      </x:c>
      <x:c r="D1100" s="24" t="str">
        <x:v>MEC-000</x:v>
      </x:c>
      <x:c r="E1100" s="24" t="str">
        <x:f>IF(D1100="","",IFERROR(VLOOKUP(D1100,$A$2:$B$1656,2,FALSE),""))</x:f>
        <x:v>Game-Mechanical Archetypes</x:v>
      </x:c>
      <x:c r="F1100" s="24" t="n">
        <x:v>2</x:v>
      </x:c>
      <x:c r="G1100" s="24" t="str">
        <x:v>How characters gain, combine, switch, and specialize abilities over time.</x:v>
      </x:c>
      <x:c r="H1100" s="24" t="str">
        <x:v>Mechanical role describes rules behavior; it does not by itself establish lore, profession, or personality.</x:v>
      </x:c>
      <x:c r="I1100" s="24" t="str"/>
      <x:c r="J1100" s="24" t="str">
        <x:v>Enables comparison among tabletop classes, tactical jobs, CRPG builds, JRPG roles, and MMO functions.</x:v>
      </x:c>
      <x:c r="K1100" s="24" t="str">
        <x:v>Progression and Build Models</x:v>
      </x:c>
      <x:c r="L1100" s="24" t="str">
        <x:v>Preserve each source's ontology, culture, history, and terminology when making comparisons.</x:v>
      </x:c>
      <x:c r="M1100" s="24" t="str">
        <x:v>Category</x:v>
      </x:c>
    </x:row>
    <x:row r="1101" ht="44" customHeight="1">
      <x:c r="A1101" s="24" t="str">
        <x:v>MEC-400</x:v>
      </x:c>
      <x:c r="B1101" s="24" t="str">
        <x:v>Unit and Encounter Models</x:v>
      </x:c>
      <x:c r="C1101" s="24" t="str">
        <x:v>Game-Mechanical Archetypes</x:v>
      </x:c>
      <x:c r="D1101" s="24" t="str">
        <x:v>MEC-000</x:v>
      </x:c>
      <x:c r="E1101" s="24" t="str">
        <x:f>IF(D1101="","",IFERROR(VLOOKUP(D1101,$A$2:$B$1656,2,FALSE),""))</x:f>
        <x:v>Game-Mechanical Archetypes</x:v>
      </x:c>
      <x:c r="F1101" s="24" t="n">
        <x:v>2</x:v>
      </x:c>
      <x:c r="G1101" s="24" t="str">
        <x:v>Roles defined by party structure, companions, monsters, bosses, crafting, or noncombat play.</x:v>
      </x:c>
      <x:c r="H1101" s="24" t="str">
        <x:v>Mechanical role describes rules behavior; it does not by itself establish lore, profession, or personality.</x:v>
      </x:c>
      <x:c r="I1101" s="24" t="str"/>
      <x:c r="J1101" s="24" t="str">
        <x:v>Enables comparison among tabletop classes, tactical jobs, CRPG builds, JRPG roles, and MMO functions.</x:v>
      </x:c>
      <x:c r="K1101" s="24" t="str">
        <x:v>Unit and Encounter Models</x:v>
      </x:c>
      <x:c r="L1101" s="24" t="str">
        <x:v>Preserve each source's ontology, culture, history, and terminology when making comparisons.</x:v>
      </x:c>
      <x:c r="M1101" s="24" t="str">
        <x:v>Category</x:v>
      </x:c>
    </x:row>
    <x:row r="1102" ht="44" customHeight="1">
      <x:c r="A1102" s="24" t="str">
        <x:v>MEC-101</x:v>
      </x:c>
      <x:c r="B1102" s="24" t="str">
        <x:v>Tank</x:v>
      </x:c>
      <x:c r="C1102" s="24" t="str">
        <x:v>Game-Mechanical Archetypes</x:v>
      </x:c>
      <x:c r="D1102" s="24" t="str">
        <x:v>MEC-100</x:v>
      </x:c>
      <x:c r="E1102" s="24" t="str">
        <x:f>IF(D1102="","",IFERROR(VLOOKUP(D1102,$A$2:$B$1656,2,FALSE),""))</x:f>
        <x:v>Combat Function Archetypes</x:v>
      </x:c>
      <x:c r="F1102" s="24" t="n">
        <x:v>3</x:v>
      </x:c>
      <x:c r="G1102" s="24" t="str">
        <x:v>Role designed to absorb damage, maintain enemy attention, and protect more vulnerable allies.</x:v>
      </x:c>
      <x:c r="H1102" s="24" t="str">
        <x:v>Record system, edition, encounter assumptions, and party size before comparing balance.</x:v>
      </x:c>
      <x:c r="I1102" s="24" t="str">
        <x:v>tank; defender; frontliner</x:v>
      </x:c>
      <x:c r="J1102" s="24" t="str">
        <x:v>Defines party contribution, encounter behavior, targeting, survivability, and tactical niche.</x:v>
      </x:c>
      <x:c r="K1102" s="24" t="str">
        <x:v>tank; defender; frontliner</x:v>
      </x:c>
      <x:c r="L1102" s="24" t="str">
        <x:v>Preserve each source's ontology, culture, history, and terminology when making comparisons.</x:v>
      </x:c>
      <x:c r="M1102" s="24" t="str">
        <x:v>Core Family</x:v>
      </x:c>
    </x:row>
    <x:row r="1103" ht="44" customHeight="1">
      <x:c r="A1103" s="24" t="str">
        <x:v>MEC-102</x:v>
      </x:c>
      <x:c r="B1103" s="24" t="str">
        <x:v>Main Tank</x:v>
      </x:c>
      <x:c r="C1103" s="24" t="str">
        <x:v>Game-Mechanical Archetypes</x:v>
      </x:c>
      <x:c r="D1103" s="24" t="str">
        <x:v>MEC-100</x:v>
      </x:c>
      <x:c r="E1103" s="24" t="str">
        <x:f>IF(D1103="","",IFERROR(VLOOKUP(D1103,$A$2:$B$1656,2,FALSE),""))</x:f>
        <x:v>Combat Function Archetypes</x:v>
      </x:c>
      <x:c r="F1103" s="24" t="n">
        <x:v>3</x:v>
      </x:c>
      <x:c r="G1103" s="24" t="str">
        <x:v>Primary durable character expected to hold bosses or major enemies continuously.</x:v>
      </x:c>
      <x:c r="H1103" s="24" t="str">
        <x:v>Record system, edition, encounter assumptions, and party size before comparing balance.</x:v>
      </x:c>
      <x:c r="I1103" s="24" t="str">
        <x:v>main tank; primary defender</x:v>
      </x:c>
      <x:c r="J1103" s="24" t="str">
        <x:v>Defines party contribution, encounter behavior, targeting, survivability, and tactical niche.</x:v>
      </x:c>
      <x:c r="K1103" s="24" t="str">
        <x:v>main tank; primary defender</x:v>
      </x:c>
      <x:c r="L1103" s="24" t="str">
        <x:v>Preserve each source's ontology, culture, history, and terminology when making comparisons.</x:v>
      </x:c>
      <x:c r="M1103" s="24" t="str">
        <x:v>Core Family</x:v>
      </x:c>
    </x:row>
    <x:row r="1104" ht="44" customHeight="1">
      <x:c r="A1104" s="24" t="str">
        <x:v>MEC-103</x:v>
      </x:c>
      <x:c r="B1104" s="24" t="str">
        <x:v>Off-Tank</x:v>
      </x:c>
      <x:c r="C1104" s="24" t="str">
        <x:v>Game-Mechanical Archetypes</x:v>
      </x:c>
      <x:c r="D1104" s="24" t="str">
        <x:v>MEC-100</x:v>
      </x:c>
      <x:c r="E1104" s="24" t="str">
        <x:f>IF(D1104="","",IFERROR(VLOOKUP(D1104,$A$2:$B$1656,2,FALSE),""))</x:f>
        <x:v>Combat Function Archetypes</x:v>
      </x:c>
      <x:c r="F1104" s="24" t="n">
        <x:v>3</x:v>
      </x:c>
      <x:c r="G1104" s="24" t="str">
        <x:v>Secondary defender who handles adds, swaps, support, or temporary tanking.</x:v>
      </x:c>
      <x:c r="H1104" s="24" t="str">
        <x:v>Record system, edition, encounter assumptions, and party size before comparing balance.</x:v>
      </x:c>
      <x:c r="I1104" s="24" t="str">
        <x:v>off-tank; secondary tank</x:v>
      </x:c>
      <x:c r="J1104" s="24" t="str">
        <x:v>Defines party contribution, encounter behavior, targeting, survivability, and tactical niche.</x:v>
      </x:c>
      <x:c r="K1104" s="24" t="str">
        <x:v>off-tank; secondary tank</x:v>
      </x:c>
      <x:c r="L1104" s="24" t="str">
        <x:v>Preserve each source's ontology, culture, history, and terminology when making comparisons.</x:v>
      </x:c>
      <x:c r="M1104" s="24" t="str">
        <x:v>Core Family</x:v>
      </x:c>
    </x:row>
    <x:row r="1105" ht="44" customHeight="1">
      <x:c r="A1105" s="24" t="str">
        <x:v>MEC-104</x:v>
      </x:c>
      <x:c r="B1105" s="24" t="str">
        <x:v>Bruiser</x:v>
      </x:c>
      <x:c r="C1105" s="24" t="str">
        <x:v>Game-Mechanical Archetypes</x:v>
      </x:c>
      <x:c r="D1105" s="24" t="str">
        <x:v>MEC-100</x:v>
      </x:c>
      <x:c r="E1105" s="24" t="str">
        <x:f>IF(D1105="","",IFERROR(VLOOKUP(D1105,$A$2:$B$1656,2,FALSE),""))</x:f>
        <x:v>Combat Function Archetypes</x:v>
      </x:c>
      <x:c r="F1105" s="24" t="n">
        <x:v>3</x:v>
      </x:c>
      <x:c r="G1105" s="24" t="str">
        <x:v>Durable damage dealer balancing survivability and pressure without full tank specialization.</x:v>
      </x:c>
      <x:c r="H1105" s="24" t="str">
        <x:v>Record system, edition, encounter assumptions, and party size before comparing balance.</x:v>
      </x:c>
      <x:c r="I1105" s="24" t="str">
        <x:v>bruiser; juggernaut; brawler</x:v>
      </x:c>
      <x:c r="J1105" s="24" t="str">
        <x:v>Defines party contribution, encounter behavior, targeting, survivability, and tactical niche.</x:v>
      </x:c>
      <x:c r="K1105" s="24" t="str">
        <x:v>bruiser; juggernaut; brawler</x:v>
      </x:c>
      <x:c r="L1105" s="24" t="str">
        <x:v>Preserve each source's ontology, culture, history, and terminology when making comparisons.</x:v>
      </x:c>
      <x:c r="M1105" s="24" t="str">
        <x:v>Core Family</x:v>
      </x:c>
    </x:row>
    <x:row r="1106" ht="44" customHeight="1">
      <x:c r="A1106" s="24" t="str">
        <x:v>MEC-105</x:v>
      </x:c>
      <x:c r="B1106" s="24" t="str">
        <x:v>Melee Striker</x:v>
      </x:c>
      <x:c r="C1106" s="24" t="str">
        <x:v>Game-Mechanical Archetypes</x:v>
      </x:c>
      <x:c r="D1106" s="24" t="str">
        <x:v>MEC-100</x:v>
      </x:c>
      <x:c r="E1106" s="24" t="str">
        <x:f>IF(D1106="","",IFERROR(VLOOKUP(D1106,$A$2:$B$1656,2,FALSE),""))</x:f>
        <x:v>Combat Function Archetypes</x:v>
      </x:c>
      <x:c r="F1106" s="24" t="n">
        <x:v>3</x:v>
      </x:c>
      <x:c r="G1106" s="24" t="str">
        <x:v>High-damage role operating at close range and often relying on positioning or mobility.</x:v>
      </x:c>
      <x:c r="H1106" s="24" t="str">
        <x:v>Record system, edition, encounter assumptions, and party size before comparing balance.</x:v>
      </x:c>
      <x:c r="I1106" s="24" t="str">
        <x:v>melee DPS; striker; assassin</x:v>
      </x:c>
      <x:c r="J1106" s="24" t="str">
        <x:v>Defines party contribution, encounter behavior, targeting, survivability, and tactical niche.</x:v>
      </x:c>
      <x:c r="K1106" s="24" t="str">
        <x:v>melee DPS; striker; assassin</x:v>
      </x:c>
      <x:c r="L1106" s="24" t="str">
        <x:v>Preserve each source's ontology, culture, history, and terminology when making comparisons.</x:v>
      </x:c>
      <x:c r="M1106" s="24" t="str">
        <x:v>Core Family</x:v>
      </x:c>
    </x:row>
    <x:row r="1107" ht="44" customHeight="1">
      <x:c r="A1107" s="24" t="str">
        <x:v>MEC-106</x:v>
      </x:c>
      <x:c r="B1107" s="24" t="str">
        <x:v>Ranged Striker</x:v>
      </x:c>
      <x:c r="C1107" s="24" t="str">
        <x:v>Game-Mechanical Archetypes</x:v>
      </x:c>
      <x:c r="D1107" s="24" t="str">
        <x:v>MEC-100</x:v>
      </x:c>
      <x:c r="E1107" s="24" t="str">
        <x:f>IF(D1107="","",IFERROR(VLOOKUP(D1107,$A$2:$B$1656,2,FALSE),""))</x:f>
        <x:v>Combat Function Archetypes</x:v>
      </x:c>
      <x:c r="F1107" s="24" t="n">
        <x:v>3</x:v>
      </x:c>
      <x:c r="G1107" s="24" t="str">
        <x:v>Damage role attacking from distance through bows, guns, spells, or projectiles.</x:v>
      </x:c>
      <x:c r="H1107" s="24" t="str">
        <x:v>Record system, edition, encounter assumptions, and party size before comparing balance.</x:v>
      </x:c>
      <x:c r="I1107" s="24" t="str">
        <x:v>ranged DPS; marksman; artillery</x:v>
      </x:c>
      <x:c r="J1107" s="24" t="str">
        <x:v>Defines party contribution, encounter behavior, targeting, survivability, and tactical niche.</x:v>
      </x:c>
      <x:c r="K1107" s="24" t="str">
        <x:v>ranged DPS; marksman; artillery</x:v>
      </x:c>
      <x:c r="L1107" s="24" t="str">
        <x:v>Preserve each source's ontology, culture, history, and terminology when making comparisons.</x:v>
      </x:c>
      <x:c r="M1107" s="24" t="str">
        <x:v>Core Family</x:v>
      </x:c>
    </x:row>
    <x:row r="1108" ht="44" customHeight="1">
      <x:c r="A1108" s="24" t="str">
        <x:v>MEC-107</x:v>
      </x:c>
      <x:c r="B1108" s="24" t="str">
        <x:v>Burst Damage</x:v>
      </x:c>
      <x:c r="C1108" s="24" t="str">
        <x:v>Game-Mechanical Archetypes</x:v>
      </x:c>
      <x:c r="D1108" s="24" t="str">
        <x:v>MEC-100</x:v>
      </x:c>
      <x:c r="E1108" s="24" t="str">
        <x:f>IF(D1108="","",IFERROR(VLOOKUP(D1108,$A$2:$B$1656,2,FALSE),""))</x:f>
        <x:v>Combat Function Archetypes</x:v>
      </x:c>
      <x:c r="F1108" s="24" t="n">
        <x:v>3</x:v>
      </x:c>
      <x:c r="G1108" s="24" t="str">
        <x:v>Role or build optimized for short windows of exceptionally high output.</x:v>
      </x:c>
      <x:c r="H1108" s="24" t="str">
        <x:v>Record system, edition, encounter assumptions, and party size before comparing balance.</x:v>
      </x:c>
      <x:c r="I1108" s="24" t="str">
        <x:v>burst DPS; nova; execution</x:v>
      </x:c>
      <x:c r="J1108" s="24" t="str">
        <x:v>Defines party contribution, encounter behavior, targeting, survivability, and tactical niche.</x:v>
      </x:c>
      <x:c r="K1108" s="24" t="str">
        <x:v>burst DPS; nova; execution</x:v>
      </x:c>
      <x:c r="L1108" s="24" t="str">
        <x:v>Preserve each source's ontology, culture, history, and terminology when making comparisons.</x:v>
      </x:c>
      <x:c r="M1108" s="24" t="str">
        <x:v>Core Family</x:v>
      </x:c>
    </x:row>
    <x:row r="1109" ht="44" customHeight="1">
      <x:c r="A1109" s="24" t="str">
        <x:v>MEC-108</x:v>
      </x:c>
      <x:c r="B1109" s="24" t="str">
        <x:v>Sustained Damage</x:v>
      </x:c>
      <x:c r="C1109" s="24" t="str">
        <x:v>Game-Mechanical Archetypes</x:v>
      </x:c>
      <x:c r="D1109" s="24" t="str">
        <x:v>MEC-100</x:v>
      </x:c>
      <x:c r="E1109" s="24" t="str">
        <x:f>IF(D1109="","",IFERROR(VLOOKUP(D1109,$A$2:$B$1656,2,FALSE),""))</x:f>
        <x:v>Combat Function Archetypes</x:v>
      </x:c>
      <x:c r="F1109" s="24" t="n">
        <x:v>3</x:v>
      </x:c>
      <x:c r="G1109" s="24" t="str">
        <x:v>Role or build optimized for consistent output over extended encounters.</x:v>
      </x:c>
      <x:c r="H1109" s="24" t="str">
        <x:v>Record system, edition, encounter assumptions, and party size before comparing balance.</x:v>
      </x:c>
      <x:c r="I1109" s="24" t="str">
        <x:v>sustained DPS; damage over time; attrition</x:v>
      </x:c>
      <x:c r="J1109" s="24" t="str">
        <x:v>Defines party contribution, encounter behavior, targeting, survivability, and tactical niche.</x:v>
      </x:c>
      <x:c r="K1109" s="24" t="str">
        <x:v>sustained DPS; damage over time; attrition</x:v>
      </x:c>
      <x:c r="L1109" s="24" t="str">
        <x:v>Preserve each source's ontology, culture, history, and terminology when making comparisons.</x:v>
      </x:c>
      <x:c r="M1109" s="24" t="str">
        <x:v>Core Family</x:v>
      </x:c>
    </x:row>
    <x:row r="1110" ht="44" customHeight="1">
      <x:c r="A1110" s="24" t="str">
        <x:v>MEC-109</x:v>
      </x:c>
      <x:c r="B1110" s="24" t="str">
        <x:v>Area-of-Effect Damage</x:v>
      </x:c>
      <x:c r="C1110" s="24" t="str">
        <x:v>Game-Mechanical Archetypes</x:v>
      </x:c>
      <x:c r="D1110" s="24" t="str">
        <x:v>MEC-100</x:v>
      </x:c>
      <x:c r="E1110" s="24" t="str">
        <x:f>IF(D1110="","",IFERROR(VLOOKUP(D1110,$A$2:$B$1656,2,FALSE),""))</x:f>
        <x:v>Combat Function Archetypes</x:v>
      </x:c>
      <x:c r="F1110" s="24" t="n">
        <x:v>3</x:v>
      </x:c>
      <x:c r="G1110" s="24" t="str">
        <x:v>Role specializing in damaging many targets or controlling zones.</x:v>
      </x:c>
      <x:c r="H1110" s="24" t="str">
        <x:v>Record system, edition, encounter assumptions, and party size before comparing balance.</x:v>
      </x:c>
      <x:c r="I1110" s="24" t="str">
        <x:v>AoE; cleave; blaster</x:v>
      </x:c>
      <x:c r="J1110" s="24" t="str">
        <x:v>Defines party contribution, encounter behavior, targeting, survivability, and tactical niche.</x:v>
      </x:c>
      <x:c r="K1110" s="24" t="str">
        <x:v>AoE; cleave; blaster</x:v>
      </x:c>
      <x:c r="L1110" s="24" t="str">
        <x:v>Preserve each source's ontology, culture, history, and terminology when making comparisons.</x:v>
      </x:c>
      <x:c r="M1110" s="24" t="str">
        <x:v>Core Family</x:v>
      </x:c>
    </x:row>
    <x:row r="1111" ht="44" customHeight="1">
      <x:c r="A1111" s="24" t="str">
        <x:v>MEC-110</x:v>
      </x:c>
      <x:c r="B1111" s="24" t="str">
        <x:v>Single-Target Damage</x:v>
      </x:c>
      <x:c r="C1111" s="24" t="str">
        <x:v>Game-Mechanical Archetypes</x:v>
      </x:c>
      <x:c r="D1111" s="24" t="str">
        <x:v>MEC-100</x:v>
      </x:c>
      <x:c r="E1111" s="24" t="str">
        <x:f>IF(D1111="","",IFERROR(VLOOKUP(D1111,$A$2:$B$1656,2,FALSE),""))</x:f>
        <x:v>Combat Function Archetypes</x:v>
      </x:c>
      <x:c r="F1111" s="24" t="n">
        <x:v>3</x:v>
      </x:c>
      <x:c r="G1111" s="24" t="str">
        <x:v>Role specializing in concentrated damage against one priority target.</x:v>
      </x:c>
      <x:c r="H1111" s="24" t="str">
        <x:v>Record system, edition, encounter assumptions, and party size before comparing balance.</x:v>
      </x:c>
      <x:c r="I1111" s="24" t="str">
        <x:v>boss killer; duelist; sniper</x:v>
      </x:c>
      <x:c r="J1111" s="24" t="str">
        <x:v>Defines party contribution, encounter behavior, targeting, survivability, and tactical niche.</x:v>
      </x:c>
      <x:c r="K1111" s="24" t="str">
        <x:v>boss killer; duelist; sniper</x:v>
      </x:c>
      <x:c r="L1111" s="24" t="str">
        <x:v>Preserve each source's ontology, culture, history, and terminology when making comparisons.</x:v>
      </x:c>
      <x:c r="M1111" s="24" t="str">
        <x:v>Core Family</x:v>
      </x:c>
    </x:row>
    <x:row r="1112" ht="44" customHeight="1">
      <x:c r="A1112" s="24" t="str">
        <x:v>MEC-111</x:v>
      </x:c>
      <x:c r="B1112" s="24" t="str">
        <x:v>Damage-over-Time Specialist</x:v>
      </x:c>
      <x:c r="C1112" s="24" t="str">
        <x:v>Game-Mechanical Archetypes</x:v>
      </x:c>
      <x:c r="D1112" s="24" t="str">
        <x:v>MEC-100</x:v>
      </x:c>
      <x:c r="E1112" s="24" t="str">
        <x:f>IF(D1112="","",IFERROR(VLOOKUP(D1112,$A$2:$B$1656,2,FALSE),""))</x:f>
        <x:v>Combat Function Archetypes</x:v>
      </x:c>
      <x:c r="F1112" s="24" t="n">
        <x:v>3</x:v>
      </x:c>
      <x:c r="G1112" s="24" t="str">
        <x:v>Role applying persistent effects that accumulate or spread over time.</x:v>
      </x:c>
      <x:c r="H1112" s="24" t="str">
        <x:v>Record system, edition, encounter assumptions, and party size before comparing balance.</x:v>
      </x:c>
      <x:c r="I1112" s="24" t="str">
        <x:v>DoT class; poisoner; curse damage</x:v>
      </x:c>
      <x:c r="J1112" s="24" t="str">
        <x:v>Defines party contribution, encounter behavior, targeting, survivability, and tactical niche.</x:v>
      </x:c>
      <x:c r="K1112" s="24" t="str">
        <x:v>DoT class; poisoner; curse damage</x:v>
      </x:c>
      <x:c r="L1112" s="24" t="str">
        <x:v>Preserve each source's ontology, culture, history, and terminology when making comparisons.</x:v>
      </x:c>
      <x:c r="M1112" s="24" t="str">
        <x:v>Core Family</x:v>
      </x:c>
    </x:row>
    <x:row r="1113" ht="44" customHeight="1">
      <x:c r="A1113" s="24" t="str">
        <x:v>MEC-112</x:v>
      </x:c>
      <x:c r="B1113" s="24" t="str">
        <x:v>Healer</x:v>
      </x:c>
      <x:c r="C1113" s="24" t="str">
        <x:v>Game-Mechanical Archetypes</x:v>
      </x:c>
      <x:c r="D1113" s="24" t="str">
        <x:v>MEC-100</x:v>
      </x:c>
      <x:c r="E1113" s="24" t="str">
        <x:f>IF(D1113="","",IFERROR(VLOOKUP(D1113,$A$2:$B$1656,2,FALSE),""))</x:f>
        <x:v>Combat Function Archetypes</x:v>
      </x:c>
      <x:c r="F1113" s="24" t="n">
        <x:v>3</x:v>
      </x:c>
      <x:c r="G1113" s="24" t="str">
        <x:v>Role restoring health, removing conditions, and preventing defeat.</x:v>
      </x:c>
      <x:c r="H1113" s="24" t="str">
        <x:v>Record system, edition, encounter assumptions, and party size before comparing balance.</x:v>
      </x:c>
      <x:c r="I1113" s="24" t="str">
        <x:v>healer; medic; restoration</x:v>
      </x:c>
      <x:c r="J1113" s="24" t="str">
        <x:v>Defines party contribution, encounter behavior, targeting, survivability, and tactical niche.</x:v>
      </x:c>
      <x:c r="K1113" s="24" t="str">
        <x:v>healer; medic; restoration</x:v>
      </x:c>
      <x:c r="L1113" s="24" t="str">
        <x:v>Preserve each source's ontology, culture, history, and terminology when making comparisons.</x:v>
      </x:c>
      <x:c r="M1113" s="24" t="str">
        <x:v>Core Family</x:v>
      </x:c>
    </x:row>
    <x:row r="1114" ht="44" customHeight="1">
      <x:c r="A1114" s="24" t="str">
        <x:v>MEC-113</x:v>
      </x:c>
      <x:c r="B1114" s="24" t="str">
        <x:v>Burst Healer</x:v>
      </x:c>
      <x:c r="C1114" s="24" t="str">
        <x:v>Game-Mechanical Archetypes</x:v>
      </x:c>
      <x:c r="D1114" s="24" t="str">
        <x:v>MEC-100</x:v>
      </x:c>
      <x:c r="E1114" s="24" t="str">
        <x:f>IF(D1114="","",IFERROR(VLOOKUP(D1114,$A$2:$B$1656,2,FALSE),""))</x:f>
        <x:v>Combat Function Archetypes</x:v>
      </x:c>
      <x:c r="F1114" s="24" t="n">
        <x:v>3</x:v>
      </x:c>
      <x:c r="G1114" s="24" t="str">
        <x:v>Healer specializing in rapid recovery after sudden damage.</x:v>
      </x:c>
      <x:c r="H1114" s="24" t="str">
        <x:v>Record system, edition, encounter assumptions, and party size before comparing balance.</x:v>
      </x:c>
      <x:c r="I1114" s="24" t="str">
        <x:v>burst healing; direct healer</x:v>
      </x:c>
      <x:c r="J1114" s="24" t="str">
        <x:v>Defines party contribution, encounter behavior, targeting, survivability, and tactical niche.</x:v>
      </x:c>
      <x:c r="K1114" s="24" t="str">
        <x:v>burst healing; direct healer</x:v>
      </x:c>
      <x:c r="L1114" s="24" t="str">
        <x:v>Preserve each source's ontology, culture, history, and terminology when making comparisons.</x:v>
      </x:c>
      <x:c r="M1114" s="24" t="str">
        <x:v>Core Family</x:v>
      </x:c>
    </x:row>
    <x:row r="1115" ht="44" customHeight="1">
      <x:c r="A1115" s="24" t="str">
        <x:v>MEC-114</x:v>
      </x:c>
      <x:c r="B1115" s="24" t="str">
        <x:v>Sustain Healer</x:v>
      </x:c>
      <x:c r="C1115" s="24" t="str">
        <x:v>Game-Mechanical Archetypes</x:v>
      </x:c>
      <x:c r="D1115" s="24" t="str">
        <x:v>MEC-100</x:v>
      </x:c>
      <x:c r="E1115" s="24" t="str">
        <x:f>IF(D1115="","",IFERROR(VLOOKUP(D1115,$A$2:$B$1656,2,FALSE),""))</x:f>
        <x:v>Combat Function Archetypes</x:v>
      </x:c>
      <x:c r="F1115" s="24" t="n">
        <x:v>3</x:v>
      </x:c>
      <x:c r="G1115" s="24" t="str">
        <x:v>Healer specializing in regeneration, efficiency, and long encounters.</x:v>
      </x:c>
      <x:c r="H1115" s="24" t="str">
        <x:v>Record system, edition, encounter assumptions, and party size before comparing balance.</x:v>
      </x:c>
      <x:c r="I1115" s="24" t="str">
        <x:v>heal-over-time; sustain healer</x:v>
      </x:c>
      <x:c r="J1115" s="24" t="str">
        <x:v>Defines party contribution, encounter behavior, targeting, survivability, and tactical niche.</x:v>
      </x:c>
      <x:c r="K1115" s="24" t="str">
        <x:v>heal-over-time; sustain healer</x:v>
      </x:c>
      <x:c r="L1115" s="24" t="str">
        <x:v>Preserve each source's ontology, culture, history, and terminology when making comparisons.</x:v>
      </x:c>
      <x:c r="M1115" s="24" t="str">
        <x:v>Core Family</x:v>
      </x:c>
    </x:row>
    <x:row r="1116" ht="44" customHeight="1">
      <x:c r="A1116" s="24" t="str">
        <x:v>MEC-115</x:v>
      </x:c>
      <x:c r="B1116" s="24" t="str">
        <x:v>Barrier or Shield Healer</x:v>
      </x:c>
      <x:c r="C1116" s="24" t="str">
        <x:v>Game-Mechanical Archetypes</x:v>
      </x:c>
      <x:c r="D1116" s="24" t="str">
        <x:v>MEC-100</x:v>
      </x:c>
      <x:c r="E1116" s="24" t="str">
        <x:f>IF(D1116="","",IFERROR(VLOOKUP(D1116,$A$2:$B$1656,2,FALSE),""))</x:f>
        <x:v>Combat Function Archetypes</x:v>
      </x:c>
      <x:c r="F1116" s="24" t="n">
        <x:v>3</x:v>
      </x:c>
      <x:c r="G1116" s="24" t="str">
        <x:v>Support role preventing damage through wards, shields, and predictive mitigation.</x:v>
      </x:c>
      <x:c r="H1116" s="24" t="str">
        <x:v>Record system, edition, encounter assumptions, and party size before comparing balance.</x:v>
      </x:c>
      <x:c r="I1116" s="24" t="str">
        <x:v>barrier healer; shield support</x:v>
      </x:c>
      <x:c r="J1116" s="24" t="str">
        <x:v>Defines party contribution, encounter behavior, targeting, survivability, and tactical niche.</x:v>
      </x:c>
      <x:c r="K1116" s="24" t="str">
        <x:v>barrier healer; shield support</x:v>
      </x:c>
      <x:c r="L1116" s="24" t="str">
        <x:v>Preserve each source's ontology, culture, history, and terminology when making comparisons.</x:v>
      </x:c>
      <x:c r="M1116" s="24" t="str">
        <x:v>Core Family</x:v>
      </x:c>
    </x:row>
    <x:row r="1117" ht="44" customHeight="1">
      <x:c r="A1117" s="24" t="str">
        <x:v>MEC-116</x:v>
      </x:c>
      <x:c r="B1117" s="24" t="str">
        <x:v>Buffer</x:v>
      </x:c>
      <x:c r="C1117" s="24" t="str">
        <x:v>Game-Mechanical Archetypes</x:v>
      </x:c>
      <x:c r="D1117" s="24" t="str">
        <x:v>MEC-100</x:v>
      </x:c>
      <x:c r="E1117" s="24" t="str">
        <x:f>IF(D1117="","",IFERROR(VLOOKUP(D1117,$A$2:$B$1656,2,FALSE),""))</x:f>
        <x:v>Combat Function Archetypes</x:v>
      </x:c>
      <x:c r="F1117" s="24" t="n">
        <x:v>3</x:v>
      </x:c>
      <x:c r="G1117" s="24" t="str">
        <x:v>Role increasing allies' damage, defense, speed, accuracy, resource gain, or other capabilities.</x:v>
      </x:c>
      <x:c r="H1117" s="24" t="str">
        <x:v>Record system, edition, encounter assumptions, and party size before comparing balance.</x:v>
      </x:c>
      <x:c r="I1117" s="24" t="str">
        <x:v>buffer; enhancer; support</x:v>
      </x:c>
      <x:c r="J1117" s="24" t="str">
        <x:v>Defines party contribution, encounter behavior, targeting, survivability, and tactical niche.</x:v>
      </x:c>
      <x:c r="K1117" s="24" t="str">
        <x:v>buffer; enhancer; support</x:v>
      </x:c>
      <x:c r="L1117" s="24" t="str">
        <x:v>Preserve each source's ontology, culture, history, and terminology when making comparisons.</x:v>
      </x:c>
      <x:c r="M1117" s="24" t="str">
        <x:v>Core Family</x:v>
      </x:c>
    </x:row>
    <x:row r="1118" ht="44" customHeight="1">
      <x:c r="A1118" s="24" t="str">
        <x:v>MEC-117</x:v>
      </x:c>
      <x:c r="B1118" s="24" t="str">
        <x:v>Debuffer</x:v>
      </x:c>
      <x:c r="C1118" s="24" t="str">
        <x:v>Game-Mechanical Archetypes</x:v>
      </x:c>
      <x:c r="D1118" s="24" t="str">
        <x:v>MEC-100</x:v>
      </x:c>
      <x:c r="E1118" s="24" t="str">
        <x:f>IF(D1118="","",IFERROR(VLOOKUP(D1118,$A$2:$B$1656,2,FALSE),""))</x:f>
        <x:v>Combat Function Archetypes</x:v>
      </x:c>
      <x:c r="F1118" s="24" t="n">
        <x:v>3</x:v>
      </x:c>
      <x:c r="G1118" s="24" t="str">
        <x:v>Role weakening enemies through status conditions, vulnerability, slow, silence, or reduced attributes.</x:v>
      </x:c>
      <x:c r="H1118" s="24" t="str">
        <x:v>Record system, edition, encounter assumptions, and party size before comparing balance.</x:v>
      </x:c>
      <x:c r="I1118" s="24" t="str">
        <x:v>debuffer; hexer; status specialist</x:v>
      </x:c>
      <x:c r="J1118" s="24" t="str">
        <x:v>Defines party contribution, encounter behavior, targeting, survivability, and tactical niche.</x:v>
      </x:c>
      <x:c r="K1118" s="24" t="str">
        <x:v>debuffer; hexer; status specialist</x:v>
      </x:c>
      <x:c r="L1118" s="24" t="str">
        <x:v>Preserve each source's ontology, culture, history, and terminology when making comparisons.</x:v>
      </x:c>
      <x:c r="M1118" s="24" t="str">
        <x:v>Core Family</x:v>
      </x:c>
    </x:row>
    <x:row r="1119" ht="44" customHeight="1">
      <x:c r="A1119" s="24" t="str">
        <x:v>MEC-118</x:v>
      </x:c>
      <x:c r="B1119" s="24" t="str">
        <x:v>Controller</x:v>
      </x:c>
      <x:c r="C1119" s="24" t="str">
        <x:v>Game-Mechanical Archetypes</x:v>
      </x:c>
      <x:c r="D1119" s="24" t="str">
        <x:v>MEC-100</x:v>
      </x:c>
      <x:c r="E1119" s="24" t="str">
        <x:f>IF(D1119="","",IFERROR(VLOOKUP(D1119,$A$2:$B$1656,2,FALSE),""))</x:f>
        <x:v>Combat Function Archetypes</x:v>
      </x:c>
      <x:c r="F1119" s="24" t="n">
        <x:v>3</x:v>
      </x:c>
      <x:c r="G1119" s="24" t="str">
        <x:v>Role shaping enemy options, movement, actions, zones, and encounter tempo.</x:v>
      </x:c>
      <x:c r="H1119" s="24" t="str">
        <x:v>Record system, edition, encounter assumptions, and party size before comparing balance.</x:v>
      </x:c>
      <x:c r="I1119" s="24" t="str">
        <x:v>controller; battlefield control; lockdown</x:v>
      </x:c>
      <x:c r="J1119" s="24" t="str">
        <x:v>Defines party contribution, encounter behavior, targeting, survivability, and tactical niche.</x:v>
      </x:c>
      <x:c r="K1119" s="24" t="str">
        <x:v>controller; battlefield control; lockdown</x:v>
      </x:c>
      <x:c r="L1119" s="24" t="str">
        <x:v>Preserve each source's ontology, culture, history, and terminology when making comparisons.</x:v>
      </x:c>
      <x:c r="M1119" s="24" t="str">
        <x:v>Core Family</x:v>
      </x:c>
    </x:row>
    <x:row r="1120" ht="44" customHeight="1">
      <x:c r="A1120" s="24" t="str">
        <x:v>MEC-119</x:v>
      </x:c>
      <x:c r="B1120" s="24" t="str">
        <x:v>Crowd-Control Specialist</x:v>
      </x:c>
      <x:c r="C1120" s="24" t="str">
        <x:v>Game-Mechanical Archetypes</x:v>
      </x:c>
      <x:c r="D1120" s="24" t="str">
        <x:v>MEC-100</x:v>
      </x:c>
      <x:c r="E1120" s="24" t="str">
        <x:f>IF(D1120="","",IFERROR(VLOOKUP(D1120,$A$2:$B$1656,2,FALSE),""))</x:f>
        <x:v>Combat Function Archetypes</x:v>
      </x:c>
      <x:c r="F1120" s="24" t="n">
        <x:v>3</x:v>
      </x:c>
      <x:c r="G1120" s="24" t="str">
        <x:v>Role disabling or displacing multiple enemies through stun, sleep, fear, roots, and similar effects.</x:v>
      </x:c>
      <x:c r="H1120" s="24" t="str">
        <x:v>Record system, edition, encounter assumptions, and party size before comparing balance.</x:v>
      </x:c>
      <x:c r="I1120" s="24" t="str">
        <x:v>CC; mesmerist; crowd controller</x:v>
      </x:c>
      <x:c r="J1120" s="24" t="str">
        <x:v>Defines party contribution, encounter behavior, targeting, survivability, and tactical niche.</x:v>
      </x:c>
      <x:c r="K1120" s="24" t="str">
        <x:v>CC; mesmerist; crowd controller</x:v>
      </x:c>
      <x:c r="L1120" s="24" t="str">
        <x:v>Preserve each source's ontology, culture, history, and terminology when making comparisons.</x:v>
      </x:c>
      <x:c r="M1120" s="24" t="str">
        <x:v>Core Family</x:v>
      </x:c>
    </x:row>
    <x:row r="1121" ht="44" customHeight="1">
      <x:c r="A1121" s="24" t="str">
        <x:v>MEC-120</x:v>
      </x:c>
      <x:c r="B1121" s="24" t="str">
        <x:v>Skirmisher</x:v>
      </x:c>
      <x:c r="C1121" s="24" t="str">
        <x:v>Game-Mechanical Archetypes</x:v>
      </x:c>
      <x:c r="D1121" s="24" t="str">
        <x:v>MEC-100</x:v>
      </x:c>
      <x:c r="E1121" s="24" t="str">
        <x:f>IF(D1121="","",IFERROR(VLOOKUP(D1121,$A$2:$B$1656,2,FALSE),""))</x:f>
        <x:v>Combat Function Archetypes</x:v>
      </x:c>
      <x:c r="F1121" s="24" t="n">
        <x:v>3</x:v>
      </x:c>
      <x:c r="G1121" s="24" t="str">
        <x:v>Mobile role that enters and exits danger, exploits flanks, and avoids sustained contact.</x:v>
      </x:c>
      <x:c r="H1121" s="24" t="str">
        <x:v>Record system, edition, encounter assumptions, and party size before comparing balance.</x:v>
      </x:c>
      <x:c r="I1121" s="24" t="str">
        <x:v>skirmisher; mobile striker; harasser</x:v>
      </x:c>
      <x:c r="J1121" s="24" t="str">
        <x:v>Defines party contribution, encounter behavior, targeting, survivability, and tactical niche.</x:v>
      </x:c>
      <x:c r="K1121" s="24" t="str">
        <x:v>skirmisher; mobile striker; harasser</x:v>
      </x:c>
      <x:c r="L1121" s="24" t="str">
        <x:v>Preserve each source's ontology, culture, history, and terminology when making comparisons.</x:v>
      </x:c>
      <x:c r="M1121" s="24" t="str">
        <x:v>Core Family</x:v>
      </x:c>
    </x:row>
    <x:row r="1122" ht="44" customHeight="1">
      <x:c r="A1122" s="24" t="str">
        <x:v>MEC-121</x:v>
      </x:c>
      <x:c r="B1122" s="24" t="str">
        <x:v>Artillery</x:v>
      </x:c>
      <x:c r="C1122" s="24" t="str">
        <x:v>Game-Mechanical Archetypes</x:v>
      </x:c>
      <x:c r="D1122" s="24" t="str">
        <x:v>MEC-100</x:v>
      </x:c>
      <x:c r="E1122" s="24" t="str">
        <x:f>IF(D1122="","",IFERROR(VLOOKUP(D1122,$A$2:$B$1656,2,FALSE),""))</x:f>
        <x:v>Combat Function Archetypes</x:v>
      </x:c>
      <x:c r="F1122" s="24" t="n">
        <x:v>3</x:v>
      </x:c>
      <x:c r="G1122" s="24" t="str">
        <x:v>Long-range role with high output, area effects, or setup requirements and low close-range safety.</x:v>
      </x:c>
      <x:c r="H1122" s="24" t="str">
        <x:v>Record system, edition, encounter assumptions, and party size before comparing balance.</x:v>
      </x:c>
      <x:c r="I1122" s="24" t="str">
        <x:v>artillery; siege caster; sniper mage</x:v>
      </x:c>
      <x:c r="J1122" s="24" t="str">
        <x:v>Defines party contribution, encounter behavior, targeting, survivability, and tactical niche.</x:v>
      </x:c>
      <x:c r="K1122" s="24" t="str">
        <x:v>artillery; siege caster; sniper mage</x:v>
      </x:c>
      <x:c r="L1122" s="24" t="str">
        <x:v>Preserve each source's ontology, culture, history, and terminology when making comparisons.</x:v>
      </x:c>
      <x:c r="M1122" s="24" t="str">
        <x:v>Core Family</x:v>
      </x:c>
    </x:row>
    <x:row r="1123" ht="44" customHeight="1">
      <x:c r="A1123" s="24" t="str">
        <x:v>MEC-122</x:v>
      </x:c>
      <x:c r="B1123" s="24" t="str">
        <x:v>Assassin</x:v>
      </x:c>
      <x:c r="C1123" s="24" t="str">
        <x:v>Game-Mechanical Archetypes</x:v>
      </x:c>
      <x:c r="D1123" s="24" t="str">
        <x:v>MEC-100</x:v>
      </x:c>
      <x:c r="E1123" s="24" t="str">
        <x:f>IF(D1123="","",IFERROR(VLOOKUP(D1123,$A$2:$B$1656,2,FALSE),""))</x:f>
        <x:v>Combat Function Archetypes</x:v>
      </x:c>
      <x:c r="F1123" s="24" t="n">
        <x:v>3</x:v>
      </x:c>
      <x:c r="G1123" s="24" t="str">
        <x:v>Role optimized for target access, burst, stealth, and elimination of vulnerable priorities.</x:v>
      </x:c>
      <x:c r="H1123" s="24" t="str">
        <x:v>Record system, edition, encounter assumptions, and party size before comparing balance.</x:v>
      </x:c>
      <x:c r="I1123" s="24" t="str">
        <x:v>assassin; rogue burst; executioner</x:v>
      </x:c>
      <x:c r="J1123" s="24" t="str">
        <x:v>Defines party contribution, encounter behavior, targeting, survivability, and tactical niche.</x:v>
      </x:c>
      <x:c r="K1123" s="24" t="str">
        <x:v>assassin; rogue burst; executioner</x:v>
      </x:c>
      <x:c r="L1123" s="24" t="str">
        <x:v>Preserve each source's ontology, culture, history, and terminology when making comparisons.</x:v>
      </x:c>
      <x:c r="M1123" s="24" t="str">
        <x:v>Core Family</x:v>
      </x:c>
    </x:row>
    <x:row r="1124" ht="44" customHeight="1">
      <x:c r="A1124" s="24" t="str">
        <x:v>MEC-123</x:v>
      </x:c>
      <x:c r="B1124" s="24" t="str">
        <x:v>Defender</x:v>
      </x:c>
      <x:c r="C1124" s="24" t="str">
        <x:v>Game-Mechanical Archetypes</x:v>
      </x:c>
      <x:c r="D1124" s="24" t="str">
        <x:v>MEC-100</x:v>
      </x:c>
      <x:c r="E1124" s="24" t="str">
        <x:f>IF(D1124="","",IFERROR(VLOOKUP(D1124,$A$2:$B$1656,2,FALSE),""))</x:f>
        <x:v>Combat Function Archetypes</x:v>
      </x:c>
      <x:c r="F1124" s="24" t="n">
        <x:v>3</x:v>
      </x:c>
      <x:c r="G1124" s="24" t="str">
        <x:v>Role preventing harm through interception, control, blocking, and threat management rather than only raw health.</x:v>
      </x:c>
      <x:c r="H1124" s="24" t="str">
        <x:v>Record system, edition, encounter assumptions, and party size before comparing balance.</x:v>
      </x:c>
      <x:c r="I1124" s="24" t="str">
        <x:v>defender; protector; guardian</x:v>
      </x:c>
      <x:c r="J1124" s="24" t="str">
        <x:v>Defines party contribution, encounter behavior, targeting, survivability, and tactical niche.</x:v>
      </x:c>
      <x:c r="K1124" s="24" t="str">
        <x:v>defender; protector; guardian</x:v>
      </x:c>
      <x:c r="L1124" s="24" t="str">
        <x:v>Preserve each source's ontology, culture, history, and terminology when making comparisons.</x:v>
      </x:c>
      <x:c r="M1124" s="24" t="str">
        <x:v>Core Family</x:v>
      </x:c>
    </x:row>
    <x:row r="1125" ht="44" customHeight="1">
      <x:c r="A1125" s="24" t="str">
        <x:v>MEC-124</x:v>
      </x:c>
      <x:c r="B1125" s="24" t="str">
        <x:v>Leader or Tactical Support</x:v>
      </x:c>
      <x:c r="C1125" s="24" t="str">
        <x:v>Game-Mechanical Archetypes</x:v>
      </x:c>
      <x:c r="D1125" s="24" t="str">
        <x:v>MEC-100</x:v>
      </x:c>
      <x:c r="E1125" s="24" t="str">
        <x:f>IF(D1125="","",IFERROR(VLOOKUP(D1125,$A$2:$B$1656,2,FALSE),""))</x:f>
        <x:v>Combat Function Archetypes</x:v>
      </x:c>
      <x:c r="F1125" s="24" t="n">
        <x:v>3</x:v>
      </x:c>
      <x:c r="G1125" s="24" t="str">
        <x:v>Role granting actions, movement, morale, healing, or coordination to allies.</x:v>
      </x:c>
      <x:c r="H1125" s="24" t="str">
        <x:v>Record system, edition, encounter assumptions, and party size before comparing balance.</x:v>
      </x:c>
      <x:c r="I1125" s="24" t="str">
        <x:v>leader; warlord; commander</x:v>
      </x:c>
      <x:c r="J1125" s="24" t="str">
        <x:v>Defines party contribution, encounter behavior, targeting, survivability, and tactical niche.</x:v>
      </x:c>
      <x:c r="K1125" s="24" t="str">
        <x:v>leader; warlord; commander</x:v>
      </x:c>
      <x:c r="L1125" s="24" t="str">
        <x:v>Preserve each source's ontology, culture, history, and terminology when making comparisons.</x:v>
      </x:c>
      <x:c r="M1125" s="24" t="str">
        <x:v>Core Family</x:v>
      </x:c>
    </x:row>
    <x:row r="1126" ht="44" customHeight="1">
      <x:c r="A1126" s="24" t="str">
        <x:v>MEC-125</x:v>
      </x:c>
      <x:c r="B1126" s="24" t="str">
        <x:v>Zone Controller</x:v>
      </x:c>
      <x:c r="C1126" s="24" t="str">
        <x:v>Game-Mechanical Archetypes</x:v>
      </x:c>
      <x:c r="D1126" s="24" t="str">
        <x:v>MEC-100</x:v>
      </x:c>
      <x:c r="E1126" s="24" t="str">
        <x:f>IF(D1126="","",IFERROR(VLOOKUP(D1126,$A$2:$B$1656,2,FALSE),""))</x:f>
        <x:v>Combat Function Archetypes</x:v>
      </x:c>
      <x:c r="F1126" s="24" t="n">
        <x:v>3</x:v>
      </x:c>
      <x:c r="G1126" s="24" t="str">
        <x:v>Role creating persistent hazardous, protective, or restrictive areas.</x:v>
      </x:c>
      <x:c r="H1126" s="24" t="str">
        <x:v>Record system, edition, encounter assumptions, and party size before comparing balance.</x:v>
      </x:c>
      <x:c r="I1126" s="24" t="str">
        <x:v>zone control; field caster; trapper</x:v>
      </x:c>
      <x:c r="J1126" s="24" t="str">
        <x:v>Defines party contribution, encounter behavior, targeting, survivability, and tactical niche.</x:v>
      </x:c>
      <x:c r="K1126" s="24" t="str">
        <x:v>zone control; field caster; trapper</x:v>
      </x:c>
      <x:c r="L1126" s="24" t="str">
        <x:v>Preserve each source's ontology, culture, history, and terminology when making comparisons.</x:v>
      </x:c>
      <x:c r="M1126" s="24" t="str">
        <x:v>Core Family</x:v>
      </x:c>
    </x:row>
    <x:row r="1127" ht="44" customHeight="1">
      <x:c r="A1127" s="24" t="str">
        <x:v>MEC-126</x:v>
      </x:c>
      <x:c r="B1127" s="24" t="str">
        <x:v>Counterattacker</x:v>
      </x:c>
      <x:c r="C1127" s="24" t="str">
        <x:v>Game-Mechanical Archetypes</x:v>
      </x:c>
      <x:c r="D1127" s="24" t="str">
        <x:v>MEC-100</x:v>
      </x:c>
      <x:c r="E1127" s="24" t="str">
        <x:f>IF(D1127="","",IFERROR(VLOOKUP(D1127,$A$2:$B$1656,2,FALSE),""))</x:f>
        <x:v>Combat Function Archetypes</x:v>
      </x:c>
      <x:c r="F1127" s="24" t="n">
        <x:v>3</x:v>
      </x:c>
      <x:c r="G1127" s="24" t="str">
        <x:v>Role whose output depends on parries, retaliation, reflected damage, or enemy actions.</x:v>
      </x:c>
      <x:c r="H1127" s="24" t="str">
        <x:v>Record system, edition, encounter assumptions, and party size before comparing balance.</x:v>
      </x:c>
      <x:c r="I1127" s="24" t="str">
        <x:v>counter tank; riposte; reactive fighter</x:v>
      </x:c>
      <x:c r="J1127" s="24" t="str">
        <x:v>Defines party contribution, encounter behavior, targeting, survivability, and tactical niche.</x:v>
      </x:c>
      <x:c r="K1127" s="24" t="str">
        <x:v>counter tank; riposte; reactive fighter</x:v>
      </x:c>
      <x:c r="L1127" s="24" t="str">
        <x:v>Preserve each source's ontology, culture, history, and terminology when making comparisons.</x:v>
      </x:c>
      <x:c r="M1127" s="24" t="str">
        <x:v>Core Family</x:v>
      </x:c>
    </x:row>
    <x:row r="1128" ht="44" customHeight="1">
      <x:c r="A1128" s="24" t="str">
        <x:v>MEC-127</x:v>
      </x:c>
      <x:c r="B1128" s="24" t="str">
        <x:v>Glass Cannon</x:v>
      </x:c>
      <x:c r="C1128" s="24" t="str">
        <x:v>Game-Mechanical Archetypes</x:v>
      </x:c>
      <x:c r="D1128" s="24" t="str">
        <x:v>MEC-100</x:v>
      </x:c>
      <x:c r="E1128" s="24" t="str">
        <x:f>IF(D1128="","",IFERROR(VLOOKUP(D1128,$A$2:$B$1656,2,FALSE),""))</x:f>
        <x:v>Combat Function Archetypes</x:v>
      </x:c>
      <x:c r="F1128" s="24" t="n">
        <x:v>3</x:v>
      </x:c>
      <x:c r="G1128" s="24" t="str">
        <x:v>Role with exceptional output and low durability or narrow defensive margin.</x:v>
      </x:c>
      <x:c r="H1128" s="24" t="str">
        <x:v>Record system, edition, encounter assumptions, and party size before comparing balance.</x:v>
      </x:c>
      <x:c r="I1128" s="24" t="str">
        <x:v>glass cannon; fragile nuker</x:v>
      </x:c>
      <x:c r="J1128" s="24" t="str">
        <x:v>Defines party contribution, encounter behavior, targeting, survivability, and tactical niche.</x:v>
      </x:c>
      <x:c r="K1128" s="24" t="str">
        <x:v>glass cannon; fragile nuker</x:v>
      </x:c>
      <x:c r="L1128" s="24" t="str">
        <x:v>Preserve each source's ontology, culture, history, and terminology when making comparisons.</x:v>
      </x:c>
      <x:c r="M1128" s="24" t="str">
        <x:v>Core Family</x:v>
      </x:c>
    </x:row>
    <x:row r="1129" ht="44" customHeight="1">
      <x:c r="A1129" s="24" t="str">
        <x:v>MEC-128</x:v>
      </x:c>
      <x:c r="B1129" s="24" t="str">
        <x:v>Jack-of-All-Trades</x:v>
      </x:c>
      <x:c r="C1129" s="24" t="str">
        <x:v>Game-Mechanical Archetypes</x:v>
      </x:c>
      <x:c r="D1129" s="24" t="str">
        <x:v>MEC-100</x:v>
      </x:c>
      <x:c r="E1129" s="24" t="str">
        <x:f>IF(D1129="","",IFERROR(VLOOKUP(D1129,$A$2:$B$1656,2,FALSE),""))</x:f>
        <x:v>Combat Function Archetypes</x:v>
      </x:c>
      <x:c r="F1129" s="24" t="n">
        <x:v>3</x:v>
      </x:c>
      <x:c r="G1129" s="24" t="str">
        <x:v>Flexible role competent in many functions but not dominant in any one.</x:v>
      </x:c>
      <x:c r="H1129" s="24" t="str">
        <x:v>Record system, edition, encounter assumptions, and party size before comparing balance.</x:v>
      </x:c>
      <x:c r="I1129" s="24" t="str">
        <x:v>generalist; red mage; hybrid</x:v>
      </x:c>
      <x:c r="J1129" s="24" t="str">
        <x:v>Defines party contribution, encounter behavior, targeting, survivability, and tactical niche.</x:v>
      </x:c>
      <x:c r="K1129" s="24" t="str">
        <x:v>generalist; red mage; hybrid</x:v>
      </x:c>
      <x:c r="L1129" s="24" t="str">
        <x:v>Preserve each source's ontology, culture, history, and terminology when making comparisons.</x:v>
      </x:c>
      <x:c r="M1129" s="24" t="str">
        <x:v>Core Family</x:v>
      </x:c>
    </x:row>
    <x:row r="1130" ht="44" customHeight="1">
      <x:c r="A1130" s="24" t="str">
        <x:v>MEC-129</x:v>
      </x:c>
      <x:c r="B1130" s="24" t="str">
        <x:v>Specialist</x:v>
      </x:c>
      <x:c r="C1130" s="24" t="str">
        <x:v>Game-Mechanical Archetypes</x:v>
      </x:c>
      <x:c r="D1130" s="24" t="str">
        <x:v>MEC-100</x:v>
      </x:c>
      <x:c r="E1130" s="24" t="str">
        <x:f>IF(D1130="","",IFERROR(VLOOKUP(D1130,$A$2:$B$1656,2,FALSE),""))</x:f>
        <x:v>Combat Function Archetypes</x:v>
      </x:c>
      <x:c r="F1130" s="24" t="n">
        <x:v>3</x:v>
      </x:c>
      <x:c r="G1130" s="24" t="str">
        <x:v>Role extremely strong in a narrow function and weak outside it.</x:v>
      </x:c>
      <x:c r="H1130" s="24" t="str">
        <x:v>Record system, edition, encounter assumptions, and party size before comparing balance.</x:v>
      </x:c>
      <x:c r="I1130" s="24" t="str">
        <x:v>specialist; niche class</x:v>
      </x:c>
      <x:c r="J1130" s="24" t="str">
        <x:v>Defines party contribution, encounter behavior, targeting, survivability, and tactical niche.</x:v>
      </x:c>
      <x:c r="K1130" s="24" t="str">
        <x:v>specialist; niche class</x:v>
      </x:c>
      <x:c r="L1130" s="24" t="str">
        <x:v>Preserve each source's ontology, culture, history, and terminology when making comparisons.</x:v>
      </x:c>
      <x:c r="M1130" s="24" t="str">
        <x:v>Core Family</x:v>
      </x:c>
    </x:row>
    <x:row r="1131" ht="44" customHeight="1">
      <x:c r="A1131" s="24" t="str">
        <x:v>MEC-130</x:v>
      </x:c>
      <x:c r="B1131" s="24" t="str">
        <x:v>Skill Monkey</x:v>
      </x:c>
      <x:c r="C1131" s="24" t="str">
        <x:v>Game-Mechanical Archetypes</x:v>
      </x:c>
      <x:c r="D1131" s="24" t="str">
        <x:v>MEC-100</x:v>
      </x:c>
      <x:c r="E1131" s="24" t="str">
        <x:f>IF(D1131="","",IFERROR(VLOOKUP(D1131,$A$2:$B$1656,2,FALSE),""))</x:f>
        <x:v>Combat Function Archetypes</x:v>
      </x:c>
      <x:c r="F1131" s="24" t="n">
        <x:v>3</x:v>
      </x:c>
      <x:c r="G1131" s="24" t="str">
        <x:v>Role with broad noncombat skills, expertise, utility, and problem-solving coverage.</x:v>
      </x:c>
      <x:c r="H1131" s="24" t="str">
        <x:v>Record system, edition, encounter assumptions, and party size before comparing balance.</x:v>
      </x:c>
      <x:c r="I1131" s="24" t="str">
        <x:v>skill monkey; expert; rogue utility</x:v>
      </x:c>
      <x:c r="J1131" s="24" t="str">
        <x:v>Defines party contribution, encounter behavior, targeting, survivability, and tactical niche.</x:v>
      </x:c>
      <x:c r="K1131" s="24" t="str">
        <x:v>skill monkey; expert; rogue utility</x:v>
      </x:c>
      <x:c r="L1131" s="24" t="str">
        <x:v>Preserve each source's ontology, culture, history, and terminology when making comparisons.</x:v>
      </x:c>
      <x:c r="M1131" s="24" t="str">
        <x:v>Core Family</x:v>
      </x:c>
    </x:row>
    <x:row r="1132" ht="44" customHeight="1">
      <x:c r="A1132" s="24" t="str">
        <x:v>MEC-131</x:v>
      </x:c>
      <x:c r="B1132" s="24" t="str">
        <x:v>Face</x:v>
      </x:c>
      <x:c r="C1132" s="24" t="str">
        <x:v>Game-Mechanical Archetypes</x:v>
      </x:c>
      <x:c r="D1132" s="24" t="str">
        <x:v>MEC-100</x:v>
      </x:c>
      <x:c r="E1132" s="24" t="str">
        <x:f>IF(D1132="","",IFERROR(VLOOKUP(D1132,$A$2:$B$1656,2,FALSE),""))</x:f>
        <x:v>Combat Function Archetypes</x:v>
      </x:c>
      <x:c r="F1132" s="24" t="n">
        <x:v>3</x:v>
      </x:c>
      <x:c r="G1132" s="24" t="str">
        <x:v>Character optimized for persuasion, deception, leadership, and social interaction.</x:v>
      </x:c>
      <x:c r="H1132" s="24" t="str">
        <x:v>Record system, edition, encounter assumptions, and party size before comparing balance.</x:v>
      </x:c>
      <x:c r="I1132" s="24" t="str">
        <x:v>party face; diplomat; charisma build</x:v>
      </x:c>
      <x:c r="J1132" s="24" t="str">
        <x:v>Defines party contribution, encounter behavior, targeting, survivability, and tactical niche.</x:v>
      </x:c>
      <x:c r="K1132" s="24" t="str">
        <x:v>party face; diplomat; charisma build</x:v>
      </x:c>
      <x:c r="L1132" s="24" t="str">
        <x:v>Preserve each source's ontology, culture, history, and terminology when making comparisons.</x:v>
      </x:c>
      <x:c r="M1132" s="24" t="str">
        <x:v>Core Family</x:v>
      </x:c>
    </x:row>
    <x:row r="1133" ht="44" customHeight="1">
      <x:c r="A1133" s="24" t="str">
        <x:v>MEC-132</x:v>
      </x:c>
      <x:c r="B1133" s="24" t="str">
        <x:v>Scout</x:v>
      </x:c>
      <x:c r="C1133" s="24" t="str">
        <x:v>Game-Mechanical Archetypes</x:v>
      </x:c>
      <x:c r="D1133" s="24" t="str">
        <x:v>MEC-100</x:v>
      </x:c>
      <x:c r="E1133" s="24" t="str">
        <x:f>IF(D1133="","",IFERROR(VLOOKUP(D1133,$A$2:$B$1656,2,FALSE),""))</x:f>
        <x:v>Combat Function Archetypes</x:v>
      </x:c>
      <x:c r="F1133" s="24" t="n">
        <x:v>3</x:v>
      </x:c>
      <x:c r="G1133" s="24" t="str">
        <x:v>Character optimized for perception, stealth, navigation, initiative, and information gathering.</x:v>
      </x:c>
      <x:c r="H1133" s="24" t="str">
        <x:v>Record system, edition, encounter assumptions, and party size before comparing balance.</x:v>
      </x:c>
      <x:c r="I1133" s="24" t="str">
        <x:v>scout; recon; explorer</x:v>
      </x:c>
      <x:c r="J1133" s="24" t="str">
        <x:v>Defines party contribution, encounter behavior, targeting, survivability, and tactical niche.</x:v>
      </x:c>
      <x:c r="K1133" s="24" t="str">
        <x:v>scout; recon; explorer</x:v>
      </x:c>
      <x:c r="L1133" s="24" t="str">
        <x:v>Preserve each source's ontology, culture, history, and terminology when making comparisons.</x:v>
      </x:c>
      <x:c r="M1133" s="24" t="str">
        <x:v>Core Family</x:v>
      </x:c>
    </x:row>
    <x:row r="1134" ht="44" customHeight="1">
      <x:c r="A1134" s="24" t="str">
        <x:v>MEC-133</x:v>
      </x:c>
      <x:c r="B1134" s="24" t="str">
        <x:v>Trap and Hazard Specialist</x:v>
      </x:c>
      <x:c r="C1134" s="24" t="str">
        <x:v>Game-Mechanical Archetypes</x:v>
      </x:c>
      <x:c r="D1134" s="24" t="str">
        <x:v>MEC-100</x:v>
      </x:c>
      <x:c r="E1134" s="24" t="str">
        <x:f>IF(D1134="","",IFERROR(VLOOKUP(D1134,$A$2:$B$1656,2,FALSE),""))</x:f>
        <x:v>Combat Function Archetypes</x:v>
      </x:c>
      <x:c r="F1134" s="24" t="n">
        <x:v>3</x:v>
      </x:c>
      <x:c r="G1134" s="24" t="str">
        <x:v>Role detecting, disarming, creating, or exploiting traps and environmental dangers.</x:v>
      </x:c>
      <x:c r="H1134" s="24" t="str">
        <x:v>Record system, edition, encounter assumptions, and party size before comparing balance.</x:v>
      </x:c>
      <x:c r="I1134" s="24" t="str">
        <x:v>trapper; dungeon specialist; engineer</x:v>
      </x:c>
      <x:c r="J1134" s="24" t="str">
        <x:v>Defines party contribution, encounter behavior, targeting, survivability, and tactical niche.</x:v>
      </x:c>
      <x:c r="K1134" s="24" t="str">
        <x:v>trapper; dungeon specialist; engineer</x:v>
      </x:c>
      <x:c r="L1134" s="24" t="str">
        <x:v>Preserve each source's ontology, culture, history, and terminology when making comparisons.</x:v>
      </x:c>
      <x:c r="M1134" s="24" t="str">
        <x:v>Core Family</x:v>
      </x:c>
    </x:row>
    <x:row r="1135" ht="44" customHeight="1">
      <x:c r="A1135" s="24" t="str">
        <x:v>MEC-134</x:v>
      </x:c>
      <x:c r="B1135" s="24" t="str">
        <x:v>Summoner or Pet Role</x:v>
      </x:c>
      <x:c r="C1135" s="24" t="str">
        <x:v>Game-Mechanical Archetypes</x:v>
      </x:c>
      <x:c r="D1135" s="24" t="str">
        <x:v>MEC-100</x:v>
      </x:c>
      <x:c r="E1135" s="24" t="str">
        <x:f>IF(D1135="","",IFERROR(VLOOKUP(D1135,$A$2:$B$1656,2,FALSE),""))</x:f>
        <x:v>Combat Function Archetypes</x:v>
      </x:c>
      <x:c r="F1135" s="24" t="n">
        <x:v>3</x:v>
      </x:c>
      <x:c r="G1135" s="24" t="str">
        <x:v>Role whose effectiveness is substantially mediated through controllable companions.</x:v>
      </x:c>
      <x:c r="H1135" s="24" t="str">
        <x:v>Record system, edition, encounter assumptions, and party size before comparing balance.</x:v>
      </x:c>
      <x:c r="I1135" s="24" t="str">
        <x:v>pet class; summoner; minion master</x:v>
      </x:c>
      <x:c r="J1135" s="24" t="str">
        <x:v>Defines party contribution, encounter behavior, targeting, survivability, and tactical niche.</x:v>
      </x:c>
      <x:c r="K1135" s="24" t="str">
        <x:v>pet class; summoner; minion master</x:v>
      </x:c>
      <x:c r="L1135" s="24" t="str">
        <x:v>Preserve each source's ontology, culture, history, and terminology when making comparisons.</x:v>
      </x:c>
      <x:c r="M1135" s="24" t="str">
        <x:v>Core Family</x:v>
      </x:c>
    </x:row>
    <x:row r="1136" ht="44" customHeight="1">
      <x:c r="A1136" s="24" t="str">
        <x:v>MEC-135</x:v>
      </x:c>
      <x:c r="B1136" s="24" t="str">
        <x:v>Transforming Role</x:v>
      </x:c>
      <x:c r="C1136" s="24" t="str">
        <x:v>Game-Mechanical Archetypes</x:v>
      </x:c>
      <x:c r="D1136" s="24" t="str">
        <x:v>MEC-100</x:v>
      </x:c>
      <x:c r="E1136" s="24" t="str">
        <x:f>IF(D1136="","",IFERROR(VLOOKUP(D1136,$A$2:$B$1656,2,FALSE),""))</x:f>
        <x:v>Combat Function Archetypes</x:v>
      </x:c>
      <x:c r="F1136" s="24" t="n">
        <x:v>3</x:v>
      </x:c>
      <x:c r="G1136" s="24" t="str">
        <x:v>Role switches stat profile, abilities, body, or function through transformation.</x:v>
      </x:c>
      <x:c r="H1136" s="24" t="str">
        <x:v>Record system, edition, encounter assumptions, and party size before comparing balance.</x:v>
      </x:c>
      <x:c r="I1136" s="24" t="str">
        <x:v>shifter; stance form; magical transformation</x:v>
      </x:c>
      <x:c r="J1136" s="24" t="str">
        <x:v>Defines party contribution, encounter behavior, targeting, survivability, and tactical niche.</x:v>
      </x:c>
      <x:c r="K1136" s="24" t="str">
        <x:v>shifter; stance form; magical transformation</x:v>
      </x:c>
      <x:c r="L1136" s="24" t="str">
        <x:v>Preserve each source's ontology, culture, history, and terminology when making comparisons.</x:v>
      </x:c>
      <x:c r="M1136" s="24" t="str">
        <x:v>Core Family</x:v>
      </x:c>
    </x:row>
    <x:row r="1137" ht="44" customHeight="1">
      <x:c r="A1137" s="24" t="str">
        <x:v>MEC-136</x:v>
      </x:c>
      <x:c r="B1137" s="24" t="str">
        <x:v>Stance Switcher</x:v>
      </x:c>
      <x:c r="C1137" s="24" t="str">
        <x:v>Game-Mechanical Archetypes</x:v>
      </x:c>
      <x:c r="D1137" s="24" t="str">
        <x:v>MEC-100</x:v>
      </x:c>
      <x:c r="E1137" s="24" t="str">
        <x:f>IF(D1137="","",IFERROR(VLOOKUP(D1137,$A$2:$B$1656,2,FALSE),""))</x:f>
        <x:v>Combat Function Archetypes</x:v>
      </x:c>
      <x:c r="F1137" s="24" t="n">
        <x:v>3</x:v>
      </x:c>
      <x:c r="G1137" s="24" t="str">
        <x:v>Role alternates among mutually exclusive modes optimized for different situations.</x:v>
      </x:c>
      <x:c r="H1137" s="24" t="str">
        <x:v>Record system, edition, encounter assumptions, and party size before comparing balance.</x:v>
      </x:c>
      <x:c r="I1137" s="24" t="str">
        <x:v>stance class; mode switcher; form changer</x:v>
      </x:c>
      <x:c r="J1137" s="24" t="str">
        <x:v>Defines party contribution, encounter behavior, targeting, survivability, and tactical niche.</x:v>
      </x:c>
      <x:c r="K1137" s="24" t="str">
        <x:v>stance class; mode switcher; form changer</x:v>
      </x:c>
      <x:c r="L1137" s="24" t="str">
        <x:v>Preserve each source's ontology, culture, history, and terminology when making comparisons.</x:v>
      </x:c>
      <x:c r="M1137" s="24" t="str">
        <x:v>Core Family</x:v>
      </x:c>
    </x:row>
    <x:row r="1138" ht="44" customHeight="1">
      <x:c r="A1138" s="24" t="str">
        <x:v>MEC-137</x:v>
      </x:c>
      <x:c r="B1138" s="24" t="str">
        <x:v>Mimic or Copy Role</x:v>
      </x:c>
      <x:c r="C1138" s="24" t="str">
        <x:v>Game-Mechanical Archetypes</x:v>
      </x:c>
      <x:c r="D1138" s="24" t="str">
        <x:v>MEC-100</x:v>
      </x:c>
      <x:c r="E1138" s="24" t="str">
        <x:f>IF(D1138="","",IFERROR(VLOOKUP(D1138,$A$2:$B$1656,2,FALSE),""))</x:f>
        <x:v>Combat Function Archetypes</x:v>
      </x:c>
      <x:c r="F1138" s="24" t="n">
        <x:v>3</x:v>
      </x:c>
      <x:c r="G1138" s="24" t="str">
        <x:v>Role acquires or reproduces abilities used by enemies or allies.</x:v>
      </x:c>
      <x:c r="H1138" s="24" t="str">
        <x:v>Record system, edition, encounter assumptions, and party size before comparing balance.</x:v>
      </x:c>
      <x:c r="I1138" s="24" t="str">
        <x:v>mimic; blue mage; skill copier</x:v>
      </x:c>
      <x:c r="J1138" s="24" t="str">
        <x:v>Defines party contribution, encounter behavior, targeting, survivability, and tactical niche.</x:v>
      </x:c>
      <x:c r="K1138" s="24" t="str">
        <x:v>mimic; blue mage; skill copier</x:v>
      </x:c>
      <x:c r="L1138" s="24" t="str">
        <x:v>Preserve each source's ontology, culture, history, and terminology when making comparisons.</x:v>
      </x:c>
      <x:c r="M1138" s="24" t="str">
        <x:v>Core Family</x:v>
      </x:c>
    </x:row>
    <x:row r="1139" ht="44" customHeight="1">
      <x:c r="A1139" s="24" t="str">
        <x:v>MEC-138</x:v>
      </x:c>
      <x:c r="B1139" s="24" t="str">
        <x:v>Luck or Random Role</x:v>
      </x:c>
      <x:c r="C1139" s="24" t="str">
        <x:v>Game-Mechanical Archetypes</x:v>
      </x:c>
      <x:c r="D1139" s="24" t="str">
        <x:v>MEC-100</x:v>
      </x:c>
      <x:c r="E1139" s="24" t="str">
        <x:f>IF(D1139="","",IFERROR(VLOOKUP(D1139,$A$2:$B$1656,2,FALSE),""))</x:f>
        <x:v>Combat Function Archetypes</x:v>
      </x:c>
      <x:c r="F1139" s="24" t="n">
        <x:v>3</x:v>
      </x:c>
      <x:c r="G1139" s="24" t="str">
        <x:v>Role accepts variance through cards, dice, random skills, proc chains, or probabilistic outcomes.</x:v>
      </x:c>
      <x:c r="H1139" s="24" t="str">
        <x:v>Record system, edition, encounter assumptions, and party size before comparing balance.</x:v>
      </x:c>
      <x:c r="I1139" s="24" t="str">
        <x:v>gambler; RNG class; random caster</x:v>
      </x:c>
      <x:c r="J1139" s="24" t="str">
        <x:v>Defines party contribution, encounter behavior, targeting, survivability, and tactical niche.</x:v>
      </x:c>
      <x:c r="K1139" s="24" t="str">
        <x:v>gambler; RNG class; random caster</x:v>
      </x:c>
      <x:c r="L1139" s="24" t="str">
        <x:v>Preserve each source's ontology, culture, history, and terminology when making comparisons.</x:v>
      </x:c>
      <x:c r="M1139" s="24" t="str">
        <x:v>Core Family</x:v>
      </x:c>
    </x:row>
    <x:row r="1140" ht="44" customHeight="1">
      <x:c r="A1140" s="24" t="str">
        <x:v>MEC-201</x:v>
      </x:c>
      <x:c r="B1140" s="24" t="str">
        <x:v>Vancian or Prepared Casting</x:v>
      </x:c>
      <x:c r="C1140" s="24" t="str">
        <x:v>Game-Mechanical Archetypes</x:v>
      </x:c>
      <x:c r="D1140" s="24" t="str">
        <x:v>MEC-200</x:v>
      </x:c>
      <x:c r="E1140" s="24" t="str">
        <x:f>IF(D1140="","",IFERROR(VLOOKUP(D1140,$A$2:$B$1656,2,FALSE),""))</x:f>
        <x:v>Resource and Casting Models</x:v>
      </x:c>
      <x:c r="F1140" s="24" t="n">
        <x:v>3</x:v>
      </x:c>
      <x:c r="G1140" s="24" t="str">
        <x:v>Caster selects a limited set of spells in advance and expends prepared uses or slots.</x:v>
      </x:c>
      <x:c r="H1140" s="24" t="str">
        <x:v>Record system, edition, encounter assumptions, and party size before comparing balance.</x:v>
      </x:c>
      <x:c r="I1140" s="24" t="str">
        <x:v>prepared caster; Vancian magic; spell slots</x:v>
      </x:c>
      <x:c r="J1140" s="24" t="str">
        <x:v>Defines pacing, preparation, risk, repeatability, and the cost structure of power.</x:v>
      </x:c>
      <x:c r="K1140" s="24" t="str">
        <x:v>prepared caster; Vancian magic; spell slots</x:v>
      </x:c>
      <x:c r="L1140" s="24" t="str">
        <x:v>Preserve each source's ontology, culture, history, and terminology when making comparisons.</x:v>
      </x:c>
      <x:c r="M1140" s="24" t="str">
        <x:v>Core Family</x:v>
      </x:c>
    </x:row>
    <x:row r="1141" ht="44" customHeight="1">
      <x:c r="A1141" s="24" t="str">
        <x:v>MEC-202</x:v>
      </x:c>
      <x:c r="B1141" s="24" t="str">
        <x:v>Spontaneous Casting</x:v>
      </x:c>
      <x:c r="C1141" s="24" t="str">
        <x:v>Game-Mechanical Archetypes</x:v>
      </x:c>
      <x:c r="D1141" s="24" t="str">
        <x:v>MEC-200</x:v>
      </x:c>
      <x:c r="E1141" s="24" t="str">
        <x:f>IF(D1141="","",IFERROR(VLOOKUP(D1141,$A$2:$B$1656,2,FALSE),""))</x:f>
        <x:v>Resource and Casting Models</x:v>
      </x:c>
      <x:c r="F1141" s="24" t="n">
        <x:v>3</x:v>
      </x:c>
      <x:c r="G1141" s="24" t="str">
        <x:v>Caster knows a limited repertoire but chooses which known spell to use at the moment of casting.</x:v>
      </x:c>
      <x:c r="H1141" s="24" t="str">
        <x:v>Record system, edition, encounter assumptions, and party size before comparing balance.</x:v>
      </x:c>
      <x:c r="I1141" s="24" t="str">
        <x:v>spontaneous caster; sorcerer model</x:v>
      </x:c>
      <x:c r="J1141" s="24" t="str">
        <x:v>Defines pacing, preparation, risk, repeatability, and the cost structure of power.</x:v>
      </x:c>
      <x:c r="K1141" s="24" t="str">
        <x:v>spontaneous caster; sorcerer model</x:v>
      </x:c>
      <x:c r="L1141" s="24" t="str">
        <x:v>Preserve each source's ontology, culture, history, and terminology when making comparisons.</x:v>
      </x:c>
      <x:c r="M1141" s="24" t="str">
        <x:v>Core Family</x:v>
      </x:c>
    </x:row>
    <x:row r="1142" ht="44" customHeight="1">
      <x:c r="A1142" s="24" t="str">
        <x:v>MEC-203</x:v>
      </x:c>
      <x:c r="B1142" s="24" t="str">
        <x:v>Mana Pool</x:v>
      </x:c>
      <x:c r="C1142" s="24" t="str">
        <x:v>Game-Mechanical Archetypes</x:v>
      </x:c>
      <x:c r="D1142" s="24" t="str">
        <x:v>MEC-200</x:v>
      </x:c>
      <x:c r="E1142" s="24" t="str">
        <x:f>IF(D1142="","",IFERROR(VLOOKUP(D1142,$A$2:$B$1656,2,FALSE),""))</x:f>
        <x:v>Resource and Casting Models</x:v>
      </x:c>
      <x:c r="F1142" s="24" t="n">
        <x:v>3</x:v>
      </x:c>
      <x:c r="G1142" s="24" t="str">
        <x:v>Abilities consume a shared regenerating or refillable magical resource.</x:v>
      </x:c>
      <x:c r="H1142" s="24" t="str">
        <x:v>Record system, edition, encounter assumptions, and party size before comparing balance.</x:v>
      </x:c>
      <x:c r="I1142" s="24" t="str">
        <x:v>mana; MP; magic points</x:v>
      </x:c>
      <x:c r="J1142" s="24" t="str">
        <x:v>Defines pacing, preparation, risk, repeatability, and the cost structure of power.</x:v>
      </x:c>
      <x:c r="K1142" s="24" t="str">
        <x:v>mana; MP; magic points</x:v>
      </x:c>
      <x:c r="L1142" s="24" t="str">
        <x:v>Preserve each source's ontology, culture, history, and terminology when making comparisons.</x:v>
      </x:c>
      <x:c r="M1142" s="24" t="str">
        <x:v>Core Family</x:v>
      </x:c>
    </x:row>
    <x:row r="1143" ht="44" customHeight="1">
      <x:c r="A1143" s="24" t="str">
        <x:v>MEC-204</x:v>
      </x:c>
      <x:c r="B1143" s="24" t="str">
        <x:v>Per-Encounter Resource</x:v>
      </x:c>
      <x:c r="C1143" s="24" t="str">
        <x:v>Game-Mechanical Archetypes</x:v>
      </x:c>
      <x:c r="D1143" s="24" t="str">
        <x:v>MEC-200</x:v>
      </x:c>
      <x:c r="E1143" s="24" t="str">
        <x:f>IF(D1143="","",IFERROR(VLOOKUP(D1143,$A$2:$B$1656,2,FALSE),""))</x:f>
        <x:v>Resource and Casting Models</x:v>
      </x:c>
      <x:c r="F1143" s="24" t="n">
        <x:v>3</x:v>
      </x:c>
      <x:c r="G1143" s="24" t="str">
        <x:v>Abilities refresh after each encounter, battle, or short rest.</x:v>
      </x:c>
      <x:c r="H1143" s="24" t="str">
        <x:v>Record system, edition, encounter assumptions, and party size before comparing balance.</x:v>
      </x:c>
      <x:c r="I1143" s="24" t="str">
        <x:v>encounter powers; battle charges</x:v>
      </x:c>
      <x:c r="J1143" s="24" t="str">
        <x:v>Defines pacing, preparation, risk, repeatability, and the cost structure of power.</x:v>
      </x:c>
      <x:c r="K1143" s="24" t="str">
        <x:v>encounter powers; battle charges</x:v>
      </x:c>
      <x:c r="L1143" s="24" t="str">
        <x:v>Preserve each source's ontology, culture, history, and terminology when making comparisons.</x:v>
      </x:c>
      <x:c r="M1143" s="24" t="str">
        <x:v>Core Family</x:v>
      </x:c>
    </x:row>
    <x:row r="1144" ht="44" customHeight="1">
      <x:c r="A1144" s="24" t="str">
        <x:v>MEC-205</x:v>
      </x:c>
      <x:c r="B1144" s="24" t="str">
        <x:v>Per-Day Resource</x:v>
      </x:c>
      <x:c r="C1144" s="24" t="str">
        <x:v>Game-Mechanical Archetypes</x:v>
      </x:c>
      <x:c r="D1144" s="24" t="str">
        <x:v>MEC-200</x:v>
      </x:c>
      <x:c r="E1144" s="24" t="str">
        <x:f>IF(D1144="","",IFERROR(VLOOKUP(D1144,$A$2:$B$1656,2,FALSE),""))</x:f>
        <x:v>Resource and Casting Models</x:v>
      </x:c>
      <x:c r="F1144" s="24" t="n">
        <x:v>3</x:v>
      </x:c>
      <x:c r="G1144" s="24" t="str">
        <x:v>Abilities refresh after extended rest, daily reset, or in-world cycle.</x:v>
      </x:c>
      <x:c r="H1144" s="24" t="str">
        <x:v>Record system, edition, encounter assumptions, and party size before comparing balance.</x:v>
      </x:c>
      <x:c r="I1144" s="24" t="str">
        <x:v>daily powers; spell slots; long-rest resource</x:v>
      </x:c>
      <x:c r="J1144" s="24" t="str">
        <x:v>Defines pacing, preparation, risk, repeatability, and the cost structure of power.</x:v>
      </x:c>
      <x:c r="K1144" s="24" t="str">
        <x:v>daily powers; spell slots; long-rest resource</x:v>
      </x:c>
      <x:c r="L1144" s="24" t="str">
        <x:v>Preserve each source's ontology, culture, history, and terminology when making comparisons.</x:v>
      </x:c>
      <x:c r="M1144" s="24" t="str">
        <x:v>Core Family</x:v>
      </x:c>
    </x:row>
    <x:row r="1145" ht="44" customHeight="1">
      <x:c r="A1145" s="24" t="str">
        <x:v>MEC-206</x:v>
      </x:c>
      <x:c r="B1145" s="24" t="str">
        <x:v>Cooldown Model</x:v>
      </x:c>
      <x:c r="C1145" s="24" t="str">
        <x:v>Game-Mechanical Archetypes</x:v>
      </x:c>
      <x:c r="D1145" s="24" t="str">
        <x:v>MEC-200</x:v>
      </x:c>
      <x:c r="E1145" s="24" t="str">
        <x:f>IF(D1145="","",IFERROR(VLOOKUP(D1145,$A$2:$B$1656,2,FALSE),""))</x:f>
        <x:v>Resource and Casting Models</x:v>
      </x:c>
      <x:c r="F1145" s="24" t="n">
        <x:v>3</x:v>
      </x:c>
      <x:c r="G1145" s="24" t="str">
        <x:v>Abilities become unavailable for fixed real-time or turn-based intervals after use.</x:v>
      </x:c>
      <x:c r="H1145" s="24" t="str">
        <x:v>Record system, edition, encounter assumptions, and party size before comparing balance.</x:v>
      </x:c>
      <x:c r="I1145" s="24" t="str">
        <x:v>cooldown; recharge timer</x:v>
      </x:c>
      <x:c r="J1145" s="24" t="str">
        <x:v>Defines pacing, preparation, risk, repeatability, and the cost structure of power.</x:v>
      </x:c>
      <x:c r="K1145" s="24" t="str">
        <x:v>cooldown; recharge timer</x:v>
      </x:c>
      <x:c r="L1145" s="24" t="str">
        <x:v>Preserve each source's ontology, culture, history, and terminology when making comparisons.</x:v>
      </x:c>
      <x:c r="M1145" s="24" t="str">
        <x:v>Core Family</x:v>
      </x:c>
    </x:row>
    <x:row r="1146" ht="44" customHeight="1">
      <x:c r="A1146" s="24" t="str">
        <x:v>MEC-207</x:v>
      </x:c>
      <x:c r="B1146" s="24" t="str">
        <x:v>Charge Model</x:v>
      </x:c>
      <x:c r="C1146" s="24" t="str">
        <x:v>Game-Mechanical Archetypes</x:v>
      </x:c>
      <x:c r="D1146" s="24" t="str">
        <x:v>MEC-200</x:v>
      </x:c>
      <x:c r="E1146" s="24" t="str">
        <x:f>IF(D1146="","",IFERROR(VLOOKUP(D1146,$A$2:$B$1656,2,FALSE),""))</x:f>
        <x:v>Resource and Casting Models</x:v>
      </x:c>
      <x:c r="F1146" s="24" t="n">
        <x:v>3</x:v>
      </x:c>
      <x:c r="G1146" s="24" t="str">
        <x:v>Abilities have a limited number of stored uses that recover individually or under conditions.</x:v>
      </x:c>
      <x:c r="H1146" s="24" t="str">
        <x:v>Record system, edition, encounter assumptions, and party size before comparing balance.</x:v>
      </x:c>
      <x:c r="I1146" s="24" t="str">
        <x:v>charges; ammunition; spell uses</x:v>
      </x:c>
      <x:c r="J1146" s="24" t="str">
        <x:v>Defines pacing, preparation, risk, repeatability, and the cost structure of power.</x:v>
      </x:c>
      <x:c r="K1146" s="24" t="str">
        <x:v>charges; ammunition; spell uses</x:v>
      </x:c>
      <x:c r="L1146" s="24" t="str">
        <x:v>Preserve each source's ontology, culture, history, and terminology when making comparisons.</x:v>
      </x:c>
      <x:c r="M1146" s="24" t="str">
        <x:v>Core Family</x:v>
      </x:c>
    </x:row>
    <x:row r="1147" ht="44" customHeight="1">
      <x:c r="A1147" s="24" t="str">
        <x:v>MEC-208</x:v>
      </x:c>
      <x:c r="B1147" s="24" t="str">
        <x:v>Builder-Spender</x:v>
      </x:c>
      <x:c r="C1147" s="24" t="str">
        <x:v>Game-Mechanical Archetypes</x:v>
      </x:c>
      <x:c r="D1147" s="24" t="str">
        <x:v>MEC-200</x:v>
      </x:c>
      <x:c r="E1147" s="24" t="str">
        <x:f>IF(D1147="","",IFERROR(VLOOKUP(D1147,$A$2:$B$1656,2,FALSE),""))</x:f>
        <x:v>Resource and Casting Models</x:v>
      </x:c>
      <x:c r="F1147" s="24" t="n">
        <x:v>3</x:v>
      </x:c>
      <x:c r="G1147" s="24" t="str">
        <x:v>Basic actions generate a resource that stronger actions consume.</x:v>
      </x:c>
      <x:c r="H1147" s="24" t="str">
        <x:v>Record system, edition, encounter assumptions, and party size before comparing balance.</x:v>
      </x:c>
      <x:c r="I1147" s="24" t="str">
        <x:v>combo points; rage; gauge; builder spender</x:v>
      </x:c>
      <x:c r="J1147" s="24" t="str">
        <x:v>Defines pacing, preparation, risk, repeatability, and the cost structure of power.</x:v>
      </x:c>
      <x:c r="K1147" s="24" t="str">
        <x:v>combo points; rage; gauge; builder spender</x:v>
      </x:c>
      <x:c r="L1147" s="24" t="str">
        <x:v>Preserve each source's ontology, culture, history, and terminology when making comparisons.</x:v>
      </x:c>
      <x:c r="M1147" s="24" t="str">
        <x:v>Core Family</x:v>
      </x:c>
    </x:row>
    <x:row r="1148" ht="44" customHeight="1">
      <x:c r="A1148" s="24" t="str">
        <x:v>MEC-209</x:v>
      </x:c>
      <x:c r="B1148" s="24" t="str">
        <x:v>Health-Cost Casting</x:v>
      </x:c>
      <x:c r="C1148" s="24" t="str">
        <x:v>Game-Mechanical Archetypes</x:v>
      </x:c>
      <x:c r="D1148" s="24" t="str">
        <x:v>MEC-200</x:v>
      </x:c>
      <x:c r="E1148" s="24" t="str">
        <x:f>IF(D1148="","",IFERROR(VLOOKUP(D1148,$A$2:$B$1656,2,FALSE),""))</x:f>
        <x:v>Resource and Casting Models</x:v>
      </x:c>
      <x:c r="F1148" s="24" t="n">
        <x:v>3</x:v>
      </x:c>
      <x:c r="G1148" s="24" t="str">
        <x:v>Abilities consume the user's life, wounds, blood, or maximum health.</x:v>
      </x:c>
      <x:c r="H1148" s="24" t="str">
        <x:v>Record system, edition, encounter assumptions, and party size before comparing balance.</x:v>
      </x:c>
      <x:c r="I1148" s="24" t="str">
        <x:v>blood magic cost; HP casting</x:v>
      </x:c>
      <x:c r="J1148" s="24" t="str">
        <x:v>Defines pacing, preparation, risk, repeatability, and the cost structure of power.</x:v>
      </x:c>
      <x:c r="K1148" s="24" t="str">
        <x:v>blood magic cost; HP casting</x:v>
      </x:c>
      <x:c r="L1148" s="24" t="str">
        <x:v>Preserve each source's ontology, culture, history, and terminology when making comparisons.</x:v>
      </x:c>
      <x:c r="M1148" s="24" t="str">
        <x:v>Core Family</x:v>
      </x:c>
    </x:row>
    <x:row r="1149" ht="44" customHeight="1">
      <x:c r="A1149" s="24" t="str">
        <x:v>MEC-210</x:v>
      </x:c>
      <x:c r="B1149" s="24" t="str">
        <x:v>Sacrifice-Cost System</x:v>
      </x:c>
      <x:c r="C1149" s="24" t="str">
        <x:v>Game-Mechanical Archetypes</x:v>
      </x:c>
      <x:c r="D1149" s="24" t="str">
        <x:v>MEC-200</x:v>
      </x:c>
      <x:c r="E1149" s="24" t="str">
        <x:f>IF(D1149="","",IFERROR(VLOOKUP(D1149,$A$2:$B$1656,2,FALSE),""))</x:f>
        <x:v>Resource and Casting Models</x:v>
      </x:c>
      <x:c r="F1149" s="24" t="n">
        <x:v>3</x:v>
      </x:c>
      <x:c r="G1149" s="24" t="str">
        <x:v>Power consumes permanent or narratively costly resources such as allies, years, items, memories, or souls.</x:v>
      </x:c>
      <x:c r="H1149" s="24" t="str">
        <x:v>Record system, edition, encounter assumptions, and party size before comparing balance.</x:v>
      </x:c>
      <x:c r="I1149" s="24" t="str">
        <x:v>sacrifice; equivalent exchange; burn resource</x:v>
      </x:c>
      <x:c r="J1149" s="24" t="str">
        <x:v>Defines pacing, preparation, risk, repeatability, and the cost structure of power.</x:v>
      </x:c>
      <x:c r="K1149" s="24" t="str">
        <x:v>sacrifice; equivalent exchange; burn resource</x:v>
      </x:c>
      <x:c r="L1149" s="24" t="str">
        <x:v>Preserve each source's ontology, culture, history, and terminology when making comparisons.</x:v>
      </x:c>
      <x:c r="M1149" s="24" t="str">
        <x:v>Core Family</x:v>
      </x:c>
    </x:row>
    <x:row r="1150" ht="44" customHeight="1">
      <x:c r="A1150" s="24" t="str">
        <x:v>MEC-211</x:v>
      </x:c>
      <x:c r="B1150" s="24" t="str">
        <x:v>Item-Based Casting</x:v>
      </x:c>
      <x:c r="C1150" s="24" t="str">
        <x:v>Game-Mechanical Archetypes</x:v>
      </x:c>
      <x:c r="D1150" s="24" t="str">
        <x:v>MEC-200</x:v>
      </x:c>
      <x:c r="E1150" s="24" t="str">
        <x:f>IF(D1150="","",IFERROR(VLOOKUP(D1150,$A$2:$B$1656,2,FALSE),""))</x:f>
        <x:v>Resource and Casting Models</x:v>
      </x:c>
      <x:c r="F1150" s="24" t="n">
        <x:v>3</x:v>
      </x:c>
      <x:c r="G1150" s="24" t="str">
        <x:v>Abilities require consumable scrolls, reagents, bombs, cards, ammunition, or crafted items.</x:v>
      </x:c>
      <x:c r="H1150" s="24" t="str">
        <x:v>Record system, edition, encounter assumptions, and party size before comparing balance.</x:v>
      </x:c>
      <x:c r="I1150" s="24" t="str">
        <x:v>item user; alchemist; consumable caster</x:v>
      </x:c>
      <x:c r="J1150" s="24" t="str">
        <x:v>Defines pacing, preparation, risk, repeatability, and the cost structure of power.</x:v>
      </x:c>
      <x:c r="K1150" s="24" t="str">
        <x:v>item user; alchemist; consumable caster</x:v>
      </x:c>
      <x:c r="L1150" s="24" t="str">
        <x:v>Preserve each source's ontology, culture, history, and terminology when making comparisons.</x:v>
      </x:c>
      <x:c r="M1150" s="24" t="str">
        <x:v>Core Family</x:v>
      </x:c>
    </x:row>
    <x:row r="1151" ht="44" customHeight="1">
      <x:c r="A1151" s="24" t="str">
        <x:v>MEC-212</x:v>
      </x:c>
      <x:c r="B1151" s="24" t="str">
        <x:v>Ammo and Reload Model</x:v>
      </x:c>
      <x:c r="C1151" s="24" t="str">
        <x:v>Game-Mechanical Archetypes</x:v>
      </x:c>
      <x:c r="D1151" s="24" t="str">
        <x:v>MEC-200</x:v>
      </x:c>
      <x:c r="E1151" s="24" t="str">
        <x:f>IF(D1151="","",IFERROR(VLOOKUP(D1151,$A$2:$B$1656,2,FALSE),""))</x:f>
        <x:v>Resource and Casting Models</x:v>
      </x:c>
      <x:c r="F1151" s="24" t="n">
        <x:v>3</x:v>
      </x:c>
      <x:c r="G1151" s="24" t="str">
        <x:v>Ranged actions depend on ammunition count, magazines, reload actions, or preparation.</x:v>
      </x:c>
      <x:c r="H1151" s="24" t="str">
        <x:v>Record system, edition, encounter assumptions, and party size before comparing balance.</x:v>
      </x:c>
      <x:c r="I1151" s="24" t="str">
        <x:v>ammo; reload; quiver</x:v>
      </x:c>
      <x:c r="J1151" s="24" t="str">
        <x:v>Defines pacing, preparation, risk, repeatability, and the cost structure of power.</x:v>
      </x:c>
      <x:c r="K1151" s="24" t="str">
        <x:v>ammo; reload; quiver</x:v>
      </x:c>
      <x:c r="L1151" s="24" t="str">
        <x:v>Preserve each source's ontology, culture, history, and terminology when making comparisons.</x:v>
      </x:c>
      <x:c r="M1151" s="24" t="str">
        <x:v>Core Family</x:v>
      </x:c>
    </x:row>
    <x:row r="1152" ht="44" customHeight="1">
      <x:c r="A1152" s="24" t="str">
        <x:v>MEC-213</x:v>
      </x:c>
      <x:c r="B1152" s="24" t="str">
        <x:v>Stamina or Energy Pool</x:v>
      </x:c>
      <x:c r="C1152" s="24" t="str">
        <x:v>Game-Mechanical Archetypes</x:v>
      </x:c>
      <x:c r="D1152" s="24" t="str">
        <x:v>MEC-200</x:v>
      </x:c>
      <x:c r="E1152" s="24" t="str">
        <x:f>IF(D1152="","",IFERROR(VLOOKUP(D1152,$A$2:$B$1656,2,FALSE),""))</x:f>
        <x:v>Resource and Casting Models</x:v>
      </x:c>
      <x:c r="F1152" s="24" t="n">
        <x:v>3</x:v>
      </x:c>
      <x:c r="G1152" s="24" t="str">
        <x:v>Physical actions consume a regenerating resource governing pace and mobility.</x:v>
      </x:c>
      <x:c r="H1152" s="24" t="str">
        <x:v>Record system, edition, encounter assumptions, and party size before comparing balance.</x:v>
      </x:c>
      <x:c r="I1152" s="24" t="str">
        <x:v>stamina; energy; endurance</x:v>
      </x:c>
      <x:c r="J1152" s="24" t="str">
        <x:v>Defines pacing, preparation, risk, repeatability, and the cost structure of power.</x:v>
      </x:c>
      <x:c r="K1152" s="24" t="str">
        <x:v>stamina; energy; endurance</x:v>
      </x:c>
      <x:c r="L1152" s="24" t="str">
        <x:v>Preserve each source's ontology, culture, history, and terminology when making comparisons.</x:v>
      </x:c>
      <x:c r="M1152" s="24" t="str">
        <x:v>Core Family</x:v>
      </x:c>
    </x:row>
    <x:row r="1153" ht="44" customHeight="1">
      <x:c r="A1153" s="24" t="str">
        <x:v>MEC-214</x:v>
      </x:c>
      <x:c r="B1153" s="24" t="str">
        <x:v>Rage or Damage-Fueled Resource</x:v>
      </x:c>
      <x:c r="C1153" s="24" t="str">
        <x:v>Game-Mechanical Archetypes</x:v>
      </x:c>
      <x:c r="D1153" s="24" t="str">
        <x:v>MEC-200</x:v>
      </x:c>
      <x:c r="E1153" s="24" t="str">
        <x:f>IF(D1153="","",IFERROR(VLOOKUP(D1153,$A$2:$B$1656,2,FALSE),""))</x:f>
        <x:v>Resource and Casting Models</x:v>
      </x:c>
      <x:c r="F1153" s="24" t="n">
        <x:v>3</x:v>
      </x:c>
      <x:c r="G1153" s="24" t="str">
        <x:v>Taking or dealing damage generates power used for stronger abilities.</x:v>
      </x:c>
      <x:c r="H1153" s="24" t="str">
        <x:v>Record system, edition, encounter assumptions, and party size before comparing balance.</x:v>
      </x:c>
      <x:c r="I1153" s="24" t="str">
        <x:v>rage; fury; wrath</x:v>
      </x:c>
      <x:c r="J1153" s="24" t="str">
        <x:v>Defines pacing, preparation, risk, repeatability, and the cost structure of power.</x:v>
      </x:c>
      <x:c r="K1153" s="24" t="str">
        <x:v>rage; fury; wrath</x:v>
      </x:c>
      <x:c r="L1153" s="24" t="str">
        <x:v>Preserve each source's ontology, culture, history, and terminology when making comparisons.</x:v>
      </x:c>
      <x:c r="M1153" s="24" t="str">
        <x:v>Core Family</x:v>
      </x:c>
    </x:row>
    <x:row r="1154" ht="44" customHeight="1">
      <x:c r="A1154" s="24" t="str">
        <x:v>MEC-215</x:v>
      </x:c>
      <x:c r="B1154" s="24" t="str">
        <x:v>Limit Gauge</x:v>
      </x:c>
      <x:c r="C1154" s="24" t="str">
        <x:v>Game-Mechanical Archetypes</x:v>
      </x:c>
      <x:c r="D1154" s="24" t="str">
        <x:v>MEC-200</x:v>
      </x:c>
      <x:c r="E1154" s="24" t="str">
        <x:f>IF(D1154="","",IFERROR(VLOOKUP(D1154,$A$2:$B$1656,2,FALSE),""))</x:f>
        <x:v>Resource and Casting Models</x:v>
      </x:c>
      <x:c r="F1154" s="24" t="n">
        <x:v>3</x:v>
      </x:c>
      <x:c r="G1154" s="24" t="str">
        <x:v>Exceptional abilities become available through accumulated combat stress, damage, time, or team action.</x:v>
      </x:c>
      <x:c r="H1154" s="24" t="str">
        <x:v>Record system, edition, encounter assumptions, and party size before comparing balance.</x:v>
      </x:c>
      <x:c r="I1154" s="24" t="str">
        <x:v>limit break; overdrive; ultimate gauge</x:v>
      </x:c>
      <x:c r="J1154" s="24" t="str">
        <x:v>Defines pacing, preparation, risk, repeatability, and the cost structure of power.</x:v>
      </x:c>
      <x:c r="K1154" s="24" t="str">
        <x:v>limit break; overdrive; ultimate gauge</x:v>
      </x:c>
      <x:c r="L1154" s="24" t="str">
        <x:v>Preserve each source's ontology, culture, history, and terminology when making comparisons.</x:v>
      </x:c>
      <x:c r="M1154" s="24" t="str">
        <x:v>Core Family</x:v>
      </x:c>
    </x:row>
    <x:row r="1155" ht="44" customHeight="1">
      <x:c r="A1155" s="24" t="str">
        <x:v>MEC-216</x:v>
      </x:c>
      <x:c r="B1155" s="24" t="str">
        <x:v>Combo Chain</x:v>
      </x:c>
      <x:c r="C1155" s="24" t="str">
        <x:v>Game-Mechanical Archetypes</x:v>
      </x:c>
      <x:c r="D1155" s="24" t="str">
        <x:v>MEC-200</x:v>
      </x:c>
      <x:c r="E1155" s="24" t="str">
        <x:f>IF(D1155="","",IFERROR(VLOOKUP(D1155,$A$2:$B$1656,2,FALSE),""))</x:f>
        <x:v>Resource and Casting Models</x:v>
      </x:c>
      <x:c r="F1155" s="24" t="n">
        <x:v>3</x:v>
      </x:c>
      <x:c r="G1155" s="24" t="str">
        <x:v>Abilities gain value when executed in specified sequences or timing windows.</x:v>
      </x:c>
      <x:c r="H1155" s="24" t="str">
        <x:v>Record system, edition, encounter assumptions, and party size before comparing balance.</x:v>
      </x:c>
      <x:c r="I1155" s="24" t="str">
        <x:v>combo; chain; rotation</x:v>
      </x:c>
      <x:c r="J1155" s="24" t="str">
        <x:v>Defines pacing, preparation, risk, repeatability, and the cost structure of power.</x:v>
      </x:c>
      <x:c r="K1155" s="24" t="str">
        <x:v>combo; chain; rotation</x:v>
      </x:c>
      <x:c r="L1155" s="24" t="str">
        <x:v>Preserve each source's ontology, culture, history, and terminology when making comparisons.</x:v>
      </x:c>
      <x:c r="M1155" s="24" t="str">
        <x:v>Core Family</x:v>
      </x:c>
    </x:row>
    <x:row r="1156" ht="44" customHeight="1">
      <x:c r="A1156" s="24" t="str">
        <x:v>MEC-217</x:v>
      </x:c>
      <x:c r="B1156" s="24" t="str">
        <x:v>Position-Based Bonuses</x:v>
      </x:c>
      <x:c r="C1156" s="24" t="str">
        <x:v>Game-Mechanical Archetypes</x:v>
      </x:c>
      <x:c r="D1156" s="24" t="str">
        <x:v>MEC-200</x:v>
      </x:c>
      <x:c r="E1156" s="24" t="str">
        <x:f>IF(D1156="","",IFERROR(VLOOKUP(D1156,$A$2:$B$1656,2,FALSE),""))</x:f>
        <x:v>Resource and Casting Models</x:v>
      </x:c>
      <x:c r="F1156" s="24" t="n">
        <x:v>3</x:v>
      </x:c>
      <x:c r="G1156" s="24" t="str">
        <x:v>Abilities depend on flanking, facing, elevation, range bands, or exact spatial relationship.</x:v>
      </x:c>
      <x:c r="H1156" s="24" t="str">
        <x:v>Record system, edition, encounter assumptions, and party size before comparing balance.</x:v>
      </x:c>
      <x:c r="I1156" s="24" t="str">
        <x:v>positional; backstab; high ground</x:v>
      </x:c>
      <x:c r="J1156" s="24" t="str">
        <x:v>Defines pacing, preparation, risk, repeatability, and the cost structure of power.</x:v>
      </x:c>
      <x:c r="K1156" s="24" t="str">
        <x:v>positional; backstab; high ground</x:v>
      </x:c>
      <x:c r="L1156" s="24" t="str">
        <x:v>Preserve each source's ontology, culture, history, and terminology when making comparisons.</x:v>
      </x:c>
      <x:c r="M1156" s="24" t="str">
        <x:v>Core Family</x:v>
      </x:c>
    </x:row>
    <x:row r="1157" ht="44" customHeight="1">
      <x:c r="A1157" s="24" t="str">
        <x:v>MEC-218</x:v>
      </x:c>
      <x:c r="B1157" s="24" t="str">
        <x:v>Reaction or Interrupt Model</x:v>
      </x:c>
      <x:c r="C1157" s="24" t="str">
        <x:v>Game-Mechanical Archetypes</x:v>
      </x:c>
      <x:c r="D1157" s="24" t="str">
        <x:v>MEC-200</x:v>
      </x:c>
      <x:c r="E1157" s="24" t="str">
        <x:f>IF(D1157="","",IFERROR(VLOOKUP(D1157,$A$2:$B$1656,2,FALSE),""))</x:f>
        <x:v>Resource and Casting Models</x:v>
      </x:c>
      <x:c r="F1157" s="24" t="n">
        <x:v>3</x:v>
      </x:c>
      <x:c r="G1157" s="24" t="str">
        <x:v>Power is reserved for responses to triggers, enemy actions, or timing windows.</x:v>
      </x:c>
      <x:c r="H1157" s="24" t="str">
        <x:v>Record system, edition, encounter assumptions, and party size before comparing balance.</x:v>
      </x:c>
      <x:c r="I1157" s="24" t="str">
        <x:v>reaction; counter; interrupt</x:v>
      </x:c>
      <x:c r="J1157" s="24" t="str">
        <x:v>Defines pacing, preparation, risk, repeatability, and the cost structure of power.</x:v>
      </x:c>
      <x:c r="K1157" s="24" t="str">
        <x:v>reaction; counter; interrupt</x:v>
      </x:c>
      <x:c r="L1157" s="24" t="str">
        <x:v>Preserve each source's ontology, culture, history, and terminology when making comparisons.</x:v>
      </x:c>
      <x:c r="M1157" s="24" t="str">
        <x:v>Core Family</x:v>
      </x:c>
    </x:row>
    <x:row r="1158" ht="44" customHeight="1">
      <x:c r="A1158" s="24" t="str">
        <x:v>MEC-219</x:v>
      </x:c>
      <x:c r="B1158" s="24" t="str">
        <x:v>Random Draw Model</x:v>
      </x:c>
      <x:c r="C1158" s="24" t="str">
        <x:v>Game-Mechanical Archetypes</x:v>
      </x:c>
      <x:c r="D1158" s="24" t="str">
        <x:v>MEC-200</x:v>
      </x:c>
      <x:c r="E1158" s="24" t="str">
        <x:f>IF(D1158="","",IFERROR(VLOOKUP(D1158,$A$2:$B$1656,2,FALSE),""))</x:f>
        <x:v>Resource and Casting Models</x:v>
      </x:c>
      <x:c r="F1158" s="24" t="n">
        <x:v>3</x:v>
      </x:c>
      <x:c r="G1158" s="24" t="str">
        <x:v>Available abilities or bonuses are determined by drawing cards, runes, dice, or random options.</x:v>
      </x:c>
      <x:c r="H1158" s="24" t="str">
        <x:v>Record system, edition, encounter assumptions, and party size before comparing balance.</x:v>
      </x:c>
      <x:c r="I1158" s="24" t="str">
        <x:v>deck; draw; roulette</x:v>
      </x:c>
      <x:c r="J1158" s="24" t="str">
        <x:v>Defines pacing, preparation, risk, repeatability, and the cost structure of power.</x:v>
      </x:c>
      <x:c r="K1158" s="24" t="str">
        <x:v>deck; draw; roulette</x:v>
      </x:c>
      <x:c r="L1158" s="24" t="str">
        <x:v>Preserve each source's ontology, culture, history, and terminology when making comparisons.</x:v>
      </x:c>
      <x:c r="M1158" s="24" t="str">
        <x:v>Core Family</x:v>
      </x:c>
    </x:row>
    <x:row r="1159" ht="44" customHeight="1">
      <x:c r="A1159" s="24" t="str">
        <x:v>MEC-220</x:v>
      </x:c>
      <x:c r="B1159" s="24" t="str">
        <x:v>Corruption or Instability Meter</x:v>
      </x:c>
      <x:c r="C1159" s="24" t="str">
        <x:v>Game-Mechanical Archetypes</x:v>
      </x:c>
      <x:c r="D1159" s="24" t="str">
        <x:v>MEC-200</x:v>
      </x:c>
      <x:c r="E1159" s="24" t="str">
        <x:f>IF(D1159="","",IFERROR(VLOOKUP(D1159,$A$2:$B$1656,2,FALSE),""))</x:f>
        <x:v>Resource and Casting Models</x:v>
      </x:c>
      <x:c r="F1159" s="24" t="n">
        <x:v>3</x:v>
      </x:c>
      <x:c r="G1159" s="24" t="str">
        <x:v>Using power increases a dangerous secondary resource that can cause mutation, failure, or loss of control.</x:v>
      </x:c>
      <x:c r="H1159" s="24" t="str">
        <x:v>Record system, edition, encounter assumptions, and party size before comparing balance.</x:v>
      </x:c>
      <x:c r="I1159" s="24" t="str">
        <x:v>corruption meter; heat; instability</x:v>
      </x:c>
      <x:c r="J1159" s="24" t="str">
        <x:v>Defines pacing, preparation, risk, repeatability, and the cost structure of power.</x:v>
      </x:c>
      <x:c r="K1159" s="24" t="str">
        <x:v>corruption meter; heat; instability</x:v>
      </x:c>
      <x:c r="L1159" s="24" t="str">
        <x:v>Preserve each source's ontology, culture, history, and terminology when making comparisons.</x:v>
      </x:c>
      <x:c r="M1159" s="24" t="str">
        <x:v>Core Family</x:v>
      </x:c>
    </x:row>
    <x:row r="1160" ht="44" customHeight="1">
      <x:c r="A1160" s="24" t="str">
        <x:v>MEC-221</x:v>
      </x:c>
      <x:c r="B1160" s="24" t="str">
        <x:v>Heat or Overload Model</x:v>
      </x:c>
      <x:c r="C1160" s="24" t="str">
        <x:v>Game-Mechanical Archetypes</x:v>
      </x:c>
      <x:c r="D1160" s="24" t="str">
        <x:v>MEC-200</x:v>
      </x:c>
      <x:c r="E1160" s="24" t="str">
        <x:f>IF(D1160="","",IFERROR(VLOOKUP(D1160,$A$2:$B$1656,2,FALSE),""))</x:f>
        <x:v>Resource and Casting Models</x:v>
      </x:c>
      <x:c r="F1160" s="24" t="n">
        <x:v>3</x:v>
      </x:c>
      <x:c r="G1160" s="24" t="str">
        <x:v>Power generates heat or strain requiring cooldown, venting, or risk management.</x:v>
      </x:c>
      <x:c r="H1160" s="24" t="str">
        <x:v>Record system, edition, encounter assumptions, and party size before comparing balance.</x:v>
      </x:c>
      <x:c r="I1160" s="24" t="str">
        <x:v>heat; overcharge; overload</x:v>
      </x:c>
      <x:c r="J1160" s="24" t="str">
        <x:v>Defines pacing, preparation, risk, repeatability, and the cost structure of power.</x:v>
      </x:c>
      <x:c r="K1160" s="24" t="str">
        <x:v>heat; overcharge; overload</x:v>
      </x:c>
      <x:c r="L1160" s="24" t="str">
        <x:v>Preserve each source's ontology, culture, history, and terminology when making comparisons.</x:v>
      </x:c>
      <x:c r="M1160" s="24" t="str">
        <x:v>Core Family</x:v>
      </x:c>
    </x:row>
    <x:row r="1161" ht="44" customHeight="1">
      <x:c r="A1161" s="24" t="str">
        <x:v>MEC-222</x:v>
      </x:c>
      <x:c r="B1161" s="24" t="str">
        <x:v>Concentration and Channeling</x:v>
      </x:c>
      <x:c r="C1161" s="24" t="str">
        <x:v>Game-Mechanical Archetypes</x:v>
      </x:c>
      <x:c r="D1161" s="24" t="str">
        <x:v>MEC-200</x:v>
      </x:c>
      <x:c r="E1161" s="24" t="str">
        <x:f>IF(D1161="","",IFERROR(VLOOKUP(D1161,$A$2:$B$1656,2,FALSE),""))</x:f>
        <x:v>Resource and Casting Models</x:v>
      </x:c>
      <x:c r="F1161" s="24" t="n">
        <x:v>3</x:v>
      </x:c>
      <x:c r="G1161" s="24" t="str">
        <x:v>Power requires continuous focus and can be interrupted by movement, damage, or competing actions.</x:v>
      </x:c>
      <x:c r="H1161" s="24" t="str">
        <x:v>Record system, edition, encounter assumptions, and party size before comparing balance.</x:v>
      </x:c>
      <x:c r="I1161" s="24" t="str">
        <x:v>channel; concentration; maintained spell</x:v>
      </x:c>
      <x:c r="J1161" s="24" t="str">
        <x:v>Defines pacing, preparation, risk, repeatability, and the cost structure of power.</x:v>
      </x:c>
      <x:c r="K1161" s="24" t="str">
        <x:v>channel; concentration; maintained spell</x:v>
      </x:c>
      <x:c r="L1161" s="24" t="str">
        <x:v>Preserve each source's ontology, culture, history, and terminology when making comparisons.</x:v>
      </x:c>
      <x:c r="M1161" s="24" t="str">
        <x:v>Core Family</x:v>
      </x:c>
    </x:row>
    <x:row r="1162" ht="44" customHeight="1">
      <x:c r="A1162" s="24" t="str">
        <x:v>MEC-223</x:v>
      </x:c>
      <x:c r="B1162" s="24" t="str">
        <x:v>Ritual Time Model</x:v>
      </x:c>
      <x:c r="C1162" s="24" t="str">
        <x:v>Game-Mechanical Archetypes</x:v>
      </x:c>
      <x:c r="D1162" s="24" t="str">
        <x:v>MEC-200</x:v>
      </x:c>
      <x:c r="E1162" s="24" t="str">
        <x:f>IF(D1162="","",IFERROR(VLOOKUP(D1162,$A$2:$B$1656,2,FALSE),""))</x:f>
        <x:v>Resource and Casting Models</x:v>
      </x:c>
      <x:c r="F1162" s="24" t="n">
        <x:v>3</x:v>
      </x:c>
      <x:c r="G1162" s="24" t="str">
        <x:v>Power requires extended setup, materials, participants, or precise conditions rather than ordinary action economy.</x:v>
      </x:c>
      <x:c r="H1162" s="24" t="str">
        <x:v>Record system, edition, encounter assumptions, and party size before comparing balance.</x:v>
      </x:c>
      <x:c r="I1162" s="24" t="str">
        <x:v>ritual; cast time; ceremony</x:v>
      </x:c>
      <x:c r="J1162" s="24" t="str">
        <x:v>Defines pacing, preparation, risk, repeatability, and the cost structure of power.</x:v>
      </x:c>
      <x:c r="K1162" s="24" t="str">
        <x:v>ritual; cast time; ceremony</x:v>
      </x:c>
      <x:c r="L1162" s="24" t="str">
        <x:v>Preserve each source's ontology, culture, history, and terminology when making comparisons.</x:v>
      </x:c>
      <x:c r="M1162" s="24" t="str">
        <x:v>Core Family</x:v>
      </x:c>
    </x:row>
    <x:row r="1163" ht="44" customHeight="1">
      <x:c r="A1163" s="24" t="str">
        <x:v>MEC-224</x:v>
      </x:c>
      <x:c r="B1163" s="24" t="str">
        <x:v>No-Resource or At-Will Model</x:v>
      </x:c>
      <x:c r="C1163" s="24" t="str">
        <x:v>Game-Mechanical Archetypes</x:v>
      </x:c>
      <x:c r="D1163" s="24" t="str">
        <x:v>MEC-200</x:v>
      </x:c>
      <x:c r="E1163" s="24" t="str">
        <x:f>IF(D1163="","",IFERROR(VLOOKUP(D1163,$A$2:$B$1656,2,FALSE),""))</x:f>
        <x:v>Resource and Casting Models</x:v>
      </x:c>
      <x:c r="F1163" s="24" t="n">
        <x:v>3</x:v>
      </x:c>
      <x:c r="G1163" s="24" t="str">
        <x:v>Core abilities can be used freely, with balance achieved through lower impact, conditions, or action opportunity.</x:v>
      </x:c>
      <x:c r="H1163" s="24" t="str">
        <x:v>Record system, edition, encounter assumptions, and party size before comparing balance.</x:v>
      </x:c>
      <x:c r="I1163" s="24" t="str">
        <x:v>at-will; basic action; cantrip</x:v>
      </x:c>
      <x:c r="J1163" s="24" t="str">
        <x:v>Defines pacing, preparation, risk, repeatability, and the cost structure of power.</x:v>
      </x:c>
      <x:c r="K1163" s="24" t="str">
        <x:v>at-will; basic action; cantrip</x:v>
      </x:c>
      <x:c r="L1163" s="24" t="str">
        <x:v>Preserve each source's ontology, culture, history, and terminology when making comparisons.</x:v>
      </x:c>
      <x:c r="M1163" s="24" t="str">
        <x:v>Core Family</x:v>
      </x:c>
    </x:row>
    <x:row r="1164" ht="44" customHeight="1">
      <x:c r="A1164" s="24" t="str">
        <x:v>MEC-225</x:v>
      </x:c>
      <x:c r="B1164" s="24" t="str">
        <x:v>Durability or Equipment Wear</x:v>
      </x:c>
      <x:c r="C1164" s="24" t="str">
        <x:v>Game-Mechanical Archetypes</x:v>
      </x:c>
      <x:c r="D1164" s="24" t="str">
        <x:v>MEC-200</x:v>
      </x:c>
      <x:c r="E1164" s="24" t="str">
        <x:f>IF(D1164="","",IFERROR(VLOOKUP(D1164,$A$2:$B$1656,2,FALSE),""))</x:f>
        <x:v>Resource and Casting Models</x:v>
      </x:c>
      <x:c r="F1164" s="24" t="n">
        <x:v>3</x:v>
      </x:c>
      <x:c r="G1164" s="24" t="str">
        <x:v>Power depends on tools that degrade, break, consume maintenance, or lose enchantment.</x:v>
      </x:c>
      <x:c r="H1164" s="24" t="str">
        <x:v>Record system, edition, encounter assumptions, and party size before comparing balance.</x:v>
      </x:c>
      <x:c r="I1164" s="24" t="str">
        <x:v>durability; weapon wear; repair</x:v>
      </x:c>
      <x:c r="J1164" s="24" t="str">
        <x:v>Defines pacing, preparation, risk, repeatability, and the cost structure of power.</x:v>
      </x:c>
      <x:c r="K1164" s="24" t="str">
        <x:v>durability; weapon wear; repair</x:v>
      </x:c>
      <x:c r="L1164" s="24" t="str">
        <x:v>Preserve each source's ontology, culture, history, and terminology when making comparisons.</x:v>
      </x:c>
      <x:c r="M1164" s="24" t="str">
        <x:v>Core Family</x:v>
      </x:c>
    </x:row>
    <x:row r="1165" ht="44" customHeight="1">
      <x:c r="A1165" s="24" t="str">
        <x:v>MEC-226</x:v>
      </x:c>
      <x:c r="B1165" s="24" t="str">
        <x:v>Soul or Follower Resource</x:v>
      </x:c>
      <x:c r="C1165" s="24" t="str">
        <x:v>Game-Mechanical Archetypes</x:v>
      </x:c>
      <x:c r="D1165" s="24" t="str">
        <x:v>MEC-200</x:v>
      </x:c>
      <x:c r="E1165" s="24" t="str">
        <x:f>IF(D1165="","",IFERROR(VLOOKUP(D1165,$A$2:$B$1656,2,FALSE),""))</x:f>
        <x:v>Resource and Casting Models</x:v>
      </x:c>
      <x:c r="F1165" s="24" t="n">
        <x:v>3</x:v>
      </x:c>
      <x:c r="G1165" s="24" t="str">
        <x:v>Abilities consume captured souls, minions, worship, corpses, followers, or social authority.</x:v>
      </x:c>
      <x:c r="H1165" s="24" t="str">
        <x:v>Record system, edition, encounter assumptions, and party size before comparing balance.</x:v>
      </x:c>
      <x:c r="I1165" s="24" t="str">
        <x:v>souls; corpses; faith; minion resource</x:v>
      </x:c>
      <x:c r="J1165" s="24" t="str">
        <x:v>Defines pacing, preparation, risk, repeatability, and the cost structure of power.</x:v>
      </x:c>
      <x:c r="K1165" s="24" t="str">
        <x:v>souls; corpses; faith; minion resource</x:v>
      </x:c>
      <x:c r="L1165" s="24" t="str">
        <x:v>Preserve each source's ontology, culture, history, and terminology when making comparisons.</x:v>
      </x:c>
      <x:c r="M1165" s="24" t="str">
        <x:v>Core Family</x:v>
      </x:c>
    </x:row>
    <x:row r="1166" ht="44" customHeight="1">
      <x:c r="A1166" s="24" t="str">
        <x:v>MEC-301</x:v>
      </x:c>
      <x:c r="B1166" s="24" t="str">
        <x:v>Fixed Class</x:v>
      </x:c>
      <x:c r="C1166" s="24" t="str">
        <x:v>Game-Mechanical Archetypes</x:v>
      </x:c>
      <x:c r="D1166" s="24" t="str">
        <x:v>MEC-300</x:v>
      </x:c>
      <x:c r="E1166" s="24" t="str">
        <x:f>IF(D1166="","",IFERROR(VLOOKUP(D1166,$A$2:$B$1656,2,FALSE),""))</x:f>
        <x:v>Progression and Build Models</x:v>
      </x:c>
      <x:c r="F1166" s="24" t="n">
        <x:v>3</x:v>
      </x:c>
      <x:c r="G1166" s="24" t="str">
        <x:v>Character progression occurs within one defined class with limited or no switching.</x:v>
      </x:c>
      <x:c r="H1166" s="24" t="str">
        <x:v>Record system, edition, encounter assumptions, and party size before comparing balance.</x:v>
      </x:c>
      <x:c r="I1166" s="24" t="str">
        <x:v>single class; fixed job</x:v>
      </x:c>
      <x:c r="J1166" s="24" t="str">
        <x:v>Defines character differentiation, advancement, replayability, and build identity.</x:v>
      </x:c>
      <x:c r="K1166" s="24" t="str">
        <x:v>single class; fixed job</x:v>
      </x:c>
      <x:c r="L1166" s="24" t="str">
        <x:v>Preserve each source's ontology, culture, history, and terminology when making comparisons.</x:v>
      </x:c>
      <x:c r="M1166" s="24" t="str">
        <x:v>Core Family</x:v>
      </x:c>
    </x:row>
    <x:row r="1167" ht="44" customHeight="1">
      <x:c r="A1167" s="24" t="str">
        <x:v>MEC-302</x:v>
      </x:c>
      <x:c r="B1167" s="24" t="str">
        <x:v>Class Change or Job System</x:v>
      </x:c>
      <x:c r="C1167" s="24" t="str">
        <x:v>Game-Mechanical Archetypes</x:v>
      </x:c>
      <x:c r="D1167" s="24" t="str">
        <x:v>MEC-300</x:v>
      </x:c>
      <x:c r="E1167" s="24" t="str">
        <x:f>IF(D1167="","",IFERROR(VLOOKUP(D1167,$A$2:$B$1656,2,FALSE),""))</x:f>
        <x:v>Progression and Build Models</x:v>
      </x:c>
      <x:c r="F1167" s="24" t="n">
        <x:v>3</x:v>
      </x:c>
      <x:c r="G1167" s="24" t="str">
        <x:v>Characters can switch among jobs, often carrying selected levels or abilities.</x:v>
      </x:c>
      <x:c r="H1167" s="24" t="str">
        <x:v>Record system, edition, encounter assumptions, and party size before comparing balance.</x:v>
      </x:c>
      <x:c r="I1167" s="24" t="str">
        <x:v>job change; class switch; license system</x:v>
      </x:c>
      <x:c r="J1167" s="24" t="str">
        <x:v>Defines character differentiation, advancement, replayability, and build identity.</x:v>
      </x:c>
      <x:c r="K1167" s="24" t="str">
        <x:v>job change; class switch; license system</x:v>
      </x:c>
      <x:c r="L1167" s="24" t="str">
        <x:v>Preserve each source's ontology, culture, history, and terminology when making comparisons.</x:v>
      </x:c>
      <x:c r="M1167" s="24" t="str">
        <x:v>Core Family</x:v>
      </x:c>
    </x:row>
    <x:row r="1168" ht="44" customHeight="1">
      <x:c r="A1168" s="24" t="str">
        <x:v>MEC-303</x:v>
      </x:c>
      <x:c r="B1168" s="24" t="str">
        <x:v>Multiclassing</x:v>
      </x:c>
      <x:c r="C1168" s="24" t="str">
        <x:v>Game-Mechanical Archetypes</x:v>
      </x:c>
      <x:c r="D1168" s="24" t="str">
        <x:v>MEC-300</x:v>
      </x:c>
      <x:c r="E1168" s="24" t="str">
        <x:f>IF(D1168="","",IFERROR(VLOOKUP(D1168,$A$2:$B$1656,2,FALSE),""))</x:f>
        <x:v>Progression and Build Models</x:v>
      </x:c>
      <x:c r="F1168" s="24" t="n">
        <x:v>3</x:v>
      </x:c>
      <x:c r="G1168" s="24" t="str">
        <x:v>Character combines progression from two or more classes.</x:v>
      </x:c>
      <x:c r="H1168" s="24" t="str">
        <x:v>Record system, edition, encounter assumptions, and party size before comparing balance.</x:v>
      </x:c>
      <x:c r="I1168" s="24" t="str">
        <x:v>multiclass; dual class; hybrid build</x:v>
      </x:c>
      <x:c r="J1168" s="24" t="str">
        <x:v>Defines character differentiation, advancement, replayability, and build identity.</x:v>
      </x:c>
      <x:c r="K1168" s="24" t="str">
        <x:v>multiclass; dual class; hybrid build</x:v>
      </x:c>
      <x:c r="L1168" s="24" t="str">
        <x:v>Preserve each source's ontology, culture, history, and terminology when making comparisons.</x:v>
      </x:c>
      <x:c r="M1168" s="24" t="str">
        <x:v>Core Family</x:v>
      </x:c>
    </x:row>
    <x:row r="1169" ht="44" customHeight="1">
      <x:c r="A1169" s="24" t="str">
        <x:v>MEC-304</x:v>
      </x:c>
      <x:c r="B1169" s="24" t="str">
        <x:v>Subclass Specialization</x:v>
      </x:c>
      <x:c r="C1169" s="24" t="str">
        <x:v>Game-Mechanical Archetypes</x:v>
      </x:c>
      <x:c r="D1169" s="24" t="str">
        <x:v>MEC-300</x:v>
      </x:c>
      <x:c r="E1169" s="24" t="str">
        <x:f>IF(D1169="","",IFERROR(VLOOKUP(D1169,$A$2:$B$1656,2,FALSE),""))</x:f>
        <x:v>Progression and Build Models</x:v>
      </x:c>
      <x:c r="F1169" s="24" t="n">
        <x:v>3</x:v>
      </x:c>
      <x:c r="G1169" s="24" t="str">
        <x:v>A broad class branches into a narrower path with distinct abilities and identity.</x:v>
      </x:c>
      <x:c r="H1169" s="24" t="str">
        <x:v>Record system, edition, encounter assumptions, and party size before comparing balance.</x:v>
      </x:c>
      <x:c r="I1169" s="24" t="str">
        <x:v>subclass; specialization; archetype</x:v>
      </x:c>
      <x:c r="J1169" s="24" t="str">
        <x:v>Defines character differentiation, advancement, replayability, and build identity.</x:v>
      </x:c>
      <x:c r="K1169" s="24" t="str">
        <x:v>subclass; specialization; archetype</x:v>
      </x:c>
      <x:c r="L1169" s="24" t="str">
        <x:v>Preserve each source's ontology, culture, history, and terminology when making comparisons.</x:v>
      </x:c>
      <x:c r="M1169" s="24" t="str">
        <x:v>Core Family</x:v>
      </x:c>
    </x:row>
    <x:row r="1170" ht="44" customHeight="1">
      <x:c r="A1170" s="24" t="str">
        <x:v>MEC-305</x:v>
      </x:c>
      <x:c r="B1170" s="24" t="str">
        <x:v>Prestige or Advanced Class</x:v>
      </x:c>
      <x:c r="C1170" s="24" t="str">
        <x:v>Game-Mechanical Archetypes</x:v>
      </x:c>
      <x:c r="D1170" s="24" t="str">
        <x:v>MEC-300</x:v>
      </x:c>
      <x:c r="E1170" s="24" t="str">
        <x:f>IF(D1170="","",IFERROR(VLOOKUP(D1170,$A$2:$B$1656,2,FALSE),""))</x:f>
        <x:v>Progression and Build Models</x:v>
      </x:c>
      <x:c r="F1170" s="24" t="n">
        <x:v>3</x:v>
      </x:c>
      <x:c r="G1170" s="24" t="str">
        <x:v>Specialized class unlocked after prerequisites, promotion, item, story event, or high rank.</x:v>
      </x:c>
      <x:c r="H1170" s="24" t="str">
        <x:v>Record system, edition, encounter assumptions, and party size before comparing balance.</x:v>
      </x:c>
      <x:c r="I1170" s="24" t="str">
        <x:v>prestige class; advanced job; promotion</x:v>
      </x:c>
      <x:c r="J1170" s="24" t="str">
        <x:v>Defines character differentiation, advancement, replayability, and build identity.</x:v>
      </x:c>
      <x:c r="K1170" s="24" t="str">
        <x:v>prestige class; advanced job; promotion</x:v>
      </x:c>
      <x:c r="L1170" s="24" t="str">
        <x:v>Preserve each source's ontology, culture, history, and terminology when making comparisons.</x:v>
      </x:c>
      <x:c r="M1170" s="24" t="str">
        <x:v>Core Family</x:v>
      </x:c>
    </x:row>
    <x:row r="1171" ht="44" customHeight="1">
      <x:c r="A1171" s="24" t="str">
        <x:v>MEC-306</x:v>
      </x:c>
      <x:c r="B1171" s="24" t="str">
        <x:v>Classless Skill System</x:v>
      </x:c>
      <x:c r="C1171" s="24" t="str">
        <x:v>Game-Mechanical Archetypes</x:v>
      </x:c>
      <x:c r="D1171" s="24" t="str">
        <x:v>MEC-300</x:v>
      </x:c>
      <x:c r="E1171" s="24" t="str">
        <x:f>IF(D1171="","",IFERROR(VLOOKUP(D1171,$A$2:$B$1656,2,FALSE),""))</x:f>
        <x:v>Progression and Build Models</x:v>
      </x:c>
      <x:c r="F1171" s="24" t="n">
        <x:v>3</x:v>
      </x:c>
      <x:c r="G1171" s="24" t="str">
        <x:v>Characters buy or improve individual skills, attributes, perks, and powers without fixed classes.</x:v>
      </x:c>
      <x:c r="H1171" s="24" t="str">
        <x:v>Record system, edition, encounter assumptions, and party size before comparing balance.</x:v>
      </x:c>
      <x:c r="I1171" s="24" t="str">
        <x:v>skill-based; classless; point buy</x:v>
      </x:c>
      <x:c r="J1171" s="24" t="str">
        <x:v>Defines character differentiation, advancement, replayability, and build identity.</x:v>
      </x:c>
      <x:c r="K1171" s="24" t="str">
        <x:v>skill-based; classless; point buy</x:v>
      </x:c>
      <x:c r="L1171" s="24" t="str">
        <x:v>Preserve each source's ontology, culture, history, and terminology when making comparisons.</x:v>
      </x:c>
      <x:c r="M1171" s="24" t="str">
        <x:v>Core Family</x:v>
      </x:c>
    </x:row>
    <x:row r="1172" ht="44" customHeight="1">
      <x:c r="A1172" s="24" t="str">
        <x:v>MEC-307</x:v>
      </x:c>
      <x:c r="B1172" s="24" t="str">
        <x:v>Talent Tree</x:v>
      </x:c>
      <x:c r="C1172" s="24" t="str">
        <x:v>Game-Mechanical Archetypes</x:v>
      </x:c>
      <x:c r="D1172" s="24" t="str">
        <x:v>MEC-300</x:v>
      </x:c>
      <x:c r="E1172" s="24" t="str">
        <x:f>IF(D1172="","",IFERROR(VLOOKUP(D1172,$A$2:$B$1656,2,FALSE),""))</x:f>
        <x:v>Progression and Build Models</x:v>
      </x:c>
      <x:c r="F1172" s="24" t="n">
        <x:v>3</x:v>
      </x:c>
      <x:c r="G1172" s="24" t="str">
        <x:v>Progression involves selecting connected passive and active upgrades along branches.</x:v>
      </x:c>
      <x:c r="H1172" s="24" t="str">
        <x:v>Record system, edition, encounter assumptions, and party size before comparing balance.</x:v>
      </x:c>
      <x:c r="I1172" s="24" t="str">
        <x:v>skill tree; talent tree; perk tree</x:v>
      </x:c>
      <x:c r="J1172" s="24" t="str">
        <x:v>Defines character differentiation, advancement, replayability, and build identity.</x:v>
      </x:c>
      <x:c r="K1172" s="24" t="str">
        <x:v>skill tree; talent tree; perk tree</x:v>
      </x:c>
      <x:c r="L1172" s="24" t="str">
        <x:v>Preserve each source's ontology, culture, history, and terminology when making comparisons.</x:v>
      </x:c>
      <x:c r="M1172" s="24" t="str">
        <x:v>Core Family</x:v>
      </x:c>
    </x:row>
    <x:row r="1173" ht="44" customHeight="1">
      <x:c r="A1173" s="24" t="str">
        <x:v>MEC-308</x:v>
      </x:c>
      <x:c r="B1173" s="24" t="str">
        <x:v>Loadout-Based Build</x:v>
      </x:c>
      <x:c r="C1173" s="24" t="str">
        <x:v>Game-Mechanical Archetypes</x:v>
      </x:c>
      <x:c r="D1173" s="24" t="str">
        <x:v>MEC-300</x:v>
      </x:c>
      <x:c r="E1173" s="24" t="str">
        <x:f>IF(D1173="","",IFERROR(VLOOKUP(D1173,$A$2:$B$1656,2,FALSE),""))</x:f>
        <x:v>Progression and Build Models</x:v>
      </x:c>
      <x:c r="F1173" s="24" t="n">
        <x:v>3</x:v>
      </x:c>
      <x:c r="G1173" s="24" t="str">
        <x:v>Character identity changes through equipped abilities, weapons, cards, spells, or modules rather than permanent class.</x:v>
      </x:c>
      <x:c r="H1173" s="24" t="str">
        <x:v>Record system, edition, encounter assumptions, and party size before comparing balance.</x:v>
      </x:c>
      <x:c r="I1173" s="24" t="str">
        <x:v>loadout; deck build; ability slots</x:v>
      </x:c>
      <x:c r="J1173" s="24" t="str">
        <x:v>Defines character differentiation, advancement, replayability, and build identity.</x:v>
      </x:c>
      <x:c r="K1173" s="24" t="str">
        <x:v>loadout; deck build; ability slots</x:v>
      </x:c>
      <x:c r="L1173" s="24" t="str">
        <x:v>Preserve each source's ontology, culture, history, and terminology when making comparisons.</x:v>
      </x:c>
      <x:c r="M1173" s="24" t="str">
        <x:v>Core Family</x:v>
      </x:c>
    </x:row>
    <x:row r="1174" ht="44" customHeight="1">
      <x:c r="A1174" s="24" t="str">
        <x:v>MEC-309</x:v>
      </x:c>
      <x:c r="B1174" s="24" t="str">
        <x:v>Equipment-Defined Role</x:v>
      </x:c>
      <x:c r="C1174" s="24" t="str">
        <x:v>Game-Mechanical Archetypes</x:v>
      </x:c>
      <x:c r="D1174" s="24" t="str">
        <x:v>MEC-300</x:v>
      </x:c>
      <x:c r="E1174" s="24" t="str">
        <x:f>IF(D1174="","",IFERROR(VLOOKUP(D1174,$A$2:$B$1656,2,FALSE),""))</x:f>
        <x:v>Progression and Build Models</x:v>
      </x:c>
      <x:c r="F1174" s="24" t="n">
        <x:v>3</x:v>
      </x:c>
      <x:c r="G1174" s="24" t="str">
        <x:v>Weapons, armor, tools, or relics substantially determine available abilities and party function.</x:v>
      </x:c>
      <x:c r="H1174" s="24" t="str">
        <x:v>Record system, edition, encounter assumptions, and party size before comparing balance.</x:v>
      </x:c>
      <x:c r="I1174" s="24" t="str">
        <x:v>weapon class; gear build; equipment role</x:v>
      </x:c>
      <x:c r="J1174" s="24" t="str">
        <x:v>Defines character differentiation, advancement, replayability, and build identity.</x:v>
      </x:c>
      <x:c r="K1174" s="24" t="str">
        <x:v>weapon class; gear build; equipment role</x:v>
      </x:c>
      <x:c r="L1174" s="24" t="str">
        <x:v>Preserve each source's ontology, culture, history, and terminology when making comparisons.</x:v>
      </x:c>
      <x:c r="M1174" s="24" t="str">
        <x:v>Core Family</x:v>
      </x:c>
    </x:row>
    <x:row r="1175" ht="44" customHeight="1">
      <x:c r="A1175" s="24" t="str">
        <x:v>MEC-310</x:v>
      </x:c>
      <x:c r="B1175" s="24" t="str">
        <x:v>Level-Based Progression</x:v>
      </x:c>
      <x:c r="C1175" s="24" t="str">
        <x:v>Game-Mechanical Archetypes</x:v>
      </x:c>
      <x:c r="D1175" s="24" t="str">
        <x:v>MEC-300</x:v>
      </x:c>
      <x:c r="E1175" s="24" t="str">
        <x:f>IF(D1175="","",IFERROR(VLOOKUP(D1175,$A$2:$B$1656,2,FALSE),""))</x:f>
        <x:v>Progression and Build Models</x:v>
      </x:c>
      <x:c r="F1175" s="24" t="n">
        <x:v>3</x:v>
      </x:c>
      <x:c r="G1175" s="24" t="str">
        <x:v>Capabilities rise through discrete levels earned by experience or milestones.</x:v>
      </x:c>
      <x:c r="H1175" s="24" t="str">
        <x:v>Record system, edition, encounter assumptions, and party size before comparing balance.</x:v>
      </x:c>
      <x:c r="I1175" s="24" t="str">
        <x:v>levels; XP; rank</x:v>
      </x:c>
      <x:c r="J1175" s="24" t="str">
        <x:v>Defines character differentiation, advancement, replayability, and build identity.</x:v>
      </x:c>
      <x:c r="K1175" s="24" t="str">
        <x:v>levels; XP; rank</x:v>
      </x:c>
      <x:c r="L1175" s="24" t="str">
        <x:v>Preserve each source's ontology, culture, history, and terminology when making comparisons.</x:v>
      </x:c>
      <x:c r="M1175" s="24" t="str">
        <x:v>Core Family</x:v>
      </x:c>
    </x:row>
    <x:row r="1176" ht="44" customHeight="1">
      <x:c r="A1176" s="24" t="str">
        <x:v>MEC-311</x:v>
      </x:c>
      <x:c r="B1176" s="24" t="str">
        <x:v>Skill-Use Progression</x:v>
      </x:c>
      <x:c r="C1176" s="24" t="str">
        <x:v>Game-Mechanical Archetypes</x:v>
      </x:c>
      <x:c r="D1176" s="24" t="str">
        <x:v>MEC-300</x:v>
      </x:c>
      <x:c r="E1176" s="24" t="str">
        <x:f>IF(D1176="","",IFERROR(VLOOKUP(D1176,$A$2:$B$1656,2,FALSE),""))</x:f>
        <x:v>Progression and Build Models</x:v>
      </x:c>
      <x:c r="F1176" s="24" t="n">
        <x:v>3</x:v>
      </x:c>
      <x:c r="G1176" s="24" t="str">
        <x:v>Skills improve through repeated use rather than global level allocation.</x:v>
      </x:c>
      <x:c r="H1176" s="24" t="str">
        <x:v>Record system, edition, encounter assumptions, and party size before comparing balance.</x:v>
      </x:c>
      <x:c r="I1176" s="24" t="str">
        <x:v>use-based leveling; practice progression</x:v>
      </x:c>
      <x:c r="J1176" s="24" t="str">
        <x:v>Defines character differentiation, advancement, replayability, and build identity.</x:v>
      </x:c>
      <x:c r="K1176" s="24" t="str">
        <x:v>use-based leveling; practice progression</x:v>
      </x:c>
      <x:c r="L1176" s="24" t="str">
        <x:v>Preserve each source's ontology, culture, history, and terminology when making comparisons.</x:v>
      </x:c>
      <x:c r="M1176" s="24" t="str">
        <x:v>Core Family</x:v>
      </x:c>
    </x:row>
    <x:row r="1177" ht="44" customHeight="1">
      <x:c r="A1177" s="24" t="str">
        <x:v>MEC-312</x:v>
      </x:c>
      <x:c r="B1177" s="24" t="str">
        <x:v>Point-Buy Progression</x:v>
      </x:c>
      <x:c r="C1177" s="24" t="str">
        <x:v>Game-Mechanical Archetypes</x:v>
      </x:c>
      <x:c r="D1177" s="24" t="str">
        <x:v>MEC-300</x:v>
      </x:c>
      <x:c r="E1177" s="24" t="str">
        <x:f>IF(D1177="","",IFERROR(VLOOKUP(D1177,$A$2:$B$1656,2,FALSE),""))</x:f>
        <x:v>Progression and Build Models</x:v>
      </x:c>
      <x:c r="F1177" s="24" t="n">
        <x:v>3</x:v>
      </x:c>
      <x:c r="G1177" s="24" t="str">
        <x:v>Players allocate earned points directly among attributes, skills, powers, or perks.</x:v>
      </x:c>
      <x:c r="H1177" s="24" t="str">
        <x:v>Record system, edition, encounter assumptions, and party size before comparing balance.</x:v>
      </x:c>
      <x:c r="I1177" s="24" t="str">
        <x:v>point buy; free allocation</x:v>
      </x:c>
      <x:c r="J1177" s="24" t="str">
        <x:v>Defines character differentiation, advancement, replayability, and build identity.</x:v>
      </x:c>
      <x:c r="K1177" s="24" t="str">
        <x:v>point buy; free allocation</x:v>
      </x:c>
      <x:c r="L1177" s="24" t="str">
        <x:v>Preserve each source's ontology, culture, history, and terminology when making comparisons.</x:v>
      </x:c>
      <x:c r="M1177" s="24" t="str">
        <x:v>Core Family</x:v>
      </x:c>
    </x:row>
    <x:row r="1178" ht="44" customHeight="1">
      <x:c r="A1178" s="24" t="str">
        <x:v>MEC-313</x:v>
      </x:c>
      <x:c r="B1178" s="24" t="str">
        <x:v>Narrative Advancement</x:v>
      </x:c>
      <x:c r="C1178" s="24" t="str">
        <x:v>Game-Mechanical Archetypes</x:v>
      </x:c>
      <x:c r="D1178" s="24" t="str">
        <x:v>MEC-300</x:v>
      </x:c>
      <x:c r="E1178" s="24" t="str">
        <x:f>IF(D1178="","",IFERROR(VLOOKUP(D1178,$A$2:$B$1656,2,FALSE),""))</x:f>
        <x:v>Progression and Build Models</x:v>
      </x:c>
      <x:c r="F1178" s="24" t="n">
        <x:v>3</x:v>
      </x:c>
      <x:c r="G1178" s="24" t="str">
        <x:v>New abilities and status are gained primarily through story events, relationships, training, and consequences.</x:v>
      </x:c>
      <x:c r="H1178" s="24" t="str">
        <x:v>Record system, edition, encounter assumptions, and party size before comparing balance.</x:v>
      </x:c>
      <x:c r="I1178" s="24" t="str">
        <x:v>milestone; fiction-first advancement</x:v>
      </x:c>
      <x:c r="J1178" s="24" t="str">
        <x:v>Defines character differentiation, advancement, replayability, and build identity.</x:v>
      </x:c>
      <x:c r="K1178" s="24" t="str">
        <x:v>milestone; fiction-first advancement</x:v>
      </x:c>
      <x:c r="L1178" s="24" t="str">
        <x:v>Preserve each source's ontology, culture, history, and terminology when making comparisons.</x:v>
      </x:c>
      <x:c r="M1178" s="24" t="str">
        <x:v>Core Family</x:v>
      </x:c>
    </x:row>
    <x:row r="1179" ht="44" customHeight="1">
      <x:c r="A1179" s="24" t="str">
        <x:v>MEC-314</x:v>
      </x:c>
      <x:c r="B1179" s="24" t="str">
        <x:v>Rank and Promotion System</x:v>
      </x:c>
      <x:c r="C1179" s="24" t="str">
        <x:v>Game-Mechanical Archetypes</x:v>
      </x:c>
      <x:c r="D1179" s="24" t="str">
        <x:v>MEC-300</x:v>
      </x:c>
      <x:c r="E1179" s="24" t="str">
        <x:f>IF(D1179="","",IFERROR(VLOOKUP(D1179,$A$2:$B$1656,2,FALSE),""))</x:f>
        <x:v>Progression and Build Models</x:v>
      </x:c>
      <x:c r="F1179" s="24" t="n">
        <x:v>3</x:v>
      </x:c>
      <x:c r="G1179" s="24" t="str">
        <x:v>Progression is tied to formal military, guild, hunter, or sect rank.</x:v>
      </x:c>
      <x:c r="H1179" s="24" t="str">
        <x:v>Record system, edition, encounter assumptions, and party size before comparing balance.</x:v>
      </x:c>
      <x:c r="I1179" s="24" t="str">
        <x:v>promotion; guild rank; hunter grade</x:v>
      </x:c>
      <x:c r="J1179" s="24" t="str">
        <x:v>Defines character differentiation, advancement, replayability, and build identity.</x:v>
      </x:c>
      <x:c r="K1179" s="24" t="str">
        <x:v>promotion; guild rank; hunter grade</x:v>
      </x:c>
      <x:c r="L1179" s="24" t="str">
        <x:v>Preserve each source's ontology, culture, history, and terminology when making comparisons.</x:v>
      </x:c>
      <x:c r="M1179" s="24" t="str">
        <x:v>Core Family</x:v>
      </x:c>
    </x:row>
    <x:row r="1180" ht="44" customHeight="1">
      <x:c r="A1180" s="24" t="str">
        <x:v>MEC-315</x:v>
      </x:c>
      <x:c r="B1180" s="24" t="str">
        <x:v>Cultivation Realm System</x:v>
      </x:c>
      <x:c r="C1180" s="24" t="str">
        <x:v>Game-Mechanical Archetypes</x:v>
      </x:c>
      <x:c r="D1180" s="24" t="str">
        <x:v>MEC-300</x:v>
      </x:c>
      <x:c r="E1180" s="24" t="str">
        <x:f>IF(D1180="","",IFERROR(VLOOKUP(D1180,$A$2:$B$1656,2,FALSE),""))</x:f>
        <x:v>Progression and Build Models</x:v>
      </x:c>
      <x:c r="F1180" s="24" t="n">
        <x:v>3</x:v>
      </x:c>
      <x:c r="G1180" s="24" t="str">
        <x:v>Progression passes through named metaphysical stages with qualitative transformations.</x:v>
      </x:c>
      <x:c r="H1180" s="24" t="str">
        <x:v>Record system, edition, encounter assumptions, and party size before comparing balance.</x:v>
      </x:c>
      <x:c r="I1180" s="24" t="str">
        <x:v>cultivation stages; realms; breakthroughs</x:v>
      </x:c>
      <x:c r="J1180" s="24" t="str">
        <x:v>Defines character differentiation, advancement, replayability, and build identity.</x:v>
      </x:c>
      <x:c r="K1180" s="24" t="str">
        <x:v>cultivation stages; realms; breakthroughs</x:v>
      </x:c>
      <x:c r="L1180" s="24" t="str">
        <x:v>Preserve each source's ontology, culture, history, and terminology when making comparisons.</x:v>
      </x:c>
      <x:c r="M1180" s="24" t="str">
        <x:v>Core Family</x:v>
      </x:c>
    </x:row>
    <x:row r="1181" ht="44" customHeight="1">
      <x:c r="A1181" s="24" t="str">
        <x:v>MEC-316</x:v>
      </x:c>
      <x:c r="B1181" s="24" t="str">
        <x:v>Evolution System</x:v>
      </x:c>
      <x:c r="C1181" s="24" t="str">
        <x:v>Game-Mechanical Archetypes</x:v>
      </x:c>
      <x:c r="D1181" s="24" t="str">
        <x:v>MEC-300</x:v>
      </x:c>
      <x:c r="E1181" s="24" t="str">
        <x:f>IF(D1181="","",IFERROR(VLOOKUP(D1181,$A$2:$B$1656,2,FALSE),""))</x:f>
        <x:v>Progression and Build Models</x:v>
      </x:c>
      <x:c r="F1181" s="24" t="n">
        <x:v>3</x:v>
      </x:c>
      <x:c r="G1181" s="24" t="str">
        <x:v>A creature or character changes species, form, or class after meeting conditions.</x:v>
      </x:c>
      <x:c r="H1181" s="24" t="str">
        <x:v>Record system, edition, encounter assumptions, and party size before comparing balance.</x:v>
      </x:c>
      <x:c r="I1181" s="24" t="str">
        <x:v>evolution; class evolution; metamorphosis</x:v>
      </x:c>
      <x:c r="J1181" s="24" t="str">
        <x:v>Defines character differentiation, advancement, replayability, and build identity.</x:v>
      </x:c>
      <x:c r="K1181" s="24" t="str">
        <x:v>evolution; class evolution; metamorphosis</x:v>
      </x:c>
      <x:c r="L1181" s="24" t="str">
        <x:v>Preserve each source's ontology, culture, history, and terminology when making comparisons.</x:v>
      </x:c>
      <x:c r="M1181" s="24" t="str">
        <x:v>Core Family</x:v>
      </x:c>
    </x:row>
    <x:row r="1182" ht="44" customHeight="1">
      <x:c r="A1182" s="24" t="str">
        <x:v>MEC-317</x:v>
      </x:c>
      <x:c r="B1182" s="24" t="str">
        <x:v>Reincarnation or Reset Progression</x:v>
      </x:c>
      <x:c r="C1182" s="24" t="str">
        <x:v>Game-Mechanical Archetypes</x:v>
      </x:c>
      <x:c r="D1182" s="24" t="str">
        <x:v>MEC-300</x:v>
      </x:c>
      <x:c r="E1182" s="24" t="str">
        <x:f>IF(D1182="","",IFERROR(VLOOKUP(D1182,$A$2:$B$1656,2,FALSE),""))</x:f>
        <x:v>Progression and Build Models</x:v>
      </x:c>
      <x:c r="F1182" s="24" t="n">
        <x:v>3</x:v>
      </x:c>
      <x:c r="G1182" s="24" t="str">
        <x:v>Character restarts with retained bonuses, knowledge, traits, or meta-currency.</x:v>
      </x:c>
      <x:c r="H1182" s="24" t="str">
        <x:v>Record system, edition, encounter assumptions, and party size before comparing balance.</x:v>
      </x:c>
      <x:c r="I1182" s="24" t="str">
        <x:v>rebirth; prestige reset; new game plus</x:v>
      </x:c>
      <x:c r="J1182" s="24" t="str">
        <x:v>Defines character differentiation, advancement, replayability, and build identity.</x:v>
      </x:c>
      <x:c r="K1182" s="24" t="str">
        <x:v>rebirth; prestige reset; new game plus</x:v>
      </x:c>
      <x:c r="L1182" s="24" t="str">
        <x:v>Preserve each source's ontology, culture, history, and terminology when making comparisons.</x:v>
      </x:c>
      <x:c r="M1182" s="24" t="str">
        <x:v>Core Family</x:v>
      </x:c>
    </x:row>
    <x:row r="1183" ht="44" customHeight="1">
      <x:c r="A1183" s="24" t="str">
        <x:v>MEC-318</x:v>
      </x:c>
      <x:c r="B1183" s="24" t="str">
        <x:v>Inheritance System</x:v>
      </x:c>
      <x:c r="C1183" s="24" t="str">
        <x:v>Game-Mechanical Archetypes</x:v>
      </x:c>
      <x:c r="D1183" s="24" t="str">
        <x:v>MEC-300</x:v>
      </x:c>
      <x:c r="E1183" s="24" t="str">
        <x:f>IF(D1183="","",IFERROR(VLOOKUP(D1183,$A$2:$B$1656,2,FALSE),""))</x:f>
        <x:v>Progression and Build Models</x:v>
      </x:c>
      <x:c r="F1183" s="24" t="n">
        <x:v>3</x:v>
      </x:c>
      <x:c r="G1183" s="24" t="str">
        <x:v>Abilities, items, titles, or traits pass to descendants, successors, clones, or later runs.</x:v>
      </x:c>
      <x:c r="H1183" s="24" t="str">
        <x:v>Record system, edition, encounter assumptions, and party size before comparing balance.</x:v>
      </x:c>
      <x:c r="I1183" s="24" t="str">
        <x:v>legacy; bloodline; generational transfer</x:v>
      </x:c>
      <x:c r="J1183" s="24" t="str">
        <x:v>Defines character differentiation, advancement, replayability, and build identity.</x:v>
      </x:c>
      <x:c r="K1183" s="24" t="str">
        <x:v>legacy; bloodline; generational transfer</x:v>
      </x:c>
      <x:c r="L1183" s="24" t="str">
        <x:v>Preserve each source's ontology, culture, history, and terminology when making comparisons.</x:v>
      </x:c>
      <x:c r="M1183" s="24" t="str">
        <x:v>Core Family</x:v>
      </x:c>
    </x:row>
    <x:row r="1184" ht="44" customHeight="1">
      <x:c r="A1184" s="24" t="str">
        <x:v>MEC-319</x:v>
      </x:c>
      <x:c r="B1184" s="24" t="str">
        <x:v>Companion Collection System</x:v>
      </x:c>
      <x:c r="C1184" s="24" t="str">
        <x:v>Game-Mechanical Archetypes</x:v>
      </x:c>
      <x:c r="D1184" s="24" t="str">
        <x:v>MEC-300</x:v>
      </x:c>
      <x:c r="E1184" s="24" t="str">
        <x:f>IF(D1184="","",IFERROR(VLOOKUP(D1184,$A$2:$B$1656,2,FALSE),""))</x:f>
        <x:v>Progression and Build Models</x:v>
      </x:c>
      <x:c r="F1184" s="24" t="n">
        <x:v>3</x:v>
      </x:c>
      <x:c r="G1184" s="24" t="str">
        <x:v>Progression centers on recruiting, summoning, breeding, or improving a roster of allies.</x:v>
      </x:c>
      <x:c r="H1184" s="24" t="str">
        <x:v>Record system, edition, encounter assumptions, and party size before comparing balance.</x:v>
      </x:c>
      <x:c r="I1184" s="24" t="str">
        <x:v>monster collection; gacha roster; recruit system</x:v>
      </x:c>
      <x:c r="J1184" s="24" t="str">
        <x:v>Defines character differentiation, advancement, replayability, and build identity.</x:v>
      </x:c>
      <x:c r="K1184" s="24" t="str">
        <x:v>monster collection; gacha roster; recruit system</x:v>
      </x:c>
      <x:c r="L1184" s="24" t="str">
        <x:v>Preserve each source's ontology, culture, history, and terminology when making comparisons.</x:v>
      </x:c>
      <x:c r="M1184" s="24" t="str">
        <x:v>Core Family</x:v>
      </x:c>
    </x:row>
    <x:row r="1185" ht="44" customHeight="1">
      <x:c r="A1185" s="24" t="str">
        <x:v>MEC-320</x:v>
      </x:c>
      <x:c r="B1185" s="24" t="str">
        <x:v>Crafting Progression</x:v>
      </x:c>
      <x:c r="C1185" s="24" t="str">
        <x:v>Game-Mechanical Archetypes</x:v>
      </x:c>
      <x:c r="D1185" s="24" t="str">
        <x:v>MEC-300</x:v>
      </x:c>
      <x:c r="E1185" s="24" t="str">
        <x:f>IF(D1185="","",IFERROR(VLOOKUP(D1185,$A$2:$B$1656,2,FALSE),""))</x:f>
        <x:v>Progression and Build Models</x:v>
      </x:c>
      <x:c r="F1185" s="24" t="n">
        <x:v>3</x:v>
      </x:c>
      <x:c r="G1185" s="24" t="str">
        <x:v>Character grows through recipes, material quality, tools, workshop capacity, and production mastery.</x:v>
      </x:c>
      <x:c r="H1185" s="24" t="str">
        <x:v>Record system, edition, encounter assumptions, and party size before comparing balance.</x:v>
      </x:c>
      <x:c r="I1185" s="24" t="str">
        <x:v>craft levels; artisan progression</x:v>
      </x:c>
      <x:c r="J1185" s="24" t="str">
        <x:v>Defines character differentiation, advancement, replayability, and build identity.</x:v>
      </x:c>
      <x:c r="K1185" s="24" t="str">
        <x:v>craft levels; artisan progression</x:v>
      </x:c>
      <x:c r="L1185" s="24" t="str">
        <x:v>Preserve each source's ontology, culture, history, and terminology when making comparisons.</x:v>
      </x:c>
      <x:c r="M1185" s="24" t="str">
        <x:v>Core Family</x:v>
      </x:c>
    </x:row>
    <x:row r="1186" ht="44" customHeight="1">
      <x:c r="A1186" s="24" t="str">
        <x:v>MEC-321</x:v>
      </x:c>
      <x:c r="B1186" s="24" t="str">
        <x:v>Faction Reputation Progression</x:v>
      </x:c>
      <x:c r="C1186" s="24" t="str">
        <x:v>Game-Mechanical Archetypes</x:v>
      </x:c>
      <x:c r="D1186" s="24" t="str">
        <x:v>MEC-300</x:v>
      </x:c>
      <x:c r="E1186" s="24" t="str">
        <x:f>IF(D1186="","",IFERROR(VLOOKUP(D1186,$A$2:$B$1656,2,FALSE),""))</x:f>
        <x:v>Progression and Build Models</x:v>
      </x:c>
      <x:c r="F1186" s="24" t="n">
        <x:v>3</x:v>
      </x:c>
      <x:c r="G1186" s="24" t="str">
        <x:v>Access and power increase through standing with institutions, peoples, or political groups.</x:v>
      </x:c>
      <x:c r="H1186" s="24" t="str">
        <x:v>Record system, edition, encounter assumptions, and party size before comparing balance.</x:v>
      </x:c>
      <x:c r="I1186" s="24" t="str">
        <x:v>reputation; renown; faction rank</x:v>
      </x:c>
      <x:c r="J1186" s="24" t="str">
        <x:v>Defines character differentiation, advancement, replayability, and build identity.</x:v>
      </x:c>
      <x:c r="K1186" s="24" t="str">
        <x:v>reputation; renown; faction rank</x:v>
      </x:c>
      <x:c r="L1186" s="24" t="str">
        <x:v>Preserve each source's ontology, culture, history, and terminology when making comparisons.</x:v>
      </x:c>
      <x:c r="M1186" s="24" t="str">
        <x:v>Core Family</x:v>
      </x:c>
    </x:row>
    <x:row r="1187" ht="44" customHeight="1">
      <x:c r="A1187" s="24" t="str">
        <x:v>MEC-322</x:v>
      </x:c>
      <x:c r="B1187" s="24" t="str">
        <x:v>Moral Alignment Progression</x:v>
      </x:c>
      <x:c r="C1187" s="24" t="str">
        <x:v>Game-Mechanical Archetypes</x:v>
      </x:c>
      <x:c r="D1187" s="24" t="str">
        <x:v>MEC-300</x:v>
      </x:c>
      <x:c r="E1187" s="24" t="str">
        <x:f>IF(D1187="","",IFERROR(VLOOKUP(D1187,$A$2:$B$1656,2,FALSE),""))</x:f>
        <x:v>Progression and Build Models</x:v>
      </x:c>
      <x:c r="F1187" s="24" t="n">
        <x:v>3</x:v>
      </x:c>
      <x:c r="G1187" s="24" t="str">
        <x:v>Abilities, classes, factions, or outcomes change in response to ethical or ideological choices.</x:v>
      </x:c>
      <x:c r="H1187" s="24" t="str">
        <x:v>Record system, edition, encounter assumptions, and party size before comparing balance.</x:v>
      </x:c>
      <x:c r="I1187" s="24" t="str">
        <x:v>alignment path; morality meter; law/chaos</x:v>
      </x:c>
      <x:c r="J1187" s="24" t="str">
        <x:v>Defines character differentiation, advancement, replayability, and build identity.</x:v>
      </x:c>
      <x:c r="K1187" s="24" t="str">
        <x:v>alignment path; morality meter; law/chaos</x:v>
      </x:c>
      <x:c r="L1187" s="24" t="str">
        <x:v>Preserve each source's ontology, culture, history, and terminology when making comparisons.</x:v>
      </x:c>
      <x:c r="M1187" s="24" t="str">
        <x:v>Core Family</x:v>
      </x:c>
    </x:row>
    <x:row r="1188" ht="44" customHeight="1">
      <x:c r="A1188" s="24" t="str">
        <x:v>MEC-323</x:v>
      </x:c>
      <x:c r="B1188" s="24" t="str">
        <x:v>Transformation Progression</x:v>
      </x:c>
      <x:c r="C1188" s="24" t="str">
        <x:v>Game-Mechanical Archetypes</x:v>
      </x:c>
      <x:c r="D1188" s="24" t="str">
        <x:v>MEC-300</x:v>
      </x:c>
      <x:c r="E1188" s="24" t="str">
        <x:f>IF(D1188="","",IFERROR(VLOOKUP(D1188,$A$2:$B$1656,2,FALSE),""))</x:f>
        <x:v>Progression and Build Models</x:v>
      </x:c>
      <x:c r="F1188" s="24" t="n">
        <x:v>3</x:v>
      </x:c>
      <x:c r="G1188" s="24" t="str">
        <x:v>Character unlocks increasingly powerful forms, modes, or sequences.</x:v>
      </x:c>
      <x:c r="H1188" s="24" t="str">
        <x:v>Record system, edition, encounter assumptions, and party size before comparing balance.</x:v>
      </x:c>
      <x:c r="I1188" s="24" t="str">
        <x:v>form ladder; transformations; ascension</x:v>
      </x:c>
      <x:c r="J1188" s="24" t="str">
        <x:v>Defines character differentiation, advancement, replayability, and build identity.</x:v>
      </x:c>
      <x:c r="K1188" s="24" t="str">
        <x:v>form ladder; transformations; ascension</x:v>
      </x:c>
      <x:c r="L1188" s="24" t="str">
        <x:v>Preserve each source's ontology, culture, history, and terminology when making comparisons.</x:v>
      </x:c>
      <x:c r="M1188" s="24" t="str">
        <x:v>Core Family</x:v>
      </x:c>
    </x:row>
    <x:row r="1189" ht="44" customHeight="1">
      <x:c r="A1189" s="24" t="str">
        <x:v>MEC-324</x:v>
      </x:c>
      <x:c r="B1189" s="24" t="str">
        <x:v>Copy-and-Learn Progression</x:v>
      </x:c>
      <x:c r="C1189" s="24" t="str">
        <x:v>Game-Mechanical Archetypes</x:v>
      </x:c>
      <x:c r="D1189" s="24" t="str">
        <x:v>MEC-300</x:v>
      </x:c>
      <x:c r="E1189" s="24" t="str">
        <x:f>IF(D1189="","",IFERROR(VLOOKUP(D1189,$A$2:$B$1656,2,FALSE),""))</x:f>
        <x:v>Progression and Build Models</x:v>
      </x:c>
      <x:c r="F1189" s="24" t="n">
        <x:v>3</x:v>
      </x:c>
      <x:c r="G1189" s="24" t="str">
        <x:v>Growth depends on observing, consuming, defeating, or analyzing other beings.</x:v>
      </x:c>
      <x:c r="H1189" s="24" t="str">
        <x:v>Record system, edition, encounter assumptions, and party size before comparing balance.</x:v>
      </x:c>
      <x:c r="I1189" s="24" t="str">
        <x:v>blue mage learning; skill absorption; mimic progression</x:v>
      </x:c>
      <x:c r="J1189" s="24" t="str">
        <x:v>Defines character differentiation, advancement, replayability, and build identity.</x:v>
      </x:c>
      <x:c r="K1189" s="24" t="str">
        <x:v>blue mage learning; skill absorption; mimic progression</x:v>
      </x:c>
      <x:c r="L1189" s="24" t="str">
        <x:v>Preserve each source's ontology, culture, history, and terminology when making comparisons.</x:v>
      </x:c>
      <x:c r="M1189" s="24" t="str">
        <x:v>Core Family</x:v>
      </x:c>
    </x:row>
    <x:row r="1190" ht="44" customHeight="1">
      <x:c r="A1190" s="24" t="str">
        <x:v>MEC-325</x:v>
      </x:c>
      <x:c r="B1190" s="24" t="str">
        <x:v>Procedural or Random Build</x:v>
      </x:c>
      <x:c r="C1190" s="24" t="str">
        <x:v>Game-Mechanical Archetypes</x:v>
      </x:c>
      <x:c r="D1190" s="24" t="str">
        <x:v>MEC-300</x:v>
      </x:c>
      <x:c r="E1190" s="24" t="str">
        <x:f>IF(D1190="","",IFERROR(VLOOKUP(D1190,$A$2:$B$1656,2,FALSE),""))</x:f>
        <x:v>Progression and Build Models</x:v>
      </x:c>
      <x:c r="F1190" s="24" t="n">
        <x:v>3</x:v>
      </x:c>
      <x:c r="G1190" s="24" t="str">
        <x:v>Available powers are generated or offered unpredictably, making adaptation central.</x:v>
      </x:c>
      <x:c r="H1190" s="24" t="str">
        <x:v>Record system, edition, encounter assumptions, and party size before comparing balance.</x:v>
      </x:c>
      <x:c r="I1190" s="24" t="str">
        <x:v>roguelike build; random perks; draft progression</x:v>
      </x:c>
      <x:c r="J1190" s="24" t="str">
        <x:v>Defines character differentiation, advancement, replayability, and build identity.</x:v>
      </x:c>
      <x:c r="K1190" s="24" t="str">
        <x:v>roguelike build; random perks; draft progression</x:v>
      </x:c>
      <x:c r="L1190" s="24" t="str">
        <x:v>Preserve each source's ontology, culture, history, and terminology when making comparisons.</x:v>
      </x:c>
      <x:c r="M1190" s="24" t="str">
        <x:v>Core Family</x:v>
      </x:c>
    </x:row>
    <x:row r="1191" ht="44" customHeight="1">
      <x:c r="A1191" s="24" t="str">
        <x:v>MEC-326</x:v>
      </x:c>
      <x:c r="B1191" s="24" t="str">
        <x:v>Deck-Building Progression</x:v>
      </x:c>
      <x:c r="C1191" s="24" t="str">
        <x:v>Game-Mechanical Archetypes</x:v>
      </x:c>
      <x:c r="D1191" s="24" t="str">
        <x:v>MEC-300</x:v>
      </x:c>
      <x:c r="E1191" s="24" t="str">
        <x:f>IF(D1191="","",IFERROR(VLOOKUP(D1191,$A$2:$B$1656,2,FALSE),""))</x:f>
        <x:v>Progression and Build Models</x:v>
      </x:c>
      <x:c r="F1191" s="24" t="n">
        <x:v>3</x:v>
      </x:c>
      <x:c r="G1191" s="24" t="str">
        <x:v>Character's tactical identity is defined by acquiring, removing, and combining cards or actions.</x:v>
      </x:c>
      <x:c r="H1191" s="24" t="str">
        <x:v>Record system, edition, encounter assumptions, and party size before comparing balance.</x:v>
      </x:c>
      <x:c r="I1191" s="24" t="str">
        <x:v>deckbuilder; card loadout; spell deck</x:v>
      </x:c>
      <x:c r="J1191" s="24" t="str">
        <x:v>Defines character differentiation, advancement, replayability, and build identity.</x:v>
      </x:c>
      <x:c r="K1191" s="24" t="str">
        <x:v>deckbuilder; card loadout; spell deck</x:v>
      </x:c>
      <x:c r="L1191" s="24" t="str">
        <x:v>Preserve each source's ontology, culture, history, and terminology when making comparisons.</x:v>
      </x:c>
      <x:c r="M1191" s="24" t="str">
        <x:v>Core Family</x:v>
      </x:c>
    </x:row>
    <x:row r="1192" ht="44" customHeight="1">
      <x:c r="A1192" s="24" t="str">
        <x:v>MEC-327</x:v>
      </x:c>
      <x:c r="B1192" s="24" t="str">
        <x:v>Social-Bond Progression</x:v>
      </x:c>
      <x:c r="C1192" s="24" t="str">
        <x:v>Game-Mechanical Archetypes</x:v>
      </x:c>
      <x:c r="D1192" s="24" t="str">
        <x:v>MEC-300</x:v>
      </x:c>
      <x:c r="E1192" s="24" t="str">
        <x:f>IF(D1192="","",IFERROR(VLOOKUP(D1192,$A$2:$B$1656,2,FALSE),""))</x:f>
        <x:v>Progression and Build Models</x:v>
      </x:c>
      <x:c r="F1192" s="24" t="n">
        <x:v>3</x:v>
      </x:c>
      <x:c r="G1192" s="24" t="str">
        <x:v>Relationships unlock abilities, classes, teamwork actions, or narrative power.</x:v>
      </x:c>
      <x:c r="H1192" s="24" t="str">
        <x:v>Record system, edition, encounter assumptions, and party size before comparing balance.</x:v>
      </x:c>
      <x:c r="I1192" s="24" t="str">
        <x:v>support rank; bonds; social links</x:v>
      </x:c>
      <x:c r="J1192" s="24" t="str">
        <x:v>Defines character differentiation, advancement, replayability, and build identity.</x:v>
      </x:c>
      <x:c r="K1192" s="24" t="str">
        <x:v>support rank; bonds; social links</x:v>
      </x:c>
      <x:c r="L1192" s="24" t="str">
        <x:v>Preserve each source's ontology, culture, history, and terminology when making comparisons.</x:v>
      </x:c>
      <x:c r="M1192" s="24" t="str">
        <x:v>Core Family</x:v>
      </x:c>
    </x:row>
    <x:row r="1193" ht="44" customHeight="1">
      <x:c r="A1193" s="24" t="str">
        <x:v>MEC-328</x:v>
      </x:c>
      <x:c r="B1193" s="24" t="str">
        <x:v>Settlement or Kingdom Progression</x:v>
      </x:c>
      <x:c r="C1193" s="24" t="str">
        <x:v>Game-Mechanical Archetypes</x:v>
      </x:c>
      <x:c r="D1193" s="24" t="str">
        <x:v>MEC-300</x:v>
      </x:c>
      <x:c r="E1193" s="24" t="str">
        <x:f>IF(D1193="","",IFERROR(VLOOKUP(D1193,$A$2:$B$1656,2,FALSE),""))</x:f>
        <x:v>Progression and Build Models</x:v>
      </x:c>
      <x:c r="F1193" s="24" t="n">
        <x:v>3</x:v>
      </x:c>
      <x:c r="G1193" s="24" t="str">
        <x:v>Character power grows through building institutions, population, territory, and infrastructure.</x:v>
      </x:c>
      <x:c r="H1193" s="24" t="str">
        <x:v>Record system, edition, encounter assumptions, and party size before comparing balance.</x:v>
      </x:c>
      <x:c r="I1193" s="24" t="str">
        <x:v>kingdom building; base upgrade; domain play</x:v>
      </x:c>
      <x:c r="J1193" s="24" t="str">
        <x:v>Defines character differentiation, advancement, replayability, and build identity.</x:v>
      </x:c>
      <x:c r="K1193" s="24" t="str">
        <x:v>kingdom building; base upgrade; domain play</x:v>
      </x:c>
      <x:c r="L1193" s="24" t="str">
        <x:v>Preserve each source's ontology, culture, history, and terminology when making comparisons.</x:v>
      </x:c>
      <x:c r="M1193" s="24" t="str">
        <x:v>Core Family</x:v>
      </x:c>
    </x:row>
    <x:row r="1194" ht="44" customHeight="1">
      <x:c r="A1194" s="24" t="str">
        <x:v>MEC-329</x:v>
      </x:c>
      <x:c r="B1194" s="24" t="str">
        <x:v>World-Level Scaling</x:v>
      </x:c>
      <x:c r="C1194" s="24" t="str">
        <x:v>Game-Mechanical Archetypes</x:v>
      </x:c>
      <x:c r="D1194" s="24" t="str">
        <x:v>MEC-300</x:v>
      </x:c>
      <x:c r="E1194" s="24" t="str">
        <x:f>IF(D1194="","",IFERROR(VLOOKUP(D1194,$A$2:$B$1656,2,FALSE),""))</x:f>
        <x:v>Progression and Build Models</x:v>
      </x:c>
      <x:c r="F1194" s="24" t="n">
        <x:v>3</x:v>
      </x:c>
      <x:c r="G1194" s="24" t="str">
        <x:v>Enemies and encounters adjust to character level or progression rather than fixed geography.</x:v>
      </x:c>
      <x:c r="H1194" s="24" t="str">
        <x:v>Record system, edition, encounter assumptions, and party size before comparing balance.</x:v>
      </x:c>
      <x:c r="I1194" s="24" t="str">
        <x:v>level scaling; adaptive world</x:v>
      </x:c>
      <x:c r="J1194" s="24" t="str">
        <x:v>Defines character differentiation, advancement, replayability, and build identity.</x:v>
      </x:c>
      <x:c r="K1194" s="24" t="str">
        <x:v>level scaling; adaptive world</x:v>
      </x:c>
      <x:c r="L1194" s="24" t="str">
        <x:v>Preserve each source's ontology, culture, history, and terminology when making comparisons.</x:v>
      </x:c>
      <x:c r="M1194" s="24" t="str">
        <x:v>Core Family</x:v>
      </x:c>
    </x:row>
    <x:row r="1195" ht="44" customHeight="1">
      <x:c r="A1195" s="24" t="str">
        <x:v>MEC-330</x:v>
      </x:c>
      <x:c r="B1195" s="24" t="str">
        <x:v>Horizontal Progression</x:v>
      </x:c>
      <x:c r="C1195" s="24" t="str">
        <x:v>Game-Mechanical Archetypes</x:v>
      </x:c>
      <x:c r="D1195" s="24" t="str">
        <x:v>MEC-300</x:v>
      </x:c>
      <x:c r="E1195" s="24" t="str">
        <x:f>IF(D1195="","",IFERROR(VLOOKUP(D1195,$A$2:$B$1656,2,FALSE),""))</x:f>
        <x:v>Progression and Build Models</x:v>
      </x:c>
      <x:c r="F1195" s="24" t="n">
        <x:v>3</x:v>
      </x:c>
      <x:c r="G1195" s="24" t="str">
        <x:v>Growth expands options and flexibility without large numerical power increases.</x:v>
      </x:c>
      <x:c r="H1195" s="24" t="str">
        <x:v>Record system, edition, encounter assumptions, and party size before comparing balance.</x:v>
      </x:c>
      <x:c r="I1195" s="24" t="str">
        <x:v>horizontal growth; sidegrades</x:v>
      </x:c>
      <x:c r="J1195" s="24" t="str">
        <x:v>Defines character differentiation, advancement, replayability, and build identity.</x:v>
      </x:c>
      <x:c r="K1195" s="24" t="str">
        <x:v>horizontal growth; sidegrades</x:v>
      </x:c>
      <x:c r="L1195" s="24" t="str">
        <x:v>Preserve each source's ontology, culture, history, and terminology when making comparisons.</x:v>
      </x:c>
      <x:c r="M1195" s="24" t="str">
        <x:v>Core Family</x:v>
      </x:c>
    </x:row>
    <x:row r="1196" ht="44" customHeight="1">
      <x:c r="A1196" s="24" t="str">
        <x:v>MEC-331</x:v>
      </x:c>
      <x:c r="B1196" s="24" t="str">
        <x:v>Vertical Progression</x:v>
      </x:c>
      <x:c r="C1196" s="24" t="str">
        <x:v>Game-Mechanical Archetypes</x:v>
      </x:c>
      <x:c r="D1196" s="24" t="str">
        <x:v>MEC-300</x:v>
      </x:c>
      <x:c r="E1196" s="24" t="str">
        <x:f>IF(D1196="","",IFERROR(VLOOKUP(D1196,$A$2:$B$1656,2,FALSE),""))</x:f>
        <x:v>Progression and Build Models</x:v>
      </x:c>
      <x:c r="F1196" s="24" t="n">
        <x:v>3</x:v>
      </x:c>
      <x:c r="G1196" s="24" t="str">
        <x:v>Growth primarily increases numerical power, rank, tier, and access to stronger content.</x:v>
      </x:c>
      <x:c r="H1196" s="24" t="str">
        <x:v>Record system, edition, encounter assumptions, and party size before comparing balance.</x:v>
      </x:c>
      <x:c r="I1196" s="24" t="str">
        <x:v>vertical growth; gear treadmill</x:v>
      </x:c>
      <x:c r="J1196" s="24" t="str">
        <x:v>Defines character differentiation, advancement, replayability, and build identity.</x:v>
      </x:c>
      <x:c r="K1196" s="24" t="str">
        <x:v>vertical growth; gear treadmill</x:v>
      </x:c>
      <x:c r="L1196" s="24" t="str">
        <x:v>Preserve each source's ontology, culture, history, and terminology when making comparisons.</x:v>
      </x:c>
      <x:c r="M1196" s="24" t="str">
        <x:v>Core Family</x:v>
      </x:c>
    </x:row>
    <x:row r="1197" ht="44" customHeight="1">
      <x:c r="A1197" s="24" t="str">
        <x:v>MEC-401</x:v>
      </x:c>
      <x:c r="B1197" s="24" t="str">
        <x:v>Player Character</x:v>
      </x:c>
      <x:c r="C1197" s="24" t="str">
        <x:v>Game-Mechanical Archetypes</x:v>
      </x:c>
      <x:c r="D1197" s="24" t="str">
        <x:v>MEC-400</x:v>
      </x:c>
      <x:c r="E1197" s="24" t="str">
        <x:f>IF(D1197="","",IFERROR(VLOOKUP(D1197,$A$2:$B$1656,2,FALSE),""))</x:f>
        <x:v>Unit and Encounter Models</x:v>
      </x:c>
      <x:c r="F1197" s="24" t="n">
        <x:v>3</x:v>
      </x:c>
      <x:c r="G1197" s="24" t="str">
        <x:v>Individually controlled primary unit through which the player acts and progresses.</x:v>
      </x:c>
      <x:c r="H1197" s="24" t="str">
        <x:v>Record system, edition, encounter assumptions, and party size before comparing balance.</x:v>
      </x:c>
      <x:c r="I1197" s="24" t="str">
        <x:v>PC; hero unit; avatar</x:v>
      </x:c>
      <x:c r="J1197" s="24" t="str">
        <x:v>Defines control, encounter design, party composition, recruitment, loss, and noncombat gameplay.</x:v>
      </x:c>
      <x:c r="K1197" s="24" t="str">
        <x:v>PC; hero unit; avatar</x:v>
      </x:c>
      <x:c r="L1197" s="24" t="str">
        <x:v>Preserve each source's ontology, culture, history, and terminology when making comparisons.</x:v>
      </x:c>
      <x:c r="M1197" s="24" t="str">
        <x:v>Core Family</x:v>
      </x:c>
    </x:row>
    <x:row r="1198" ht="44" customHeight="1">
      <x:c r="A1198" s="24" t="str">
        <x:v>MEC-402</x:v>
      </x:c>
      <x:c r="B1198" s="24" t="str">
        <x:v>Companion Character</x:v>
      </x:c>
      <x:c r="C1198" s="24" t="str">
        <x:v>Game-Mechanical Archetypes</x:v>
      </x:c>
      <x:c r="D1198" s="24" t="str">
        <x:v>MEC-400</x:v>
      </x:c>
      <x:c r="E1198" s="24" t="str">
        <x:f>IF(D1198="","",IFERROR(VLOOKUP(D1198,$A$2:$B$1656,2,FALSE),""))</x:f>
        <x:v>Unit and Encounter Models</x:v>
      </x:c>
      <x:c r="F1198" s="24" t="n">
        <x:v>3</x:v>
      </x:c>
      <x:c r="G1198" s="24" t="str">
        <x:v>Persistent allied character with distinct identity, progression, and relationship to the player.</x:v>
      </x:c>
      <x:c r="H1198" s="24" t="str">
        <x:v>Record system, edition, encounter assumptions, and party size before comparing balance.</x:v>
      </x:c>
      <x:c r="I1198" s="24" t="str">
        <x:v>companion; party member; follower</x:v>
      </x:c>
      <x:c r="J1198" s="24" t="str">
        <x:v>Defines control, encounter design, party composition, recruitment, loss, and noncombat gameplay.</x:v>
      </x:c>
      <x:c r="K1198" s="24" t="str">
        <x:v>companion; party member; follower</x:v>
      </x:c>
      <x:c r="L1198" s="24" t="str">
        <x:v>Preserve each source's ontology, culture, history, and terminology when making comparisons.</x:v>
      </x:c>
      <x:c r="M1198" s="24" t="str">
        <x:v>Core Family</x:v>
      </x:c>
    </x:row>
    <x:row r="1199" ht="44" customHeight="1">
      <x:c r="A1199" s="24" t="str">
        <x:v>MEC-403</x:v>
      </x:c>
      <x:c r="B1199" s="24" t="str">
        <x:v>Hireling or Mercenary Unit</x:v>
      </x:c>
      <x:c r="C1199" s="24" t="str">
        <x:v>Game-Mechanical Archetypes</x:v>
      </x:c>
      <x:c r="D1199" s="24" t="str">
        <x:v>MEC-400</x:v>
      </x:c>
      <x:c r="E1199" s="24" t="str">
        <x:f>IF(D1199="","",IFERROR(VLOOKUP(D1199,$A$2:$B$1656,2,FALSE),""))</x:f>
        <x:v>Unit and Encounter Models</x:v>
      </x:c>
      <x:c r="F1199" s="24" t="n">
        <x:v>3</x:v>
      </x:c>
      <x:c r="G1199" s="24" t="str">
        <x:v>Replaceable or contract-based ally with limited narrative centrality.</x:v>
      </x:c>
      <x:c r="H1199" s="24" t="str">
        <x:v>Record system, edition, encounter assumptions, and party size before comparing balance.</x:v>
      </x:c>
      <x:c r="I1199" s="24" t="str">
        <x:v>hireling; mercenary; generic unit</x:v>
      </x:c>
      <x:c r="J1199" s="24" t="str">
        <x:v>Defines control, encounter design, party composition, recruitment, loss, and noncombat gameplay.</x:v>
      </x:c>
      <x:c r="K1199" s="24" t="str">
        <x:v>hireling; mercenary; generic unit</x:v>
      </x:c>
      <x:c r="L1199" s="24" t="str">
        <x:v>Preserve each source's ontology, culture, history, and terminology when making comparisons.</x:v>
      </x:c>
      <x:c r="M1199" s="24" t="str">
        <x:v>Core Family</x:v>
      </x:c>
    </x:row>
    <x:row r="1200" ht="44" customHeight="1">
      <x:c r="A1200" s="24" t="str">
        <x:v>MEC-404</x:v>
      </x:c>
      <x:c r="B1200" s="24" t="str">
        <x:v>Summoned Unit</x:v>
      </x:c>
      <x:c r="C1200" s="24" t="str">
        <x:v>Game-Mechanical Archetypes</x:v>
      </x:c>
      <x:c r="D1200" s="24" t="str">
        <x:v>MEC-400</x:v>
      </x:c>
      <x:c r="E1200" s="24" t="str">
        <x:f>IF(D1200="","",IFERROR(VLOOKUP(D1200,$A$2:$B$1656,2,FALSE),""))</x:f>
        <x:v>Unit and Encounter Models</x:v>
      </x:c>
      <x:c r="F1200" s="24" t="n">
        <x:v>3</x:v>
      </x:c>
      <x:c r="G1200" s="24" t="str">
        <x:v>Temporary or persistent ally created or called by an ability.</x:v>
      </x:c>
      <x:c r="H1200" s="24" t="str">
        <x:v>Record system, edition, encounter assumptions, and party size before comparing balance.</x:v>
      </x:c>
      <x:c r="I1200" s="24" t="str">
        <x:v>summon; minion; eidolon</x:v>
      </x:c>
      <x:c r="J1200" s="24" t="str">
        <x:v>Defines control, encounter design, party composition, recruitment, loss, and noncombat gameplay.</x:v>
      </x:c>
      <x:c r="K1200" s="24" t="str">
        <x:v>summon; minion; eidolon</x:v>
      </x:c>
      <x:c r="L1200" s="24" t="str">
        <x:v>Preserve each source's ontology, culture, history, and terminology when making comparisons.</x:v>
      </x:c>
      <x:c r="M1200" s="24" t="str">
        <x:v>Core Family</x:v>
      </x:c>
    </x:row>
    <x:row r="1201" ht="44" customHeight="1">
      <x:c r="A1201" s="24" t="str">
        <x:v>MEC-405</x:v>
      </x:c>
      <x:c r="B1201" s="24" t="str">
        <x:v>Pet or Tamed Unit</x:v>
      </x:c>
      <x:c r="C1201" s="24" t="str">
        <x:v>Game-Mechanical Archetypes</x:v>
      </x:c>
      <x:c r="D1201" s="24" t="str">
        <x:v>MEC-400</x:v>
      </x:c>
      <x:c r="E1201" s="24" t="str">
        <x:f>IF(D1201="","",IFERROR(VLOOKUP(D1201,$A$2:$B$1656,2,FALSE),""))</x:f>
        <x:v>Unit and Encounter Models</x:v>
      </x:c>
      <x:c r="F1201" s="24" t="n">
        <x:v>3</x:v>
      </x:c>
      <x:c r="G1201" s="24" t="str">
        <x:v>Companion creature trained, collected, or bonded rather than conventionally recruited.</x:v>
      </x:c>
      <x:c r="H1201" s="24" t="str">
        <x:v>Record system, edition, encounter assumptions, and party size before comparing balance.</x:v>
      </x:c>
      <x:c r="I1201" s="24" t="str">
        <x:v>pet; tamed monster; familiar</x:v>
      </x:c>
      <x:c r="J1201" s="24" t="str">
        <x:v>Defines control, encounter design, party composition, recruitment, loss, and noncombat gameplay.</x:v>
      </x:c>
      <x:c r="K1201" s="24" t="str">
        <x:v>pet; tamed monster; familiar</x:v>
      </x:c>
      <x:c r="L1201" s="24" t="str">
        <x:v>Preserve each source's ontology, culture, history, and terminology when making comparisons.</x:v>
      </x:c>
      <x:c r="M1201" s="24" t="str">
        <x:v>Core Family</x:v>
      </x:c>
    </x:row>
    <x:row r="1202" ht="44" customHeight="1">
      <x:c r="A1202" s="24" t="str">
        <x:v>MEC-406</x:v>
      </x:c>
      <x:c r="B1202" s="24" t="str">
        <x:v>Swarm or Squad Unit</x:v>
      </x:c>
      <x:c r="C1202" s="24" t="str">
        <x:v>Game-Mechanical Archetypes</x:v>
      </x:c>
      <x:c r="D1202" s="24" t="str">
        <x:v>MEC-400</x:v>
      </x:c>
      <x:c r="E1202" s="24" t="str">
        <x:f>IF(D1202="","",IFERROR(VLOOKUP(D1202,$A$2:$B$1656,2,FALSE),""))</x:f>
        <x:v>Unit and Encounter Models</x:v>
      </x:c>
      <x:c r="F1202" s="24" t="n">
        <x:v>3</x:v>
      </x:c>
      <x:c r="G1202" s="24" t="str">
        <x:v>One game unit represents multiple bodies acting together.</x:v>
      </x:c>
      <x:c r="H1202" s="24" t="str">
        <x:v>Record system, edition, encounter assumptions, and party size before comparing balance.</x:v>
      </x:c>
      <x:c r="I1202" s="24" t="str">
        <x:v>squad; swarm; troop unit</x:v>
      </x:c>
      <x:c r="J1202" s="24" t="str">
        <x:v>Defines control, encounter design, party composition, recruitment, loss, and noncombat gameplay.</x:v>
      </x:c>
      <x:c r="K1202" s="24" t="str">
        <x:v>squad; swarm; troop unit</x:v>
      </x:c>
      <x:c r="L1202" s="24" t="str">
        <x:v>Preserve each source's ontology, culture, history, and terminology when making comparisons.</x:v>
      </x:c>
      <x:c r="M1202" s="24" t="str">
        <x:v>Core Family</x:v>
      </x:c>
    </x:row>
    <x:row r="1203" ht="44" customHeight="1">
      <x:c r="A1203" s="24" t="str">
        <x:v>MEC-407</x:v>
      </x:c>
      <x:c r="B1203" s="24" t="str">
        <x:v>Hero Unit</x:v>
      </x:c>
      <x:c r="C1203" s="24" t="str">
        <x:v>Game-Mechanical Archetypes</x:v>
      </x:c>
      <x:c r="D1203" s="24" t="str">
        <x:v>MEC-400</x:v>
      </x:c>
      <x:c r="E1203" s="24" t="str">
        <x:f>IF(D1203="","",IFERROR(VLOOKUP(D1203,$A$2:$B$1656,2,FALSE),""))</x:f>
        <x:v>Unit and Encounter Models</x:v>
      </x:c>
      <x:c r="F1203" s="24" t="n">
        <x:v>3</x:v>
      </x:c>
      <x:c r="G1203" s="24" t="str">
        <x:v>Named elite unit with superior abilities, progression, and narrative significance.</x:v>
      </x:c>
      <x:c r="H1203" s="24" t="str">
        <x:v>Record system, edition, encounter assumptions, and party size before comparing balance.</x:v>
      </x:c>
      <x:c r="I1203" s="24" t="str">
        <x:v>hero; commander; named unit</x:v>
      </x:c>
      <x:c r="J1203" s="24" t="str">
        <x:v>Defines control, encounter design, party composition, recruitment, loss, and noncombat gameplay.</x:v>
      </x:c>
      <x:c r="K1203" s="24" t="str">
        <x:v>hero; commander; named unit</x:v>
      </x:c>
      <x:c r="L1203" s="24" t="str">
        <x:v>Preserve each source's ontology, culture, history, and terminology when making comparisons.</x:v>
      </x:c>
      <x:c r="M1203" s="24" t="str">
        <x:v>Core Family</x:v>
      </x:c>
    </x:row>
    <x:row r="1204" ht="44" customHeight="1">
      <x:c r="A1204" s="24" t="str">
        <x:v>MEC-408</x:v>
      </x:c>
      <x:c r="B1204" s="24" t="str">
        <x:v>Boss Unit</x:v>
      </x:c>
      <x:c r="C1204" s="24" t="str">
        <x:v>Game-Mechanical Archetypes</x:v>
      </x:c>
      <x:c r="D1204" s="24" t="str">
        <x:v>MEC-400</x:v>
      </x:c>
      <x:c r="E1204" s="24" t="str">
        <x:f>IF(D1204="","",IFERROR(VLOOKUP(D1204,$A$2:$B$1656,2,FALSE),""))</x:f>
        <x:v>Unit and Encounter Models</x:v>
      </x:c>
      <x:c r="F1204" s="24" t="n">
        <x:v>3</x:v>
      </x:c>
      <x:c r="G1204" s="24" t="str">
        <x:v>Encounter-defining enemy with exceptional health, phases, immunities, and mechanics.</x:v>
      </x:c>
      <x:c r="H1204" s="24" t="str">
        <x:v>Record system, edition, encounter assumptions, and party size before comparing balance.</x:v>
      </x:c>
      <x:c r="I1204" s="24" t="str">
        <x:v>boss; raid boss; final enemy</x:v>
      </x:c>
      <x:c r="J1204" s="24" t="str">
        <x:v>Defines control, encounter design, party composition, recruitment, loss, and noncombat gameplay.</x:v>
      </x:c>
      <x:c r="K1204" s="24" t="str">
        <x:v>boss; raid boss; final enemy</x:v>
      </x:c>
      <x:c r="L1204" s="24" t="str">
        <x:v>Preserve each source's ontology, culture, history, and terminology when making comparisons.</x:v>
      </x:c>
      <x:c r="M1204" s="24" t="str">
        <x:v>Core Family</x:v>
      </x:c>
    </x:row>
    <x:row r="1205" ht="44" customHeight="1">
      <x:c r="A1205" s="24" t="str">
        <x:v>MEC-409</x:v>
      </x:c>
      <x:c r="B1205" s="24" t="str">
        <x:v>Elite or Mini-Boss</x:v>
      </x:c>
      <x:c r="C1205" s="24" t="str">
        <x:v>Game-Mechanical Archetypes</x:v>
      </x:c>
      <x:c r="D1205" s="24" t="str">
        <x:v>MEC-400</x:v>
      </x:c>
      <x:c r="E1205" s="24" t="str">
        <x:f>IF(D1205="","",IFERROR(VLOOKUP(D1205,$A$2:$B$1656,2,FALSE),""))</x:f>
        <x:v>Unit and Encounter Models</x:v>
      </x:c>
      <x:c r="F1205" s="24" t="n">
        <x:v>3</x:v>
      </x:c>
      <x:c r="G1205" s="24" t="str">
        <x:v>Stronger-than-normal enemy introducing special mechanics without full boss scope.</x:v>
      </x:c>
      <x:c r="H1205" s="24" t="str">
        <x:v>Record system, edition, encounter assumptions, and party size before comparing balance.</x:v>
      </x:c>
      <x:c r="I1205" s="24" t="str">
        <x:v>elite; champion enemy; miniboss</x:v>
      </x:c>
      <x:c r="J1205" s="24" t="str">
        <x:v>Defines control, encounter design, party composition, recruitment, loss, and noncombat gameplay.</x:v>
      </x:c>
      <x:c r="K1205" s="24" t="str">
        <x:v>elite; champion enemy; miniboss</x:v>
      </x:c>
      <x:c r="L1205" s="24" t="str">
        <x:v>Preserve each source's ontology, culture, history, and terminology when making comparisons.</x:v>
      </x:c>
      <x:c r="M1205" s="24" t="str">
        <x:v>Core Family</x:v>
      </x:c>
    </x:row>
    <x:row r="1206" ht="44" customHeight="1">
      <x:c r="A1206" s="24" t="str">
        <x:v>MEC-410</x:v>
      </x:c>
      <x:c r="B1206" s="24" t="str">
        <x:v>Glass-Cannon Enemy</x:v>
      </x:c>
      <x:c r="C1206" s="24" t="str">
        <x:v>Game-Mechanical Archetypes</x:v>
      </x:c>
      <x:c r="D1206" s="24" t="str">
        <x:v>MEC-400</x:v>
      </x:c>
      <x:c r="E1206" s="24" t="str">
        <x:f>IF(D1206="","",IFERROR(VLOOKUP(D1206,$A$2:$B$1656,2,FALSE),""))</x:f>
        <x:v>Unit and Encounter Models</x:v>
      </x:c>
      <x:c r="F1206" s="24" t="n">
        <x:v>3</x:v>
      </x:c>
      <x:c r="G1206" s="24" t="str">
        <x:v>Enemy designed to deal severe damage but collapse quickly if reached or controlled.</x:v>
      </x:c>
      <x:c r="H1206" s="24" t="str">
        <x:v>Record system, edition, encounter assumptions, and party size before comparing balance.</x:v>
      </x:c>
      <x:c r="I1206" s="24" t="str">
        <x:v>artillery mob; fragile caster</x:v>
      </x:c>
      <x:c r="J1206" s="24" t="str">
        <x:v>Defines control, encounter design, party composition, recruitment, loss, and noncombat gameplay.</x:v>
      </x:c>
      <x:c r="K1206" s="24" t="str">
        <x:v>artillery mob; fragile caster</x:v>
      </x:c>
      <x:c r="L1206" s="24" t="str">
        <x:v>Preserve each source's ontology, culture, history, and terminology when making comparisons.</x:v>
      </x:c>
      <x:c r="M1206" s="24" t="str">
        <x:v>Core Family</x:v>
      </x:c>
    </x:row>
    <x:row r="1207" ht="44" customHeight="1">
      <x:c r="A1207" s="24" t="str">
        <x:v>MEC-411</x:v>
      </x:c>
      <x:c r="B1207" s="24" t="str">
        <x:v>Tank Enemy</x:v>
      </x:c>
      <x:c r="C1207" s="24" t="str">
        <x:v>Game-Mechanical Archetypes</x:v>
      </x:c>
      <x:c r="D1207" s="24" t="str">
        <x:v>MEC-400</x:v>
      </x:c>
      <x:c r="E1207" s="24" t="str">
        <x:f>IF(D1207="","",IFERROR(VLOOKUP(D1207,$A$2:$B$1656,2,FALSE),""))</x:f>
        <x:v>Unit and Encounter Models</x:v>
      </x:c>
      <x:c r="F1207" s="24" t="n">
        <x:v>3</x:v>
      </x:c>
      <x:c r="G1207" s="24" t="str">
        <x:v>Enemy designed to block access, absorb attention, or protect others.</x:v>
      </x:c>
      <x:c r="H1207" s="24" t="str">
        <x:v>Record system, edition, encounter assumptions, and party size before comparing balance.</x:v>
      </x:c>
      <x:c r="I1207" s="24" t="str">
        <x:v>brute; defender mob; guardian</x:v>
      </x:c>
      <x:c r="J1207" s="24" t="str">
        <x:v>Defines control, encounter design, party composition, recruitment, loss, and noncombat gameplay.</x:v>
      </x:c>
      <x:c r="K1207" s="24" t="str">
        <x:v>brute; defender mob; guardian</x:v>
      </x:c>
      <x:c r="L1207" s="24" t="str">
        <x:v>Preserve each source's ontology, culture, history, and terminology when making comparisons.</x:v>
      </x:c>
      <x:c r="M1207" s="24" t="str">
        <x:v>Core Family</x:v>
      </x:c>
    </x:row>
    <x:row r="1208" ht="44" customHeight="1">
      <x:c r="A1208" s="24" t="str">
        <x:v>MEC-412</x:v>
      </x:c>
      <x:c r="B1208" s="24" t="str">
        <x:v>Support Enemy</x:v>
      </x:c>
      <x:c r="C1208" s="24" t="str">
        <x:v>Game-Mechanical Archetypes</x:v>
      </x:c>
      <x:c r="D1208" s="24" t="str">
        <x:v>MEC-400</x:v>
      </x:c>
      <x:c r="E1208" s="24" t="str">
        <x:f>IF(D1208="","",IFERROR(VLOOKUP(D1208,$A$2:$B$1656,2,FALSE),""))</x:f>
        <x:v>Unit and Encounter Models</x:v>
      </x:c>
      <x:c r="F1208" s="24" t="n">
        <x:v>3</x:v>
      </x:c>
      <x:c r="G1208" s="24" t="str">
        <x:v>Enemy that heals, buffs, summons, controls, or enables other enemies.</x:v>
      </x:c>
      <x:c r="H1208" s="24" t="str">
        <x:v>Record system, edition, encounter assumptions, and party size before comparing balance.</x:v>
      </x:c>
      <x:c r="I1208" s="24" t="str">
        <x:v>support mob; healer enemy; buffer</x:v>
      </x:c>
      <x:c r="J1208" s="24" t="str">
        <x:v>Defines control, encounter design, party composition, recruitment, loss, and noncombat gameplay.</x:v>
      </x:c>
      <x:c r="K1208" s="24" t="str">
        <x:v>support mob; healer enemy; buffer</x:v>
      </x:c>
      <x:c r="L1208" s="24" t="str">
        <x:v>Preserve each source's ontology, culture, history, and terminology when making comparisons.</x:v>
      </x:c>
      <x:c r="M1208" s="24" t="str">
        <x:v>Core Family</x:v>
      </x:c>
    </x:row>
    <x:row r="1209" ht="44" customHeight="1">
      <x:c r="A1209" s="24" t="str">
        <x:v>MEC-413</x:v>
      </x:c>
      <x:c r="B1209" s="24" t="str">
        <x:v>Controller Enemy</x:v>
      </x:c>
      <x:c r="C1209" s="24" t="str">
        <x:v>Game-Mechanical Archetypes</x:v>
      </x:c>
      <x:c r="D1209" s="24" t="str">
        <x:v>MEC-400</x:v>
      </x:c>
      <x:c r="E1209" s="24" t="str">
        <x:f>IF(D1209="","",IFERROR(VLOOKUP(D1209,$A$2:$B$1656,2,FALSE),""))</x:f>
        <x:v>Unit and Encounter Models</x:v>
      </x:c>
      <x:c r="F1209" s="24" t="n">
        <x:v>3</x:v>
      </x:c>
      <x:c r="G1209" s="24" t="str">
        <x:v>Enemy that alters terrain, movement, positioning, status, or action economy.</x:v>
      </x:c>
      <x:c r="H1209" s="24" t="str">
        <x:v>Record system, edition, encounter assumptions, and party size before comparing balance.</x:v>
      </x:c>
      <x:c r="I1209" s="24" t="str">
        <x:v>control mob; caster enemy</x:v>
      </x:c>
      <x:c r="J1209" s="24" t="str">
        <x:v>Defines control, encounter design, party composition, recruitment, loss, and noncombat gameplay.</x:v>
      </x:c>
      <x:c r="K1209" s="24" t="str">
        <x:v>control mob; caster enemy</x:v>
      </x:c>
      <x:c r="L1209" s="24" t="str">
        <x:v>Preserve each source's ontology, culture, history, and terminology when making comparisons.</x:v>
      </x:c>
      <x:c r="M1209" s="24" t="str">
        <x:v>Core Family</x:v>
      </x:c>
    </x:row>
    <x:row r="1210" ht="44" customHeight="1">
      <x:c r="A1210" s="24" t="str">
        <x:v>MEC-414</x:v>
      </x:c>
      <x:c r="B1210" s="24" t="str">
        <x:v>Phased Boss</x:v>
      </x:c>
      <x:c r="C1210" s="24" t="str">
        <x:v>Game-Mechanical Archetypes</x:v>
      </x:c>
      <x:c r="D1210" s="24" t="str">
        <x:v>MEC-400</x:v>
      </x:c>
      <x:c r="E1210" s="24" t="str">
        <x:f>IF(D1210="","",IFERROR(VLOOKUP(D1210,$A$2:$B$1656,2,FALSE),""))</x:f>
        <x:v>Unit and Encounter Models</x:v>
      </x:c>
      <x:c r="F1210" s="24" t="n">
        <x:v>3</x:v>
      </x:c>
      <x:c r="G1210" s="24" t="str">
        <x:v>Boss changes abilities, arena, targets, form, or rules at health or time thresholds.</x:v>
      </x:c>
      <x:c r="H1210" s="24" t="str">
        <x:v>Record system, edition, encounter assumptions, and party size before comparing balance.</x:v>
      </x:c>
      <x:c r="I1210" s="24" t="str">
        <x:v>multi-phase boss; transformation boss</x:v>
      </x:c>
      <x:c r="J1210" s="24" t="str">
        <x:v>Defines control, encounter design, party composition, recruitment, loss, and noncombat gameplay.</x:v>
      </x:c>
      <x:c r="K1210" s="24" t="str">
        <x:v>multi-phase boss; transformation boss</x:v>
      </x:c>
      <x:c r="L1210" s="24" t="str">
        <x:v>Preserve each source's ontology, culture, history, and terminology when making comparisons.</x:v>
      </x:c>
      <x:c r="M1210" s="24" t="str">
        <x:v>Core Family</x:v>
      </x:c>
    </x:row>
    <x:row r="1211" ht="44" customHeight="1">
      <x:c r="A1211" s="24" t="str">
        <x:v>MEC-415</x:v>
      </x:c>
      <x:c r="B1211" s="24" t="str">
        <x:v>Puzzle Boss</x:v>
      </x:c>
      <x:c r="C1211" s="24" t="str">
        <x:v>Game-Mechanical Archetypes</x:v>
      </x:c>
      <x:c r="D1211" s="24" t="str">
        <x:v>MEC-400</x:v>
      </x:c>
      <x:c r="E1211" s="24" t="str">
        <x:f>IF(D1211="","",IFERROR(VLOOKUP(D1211,$A$2:$B$1656,2,FALSE),""))</x:f>
        <x:v>Unit and Encounter Models</x:v>
      </x:c>
      <x:c r="F1211" s="24" t="n">
        <x:v>3</x:v>
      </x:c>
      <x:c r="G1211" s="24" t="str">
        <x:v>Encounter requires understanding a pattern, environment, item, or rule rather than raw damage alone.</x:v>
      </x:c>
      <x:c r="H1211" s="24" t="str">
        <x:v>Record system, edition, encounter assumptions, and party size before comparing balance.</x:v>
      </x:c>
      <x:c r="I1211" s="24" t="str">
        <x:v>gimmick boss; puzzle encounter</x:v>
      </x:c>
      <x:c r="J1211" s="24" t="str">
        <x:v>Defines control, encounter design, party composition, recruitment, loss, and noncombat gameplay.</x:v>
      </x:c>
      <x:c r="K1211" s="24" t="str">
        <x:v>gimmick boss; puzzle encounter</x:v>
      </x:c>
      <x:c r="L1211" s="24" t="str">
        <x:v>Preserve each source's ontology, culture, history, and terminology when making comparisons.</x:v>
      </x:c>
      <x:c r="M1211" s="24" t="str">
        <x:v>Core Family</x:v>
      </x:c>
    </x:row>
    <x:row r="1212" ht="44" customHeight="1">
      <x:c r="A1212" s="24" t="str">
        <x:v>MEC-416</x:v>
      </x:c>
      <x:c r="B1212" s="24" t="str">
        <x:v>Raid Role</x:v>
      </x:c>
      <x:c r="C1212" s="24" t="str">
        <x:v>Game-Mechanical Archetypes</x:v>
      </x:c>
      <x:c r="D1212" s="24" t="str">
        <x:v>MEC-400</x:v>
      </x:c>
      <x:c r="E1212" s="24" t="str">
        <x:f>IF(D1212="","",IFERROR(VLOOKUP(D1212,$A$2:$B$1656,2,FALSE),""))</x:f>
        <x:v>Unit and Encounter Models</x:v>
      </x:c>
      <x:c r="F1212" s="24" t="n">
        <x:v>3</x:v>
      </x:c>
      <x:c r="G1212" s="24" t="str">
        <x:v>Highly specialized function designed for coordinated large-group encounters.</x:v>
      </x:c>
      <x:c r="H1212" s="24" t="str">
        <x:v>Record system, edition, encounter assumptions, and party size before comparing balance.</x:v>
      </x:c>
      <x:c r="I1212" s="24" t="str">
        <x:v>raid tank; raid healer; raid DPS</x:v>
      </x:c>
      <x:c r="J1212" s="24" t="str">
        <x:v>Defines control, encounter design, party composition, recruitment, loss, and noncombat gameplay.</x:v>
      </x:c>
      <x:c r="K1212" s="24" t="str">
        <x:v>raid tank; raid healer; raid DPS</x:v>
      </x:c>
      <x:c r="L1212" s="24" t="str">
        <x:v>Preserve each source's ontology, culture, history, and terminology when making comparisons.</x:v>
      </x:c>
      <x:c r="M1212" s="24" t="str">
        <x:v>Core Family</x:v>
      </x:c>
    </x:row>
    <x:row r="1213" ht="44" customHeight="1">
      <x:c r="A1213" s="24" t="str">
        <x:v>MEC-417</x:v>
      </x:c>
      <x:c r="B1213" s="24" t="str">
        <x:v>Tactical Job Unit</x:v>
      </x:c>
      <x:c r="C1213" s="24" t="str">
        <x:v>Game-Mechanical Archetypes</x:v>
      </x:c>
      <x:c r="D1213" s="24" t="str">
        <x:v>MEC-400</x:v>
      </x:c>
      <x:c r="E1213" s="24" t="str">
        <x:f>IF(D1213="","",IFERROR(VLOOKUP(D1213,$A$2:$B$1656,2,FALSE),""))</x:f>
        <x:v>Unit and Encounter Models</x:v>
      </x:c>
      <x:c r="F1213" s="24" t="n">
        <x:v>3</x:v>
      </x:c>
      <x:c r="G1213" s="24" t="str">
        <x:v>Unit whose class determines movement, equipment, skills, and battlefield role in a grid or turn-based system.</x:v>
      </x:c>
      <x:c r="H1213" s="24" t="str">
        <x:v>Record system, edition, encounter assumptions, and party size before comparing balance.</x:v>
      </x:c>
      <x:c r="I1213" s="24" t="str">
        <x:v>job unit; tactical class; classmark unit</x:v>
      </x:c>
      <x:c r="J1213" s="24" t="str">
        <x:v>Defines control, encounter design, party composition, recruitment, loss, and noncombat gameplay.</x:v>
      </x:c>
      <x:c r="K1213" s="24" t="str">
        <x:v>job unit; tactical class; classmark unit</x:v>
      </x:c>
      <x:c r="L1213" s="24" t="str">
        <x:v>Preserve each source's ontology, culture, history, and terminology when making comparisons.</x:v>
      </x:c>
      <x:c r="M1213" s="24" t="str">
        <x:v>Core Family</x:v>
      </x:c>
    </x:row>
    <x:row r="1214" ht="44" customHeight="1">
      <x:c r="A1214" s="24" t="str">
        <x:v>MEC-418</x:v>
      </x:c>
      <x:c r="B1214" s="24" t="str">
        <x:v>Crafting Class</x:v>
      </x:c>
      <x:c r="C1214" s="24" t="str">
        <x:v>Game-Mechanical Archetypes</x:v>
      </x:c>
      <x:c r="D1214" s="24" t="str">
        <x:v>MEC-400</x:v>
      </x:c>
      <x:c r="E1214" s="24" t="str">
        <x:f>IF(D1214="","",IFERROR(VLOOKUP(D1214,$A$2:$B$1656,2,FALSE),""))</x:f>
        <x:v>Unit and Encounter Models</x:v>
      </x:c>
      <x:c r="F1214" s="24" t="n">
        <x:v>3</x:v>
      </x:c>
      <x:c r="G1214" s="24" t="str">
        <x:v>Playable profession with its own progression, actions, quality systems, and economic role.</x:v>
      </x:c>
      <x:c r="H1214" s="24" t="str">
        <x:v>Record system, edition, encounter assumptions, and party size before comparing balance.</x:v>
      </x:c>
      <x:c r="I1214" s="24" t="str">
        <x:v>crafter; disciple of the hand; artisan class</x:v>
      </x:c>
      <x:c r="J1214" s="24" t="str">
        <x:v>Defines control, encounter design, party composition, recruitment, loss, and noncombat gameplay.</x:v>
      </x:c>
      <x:c r="K1214" s="24" t="str">
        <x:v>crafter; disciple of the hand; artisan class</x:v>
      </x:c>
      <x:c r="L1214" s="24" t="str">
        <x:v>Preserve each source's ontology, culture, history, and terminology when making comparisons.</x:v>
      </x:c>
      <x:c r="M1214" s="24" t="str">
        <x:v>Core Family</x:v>
      </x:c>
    </x:row>
    <x:row r="1215" ht="44" customHeight="1">
      <x:c r="A1215" s="24" t="str">
        <x:v>MEC-419</x:v>
      </x:c>
      <x:c r="B1215" s="24" t="str">
        <x:v>Gathering Class</x:v>
      </x:c>
      <x:c r="C1215" s="24" t="str">
        <x:v>Game-Mechanical Archetypes</x:v>
      </x:c>
      <x:c r="D1215" s="24" t="str">
        <x:v>MEC-400</x:v>
      </x:c>
      <x:c r="E1215" s="24" t="str">
        <x:f>IF(D1215="","",IFERROR(VLOOKUP(D1215,$A$2:$B$1656,2,FALSE),""))</x:f>
        <x:v>Unit and Encounter Models</x:v>
      </x:c>
      <x:c r="F1215" s="24" t="n">
        <x:v>3</x:v>
      </x:c>
      <x:c r="G1215" s="24" t="str">
        <x:v>Playable profession centered on resource nodes, routes, perception, and collection.</x:v>
      </x:c>
      <x:c r="H1215" s="24" t="str">
        <x:v>Record system, edition, encounter assumptions, and party size before comparing balance.</x:v>
      </x:c>
      <x:c r="I1215" s="24" t="str">
        <x:v>gatherer; miner; botanist; fisher</x:v>
      </x:c>
      <x:c r="J1215" s="24" t="str">
        <x:v>Defines control, encounter design, party composition, recruitment, loss, and noncombat gameplay.</x:v>
      </x:c>
      <x:c r="K1215" s="24" t="str">
        <x:v>gatherer; miner; botanist; fisher</x:v>
      </x:c>
      <x:c r="L1215" s="24" t="str">
        <x:v>Preserve each source's ontology, culture, history, and terminology when making comparisons.</x:v>
      </x:c>
      <x:c r="M1215" s="24" t="str">
        <x:v>Core Family</x:v>
      </x:c>
    </x:row>
    <x:row r="1216" ht="44" customHeight="1">
      <x:c r="A1216" s="24" t="str">
        <x:v>MEC-420</x:v>
      </x:c>
      <x:c r="B1216" s="24" t="str">
        <x:v>Social or Diplomatic Class</x:v>
      </x:c>
      <x:c r="C1216" s="24" t="str">
        <x:v>Game-Mechanical Archetypes</x:v>
      </x:c>
      <x:c r="D1216" s="24" t="str">
        <x:v>MEC-400</x:v>
      </x:c>
      <x:c r="E1216" s="24" t="str">
        <x:f>IF(D1216="","",IFERROR(VLOOKUP(D1216,$A$2:$B$1656,2,FALSE),""))</x:f>
        <x:v>Unit and Encounter Models</x:v>
      </x:c>
      <x:c r="F1216" s="24" t="n">
        <x:v>3</x:v>
      </x:c>
      <x:c r="G1216" s="24" t="str">
        <x:v>Class whose primary mechanics concern persuasion, status, networks, negotiation, and influence.</x:v>
      </x:c>
      <x:c r="H1216" s="24" t="str">
        <x:v>Record system, edition, encounter assumptions, and party size before comparing balance.</x:v>
      </x:c>
      <x:c r="I1216" s="24" t="str">
        <x:v>face class; courtier; diplomat</x:v>
      </x:c>
      <x:c r="J1216" s="24" t="str">
        <x:v>Defines control, encounter design, party composition, recruitment, loss, and noncombat gameplay.</x:v>
      </x:c>
      <x:c r="K1216" s="24" t="str">
        <x:v>face class; courtier; diplomat</x:v>
      </x:c>
      <x:c r="L1216" s="24" t="str">
        <x:v>Preserve each source's ontology, culture, history, and terminology when making comparisons.</x:v>
      </x:c>
      <x:c r="M1216" s="24" t="str">
        <x:v>Core Family</x:v>
      </x:c>
    </x:row>
    <x:row r="1217" ht="44" customHeight="1">
      <x:c r="A1217" s="24" t="str">
        <x:v>MEC-421</x:v>
      </x:c>
      <x:c r="B1217" s="24" t="str">
        <x:v>Exploration Class</x:v>
      </x:c>
      <x:c r="C1217" s="24" t="str">
        <x:v>Game-Mechanical Archetypes</x:v>
      </x:c>
      <x:c r="D1217" s="24" t="str">
        <x:v>MEC-400</x:v>
      </x:c>
      <x:c r="E1217" s="24" t="str">
        <x:f>IF(D1217="","",IFERROR(VLOOKUP(D1217,$A$2:$B$1656,2,FALSE),""))</x:f>
        <x:v>Unit and Encounter Models</x:v>
      </x:c>
      <x:c r="F1217" s="24" t="n">
        <x:v>3</x:v>
      </x:c>
      <x:c r="G1217" s="24" t="str">
        <x:v>Class optimized for navigation, environmental hazards, mapping, travel, and discovery.</x:v>
      </x:c>
      <x:c r="H1217" s="24" t="str">
        <x:v>Record system, edition, encounter assumptions, and party size before comparing balance.</x:v>
      </x:c>
      <x:c r="I1217" s="24" t="str">
        <x:v>explorer; ranger; delver</x:v>
      </x:c>
      <x:c r="J1217" s="24" t="str">
        <x:v>Defines control, encounter design, party composition, recruitment, loss, and noncombat gameplay.</x:v>
      </x:c>
      <x:c r="K1217" s="24" t="str">
        <x:v>explorer; ranger; delver</x:v>
      </x:c>
      <x:c r="L1217" s="24" t="str">
        <x:v>Preserve each source's ontology, culture, history, and terminology when making comparisons.</x:v>
      </x:c>
      <x:c r="M1217" s="24" t="str">
        <x:v>Core Family</x:v>
      </x:c>
    </x:row>
    <x:row r="1218" ht="44" customHeight="1">
      <x:c r="A1218" s="24" t="str">
        <x:v>MEC-422</x:v>
      </x:c>
      <x:c r="B1218" s="24" t="str">
        <x:v>Monster Class</x:v>
      </x:c>
      <x:c r="C1218" s="24" t="str">
        <x:v>Game-Mechanical Archetypes</x:v>
      </x:c>
      <x:c r="D1218" s="24" t="str">
        <x:v>MEC-400</x:v>
      </x:c>
      <x:c r="E1218" s="24" t="str">
        <x:f>IF(D1218="","",IFERROR(VLOOKUP(D1218,$A$2:$B$1656,2,FALSE),""))</x:f>
        <x:v>Unit and Encounter Models</x:v>
      </x:c>
      <x:c r="F1218" s="24" t="n">
        <x:v>3</x:v>
      </x:c>
      <x:c r="G1218" s="24" t="str">
        <x:v>Playable or recruitable class restricted to a creature type or nonhuman body.</x:v>
      </x:c>
      <x:c r="H1218" s="24" t="str">
        <x:v>Record system, edition, encounter assumptions, and party size before comparing balance.</x:v>
      </x:c>
      <x:c r="I1218" s="24" t="str">
        <x:v>dragon class; beast class; undead class</x:v>
      </x:c>
      <x:c r="J1218" s="24" t="str">
        <x:v>Defines control, encounter design, party composition, recruitment, loss, and noncombat gameplay.</x:v>
      </x:c>
      <x:c r="K1218" s="24" t="str">
        <x:v>dragon class; beast class; undead class</x:v>
      </x:c>
      <x:c r="L1218" s="24" t="str">
        <x:v>Preserve each source's ontology, culture, history, and terminology when making comparisons.</x:v>
      </x:c>
      <x:c r="M1218" s="24" t="str">
        <x:v>Core Family</x:v>
      </x:c>
    </x:row>
    <x:row r="1219" ht="44" customHeight="1">
      <x:c r="A1219" s="24" t="str">
        <x:v>MEC-423</x:v>
      </x:c>
      <x:c r="B1219" s="24" t="str">
        <x:v>Unique Character Class</x:v>
      </x:c>
      <x:c r="C1219" s="24" t="str">
        <x:v>Game-Mechanical Archetypes</x:v>
      </x:c>
      <x:c r="D1219" s="24" t="str">
        <x:v>MEC-400</x:v>
      </x:c>
      <x:c r="E1219" s="24" t="str">
        <x:f>IF(D1219="","",IFERROR(VLOOKUP(D1219,$A$2:$B$1656,2,FALSE),""))</x:f>
        <x:v>Unit and Encounter Models</x:v>
      </x:c>
      <x:c r="F1219" s="24" t="n">
        <x:v>3</x:v>
      </x:c>
      <x:c r="G1219" s="24" t="str">
        <x:v>Class available only to a named character and tied to story identity.</x:v>
      </x:c>
      <x:c r="H1219" s="24" t="str">
        <x:v>Record system, edition, encounter assumptions, and party size before comparing balance.</x:v>
      </x:c>
      <x:c r="I1219" s="24" t="str">
        <x:v>unique job; special class; lord class</x:v>
      </x:c>
      <x:c r="J1219" s="24" t="str">
        <x:v>Defines control, encounter design, party composition, recruitment, loss, and noncombat gameplay.</x:v>
      </x:c>
      <x:c r="K1219" s="24" t="str">
        <x:v>unique job; special class; lord class</x:v>
      </x:c>
      <x:c r="L1219" s="24" t="str">
        <x:v>Preserve each source's ontology, culture, history, and terminology when making comparisons.</x:v>
      </x:c>
      <x:c r="M1219" s="24" t="str">
        <x:v>Core Family</x:v>
      </x:c>
    </x:row>
    <x:row r="1220" ht="44" customHeight="1">
      <x:c r="A1220" s="24" t="str">
        <x:v>MEC-424</x:v>
      </x:c>
      <x:c r="B1220" s="24" t="str">
        <x:v>Enemy-Only Class</x:v>
      </x:c>
      <x:c r="C1220" s="24" t="str">
        <x:v>Game-Mechanical Archetypes</x:v>
      </x:c>
      <x:c r="D1220" s="24" t="str">
        <x:v>MEC-400</x:v>
      </x:c>
      <x:c r="E1220" s="24" t="str">
        <x:f>IF(D1220="","",IFERROR(VLOOKUP(D1220,$A$2:$B$1656,2,FALSE),""))</x:f>
        <x:v>Unit and Encounter Models</x:v>
      </x:c>
      <x:c r="F1220" s="24" t="n">
        <x:v>3</x:v>
      </x:c>
      <x:c r="G1220" s="24" t="str">
        <x:v>Role or rules package unavailable to ordinary players and designed for opposition.</x:v>
      </x:c>
      <x:c r="H1220" s="24" t="str">
        <x:v>Record system, edition, encounter assumptions, and party size before comparing balance.</x:v>
      </x:c>
      <x:c r="I1220" s="24" t="str">
        <x:v>enemy class; boss job; monster-only role</x:v>
      </x:c>
      <x:c r="J1220" s="24" t="str">
        <x:v>Defines control, encounter design, party composition, recruitment, loss, and noncombat gameplay.</x:v>
      </x:c>
      <x:c r="K1220" s="24" t="str">
        <x:v>enemy class; boss job; monster-only role</x:v>
      </x:c>
      <x:c r="L1220" s="24" t="str">
        <x:v>Preserve each source's ontology, culture, history, and terminology when making comparisons.</x:v>
      </x:c>
      <x:c r="M1220" s="24" t="str">
        <x:v>Core Family</x:v>
      </x:c>
    </x:row>
    <x:row r="1221" ht="44" customHeight="1">
      <x:c r="A1221" s="24" t="str">
        <x:v>MEC-425</x:v>
      </x:c>
      <x:c r="B1221" s="24" t="str">
        <x:v>Guest Unit</x:v>
      </x:c>
      <x:c r="C1221" s="24" t="str">
        <x:v>Game-Mechanical Archetypes</x:v>
      </x:c>
      <x:c r="D1221" s="24" t="str">
        <x:v>MEC-400</x:v>
      </x:c>
      <x:c r="E1221" s="24" t="str">
        <x:f>IF(D1221="","",IFERROR(VLOOKUP(D1221,$A$2:$B$1656,2,FALSE),""))</x:f>
        <x:v>Unit and Encounter Models</x:v>
      </x:c>
      <x:c r="F1221" s="24" t="n">
        <x:v>3</x:v>
      </x:c>
      <x:c r="G1221" s="24" t="str">
        <x:v>Temporary allied character controlled wholly or partly by the game or story.</x:v>
      </x:c>
      <x:c r="H1221" s="24" t="str">
        <x:v>Record system, edition, encounter assumptions, and party size before comparing balance.</x:v>
      </x:c>
      <x:c r="I1221" s="24" t="str">
        <x:v>guest; escort; temporary companion</x:v>
      </x:c>
      <x:c r="J1221" s="24" t="str">
        <x:v>Defines control, encounter design, party composition, recruitment, loss, and noncombat gameplay.</x:v>
      </x:c>
      <x:c r="K1221" s="24" t="str">
        <x:v>guest; escort; temporary companion</x:v>
      </x:c>
      <x:c r="L1221" s="24" t="str">
        <x:v>Preserve each source's ontology, culture, history, and terminology when making comparisons.</x:v>
      </x:c>
      <x:c r="M1221" s="24" t="str">
        <x:v>Core Family</x:v>
      </x:c>
    </x:row>
    <x:row r="1222" ht="44" customHeight="1">
      <x:c r="A1222" s="24" t="str">
        <x:v>MEC-426</x:v>
      </x:c>
      <x:c r="B1222" s="24" t="str">
        <x:v>Permadeath Unit</x:v>
      </x:c>
      <x:c r="C1222" s="24" t="str">
        <x:v>Game-Mechanical Archetypes</x:v>
      </x:c>
      <x:c r="D1222" s="24" t="str">
        <x:v>MEC-400</x:v>
      </x:c>
      <x:c r="E1222" s="24" t="str">
        <x:f>IF(D1222="","",IFERROR(VLOOKUP(D1222,$A$2:$B$1656,2,FALSE),""))</x:f>
        <x:v>Unit and Encounter Models</x:v>
      </x:c>
      <x:c r="F1222" s="24" t="n">
        <x:v>3</x:v>
      </x:c>
      <x:c r="G1222" s="24" t="str">
        <x:v>Character can be permanently lost, making recruitment and risk central.</x:v>
      </x:c>
      <x:c r="H1222" s="24" t="str">
        <x:v>Record system, edition, encounter assumptions, and party size before comparing balance.</x:v>
      </x:c>
      <x:c r="I1222" s="24" t="str">
        <x:v>permadeath; ironman unit; casualty</x:v>
      </x:c>
      <x:c r="J1222" s="24" t="str">
        <x:v>Defines control, encounter design, party composition, recruitment, loss, and noncombat gameplay.</x:v>
      </x:c>
      <x:c r="K1222" s="24" t="str">
        <x:v>permadeath; ironman unit; casualty</x:v>
      </x:c>
      <x:c r="L1222" s="24" t="str">
        <x:v>Preserve each source's ontology, culture, history, and terminology when making comparisons.</x:v>
      </x:c>
      <x:c r="M1222" s="24" t="str">
        <x:v>Core Family</x:v>
      </x:c>
    </x:row>
    <x:row r="1223" ht="44" customHeight="1">
      <x:c r="A1223" s="24" t="str">
        <x:v>MEC-427</x:v>
      </x:c>
      <x:c r="B1223" s="24" t="str">
        <x:v>Recruitable Enemy</x:v>
      </x:c>
      <x:c r="C1223" s="24" t="str">
        <x:v>Game-Mechanical Archetypes</x:v>
      </x:c>
      <x:c r="D1223" s="24" t="str">
        <x:v>MEC-400</x:v>
      </x:c>
      <x:c r="E1223" s="24" t="str">
        <x:f>IF(D1223="","",IFERROR(VLOOKUP(D1223,$A$2:$B$1656,2,FALSE),""))</x:f>
        <x:v>Unit and Encounter Models</x:v>
      </x:c>
      <x:c r="F1223" s="24" t="n">
        <x:v>3</x:v>
      </x:c>
      <x:c r="G1223" s="24" t="str">
        <x:v>Opponent can become a player-controlled unit through persuasion, capture, taming, or story choice.</x:v>
      </x:c>
      <x:c r="H1223" s="24" t="str">
        <x:v>Record system, edition, encounter assumptions, and party size before comparing balance.</x:v>
      </x:c>
      <x:c r="I1223" s="24" t="str">
        <x:v>recruit; tame; charm enemy</x:v>
      </x:c>
      <x:c r="J1223" s="24" t="str">
        <x:v>Defines control, encounter design, party composition, recruitment, loss, and noncombat gameplay.</x:v>
      </x:c>
      <x:c r="K1223" s="24" t="str">
        <x:v>recruit; tame; charm enemy</x:v>
      </x:c>
      <x:c r="L1223" s="24" t="str">
        <x:v>Preserve each source's ontology, culture, history, and terminology when making comparisons.</x:v>
      </x:c>
      <x:c r="M1223" s="24" t="str">
        <x:v>Core Family</x:v>
      </x:c>
    </x:row>
    <x:row r="1224" ht="44" customHeight="1">
      <x:c r="A1224" s="24" t="str">
        <x:v>MEC-428</x:v>
      </x:c>
      <x:c r="B1224" s="24" t="str">
        <x:v>Faction Unit</x:v>
      </x:c>
      <x:c r="C1224" s="24" t="str">
        <x:v>Game-Mechanical Archetypes</x:v>
      </x:c>
      <x:c r="D1224" s="24" t="str">
        <x:v>MEC-400</x:v>
      </x:c>
      <x:c r="E1224" s="24" t="str">
        <x:f>IF(D1224="","",IFERROR(VLOOKUP(D1224,$A$2:$B$1656,2,FALSE),""))</x:f>
        <x:v>Unit and Encounter Models</x:v>
      </x:c>
      <x:c r="F1224" s="24" t="n">
        <x:v>3</x:v>
      </x:c>
      <x:c r="G1224" s="24" t="str">
        <x:v>Unit's identity and rules depend on membership in a political, ethnic, religious, or military faction.</x:v>
      </x:c>
      <x:c r="H1224" s="24" t="str">
        <x:v>Record system, edition, encounter assumptions, and party size before comparing balance.</x:v>
      </x:c>
      <x:c r="I1224" s="24" t="str">
        <x:v>faction troop; army unit; clan unit</x:v>
      </x:c>
      <x:c r="J1224" s="24" t="str">
        <x:v>Defines control, encounter design, party composition, recruitment, loss, and noncombat gameplay.</x:v>
      </x:c>
      <x:c r="K1224" s="24" t="str">
        <x:v>faction troop; army unit; clan unit</x:v>
      </x:c>
      <x:c r="L1224" s="24" t="str">
        <x:v>Preserve each source's ontology, culture, history, and terminology when making comparisons.</x:v>
      </x:c>
      <x:c r="M1224" s="24" t="str">
        <x:v>Core Family</x:v>
      </x:c>
    </x:row>
    <x:row r="1225" ht="44" customHeight="1">
      <x:c r="A1225" s="24" t="str">
        <x:v>MEC-429</x:v>
      </x:c>
      <x:c r="B1225" s="24" t="str">
        <x:v>Transformation Unit</x:v>
      </x:c>
      <x:c r="C1225" s="24" t="str">
        <x:v>Game-Mechanical Archetypes</x:v>
      </x:c>
      <x:c r="D1225" s="24" t="str">
        <x:v>MEC-400</x:v>
      </x:c>
      <x:c r="E1225" s="24" t="str">
        <x:f>IF(D1225="","",IFERROR(VLOOKUP(D1225,$A$2:$B$1656,2,FALSE),""))</x:f>
        <x:v>Unit and Encounter Models</x:v>
      </x:c>
      <x:c r="F1225" s="24" t="n">
        <x:v>3</x:v>
      </x:c>
      <x:c r="G1225" s="24" t="str">
        <x:v>Unit changes class, form, species, allegiance, or stat profile during battle.</x:v>
      </x:c>
      <x:c r="H1225" s="24" t="str">
        <x:v>Record system, edition, encounter assumptions, and party size before comparing balance.</x:v>
      </x:c>
      <x:c r="I1225" s="24" t="str">
        <x:v>morph unit; phase unit; evolving monster</x:v>
      </x:c>
      <x:c r="J1225" s="24" t="str">
        <x:v>Defines control, encounter design, party composition, recruitment, loss, and noncombat gameplay.</x:v>
      </x:c>
      <x:c r="K1225" s="24" t="str">
        <x:v>morph unit; phase unit; evolving monster</x:v>
      </x:c>
      <x:c r="L1225" s="24" t="str">
        <x:v>Preserve each source's ontology, culture, history, and terminology when making comparisons.</x:v>
      </x:c>
      <x:c r="M1225" s="24" t="str">
        <x:v>Core Family</x:v>
      </x:c>
    </x:row>
    <x:row r="1226" ht="44" customHeight="1">
      <x:c r="A1226" s="24" t="str">
        <x:v>MEC-430</x:v>
      </x:c>
      <x:c r="B1226" s="24" t="str">
        <x:v>Dungeon Core or Management Unit</x:v>
      </x:c>
      <x:c r="C1226" s="24" t="str">
        <x:v>Game-Mechanical Archetypes</x:v>
      </x:c>
      <x:c r="D1226" s="24" t="str">
        <x:v>MEC-400</x:v>
      </x:c>
      <x:c r="E1226" s="24" t="str">
        <x:f>IF(D1226="","",IFERROR(VLOOKUP(D1226,$A$2:$B$1656,2,FALSE),""))</x:f>
        <x:v>Unit and Encounter Models</x:v>
      </x:c>
      <x:c r="F1226" s="24" t="n">
        <x:v>3</x:v>
      </x:c>
      <x:c r="G1226" s="24" t="str">
        <x:v>Player controls the environment, spawn system, rooms, economy, or monsters rather than a single adventurer.</x:v>
      </x:c>
      <x:c r="H1226" s="24" t="str">
        <x:v>Record system, edition, encounter assumptions, and party size before comparing balance.</x:v>
      </x:c>
      <x:c r="I1226" s="24" t="str">
        <x:v>dungeon core; overlord mode; management avatar</x:v>
      </x:c>
      <x:c r="J1226" s="24" t="str">
        <x:v>Defines control, encounter design, party composition, recruitment, loss, and noncombat gameplay.</x:v>
      </x:c>
      <x:c r="K1226" s="24" t="str">
        <x:v>dungeon core; overlord mode; management avatar</x:v>
      </x:c>
      <x:c r="L1226" s="24" t="str">
        <x:v>Preserve each source's ontology, culture, history, and terminology when making comparisons.</x:v>
      </x:c>
      <x:c r="M1226" s="24" t="str">
        <x:v>Core Family</x:v>
      </x:c>
    </x:row>
    <x:row r="1227" ht="44" customHeight="1">
      <x:c r="A1227" s="119" t="str">
        <x:v>ART-000</x:v>
      </x:c>
      <x:c r="B1227" s="120" t="str">
        <x:v>Artifacts, Relics, Weapons &amp; Vehicles</x:v>
      </x:c>
      <x:c r="C1227" s="120" t="str">
        <x:v>Artifacts, Relics, Weapons &amp; Vehicles</x:v>
      </x:c>
      <x:c r="D1227" s="120"/>
      <x:c r="E1227" s="120" t="str">
        <x:f>IF(D1227="","",IFERROR(VLOOKUP(D1227,$A$2:$B$1656,2,FALSE),""))</x:f>
      </x:c>
      <x:c r="F1227" s="120" t="n">
        <x:v>1</x:v>
      </x:c>
      <x:c r="G1227" s="120" t="str">
        <x:v>Objects, equipment, texts, containers, vehicles, mounts, and constructed instruments whose identity or power is narratively, ritually, cosmologically, or mechanically significant.</x:v>
      </x:c>
      <x:c r="H1227" s="120" t="str">
        <x:v>A top-level analytical domain. Source records may link to several domains without being reduced to any one of them.</x:v>
      </x:c>
      <x:c r="I1227" s="120"/>
      <x:c r="J1227" s="120" t="str">
        <x:v>Provides a primary comparison axis for the database.</x:v>
      </x:c>
      <x:c r="K1227" s="120" t="str">
        <x:v>Artifacts, Relics, Weapons &amp; Vehicles</x:v>
      </x:c>
      <x:c r="L1227" s="120" t="str">
        <x:v>Preserve the source's own categories and avoid treating a comparative family as an indigenous or canonical taxonomy.</x:v>
      </x:c>
      <x:c r="M1227" s="120" t="str">
        <x:v>Domain Root</x:v>
      </x:c>
    </x:row>
    <x:row r="1228" ht="44" customHeight="1">
      <x:c r="A1228" s="119" t="str">
        <x:v>ART-100</x:v>
      </x:c>
      <x:c r="B1228" s="120" t="str">
        <x:v>Empowered Objects &amp; Relics</x:v>
      </x:c>
      <x:c r="C1228" s="120" t="str">
        <x:v>Artifacts, Relics, Weapons &amp; Vehicles</x:v>
      </x:c>
      <x:c r="D1228" s="120" t="str">
        <x:v>ART-000</x:v>
      </x:c>
      <x:c r="E1228" s="120" t="str">
        <x:f>IF(D1228="","",IFERROR(VLOOKUP(D1228,$A$2:$B$1656,2,FALSE),""))</x:f>
        <x:v>Artifacts, Relics, Weapons &amp; Vehicles</x:v>
      </x:c>
      <x:c r="F1228" s="120" t="n">
        <x:v>2</x:v>
      </x:c>
      <x:c r="G1228" s="120" t="str">
        <x:v>Objects distinguished by sacred history, unique agency, inherited authority, stored power, or singular narrative status.</x:v>
      </x:c>
      <x:c r="H1228" s="120" t="str">
        <x:v>An organizing family rather than a source-native universal; classify a source concept at the narrowest defensible level.</x:v>
      </x:c>
      <x:c r="I1228" s="120"/>
      <x:c r="J1228" s="120" t="str">
        <x:v>Organizes source-specific records and normalized subfamilies.</x:v>
      </x:c>
      <x:c r="K1228" s="120" t="str">
        <x:v>Empowered Objects &amp; Relics</x:v>
      </x:c>
      <x:c r="L1228" s="120" t="str">
        <x:v>Preserve source-specific terminology, metaphysics, ritual context, and cultural ownership; use this family for comparison, not as a claim of historical equivalence.</x:v>
      </x:c>
      <x:c r="M1228" s="120" t="str">
        <x:v>Category</x:v>
      </x:c>
    </x:row>
    <x:row r="1229" ht="44" customHeight="1">
      <x:c r="A1229" s="119" t="str">
        <x:v>ART-200</x:v>
      </x:c>
      <x:c r="B1229" s="120" t="str">
        <x:v>Weapons &amp; Instruments of Power</x:v>
      </x:c>
      <x:c r="C1229" s="120" t="str">
        <x:v>Artifacts, Relics, Weapons &amp; Vehicles</x:v>
      </x:c>
      <x:c r="D1229" s="120" t="str">
        <x:v>ART-000</x:v>
      </x:c>
      <x:c r="E1229" s="120" t="str">
        <x:f>IF(D1229="","",IFERROR(VLOOKUP(D1229,$A$2:$B$1656,2,FALSE),""))</x:f>
        <x:v>Artifacts, Relics, Weapons &amp; Vehicles</x:v>
      </x:c>
      <x:c r="F1229" s="120" t="n">
        <x:v>2</x:v>
      </x:c>
      <x:c r="G1229" s="120" t="str">
        <x:v>Weapons, tools, and performance instruments whose capabilities exceed ordinary equipment or carry special authorization.</x:v>
      </x:c>
      <x:c r="H1229" s="120" t="str">
        <x:v>An organizing family rather than a source-native universal; classify a source concept at the narrowest defensible level.</x:v>
      </x:c>
      <x:c r="I1229" s="120"/>
      <x:c r="J1229" s="120" t="str">
        <x:v>Organizes source-specific records and normalized subfamilies.</x:v>
      </x:c>
      <x:c r="K1229" s="120" t="str">
        <x:v>Weapons &amp; Instruments of Power</x:v>
      </x:c>
      <x:c r="L1229" s="120" t="str">
        <x:v>Preserve source-specific terminology, metaphysics, ritual context, and cultural ownership; use this family for comparison, not as a claim of historical equivalence.</x:v>
      </x:c>
      <x:c r="M1229" s="120" t="str">
        <x:v>Category</x:v>
      </x:c>
    </x:row>
    <x:row r="1230" ht="44" customHeight="1">
      <x:c r="A1230" s="119" t="str">
        <x:v>ART-300</x:v>
      </x:c>
      <x:c r="B1230" s="120" t="str">
        <x:v>Protective &amp; Transformative Gear</x:v>
      </x:c>
      <x:c r="C1230" s="120" t="str">
        <x:v>Artifacts, Relics, Weapons &amp; Vehicles</x:v>
      </x:c>
      <x:c r="D1230" s="120" t="str">
        <x:v>ART-000</x:v>
      </x:c>
      <x:c r="E1230" s="120" t="str">
        <x:f>IF(D1230="","",IFERROR(VLOOKUP(D1230,$A$2:$B$1656,2,FALSE),""))</x:f>
        <x:v>Artifacts, Relics, Weapons &amp; Vehicles</x:v>
      </x:c>
      <x:c r="F1230" s="120" t="n">
        <x:v>2</x:v>
      </x:c>
      <x:c r="G1230" s="120" t="str">
        <x:v>Armor, garments, jewelry, masks, prostheses, and equipment that protect, conceal, authorize, or transform the bearer.</x:v>
      </x:c>
      <x:c r="H1230" s="120" t="str">
        <x:v>An organizing family rather than a source-native universal; classify a source concept at the narrowest defensible level.</x:v>
      </x:c>
      <x:c r="I1230" s="120"/>
      <x:c r="J1230" s="120" t="str">
        <x:v>Organizes source-specific records and normalized subfamilies.</x:v>
      </x:c>
      <x:c r="K1230" s="120" t="str">
        <x:v>Protective &amp; Transformative Gear</x:v>
      </x:c>
      <x:c r="L1230" s="120" t="str">
        <x:v>Preserve source-specific terminology, metaphysics, ritual context, and cultural ownership; use this family for comparison, not as a claim of historical equivalence.</x:v>
      </x:c>
      <x:c r="M1230" s="120" t="str">
        <x:v>Category</x:v>
      </x:c>
    </x:row>
    <x:row r="1231" ht="44" customHeight="1">
      <x:c r="A1231" s="119" t="str">
        <x:v>ART-400</x:v>
      </x:c>
      <x:c r="B1231" s="120" t="str">
        <x:v>Texts, Symbols &amp; Containers</x:v>
      </x:c>
      <x:c r="C1231" s="120" t="str">
        <x:v>Artifacts, Relics, Weapons &amp; Vehicles</x:v>
      </x:c>
      <x:c r="D1231" s="120" t="str">
        <x:v>ART-000</x:v>
      </x:c>
      <x:c r="E1231" s="120" t="str">
        <x:f>IF(D1231="","",IFERROR(VLOOKUP(D1231,$A$2:$B$1656,2,FALSE),""))</x:f>
        <x:v>Artifacts, Relics, Weapons &amp; Vehicles</x:v>
      </x:c>
      <x:c r="F1231" s="120" t="n">
        <x:v>2</x:v>
      </x:c>
      <x:c r="G1231" s="120" t="str">
        <x:v>Books, tablets, maps, seals, vessels, mirrors, gems, and other objects that store, reveal, bind, encode, or transmit power.</x:v>
      </x:c>
      <x:c r="H1231" s="120" t="str">
        <x:v>An organizing family rather than a source-native universal; classify a source concept at the narrowest defensible level.</x:v>
      </x:c>
      <x:c r="I1231" s="120"/>
      <x:c r="J1231" s="120" t="str">
        <x:v>Organizes source-specific records and normalized subfamilies.</x:v>
      </x:c>
      <x:c r="K1231" s="120" t="str">
        <x:v>Texts, Symbols &amp; Containers</x:v>
      </x:c>
      <x:c r="L1231" s="120" t="str">
        <x:v>Preserve source-specific terminology, metaphysics, ritual context, and cultural ownership; use this family for comparison, not as a claim of historical equivalence.</x:v>
      </x:c>
      <x:c r="M1231" s="120" t="str">
        <x:v>Category</x:v>
      </x:c>
    </x:row>
    <x:row r="1232" ht="44" customHeight="1">
      <x:c r="A1232" s="119" t="str">
        <x:v>ART-500</x:v>
      </x:c>
      <x:c r="B1232" s="120" t="str">
        <x:v>Vehicles, Mounts &amp; Conveyances</x:v>
      </x:c>
      <x:c r="C1232" s="120" t="str">
        <x:v>Artifacts, Relics, Weapons &amp; Vehicles</x:v>
      </x:c>
      <x:c r="D1232" s="120" t="str">
        <x:v>ART-000</x:v>
      </x:c>
      <x:c r="E1232" s="120" t="str">
        <x:f>IF(D1232="","",IFERROR(VLOOKUP(D1232,$A$2:$B$1656,2,FALSE),""))</x:f>
        <x:v>Artifacts, Relics, Weapons &amp; Vehicles</x:v>
      </x:c>
      <x:c r="F1232" s="120" t="n">
        <x:v>2</x:v>
      </x:c>
      <x:c r="G1232" s="120" t="str">
        <x:v>Chariots, ships, mounts, mobile fortresses, and devices that enable exceptional travel, warfare, or passage between realms.</x:v>
      </x:c>
      <x:c r="H1232" s="120" t="str">
        <x:v>An organizing family rather than a source-native universal; classify a source concept at the narrowest defensible level.</x:v>
      </x:c>
      <x:c r="I1232" s="120"/>
      <x:c r="J1232" s="120" t="str">
        <x:v>Organizes source-specific records and normalized subfamilies.</x:v>
      </x:c>
      <x:c r="K1232" s="120" t="str">
        <x:v>Vehicles, Mounts &amp; Conveyances</x:v>
      </x:c>
      <x:c r="L1232" s="120" t="str">
        <x:v>Preserve source-specific terminology, metaphysics, ritual context, and cultural ownership; use this family for comparison, not as a claim of historical equivalence.</x:v>
      </x:c>
      <x:c r="M1232" s="120" t="str">
        <x:v>Category</x:v>
      </x:c>
    </x:row>
    <x:row r="1233" ht="44" customHeight="1">
      <x:c r="A1233" s="119" t="str">
        <x:v>ART-600</x:v>
      </x:c>
      <x:c r="B1233" s="120" t="str">
        <x:v>Keys, Seals &amp; Control Objects</x:v>
      </x:c>
      <x:c r="C1233" s="120" t="str">
        <x:v>Artifacts, Relics, Weapons &amp; Vehicles</x:v>
      </x:c>
      <x:c r="D1233" s="120" t="str">
        <x:v>ART-000</x:v>
      </x:c>
      <x:c r="E1233" s="120" t="str">
        <x:f>IF(D1233="","",IFERROR(VLOOKUP(D1233,$A$2:$B$1656,2,FALSE),""))</x:f>
        <x:v>Artifacts, Relics, Weapons &amp; Vehicles</x:v>
      </x:c>
      <x:c r="F1233" s="120" t="n">
        <x:v>2</x:v>
      </x:c>
      <x:c r="G1233" s="120" t="str">
        <x:v>Objects that open, close, bind, command, summon, anchor, or regulate beings, territories, powers, and realms.</x:v>
      </x:c>
      <x:c r="H1233" s="120" t="str">
        <x:v>An organizing family rather than a source-native universal; classify a source concept at the narrowest defensible level.</x:v>
      </x:c>
      <x:c r="I1233" s="120"/>
      <x:c r="J1233" s="120" t="str">
        <x:v>Organizes source-specific records and normalized subfamilies.</x:v>
      </x:c>
      <x:c r="K1233" s="120" t="str">
        <x:v>Keys, Seals &amp; Control Objects</x:v>
      </x:c>
      <x:c r="L1233" s="120" t="str">
        <x:v>Preserve source-specific terminology, metaphysics, ritual context, and cultural ownership; use this family for comparison, not as a claim of historical equivalence.</x:v>
      </x:c>
      <x:c r="M1233" s="120" t="str">
        <x:v>Category</x:v>
      </x:c>
    </x:row>
    <x:row r="1234" ht="44" customHeight="1">
      <x:c r="A1234" s="119" t="str">
        <x:v>ART-700</x:v>
      </x:c>
      <x:c r="B1234" s="120" t="str">
        <x:v>Artifacts by Narrative Function</x:v>
      </x:c>
      <x:c r="C1234" s="120" t="str">
        <x:v>Artifacts, Relics, Weapons &amp; Vehicles</x:v>
      </x:c>
      <x:c r="D1234" s="120" t="str">
        <x:v>ART-000</x:v>
      </x:c>
      <x:c r="E1234" s="120" t="str">
        <x:f>IF(D1234="","",IFERROR(VLOOKUP(D1234,$A$2:$B$1656,2,FALSE),""))</x:f>
        <x:v>Artifacts, Relics, Weapons &amp; Vehicles</x:v>
      </x:c>
      <x:c r="F1234" s="120" t="n">
        <x:v>2</x:v>
      </x:c>
      <x:c r="G1234" s="120" t="str">
        <x:v>Object archetypes defined chiefly by what stories, quests, institutions, or conflicts require characters to do with them.</x:v>
      </x:c>
      <x:c r="H1234" s="120" t="str">
        <x:v>An organizing family rather than a source-native universal; classify a source concept at the narrowest defensible level.</x:v>
      </x:c>
      <x:c r="I1234" s="120"/>
      <x:c r="J1234" s="120" t="str">
        <x:v>Organizes source-specific records and normalized subfamilies.</x:v>
      </x:c>
      <x:c r="K1234" s="120" t="str">
        <x:v>Artifacts by Narrative Function</x:v>
      </x:c>
      <x:c r="L1234" s="120" t="str">
        <x:v>Preserve source-specific terminology, metaphysics, ritual context, and cultural ownership; use this family for comparison, not as a claim of historical equivalence.</x:v>
      </x:c>
      <x:c r="M1234" s="120" t="str">
        <x:v>Category</x:v>
      </x:c>
    </x:row>
    <x:row r="1235" ht="44" customHeight="1">
      <x:c r="A1235" s="119" t="str">
        <x:v>ART-101</x:v>
      </x:c>
      <x:c r="B1235" s="120" t="str">
        <x:v>Sacred Relic</x:v>
      </x:c>
      <x:c r="C1235" s="120" t="str">
        <x:v>Artifacts, Relics, Weapons &amp; Vehicles</x:v>
      </x:c>
      <x:c r="D1235" s="120" t="str">
        <x:v>ART-100</x:v>
      </x:c>
      <x:c r="E1235" s="120" t="str">
        <x:f>IF(D1235="","",IFERROR(VLOOKUP(D1235,$A$2:$B$1656,2,FALSE),""))</x:f>
        <x:v>Empowered Objects &amp; Relics</x:v>
      </x:c>
      <x:c r="F1235" s="120" t="n">
        <x:v>3</x:v>
      </x:c>
      <x:c r="G1235" s="120" t="str">
        <x:v>An object treated as holy through divine association, ritual use, contact with a revered being, or participation in sacred history.</x:v>
      </x:c>
      <x:c r="H1235" s="120" t="str">
        <x:v>Sacred status may matter more than overt magical effects.</x:v>
      </x:c>
      <x:c r="I1235" s="120" t="str">
        <x:v>body relic; shrine relic; contact relic</x:v>
      </x:c>
      <x:c r="J1235" s="120" t="str">
        <x:v>legitimacy, healing, pilgrimage, protection</x:v>
      </x:c>
      <x:c r="K1235" s="120" t="str">
        <x:v>holy relic; sacred object</x:v>
      </x:c>
      <x:c r="L1235" s="120" t="str">
        <x:v>Preserve source-specific terminology, metaphysics, ritual context, and cultural ownership; use this family for comparison, not as a claim of historical equivalence.</x:v>
      </x:c>
      <x:c r="M1235" s="120" t="str">
        <x:v>Framework core</x:v>
      </x:c>
    </x:row>
    <x:row r="1236" ht="44" customHeight="1">
      <x:c r="A1236" s="119" t="str">
        <x:v>ART-102</x:v>
      </x:c>
      <x:c r="B1236" s="120" t="str">
        <x:v>Divine Gift Artifact</x:v>
      </x:c>
      <x:c r="C1236" s="120" t="str">
        <x:v>Artifacts, Relics, Weapons &amp; Vehicles</x:v>
      </x:c>
      <x:c r="D1236" s="120" t="str">
        <x:v>ART-100</x:v>
      </x:c>
      <x:c r="E1236" s="120" t="str">
        <x:f>IF(D1236="","",IFERROR(VLOOKUP(D1236,$A$2:$B$1656,2,FALSE),""))</x:f>
        <x:v>Empowered Objects &amp; Relics</x:v>
      </x:c>
      <x:c r="F1236" s="120" t="n">
        <x:v>3</x:v>
      </x:c>
      <x:c r="G1236" s="120" t="str">
        <x:v>An exceptional object bestowed by a deity or celestial agent upon a mortal, lineage, people, or institution.</x:v>
      </x:c>
      <x:c r="H1236" s="120" t="str">
        <x:v>The gift relationship and conditions are part of the artifact, not incidental flavor.</x:v>
      </x:c>
      <x:c r="I1236" s="120" t="str">
        <x:v>god-given weapon; heavenly garment; divine tool</x:v>
      </x:c>
      <x:c r="J1236" s="120" t="str">
        <x:v>authorization, aid, testing, covenant</x:v>
      </x:c>
      <x:c r="K1236" s="120" t="str">
        <x:v>divine gift; boon-object</x:v>
      </x:c>
      <x:c r="L1236" s="120" t="str">
        <x:v>Preserve source-specific terminology, metaphysics, ritual context, and cultural ownership; use this family for comparison, not as a claim of historical equivalence.</x:v>
      </x:c>
      <x:c r="M1236" s="120" t="str">
        <x:v>Framework core</x:v>
      </x:c>
    </x:row>
    <x:row r="1237" ht="44" customHeight="1">
      <x:c r="A1237" s="119" t="str">
        <x:v>ART-103</x:v>
      </x:c>
      <x:c r="B1237" s="120" t="str">
        <x:v>Ancestral Relic</x:v>
      </x:c>
      <x:c r="C1237" s="120" t="str">
        <x:v>Artifacts, Relics, Weapons &amp; Vehicles</x:v>
      </x:c>
      <x:c r="D1237" s="120" t="str">
        <x:v>ART-100</x:v>
      </x:c>
      <x:c r="E1237" s="120" t="str">
        <x:f>IF(D1237="","",IFERROR(VLOOKUP(D1237,$A$2:$B$1656,2,FALSE),""))</x:f>
        <x:v>Empowered Objects &amp; Relics</x:v>
      </x:c>
      <x:c r="F1237" s="120" t="n">
        <x:v>3</x:v>
      </x:c>
      <x:c r="G1237" s="120" t="str">
        <x:v>An inherited object that embodies lineage memory, authority, obligation, or accumulated ancestral presence.</x:v>
      </x:c>
      <x:c r="H1237" s="120" t="str">
        <x:v>Inheritance may be social or spiritual rather than genetic.</x:v>
      </x:c>
      <x:c r="I1237" s="120" t="str">
        <x:v>heirloom blade; ancestor tablet; clan treasure</x:v>
      </x:c>
      <x:c r="J1237" s="120" t="str">
        <x:v>succession, memory, identity, obligation</x:v>
      </x:c>
      <x:c r="K1237" s="120" t="str">
        <x:v>ancestral relic; heirloom</x:v>
      </x:c>
      <x:c r="L1237" s="120" t="str">
        <x:v>Preserve source-specific terminology, metaphysics, ritual context, and cultural ownership; use this family for comparison, not as a claim of historical equivalence.</x:v>
      </x:c>
      <x:c r="M1237" s="120" t="str">
        <x:v>Framework core</x:v>
      </x:c>
    </x:row>
    <x:row r="1238" ht="44" customHeight="1">
      <x:c r="A1238" s="119" t="str">
        <x:v>ART-104</x:v>
      </x:c>
      <x:c r="B1238" s="120" t="str">
        <x:v>Royal Regalia</x:v>
      </x:c>
      <x:c r="C1238" s="120" t="str">
        <x:v>Artifacts, Relics, Weapons &amp; Vehicles</x:v>
      </x:c>
      <x:c r="D1238" s="120" t="str">
        <x:v>ART-100</x:v>
      </x:c>
      <x:c r="E1238" s="120" t="str">
        <x:f>IF(D1238="","",IFERROR(VLOOKUP(D1238,$A$2:$B$1656,2,FALSE),""))</x:f>
        <x:v>Empowered Objects &amp; Relics</x:v>
      </x:c>
      <x:c r="F1238" s="120" t="n">
        <x:v>3</x:v>
      </x:c>
      <x:c r="G1238" s="120" t="str">
        <x:v>A set or object that materially signifies legitimate sovereignty or eligibility to rule.</x:v>
      </x:c>
      <x:c r="H1238" s="120" t="str">
        <x:v>Regalia can authorize office without granting combat power.</x:v>
      </x:c>
      <x:c r="I1238" s="120" t="str">
        <x:v>crown; scepter; seal; throne; royal sword</x:v>
      </x:c>
      <x:c r="J1238" s="120" t="str">
        <x:v>coronation, succession, recognition, governance</x:v>
      </x:c>
      <x:c r="K1238" s="120" t="str">
        <x:v>regalia; crown jewels</x:v>
      </x:c>
      <x:c r="L1238" s="120" t="str">
        <x:v>Preserve source-specific terminology, metaphysics, ritual context, and cultural ownership; use this family for comparison, not as a claim of historical equivalence.</x:v>
      </x:c>
      <x:c r="M1238" s="120" t="str">
        <x:v>Framework core</x:v>
      </x:c>
    </x:row>
    <x:row r="1239" ht="44" customHeight="1">
      <x:c r="A1239" s="119" t="str">
        <x:v>ART-105</x:v>
      </x:c>
      <x:c r="B1239" s="120" t="str">
        <x:v>Artifact of Office</x:v>
      </x:c>
      <x:c r="C1239" s="120" t="str">
        <x:v>Artifacts, Relics, Weapons &amp; Vehicles</x:v>
      </x:c>
      <x:c r="D1239" s="120" t="str">
        <x:v>ART-100</x:v>
      </x:c>
      <x:c r="E1239" s="120" t="str">
        <x:f>IF(D1239="","",IFERROR(VLOOKUP(D1239,$A$2:$B$1656,2,FALSE),""))</x:f>
        <x:v>Empowered Objects &amp; Relics</x:v>
      </x:c>
      <x:c r="F1239" s="120" t="n">
        <x:v>3</x:v>
      </x:c>
      <x:c r="G1239" s="120" t="str">
        <x:v>An object inseparable from a formal social, religious, magical, or military office.</x:v>
      </x:c>
      <x:c r="H1239" s="120" t="str">
        <x:v>Unlike generic equipment, its possession signifies or enables institutional authority.</x:v>
      </x:c>
      <x:c r="I1239" s="120" t="str">
        <x:v>staff of office; badge; ritual key; command seal</x:v>
      </x:c>
      <x:c r="J1239" s="120" t="str">
        <x:v>authorization, continuity, role transfer</x:v>
      </x:c>
      <x:c r="K1239" s="120" t="str">
        <x:v>insignia; office relic</x:v>
      </x:c>
      <x:c r="L1239" s="120" t="str">
        <x:v>Preserve source-specific terminology, metaphysics, ritual context, and cultural ownership; use this family for comparison, not as a claim of historical equivalence.</x:v>
      </x:c>
      <x:c r="M1239" s="120" t="str">
        <x:v>Framework core</x:v>
      </x:c>
    </x:row>
    <x:row r="1240" ht="44" customHeight="1">
      <x:c r="A1240" s="119" t="str">
        <x:v>ART-106</x:v>
      </x:c>
      <x:c r="B1240" s="120" t="str">
        <x:v>World-Shaping Artifact</x:v>
      </x:c>
      <x:c r="C1240" s="120" t="str">
        <x:v>Artifacts, Relics, Weapons &amp; Vehicles</x:v>
      </x:c>
      <x:c r="D1240" s="120" t="str">
        <x:v>ART-100</x:v>
      </x:c>
      <x:c r="E1240" s="120" t="str">
        <x:f>IF(D1240="","",IFERROR(VLOOKUP(D1240,$A$2:$B$1656,2,FALSE),""))</x:f>
        <x:v>Empowered Objects &amp; Relics</x:v>
      </x:c>
      <x:c r="F1240" s="120" t="n">
        <x:v>3</x:v>
      </x:c>
      <x:c r="G1240" s="120" t="str">
        <x:v>An object capable of creating, sustaining, altering, dividing, or destroying worlds, ages, landscapes, or fundamental conditions.</x:v>
      </x:c>
      <x:c r="H1240" s="120" t="str">
        <x:v>Scale of effect distinguishes it from ordinary powerful items.</x:v>
      </x:c>
      <x:c r="I1240" s="120" t="str">
        <x:v>creation engine; world stone; cosmic forge</x:v>
      </x:c>
      <x:c r="J1240" s="120" t="str">
        <x:v>creation, catastrophe, restoration, cosmological leverage</x:v>
      </x:c>
      <x:c r="K1240" s="120" t="str">
        <x:v>world artifact; creation relic</x:v>
      </x:c>
      <x:c r="L1240" s="120" t="str">
        <x:v>Preserve source-specific terminology, metaphysics, ritual context, and cultural ownership; use this family for comparison, not as a claim of historical equivalence.</x:v>
      </x:c>
      <x:c r="M1240" s="120" t="str">
        <x:v>Framework core</x:v>
      </x:c>
    </x:row>
    <x:row r="1241" ht="44" customHeight="1">
      <x:c r="A1241" s="119" t="str">
        <x:v>ART-107</x:v>
      </x:c>
      <x:c r="B1241" s="120" t="str">
        <x:v>Civilization-Founding Artifact</x:v>
      </x:c>
      <x:c r="C1241" s="120" t="str">
        <x:v>Artifacts, Relics, Weapons &amp; Vehicles</x:v>
      </x:c>
      <x:c r="D1241" s="120" t="str">
        <x:v>ART-100</x:v>
      </x:c>
      <x:c r="E1241" s="120" t="str">
        <x:f>IF(D1241="","",IFERROR(VLOOKUP(D1241,$A$2:$B$1656,2,FALSE),""))</x:f>
        <x:v>Empowered Objects &amp; Relics</x:v>
      </x:c>
      <x:c r="F1241" s="120" t="n">
        <x:v>3</x:v>
      </x:c>
      <x:c r="G1241" s="120" t="str">
        <x:v>An object around which a polity, craft, law, economy, or collective identity is established.</x:v>
      </x:c>
      <x:c r="H1241" s="120" t="str">
        <x:v>Its importance is institutional and historical as well as magical.</x:v>
      </x:c>
      <x:c r="I1241" s="120" t="str">
        <x:v>culture-bringing tool; first flame; founding tablet</x:v>
      </x:c>
      <x:c r="J1241" s="120" t="str">
        <x:v>civilization, legitimacy, cultural memory</x:v>
      </x:c>
      <x:c r="K1241" s="120" t="str">
        <x:v>founding relic; culture object</x:v>
      </x:c>
      <x:c r="L1241" s="120" t="str">
        <x:v>Preserve source-specific terminology, metaphysics, ritual context, and cultural ownership; use this family for comparison, not as a claim of historical equivalence.</x:v>
      </x:c>
      <x:c r="M1241" s="120" t="str">
        <x:v>Framework core</x:v>
      </x:c>
    </x:row>
    <x:row r="1242" ht="44" customHeight="1">
      <x:c r="A1242" s="119" t="str">
        <x:v>ART-108</x:v>
      </x:c>
      <x:c r="B1242" s="120" t="str">
        <x:v>Sentient Artifact</x:v>
      </x:c>
      <x:c r="C1242" s="120" t="str">
        <x:v>Artifacts, Relics, Weapons &amp; Vehicles</x:v>
      </x:c>
      <x:c r="D1242" s="120" t="str">
        <x:v>ART-100</x:v>
      </x:c>
      <x:c r="E1242" s="120" t="str">
        <x:f>IF(D1242="","",IFERROR(VLOOKUP(D1242,$A$2:$B$1656,2,FALSE),""))</x:f>
        <x:v>Empowered Objects &amp; Relics</x:v>
      </x:c>
      <x:c r="F1242" s="120" t="n">
        <x:v>3</x:v>
      </x:c>
      <x:c r="G1242" s="120" t="str">
        <x:v>An object with self-awareness, voice, intention, appetite, judgment, or independent decision-making.</x:v>
      </x:c>
      <x:c r="H1242" s="120" t="str">
        <x:v>A speaking interface alone does not prove personhood; agency is the key distinction.</x:v>
      </x:c>
      <x:c r="I1242" s="120" t="str">
        <x:v>talking sword; sapient book; living crown</x:v>
      </x:c>
      <x:c r="J1242" s="120" t="str">
        <x:v>companion, tempter, judge, adviser</x:v>
      </x:c>
      <x:c r="K1242" s="120" t="str">
        <x:v>sentient item; intelligent weapon</x:v>
      </x:c>
      <x:c r="L1242" s="120" t="str">
        <x:v>Preserve source-specific terminology, metaphysics, ritual context, and cultural ownership; use this family for comparison, not as a claim of historical equivalence.</x:v>
      </x:c>
      <x:c r="M1242" s="120" t="str">
        <x:v>Framework core</x:v>
      </x:c>
    </x:row>
    <x:row r="1243" ht="44" customHeight="1">
      <x:c r="A1243" s="119" t="str">
        <x:v>ART-109</x:v>
      </x:c>
      <x:c r="B1243" s="120" t="str">
        <x:v>Soul-Bound Artifact</x:v>
      </x:c>
      <x:c r="C1243" s="120" t="str">
        <x:v>Artifacts, Relics, Weapons &amp; Vehicles</x:v>
      </x:c>
      <x:c r="D1243" s="120" t="str">
        <x:v>ART-100</x:v>
      </x:c>
      <x:c r="E1243" s="120" t="str">
        <x:f>IF(D1243="","",IFERROR(VLOOKUP(D1243,$A$2:$B$1656,2,FALSE),""))</x:f>
        <x:v>Empowered Objects &amp; Relics</x:v>
      </x:c>
      <x:c r="F1243" s="120" t="n">
        <x:v>3</x:v>
      </x:c>
      <x:c r="G1243" s="120" t="str">
        <x:v>An object linked to a particular soul so that ownership, power, injury, survival, or identity is mutually dependent.</x:v>
      </x:c>
      <x:c r="H1243" s="120" t="str">
        <x:v>Differs from a merely attuned item because the bond is ontologically consequential.</x:v>
      </x:c>
      <x:c r="I1243" s="120" t="str">
        <x:v>life-linked weapon; bonded familiar object</x:v>
      </x:c>
      <x:c r="J1243" s="120" t="str">
        <x:v>identity, vulnerability, inheritance, resurrection</x:v>
      </x:c>
      <x:c r="K1243" s="120" t="str">
        <x:v>soulbound item; bonded relic</x:v>
      </x:c>
      <x:c r="L1243" s="120" t="str">
        <x:v>Preserve source-specific terminology, metaphysics, ritual context, and cultural ownership; use this family for comparison, not as a claim of historical equivalence.</x:v>
      </x:c>
      <x:c r="M1243" s="120" t="str">
        <x:v>Framework core</x:v>
      </x:c>
    </x:row>
    <x:row r="1244" ht="44" customHeight="1">
      <x:c r="A1244" s="119" t="str">
        <x:v>ART-110</x:v>
      </x:c>
      <x:c r="B1244" s="120" t="str">
        <x:v>Living Artifact</x:v>
      </x:c>
      <x:c r="C1244" s="120" t="str">
        <x:v>Artifacts, Relics, Weapons &amp; Vehicles</x:v>
      </x:c>
      <x:c r="D1244" s="120" t="str">
        <x:v>ART-100</x:v>
      </x:c>
      <x:c r="E1244" s="120" t="str">
        <x:f>IF(D1244="","",IFERROR(VLOOKUP(D1244,$A$2:$B$1656,2,FALSE),""))</x:f>
        <x:v>Empowered Objects &amp; Relics</x:v>
      </x:c>
      <x:c r="F1244" s="120" t="n">
        <x:v>3</x:v>
      </x:c>
      <x:c r="G1244" s="120" t="str">
        <x:v>A crafted or cultivated object that grows, heals, reproduces, hungers, or otherwise behaves as living matter.</x:v>
      </x:c>
      <x:c r="H1244" s="120" t="str">
        <x:v>It may be sentient, but life and agency are separate questions.</x:v>
      </x:c>
      <x:c r="I1244" s="120" t="str">
        <x:v>grown armor; symbiotic tool; organic ship</x:v>
      </x:c>
      <x:c r="J1244" s="120" t="str">
        <x:v>adaptation, companionship, bodily ambiguity</x:v>
      </x:c>
      <x:c r="K1244" s="120" t="str">
        <x:v>living weapon; organic relic</x:v>
      </x:c>
      <x:c r="L1244" s="120" t="str">
        <x:v>Preserve source-specific terminology, metaphysics, ritual context, and cultural ownership; use this family for comparison, not as a claim of historical equivalence.</x:v>
      </x:c>
      <x:c r="M1244" s="120" t="str">
        <x:v>Framework core</x:v>
      </x:c>
    </x:row>
    <x:row r="1245" ht="44" customHeight="1">
      <x:c r="A1245" s="119" t="str">
        <x:v>ART-111</x:v>
      </x:c>
      <x:c r="B1245" s="120" t="str">
        <x:v>Corrupting Object or Relic</x:v>
      </x:c>
      <x:c r="C1245" s="120" t="str">
        <x:v>Artifacts, Relics, Weapons &amp; Vehicles</x:v>
      </x:c>
      <x:c r="D1245" s="120" t="str">
        <x:v>ART-100</x:v>
      </x:c>
      <x:c r="E1245" s="120" t="str">
        <x:f>IF(D1245="","",IFERROR(VLOOKUP(D1245,$A$2:$B$1656,2,FALSE),""))</x:f>
        <x:v>Empowered Objects &amp; Relics</x:v>
      </x:c>
      <x:c r="F1245" s="120" t="n">
        <x:v>3</x:v>
      </x:c>
      <x:c r="G1245" s="120" t="str">
        <x:v>An object whose use, proximity, or possession degrades body, mind, ethics, identity, environment, or social relations.</x:v>
      </x:c>
      <x:c r="H1245" s="120" t="str">
        <x:v>Corruption may be active agency, side effect, addiction, or social temptation.</x:v>
      </x:c>
      <x:c r="I1245" s="120" t="str">
        <x:v>tainted relic; addictive item; cursed treasure</x:v>
      </x:c>
      <x:c r="J1245" s="120" t="str">
        <x:v>temptation, escalation, contamination</x:v>
      </x:c>
      <x:c r="K1245" s="120" t="str">
        <x:v>corrupting relic; tainted item</x:v>
      </x:c>
      <x:c r="L1245" s="120" t="str">
        <x:v>Preserve source-specific terminology, metaphysics, ritual context, and cultural ownership; use this family for comparison, not as a claim of historical equivalence.</x:v>
      </x:c>
      <x:c r="M1245" s="120" t="str">
        <x:v>Framework core</x:v>
      </x:c>
    </x:row>
    <x:row r="1246" ht="44" customHeight="1">
      <x:c r="A1246" s="119" t="str">
        <x:v>ART-112</x:v>
      </x:c>
      <x:c r="B1246" s="120" t="str">
        <x:v>Cursed Artifact</x:v>
      </x:c>
      <x:c r="C1246" s="120" t="str">
        <x:v>Artifacts, Relics, Weapons &amp; Vehicles</x:v>
      </x:c>
      <x:c r="D1246" s="120" t="str">
        <x:v>ART-100</x:v>
      </x:c>
      <x:c r="E1246" s="120" t="str">
        <x:f>IF(D1246="","",IFERROR(VLOOKUP(D1246,$A$2:$B$1656,2,FALSE),""))</x:f>
        <x:v>Empowered Objects &amp; Relics</x:v>
      </x:c>
      <x:c r="F1246" s="120" t="n">
        <x:v>3</x:v>
      </x:c>
      <x:c r="G1246" s="120" t="str">
        <x:v>An object that imposes a supernatural penalty, prohibition, destiny, haunting, or unwanted bond.</x:v>
      </x:c>
      <x:c r="H1246" s="120" t="str">
        <x:v>Not every costly artifact is cursed; the condition must act as an imposed affliction or binding.</x:v>
      </x:c>
      <x:c r="I1246" s="120" t="str">
        <x:v>doom-object; haunted jewel; ill-fated blade</x:v>
      </x:c>
      <x:c r="J1246" s="120" t="str">
        <x:v>punishment, mystery, burden, release quest</x:v>
      </x:c>
      <x:c r="K1246" s="120" t="str">
        <x:v>cursed object; accursed treasure</x:v>
      </x:c>
      <x:c r="L1246" s="120" t="str">
        <x:v>Preserve source-specific terminology, metaphysics, ritual context, and cultural ownership; use this family for comparison, not as a claim of historical equivalence.</x:v>
      </x:c>
      <x:c r="M1246" s="120" t="str">
        <x:v>Framework core</x:v>
      </x:c>
    </x:row>
    <x:row r="1247" ht="44" customHeight="1">
      <x:c r="A1247" s="119" t="str">
        <x:v>ART-113</x:v>
      </x:c>
      <x:c r="B1247" s="120" t="str">
        <x:v>Fragmented Artifact</x:v>
      </x:c>
      <x:c r="C1247" s="120" t="str">
        <x:v>Artifacts, Relics, Weapons &amp; Vehicles</x:v>
      </x:c>
      <x:c r="D1247" s="120" t="str">
        <x:v>ART-100</x:v>
      </x:c>
      <x:c r="E1247" s="120" t="str">
        <x:f>IF(D1247="","",IFERROR(VLOOKUP(D1247,$A$2:$B$1656,2,FALSE),""))</x:f>
        <x:v>Empowered Objects &amp; Relics</x:v>
      </x:c>
      <x:c r="F1247" s="120" t="n">
        <x:v>3</x:v>
      </x:c>
      <x:c r="G1247" s="120" t="str">
        <x:v>A once-whole object whose separated pieces retain identity or power and must be recovered, guarded, or kept apart.</x:v>
      </x:c>
      <x:c r="H1247" s="120" t="str">
        <x:v>The fragments are constitutive parts rather than merely a collection of similar items.</x:v>
      </x:c>
      <x:c r="I1247" s="120" t="str">
        <x:v>shards; seals; scattered keys</x:v>
      </x:c>
      <x:c r="J1247" s="120" t="str">
        <x:v>quest structure, reconstruction, distributed risk</x:v>
      </x:c>
      <x:c r="K1247" s="120" t="str">
        <x:v>artifact shards; broken relic</x:v>
      </x:c>
      <x:c r="L1247" s="120" t="str">
        <x:v>Preserve source-specific terminology, metaphysics, ritual context, and cultural ownership; use this family for comparison, not as a claim of historical equivalence.</x:v>
      </x:c>
      <x:c r="M1247" s="120" t="str">
        <x:v>Framework core</x:v>
      </x:c>
    </x:row>
    <x:row r="1248" ht="44" customHeight="1">
      <x:c r="A1248" s="119" t="str">
        <x:v>ART-114</x:v>
      </x:c>
      <x:c r="B1248" s="120" t="str">
        <x:v>Unique Relic</x:v>
      </x:c>
      <x:c r="C1248" s="120" t="str">
        <x:v>Artifacts, Relics, Weapons &amp; Vehicles</x:v>
      </x:c>
      <x:c r="D1248" s="120" t="str">
        <x:v>ART-100</x:v>
      </x:c>
      <x:c r="E1248" s="120" t="str">
        <x:f>IF(D1248="","",IFERROR(VLOOKUP(D1248,$A$2:$B$1656,2,FALSE),""))</x:f>
        <x:v>Empowered Objects &amp; Relics</x:v>
      </x:c>
      <x:c r="F1248" s="120" t="n">
        <x:v>3</x:v>
      </x:c>
      <x:c r="G1248" s="120" t="str">
        <x:v>A singular named object that cannot normally be reproduced within the setting's ordinary craft or magic economy.</x:v>
      </x:c>
      <x:c r="H1248" s="120" t="str">
        <x:v>Uniqueness may be historical, material, legal, or metaphysical.</x:v>
      </x:c>
      <x:c r="I1248" s="120" t="str">
        <x:v>one-of-a-kind weapon; singular crown</x:v>
      </x:c>
      <x:c r="J1248" s="120" t="str">
        <x:v>identity, prestige, plot leverage</x:v>
      </x:c>
      <x:c r="K1248" s="120" t="str">
        <x:v>unique artifact; named relic</x:v>
      </x:c>
      <x:c r="L1248" s="120" t="str">
        <x:v>Preserve source-specific terminology, metaphysics, ritual context, and cultural ownership; use this family for comparison, not as a claim of historical equivalence.</x:v>
      </x:c>
      <x:c r="M1248" s="120" t="str">
        <x:v>Framework core</x:v>
      </x:c>
    </x:row>
    <x:row r="1249" ht="44" customHeight="1">
      <x:c r="A1249" s="119" t="str">
        <x:v>ART-115</x:v>
      </x:c>
      <x:c r="B1249" s="120" t="str">
        <x:v>Replicable Magic Item</x:v>
      </x:c>
      <x:c r="C1249" s="120" t="str">
        <x:v>Artifacts, Relics, Weapons &amp; Vehicles</x:v>
      </x:c>
      <x:c r="D1249" s="120" t="str">
        <x:v>ART-100</x:v>
      </x:c>
      <x:c r="E1249" s="120" t="str">
        <x:f>IF(D1249="","",IFERROR(VLOOKUP(D1249,$A$2:$B$1656,2,FALSE),""))</x:f>
        <x:v>Empowered Objects &amp; Relics</x:v>
      </x:c>
      <x:c r="F1249" s="120" t="n">
        <x:v>3</x:v>
      </x:c>
      <x:c r="G1249" s="120" t="str">
        <x:v>An empowered object produced through repeatable craft, ritual, technology, or institutional manufacture.</x:v>
      </x:c>
      <x:c r="H1249" s="120" t="str">
        <x:v>Its category is defined by reproducibility, unlike singular relics.</x:v>
      </x:c>
      <x:c r="I1249" s="120" t="str">
        <x:v>enchanted tool; potion; standard wand</x:v>
      </x:c>
      <x:c r="J1249" s="120" t="str">
        <x:v>economy, equipment progression, infrastructure</x:v>
      </x:c>
      <x:c r="K1249" s="120" t="str">
        <x:v>magic item; enchanted gear</x:v>
      </x:c>
      <x:c r="L1249" s="120" t="str">
        <x:v>Preserve source-specific terminology, metaphysics, ritual context, and cultural ownership; use this family for comparison, not as a claim of historical equivalence.</x:v>
      </x:c>
      <x:c r="M1249" s="120" t="str">
        <x:v>Framework core</x:v>
      </x:c>
    </x:row>
    <x:row r="1250" ht="44" customHeight="1">
      <x:c r="A1250" s="119" t="str">
        <x:v>ART-116</x:v>
      </x:c>
      <x:c r="B1250" s="120" t="str">
        <x:v>Consumable Relic</x:v>
      </x:c>
      <x:c r="C1250" s="120" t="str">
        <x:v>Artifacts, Relics, Weapons &amp; Vehicles</x:v>
      </x:c>
      <x:c r="D1250" s="120" t="str">
        <x:v>ART-100</x:v>
      </x:c>
      <x:c r="E1250" s="120" t="str">
        <x:f>IF(D1250="","",IFERROR(VLOOKUP(D1250,$A$2:$B$1656,2,FALSE),""))</x:f>
        <x:v>Empowered Objects &amp; Relics</x:v>
      </x:c>
      <x:c r="F1250" s="120" t="n">
        <x:v>3</x:v>
      </x:c>
      <x:c r="G1250" s="120" t="str">
        <x:v>A rare or potent object designed to be expended, broken, burned, eaten, offered, or otherwise consumed in use.</x:v>
      </x:c>
      <x:c r="H1250" s="120" t="str">
        <x:v>Consumption is intrinsic to its operation, not accidental destruction.</x:v>
      </x:c>
      <x:c r="I1250" s="120" t="str">
        <x:v>single-use charm; sacred draught; ritual token</x:v>
      </x:c>
      <x:c r="J1250" s="120" t="str">
        <x:v>scarcity, sacrifice, emergency power</x:v>
      </x:c>
      <x:c r="K1250" s="120" t="str">
        <x:v>consumable artifact; one-use relic</x:v>
      </x:c>
      <x:c r="L1250" s="120" t="str">
        <x:v>Preserve source-specific terminology, metaphysics, ritual context, and cultural ownership; use this family for comparison, not as a claim of historical equivalence.</x:v>
      </x:c>
      <x:c r="M1250" s="120" t="str">
        <x:v>Framework core</x:v>
      </x:c>
    </x:row>
    <x:row r="1251" ht="44" customHeight="1">
      <x:c r="A1251" s="119" t="str">
        <x:v>ART-117</x:v>
      </x:c>
      <x:c r="B1251" s="120" t="str">
        <x:v>Counterfeit or False Relic</x:v>
      </x:c>
      <x:c r="C1251" s="120" t="str">
        <x:v>Artifacts, Relics, Weapons &amp; Vehicles</x:v>
      </x:c>
      <x:c r="D1251" s="120" t="str">
        <x:v>ART-100</x:v>
      </x:c>
      <x:c r="E1251" s="120" t="str">
        <x:f>IF(D1251="","",IFERROR(VLOOKUP(D1251,$A$2:$B$1656,2,FALSE),""))</x:f>
        <x:v>Empowered Objects &amp; Relics</x:v>
      </x:c>
      <x:c r="F1251" s="120" t="n">
        <x:v>3</x:v>
      </x:c>
      <x:c r="G1251" s="120" t="str">
        <x:v>An object presented as sacred, royal, ancient, or unique despite lacking the claimed provenance or power.</x:v>
      </x:c>
      <x:c r="H1251" s="120" t="str">
        <x:v>It may still gain real social or magical force through belief, institutions, or substitution.</x:v>
      </x:c>
      <x:c r="I1251" s="120" t="str">
        <x:v>forged crown; false grail; replica idol</x:v>
      </x:c>
      <x:c r="J1251" s="120" t="str">
        <x:v>deception, legitimacy crisis, critique of authenticity</x:v>
      </x:c>
      <x:c r="K1251" s="120" t="str">
        <x:v>false relic; counterfeit artifact</x:v>
      </x:c>
      <x:c r="L1251" s="120" t="str">
        <x:v>Preserve source-specific terminology, metaphysics, ritual context, and cultural ownership; use this family for comparison, not as a claim of historical equivalence.</x:v>
      </x:c>
      <x:c r="M1251" s="120" t="str">
        <x:v>Framework core</x:v>
      </x:c>
    </x:row>
    <x:row r="1252" ht="44" customHeight="1">
      <x:c r="A1252" s="119" t="str">
        <x:v>ART-201</x:v>
      </x:c>
      <x:c r="B1252" s="120" t="str">
        <x:v>Divine Weapon</x:v>
      </x:c>
      <x:c r="C1252" s="120" t="str">
        <x:v>Artifacts, Relics, Weapons &amp; Vehicles</x:v>
      </x:c>
      <x:c r="D1252" s="120" t="str">
        <x:v>ART-200</x:v>
      </x:c>
      <x:c r="E1252" s="120" t="str">
        <x:f>IF(D1252="","",IFERROR(VLOOKUP(D1252,$A$2:$B$1656,2,FALSE),""))</x:f>
        <x:v>Weapons &amp; Instruments of Power</x:v>
      </x:c>
      <x:c r="F1252" s="120" t="n">
        <x:v>3</x:v>
      </x:c>
      <x:c r="G1252" s="120" t="str">
        <x:v>A weapon made, owned, authorized, or empowered by divine beings or sacred cosmology.</x:v>
      </x:c>
      <x:c r="H1252" s="120" t="str">
        <x:v>Its divine relation may impose eligibility, ritual, or moral conditions.</x:v>
      </x:c>
      <x:c r="I1252" s="120" t="str">
        <x:v>god-weapon; heavenly arm</x:v>
      </x:c>
      <x:c r="J1252" s="120" t="str">
        <x:v>championship, judgment, cosmic warfare</x:v>
      </x:c>
      <x:c r="K1252" s="120" t="str">
        <x:v>divine weapon; god arm</x:v>
      </x:c>
      <x:c r="L1252" s="120" t="str">
        <x:v>Preserve source-specific terminology, metaphysics, ritual context, and cultural ownership; use this family for comparison, not as a claim of historical equivalence.</x:v>
      </x:c>
      <x:c r="M1252" s="120" t="str">
        <x:v>Framework core</x:v>
      </x:c>
    </x:row>
    <x:row r="1253" ht="44" customHeight="1">
      <x:c r="A1253" s="119" t="str">
        <x:v>ART-202</x:v>
      </x:c>
      <x:c r="B1253" s="120" t="str">
        <x:v>Celestial or Astral Weapon</x:v>
      </x:c>
      <x:c r="C1253" s="120" t="str">
        <x:v>Artifacts, Relics, Weapons &amp; Vehicles</x:v>
      </x:c>
      <x:c r="D1253" s="120" t="str">
        <x:v>ART-200</x:v>
      </x:c>
      <x:c r="E1253" s="120" t="str">
        <x:f>IF(D1253="","",IFERROR(VLOOKUP(D1253,$A$2:$B$1656,2,FALSE),""))</x:f>
        <x:v>Weapons &amp; Instruments of Power</x:v>
      </x:c>
      <x:c r="F1253" s="120" t="n">
        <x:v>3</x:v>
      </x:c>
      <x:c r="G1253" s="120" t="str">
        <x:v>A weapon associated with stars, heavens, cosmic forces, or celestial materials rather than a specific deity.</x:v>
      </x:c>
      <x:c r="H1253" s="120" t="str">
        <x:v>Celestial origin is not automatically holy or benevolent.</x:v>
      </x:c>
      <x:c r="I1253" s="120" t="str">
        <x:v>star blade; moon bow; solar spear</x:v>
      </x:c>
      <x:c r="J1253" s="120" t="str">
        <x:v>cosmic warfare, illumination, destiny</x:v>
      </x:c>
      <x:c r="K1253" s="120" t="str">
        <x:v>celestial weapon; astral arm</x:v>
      </x:c>
      <x:c r="L1253" s="120" t="str">
        <x:v>Preserve source-specific terminology, metaphysics, ritual context, and cultural ownership; use this family for comparison, not as a claim of historical equivalence.</x:v>
      </x:c>
      <x:c r="M1253" s="120" t="str">
        <x:v>Framework core</x:v>
      </x:c>
    </x:row>
    <x:row r="1254" ht="44" customHeight="1">
      <x:c r="A1254" s="119" t="str">
        <x:v>ART-203</x:v>
      </x:c>
      <x:c r="B1254" s="120" t="str">
        <x:v>Elemental Weapon</x:v>
      </x:c>
      <x:c r="C1254" s="120" t="str">
        <x:v>Artifacts, Relics, Weapons &amp; Vehicles</x:v>
      </x:c>
      <x:c r="D1254" s="120" t="str">
        <x:v>ART-200</x:v>
      </x:c>
      <x:c r="E1254" s="120" t="str">
        <x:f>IF(D1254="","",IFERROR(VLOOKUP(D1254,$A$2:$B$1656,2,FALSE),""))</x:f>
        <x:v>Weapons &amp; Instruments of Power</x:v>
      </x:c>
      <x:c r="F1254" s="120" t="n">
        <x:v>3</x:v>
      </x:c>
      <x:c r="G1254" s="120" t="str">
        <x:v>A weapon whose identity or principal effect is bound to fire, water, air, earth, lightning, ice, or another elemental domain.</x:v>
      </x:c>
      <x:c r="H1254" s="120" t="str">
        <x:v>An ordinary weapon temporarily enchanted with an element may be a lesser implementation.</x:v>
      </x:c>
      <x:c r="I1254" s="120" t="str">
        <x:v>flame sword; thunder hammer; ice spear</x:v>
      </x:c>
      <x:c r="J1254" s="120" t="str">
        <x:v>damage typing, environmental control, symbolism</x:v>
      </x:c>
      <x:c r="K1254" s="120" t="str">
        <x:v>elemental arm; flame blade</x:v>
      </x:c>
      <x:c r="L1254" s="120" t="str">
        <x:v>Preserve source-specific terminology, metaphysics, ritual context, and cultural ownership; use this family for comparison, not as a claim of historical equivalence.</x:v>
      </x:c>
      <x:c r="M1254" s="120" t="str">
        <x:v>Framework core</x:v>
      </x:c>
    </x:row>
    <x:row r="1255" ht="44" customHeight="1">
      <x:c r="A1255" s="119" t="str">
        <x:v>ART-204</x:v>
      </x:c>
      <x:c r="B1255" s="120" t="str">
        <x:v>Slayer Weapon</x:v>
      </x:c>
      <x:c r="C1255" s="120" t="str">
        <x:v>Artifacts, Relics, Weapons &amp; Vehicles</x:v>
      </x:c>
      <x:c r="D1255" s="120" t="str">
        <x:v>ART-200</x:v>
      </x:c>
      <x:c r="E1255" s="120" t="str">
        <x:f>IF(D1255="","",IFERROR(VLOOKUP(D1255,$A$2:$B$1656,2,FALSE),""))</x:f>
        <x:v>Weapons &amp; Instruments of Power</x:v>
      </x:c>
      <x:c r="F1255" s="120" t="n">
        <x:v>3</x:v>
      </x:c>
      <x:c r="G1255" s="120" t="str">
        <x:v>A weapon specialized against a named being-type, condition, lineage, or metaphysical category.</x:v>
      </x:c>
      <x:c r="H1255" s="120" t="str">
        <x:v>Specialization may derive from material, blessing, history, or a conditional rule.</x:v>
      </x:c>
      <x:c r="I1255" s="120" t="str">
        <x:v>dragon-slayer; demon blade; undead bane</x:v>
      </x:c>
      <x:c r="J1255" s="120" t="str">
        <x:v>monster hunting, counterplay, taboo violence</x:v>
      </x:c>
      <x:c r="K1255" s="120" t="str">
        <x:v>slayer weapon; bane</x:v>
      </x:c>
      <x:c r="L1255" s="120" t="str">
        <x:v>Preserve source-specific terminology, metaphysics, ritual context, and cultural ownership; use this family for comparison, not as a claim of historical equivalence.</x:v>
      </x:c>
      <x:c r="M1255" s="120" t="str">
        <x:v>Framework core</x:v>
      </x:c>
    </x:row>
    <x:row r="1256" ht="44" customHeight="1">
      <x:c r="A1256" s="119" t="str">
        <x:v>ART-205</x:v>
      </x:c>
      <x:c r="B1256" s="120" t="str">
        <x:v>Rightful-Ruler Weapon</x:v>
      </x:c>
      <x:c r="C1256" s="120" t="str">
        <x:v>Artifacts, Relics, Weapons &amp; Vehicles</x:v>
      </x:c>
      <x:c r="D1256" s="120" t="str">
        <x:v>ART-200</x:v>
      </x:c>
      <x:c r="E1256" s="120" t="str">
        <x:f>IF(D1256="","",IFERROR(VLOOKUP(D1256,$A$2:$B$1656,2,FALSE),""))</x:f>
        <x:v>Weapons &amp; Instruments of Power</x:v>
      </x:c>
      <x:c r="F1256" s="120" t="n">
        <x:v>3</x:v>
      </x:c>
      <x:c r="G1256" s="120" t="str">
        <x:v>A weapon that identifies, tests, or authorizes a legitimate sovereign or chosen successor.</x:v>
      </x:c>
      <x:c r="H1256" s="120" t="str">
        <x:v>The recognition function distinguishes it from ordinary royal armament.</x:v>
      </x:c>
      <x:c r="I1256" s="120" t="str">
        <x:v>sword in stone; king's spear</x:v>
      </x:c>
      <x:c r="J1256" s="120" t="str">
        <x:v>succession, legitimacy, revelation</x:v>
      </x:c>
      <x:c r="K1256" s="120" t="str">
        <x:v>sovereign weapon; kingmaking blade</x:v>
      </x:c>
      <x:c r="L1256" s="120" t="str">
        <x:v>Preserve source-specific terminology, metaphysics, ritual context, and cultural ownership; use this family for comparison, not as a claim of historical equivalence.</x:v>
      </x:c>
      <x:c r="M1256" s="120" t="str">
        <x:v>Framework core</x:v>
      </x:c>
    </x:row>
    <x:row r="1257" ht="44" customHeight="1">
      <x:c r="A1257" s="119" t="str">
        <x:v>ART-206</x:v>
      </x:c>
      <x:c r="B1257" s="120" t="str">
        <x:v>Oath-Bound Weapon</x:v>
      </x:c>
      <x:c r="C1257" s="120" t="str">
        <x:v>Artifacts, Relics, Weapons &amp; Vehicles</x:v>
      </x:c>
      <x:c r="D1257" s="120" t="str">
        <x:v>ART-200</x:v>
      </x:c>
      <x:c r="E1257" s="120" t="str">
        <x:f>IF(D1257="","",IFERROR(VLOOKUP(D1257,$A$2:$B$1656,2,FALSE),""))</x:f>
        <x:v>Weapons &amp; Instruments of Power</x:v>
      </x:c>
      <x:c r="F1257" s="120" t="n">
        <x:v>3</x:v>
      </x:c>
      <x:c r="G1257" s="120" t="str">
        <x:v>A weapon whose use, power, custody, or consequences are governed by a vow, geas, contract, or code.</x:v>
      </x:c>
      <x:c r="H1257" s="120" t="str">
        <x:v>The binding rule may constrain both bearer and weapon.</x:v>
      </x:c>
      <x:c r="I1257" s="120" t="str">
        <x:v>vow blade; covenant spear</x:v>
      </x:c>
      <x:c r="J1257" s="120" t="str">
        <x:v>discipline, accountability, tragic obligation</x:v>
      </x:c>
      <x:c r="K1257" s="120" t="str">
        <x:v>oath weapon; bound blade</x:v>
      </x:c>
      <x:c r="L1257" s="120" t="str">
        <x:v>Preserve source-specific terminology, metaphysics, ritual context, and cultural ownership; use this family for comparison, not as a claim of historical equivalence.</x:v>
      </x:c>
      <x:c r="M1257" s="120" t="str">
        <x:v>Framework core</x:v>
      </x:c>
    </x:row>
    <x:row r="1258" ht="44" customHeight="1">
      <x:c r="A1258" s="119" t="str">
        <x:v>ART-207</x:v>
      </x:c>
      <x:c r="B1258" s="120" t="str">
        <x:v>Bloodline Weapon</x:v>
      </x:c>
      <x:c r="C1258" s="120" t="str">
        <x:v>Artifacts, Relics, Weapons &amp; Vehicles</x:v>
      </x:c>
      <x:c r="D1258" s="120" t="str">
        <x:v>ART-200</x:v>
      </x:c>
      <x:c r="E1258" s="120" t="str">
        <x:f>IF(D1258="","",IFERROR(VLOOKUP(D1258,$A$2:$B$1656,2,FALSE),""))</x:f>
        <x:v>Weapons &amp; Instruments of Power</x:v>
      </x:c>
      <x:c r="F1258" s="120" t="n">
        <x:v>3</x:v>
      </x:c>
      <x:c r="G1258" s="120" t="str">
        <x:v>A weapon that responds to descent, kinship, inherited essence, or a recognized lineage.</x:v>
      </x:c>
      <x:c r="H1258" s="120" t="str">
        <x:v>Bloodline recognition is distinct from social inheritance alone.</x:v>
      </x:c>
      <x:c r="I1258" s="120" t="str">
        <x:v>ancestral sword; lineage bow</x:v>
      </x:c>
      <x:c r="J1258" s="120" t="str">
        <x:v>identity, succession, exclusion</x:v>
      </x:c>
      <x:c r="K1258" s="120" t="str">
        <x:v>bloodline weapon; heirloom arm</x:v>
      </x:c>
      <x:c r="L1258" s="120" t="str">
        <x:v>Preserve source-specific terminology, metaphysics, ritual context, and cultural ownership; use this family for comparison, not as a claim of historical equivalence.</x:v>
      </x:c>
      <x:c r="M1258" s="120" t="str">
        <x:v>Framework core</x:v>
      </x:c>
    </x:row>
    <x:row r="1259" ht="44" customHeight="1">
      <x:c r="A1259" s="119" t="str">
        <x:v>ART-208</x:v>
      </x:c>
      <x:c r="B1259" s="120" t="str">
        <x:v>Named Heroic Weapon</x:v>
      </x:c>
      <x:c r="C1259" s="120" t="str">
        <x:v>Artifacts, Relics, Weapons &amp; Vehicles</x:v>
      </x:c>
      <x:c r="D1259" s="120" t="str">
        <x:v>ART-200</x:v>
      </x:c>
      <x:c r="E1259" s="120" t="str">
        <x:f>IF(D1259="","",IFERROR(VLOOKUP(D1259,$A$2:$B$1656,2,FALSE),""))</x:f>
        <x:v>Weapons &amp; Instruments of Power</x:v>
      </x:c>
      <x:c r="F1259" s="120" t="n">
        <x:v>3</x:v>
      </x:c>
      <x:c r="G1259" s="120" t="str">
        <x:v>A named weapon whose biography is entwined with one or more heroes, battles, or lineages.</x:v>
      </x:c>
      <x:c r="H1259" s="120" t="str">
        <x:v>A name alone is insufficient; the object carries narrative history and identity.</x:v>
      </x:c>
      <x:c r="I1259" s="120" t="str">
        <x:v>hero sword; legendary bow</x:v>
      </x:c>
      <x:c r="J1259" s="120" t="str">
        <x:v>character identity, memory, fame</x:v>
      </x:c>
      <x:c r="K1259" s="120" t="str">
        <x:v>named weapon; heroic arm</x:v>
      </x:c>
      <x:c r="L1259" s="120" t="str">
        <x:v>Preserve source-specific terminology, metaphysics, ritual context, and cultural ownership; use this family for comparison, not as a claim of historical equivalence.</x:v>
      </x:c>
      <x:c r="M1259" s="120" t="str">
        <x:v>Framework core</x:v>
      </x:c>
    </x:row>
    <x:row r="1260" ht="44" customHeight="1">
      <x:c r="A1260" s="119" t="str">
        <x:v>ART-209</x:v>
      </x:c>
      <x:c r="B1260" s="120" t="str">
        <x:v>Sentient Weapon</x:v>
      </x:c>
      <x:c r="C1260" s="120" t="str">
        <x:v>Artifacts, Relics, Weapons &amp; Vehicles</x:v>
      </x:c>
      <x:c r="D1260" s="120" t="str">
        <x:v>ART-200</x:v>
      </x:c>
      <x:c r="E1260" s="120" t="str">
        <x:f>IF(D1260="","",IFERROR(VLOOKUP(D1260,$A$2:$B$1656,2,FALSE),""))</x:f>
        <x:v>Weapons &amp; Instruments of Power</x:v>
      </x:c>
      <x:c r="F1260" s="120" t="n">
        <x:v>3</x:v>
      </x:c>
      <x:c r="G1260" s="120" t="str">
        <x:v>A weapon possessing awareness, will, speech, appetite, judgment, or the power to accept or reject bearers.</x:v>
      </x:c>
      <x:c r="H1260" s="120" t="str">
        <x:v>This is a weapon subtype of sentient artifact; sentience may conflict with its instrumental use.</x:v>
      </x:c>
      <x:c r="I1260" s="120" t="str">
        <x:v>talking sword; judging spear</x:v>
      </x:c>
      <x:c r="J1260" s="120" t="str">
        <x:v>companion, tempter, partner, antagonist</x:v>
      </x:c>
      <x:c r="K1260" s="120" t="str">
        <x:v>sentient weapon; intelligent blade</x:v>
      </x:c>
      <x:c r="L1260" s="120" t="str">
        <x:v>Preserve source-specific terminology, metaphysics, ritual context, and cultural ownership; use this family for comparison, not as a claim of historical equivalence.</x:v>
      </x:c>
      <x:c r="M1260" s="120" t="str">
        <x:v>Framework core</x:v>
      </x:c>
    </x:row>
    <x:row r="1261" ht="44" customHeight="1">
      <x:c r="A1261" s="119" t="str">
        <x:v>ART-210</x:v>
      </x:c>
      <x:c r="B1261" s="120" t="str">
        <x:v>Transforming Weapon</x:v>
      </x:c>
      <x:c r="C1261" s="120" t="str">
        <x:v>Artifacts, Relics, Weapons &amp; Vehicles</x:v>
      </x:c>
      <x:c r="D1261" s="120" t="str">
        <x:v>ART-200</x:v>
      </x:c>
      <x:c r="E1261" s="120" t="str">
        <x:f>IF(D1261="","",IFERROR(VLOOKUP(D1261,$A$2:$B$1656,2,FALSE),""))</x:f>
        <x:v>Weapons &amp; Instruments of Power</x:v>
      </x:c>
      <x:c r="F1261" s="120" t="n">
        <x:v>3</x:v>
      </x:c>
      <x:c r="G1261" s="120" t="str">
        <x:v>A weapon that changes form, mode, size, material, wielder, or tactical function.</x:v>
      </x:c>
      <x:c r="H1261" s="120" t="str">
        <x:v>Transformation must be intrinsic rather than ordinary reconfiguration.</x:v>
      </x:c>
      <x:c r="I1261" s="120" t="str">
        <x:v>weapon-form cycle; size-changing staff</x:v>
      </x:c>
      <x:c r="J1261" s="120" t="str">
        <x:v>versatility, identity, spectacle</x:v>
      </x:c>
      <x:c r="K1261" s="120" t="str">
        <x:v>transforming arm; morph weapon</x:v>
      </x:c>
      <x:c r="L1261" s="120" t="str">
        <x:v>Preserve source-specific terminology, metaphysics, ritual context, and cultural ownership; use this family for comparison, not as a claim of historical equivalence.</x:v>
      </x:c>
      <x:c r="M1261" s="120" t="str">
        <x:v>Framework core</x:v>
      </x:c>
    </x:row>
    <x:row r="1262" ht="44" customHeight="1">
      <x:c r="A1262" s="119" t="str">
        <x:v>ART-211</x:v>
      </x:c>
      <x:c r="B1262" s="120" t="str">
        <x:v>Returning Weapon</x:v>
      </x:c>
      <x:c r="C1262" s="120" t="str">
        <x:v>Artifacts, Relics, Weapons &amp; Vehicles</x:v>
      </x:c>
      <x:c r="D1262" s="120" t="str">
        <x:v>ART-200</x:v>
      </x:c>
      <x:c r="E1262" s="120" t="str">
        <x:f>IF(D1262="","",IFERROR(VLOOKUP(D1262,$A$2:$B$1656,2,FALSE),""))</x:f>
        <x:v>Weapons &amp; Instruments of Power</x:v>
      </x:c>
      <x:c r="F1262" s="120" t="n">
        <x:v>3</x:v>
      </x:c>
      <x:c r="G1262" s="120" t="str">
        <x:v>A thrown, lost, or summoned weapon that reliably returns to its bearer or point of origin.</x:v>
      </x:c>
      <x:c r="H1262" s="120" t="str">
        <x:v>Return can be physical flight, recall, recreation, or teleportation.</x:v>
      </x:c>
      <x:c r="I1262" s="120" t="str">
        <x:v>returning hammer; recalled spear</x:v>
      </x:c>
      <x:c r="J1262" s="120" t="str">
        <x:v>repeatable ranged attack, bond symbolism</x:v>
      </x:c>
      <x:c r="K1262" s="120" t="str">
        <x:v>returning weapon; recall arm</x:v>
      </x:c>
      <x:c r="L1262" s="120" t="str">
        <x:v>Preserve source-specific terminology, metaphysics, ritual context, and cultural ownership; use this family for comparison, not as a claim of historical equivalence.</x:v>
      </x:c>
      <x:c r="M1262" s="120" t="str">
        <x:v>Framework core</x:v>
      </x:c>
    </x:row>
    <x:row r="1263" ht="44" customHeight="1">
      <x:c r="A1263" s="119" t="str">
        <x:v>ART-212</x:v>
      </x:c>
      <x:c r="B1263" s="120" t="str">
        <x:v>Indestructible or Unbreakable Weapon</x:v>
      </x:c>
      <x:c r="C1263" s="120" t="str">
        <x:v>Artifacts, Relics, Weapons &amp; Vehicles</x:v>
      </x:c>
      <x:c r="D1263" s="120" t="str">
        <x:v>ART-200</x:v>
      </x:c>
      <x:c r="E1263" s="120" t="str">
        <x:f>IF(D1263="","",IFERROR(VLOOKUP(D1263,$A$2:$B$1656,2,FALSE),""))</x:f>
        <x:v>Weapons &amp; Instruments of Power</x:v>
      </x:c>
      <x:c r="F1263" s="120" t="n">
        <x:v>3</x:v>
      </x:c>
      <x:c r="G1263" s="120" t="str">
        <x:v>A weapon exceptionally resistant or immune to damage, decay, loss of edge, or ordinary destruction.</x:v>
      </x:c>
      <x:c r="H1263" s="120" t="str">
        <x:v>Indestructibility does not imply unlimited offensive power.</x:v>
      </x:c>
      <x:c r="I1263" s="120" t="str">
        <x:v>unbreakable blade; eternal spear</x:v>
      </x:c>
      <x:c r="J1263" s="120" t="str">
        <x:v>continuity, authority, escalation</x:v>
      </x:c>
      <x:c r="K1263" s="120" t="str">
        <x:v>unbreakable weapon; imperishable arm</x:v>
      </x:c>
      <x:c r="L1263" s="120" t="str">
        <x:v>Preserve source-specific terminology, metaphysics, ritual context, and cultural ownership; use this family for comparison, not as a claim of historical equivalence.</x:v>
      </x:c>
      <x:c r="M1263" s="120" t="str">
        <x:v>Framework core</x:v>
      </x:c>
    </x:row>
    <x:row r="1264" ht="44" customHeight="1">
      <x:c r="A1264" s="119" t="str">
        <x:v>ART-213</x:v>
      </x:c>
      <x:c r="B1264" s="120" t="str">
        <x:v>World-Ending Weapon</x:v>
      </x:c>
      <x:c r="C1264" s="120" t="str">
        <x:v>Artifacts, Relics, Weapons &amp; Vehicles</x:v>
      </x:c>
      <x:c r="D1264" s="120" t="str">
        <x:v>ART-200</x:v>
      </x:c>
      <x:c r="E1264" s="120" t="str">
        <x:f>IF(D1264="","",IFERROR(VLOOKUP(D1264,$A$2:$B$1656,2,FALSE),""))</x:f>
        <x:v>Weapons &amp; Instruments of Power</x:v>
      </x:c>
      <x:c r="F1264" s="120" t="n">
        <x:v>3</x:v>
      </x:c>
      <x:c r="G1264" s="120" t="str">
        <x:v>A weapon capable of mass annihilation, cosmic destabilization, age-ending catastrophe, or irreversible civilizational destruction.</x:v>
      </x:c>
      <x:c r="H1264" s="120" t="str">
        <x:v>Its threat is systemic rather than merely high damage.</x:v>
      </x:c>
      <x:c r="I1264" s="120" t="str">
        <x:v>doomsday arm; apocalypse weapon</x:v>
      </x:c>
      <x:c r="J1264" s="120" t="str">
        <x:v>deterrence, taboo, final conflict</x:v>
      </x:c>
      <x:c r="K1264" s="120" t="str">
        <x:v>world-ending weapon; ultimate arm</x:v>
      </x:c>
      <x:c r="L1264" s="120" t="str">
        <x:v>Preserve source-specific terminology, metaphysics, ritual context, and cultural ownership; use this family for comparison, not as a claim of historical equivalence.</x:v>
      </x:c>
      <x:c r="M1264" s="120" t="str">
        <x:v>Framework core</x:v>
      </x:c>
    </x:row>
    <x:row r="1265" ht="44" customHeight="1">
      <x:c r="A1265" s="119" t="str">
        <x:v>ART-214</x:v>
      </x:c>
      <x:c r="B1265" s="120" t="str">
        <x:v>Curse-Bearing Weapon</x:v>
      </x:c>
      <x:c r="C1265" s="120" t="str">
        <x:v>Artifacts, Relics, Weapons &amp; Vehicles</x:v>
      </x:c>
      <x:c r="D1265" s="120" t="str">
        <x:v>ART-200</x:v>
      </x:c>
      <x:c r="E1265" s="120" t="str">
        <x:f>IF(D1265="","",IFERROR(VLOOKUP(D1265,$A$2:$B$1656,2,FALSE),""))</x:f>
        <x:v>Weapons &amp; Instruments of Power</x:v>
      </x:c>
      <x:c r="F1265" s="120" t="n">
        <x:v>3</x:v>
      </x:c>
      <x:c r="G1265" s="120" t="str">
        <x:v>A weapon that inflicts or transmits a lasting curse, doom, contamination, or compulsory relationship beyond immediate injury.</x:v>
      </x:c>
      <x:c r="H1265" s="120" t="str">
        <x:v>Distinguish from a cursed weapon whose curse primarily burdens its bearer.</x:v>
      </x:c>
      <x:c r="I1265" s="120" t="str">
        <x:v>doom blade; plague spear</x:v>
      </x:c>
      <x:c r="J1265" s="120" t="str">
        <x:v>lasting consequence, moral hazard</x:v>
      </x:c>
      <x:c r="K1265" s="120" t="str">
        <x:v>curse weapon; accursed arm</x:v>
      </x:c>
      <x:c r="L1265" s="120" t="str">
        <x:v>Preserve source-specific terminology, metaphysics, ritual context, and cultural ownership; use this family for comparison, not as a claim of historical equivalence.</x:v>
      </x:c>
      <x:c r="M1265" s="120" t="str">
        <x:v>Framework core</x:v>
      </x:c>
    </x:row>
    <x:row r="1266" ht="44" customHeight="1">
      <x:c r="A1266" s="119" t="str">
        <x:v>ART-215</x:v>
      </x:c>
      <x:c r="B1266" s="120" t="str">
        <x:v>Spell-Focus Weapon</x:v>
      </x:c>
      <x:c r="C1266" s="120" t="str">
        <x:v>Artifacts, Relics, Weapons &amp; Vehicles</x:v>
      </x:c>
      <x:c r="D1266" s="120" t="str">
        <x:v>ART-200</x:v>
      </x:c>
      <x:c r="E1266" s="120" t="str">
        <x:f>IF(D1266="","",IFERROR(VLOOKUP(D1266,$A$2:$B$1656,2,FALSE),""))</x:f>
        <x:v>Weapons &amp; Instruments of Power</x:v>
      </x:c>
      <x:c r="F1266" s="120" t="n">
        <x:v>3</x:v>
      </x:c>
      <x:c r="G1266" s="120" t="str">
        <x:v>A weapon designed to channel, shape, store, authorize, or amplify spellcasting alongside martial use.</x:v>
      </x:c>
      <x:c r="H1266" s="120" t="str">
        <x:v>It is not automatically a spellblade class; the object itself integrates the functions.</x:v>
      </x:c>
      <x:c r="I1266" s="120" t="str">
        <x:v>staff-spear; ritual sword; caster gun</x:v>
      </x:c>
      <x:c r="J1266" s="120" t="str">
        <x:v>hybrid combat, focus, casting interface</x:v>
      </x:c>
      <x:c r="K1266" s="120" t="str">
        <x:v>spell weapon; casting focus</x:v>
      </x:c>
      <x:c r="L1266" s="120" t="str">
        <x:v>Preserve source-specific terminology, metaphysics, ritual context, and cultural ownership; use this family for comparison, not as a claim of historical equivalence.</x:v>
      </x:c>
      <x:c r="M1266" s="120" t="str">
        <x:v>Framework core</x:v>
      </x:c>
    </x:row>
    <x:row r="1267" ht="44" customHeight="1">
      <x:c r="A1267" s="119" t="str">
        <x:v>ART-216</x:v>
      </x:c>
      <x:c r="B1267" s="120" t="str">
        <x:v>Siege Relic</x:v>
      </x:c>
      <x:c r="C1267" s="120" t="str">
        <x:v>Artifacts, Relics, Weapons &amp; Vehicles</x:v>
      </x:c>
      <x:c r="D1267" s="120" t="str">
        <x:v>ART-200</x:v>
      </x:c>
      <x:c r="E1267" s="120" t="str">
        <x:f>IF(D1267="","",IFERROR(VLOOKUP(D1267,$A$2:$B$1656,2,FALSE),""))</x:f>
        <x:v>Weapons &amp; Instruments of Power</x:v>
      </x:c>
      <x:c r="F1267" s="120" t="n">
        <x:v>3</x:v>
      </x:c>
      <x:c r="G1267" s="120" t="str">
        <x:v>A singular or empowered engine used against fortifications, armies, cities, giants, or other strategic-scale targets.</x:v>
      </x:c>
      <x:c r="H1267" s="120" t="str">
        <x:v>Strategic function distinguishes it from a personal weapon.</x:v>
      </x:c>
      <x:c r="I1267" s="120" t="str">
        <x:v>magic cannon; divine ram; fortress breaker</x:v>
      </x:c>
      <x:c r="J1267" s="120" t="str">
        <x:v>siege, deterrence, military escalation</x:v>
      </x:c>
      <x:c r="K1267" s="120" t="str">
        <x:v>siege artifact; war engine</x:v>
      </x:c>
      <x:c r="L1267" s="120" t="str">
        <x:v>Preserve source-specific terminology, metaphysics, ritual context, and cultural ownership; use this family for comparison, not as a claim of historical equivalence.</x:v>
      </x:c>
      <x:c r="M1267" s="120" t="str">
        <x:v>Framework core</x:v>
      </x:c>
    </x:row>
    <x:row r="1268" ht="44" customHeight="1">
      <x:c r="A1268" s="119" t="str">
        <x:v>ART-217</x:v>
      </x:c>
      <x:c r="B1268" s="120" t="str">
        <x:v>Musical Instrument of Power</x:v>
      </x:c>
      <x:c r="C1268" s="120" t="str">
        <x:v>Artifacts, Relics, Weapons &amp; Vehicles</x:v>
      </x:c>
      <x:c r="D1268" s="120" t="str">
        <x:v>ART-200</x:v>
      </x:c>
      <x:c r="E1268" s="120" t="str">
        <x:f>IF(D1268="","",IFERROR(VLOOKUP(D1268,$A$2:$B$1656,2,FALSE),""))</x:f>
        <x:v>Weapons &amp; Instruments of Power</x:v>
      </x:c>
      <x:c r="F1268" s="120" t="n">
        <x:v>3</x:v>
      </x:c>
      <x:c r="G1268" s="120" t="str">
        <x:v>An instrument whose performance produces supernatural, social, emotional, cosmological, or command effects.</x:v>
      </x:c>
      <x:c r="H1268" s="120" t="str">
        <x:v>Power may depend on music, performer, repertoire, audience, or ritual context.</x:v>
      </x:c>
      <x:c r="I1268" s="120" t="str">
        <x:v>enchanted harp; war horn; divine flute</x:v>
      </x:c>
      <x:c r="J1268" s="120" t="str">
        <x:v>enchantment, summoning, healing, signaling</x:v>
      </x:c>
      <x:c r="K1268" s="120" t="str">
        <x:v>magic instrument; enchanted music</x:v>
      </x:c>
      <x:c r="L1268" s="120" t="str">
        <x:v>Preserve source-specific terminology, metaphysics, ritual context, and cultural ownership; use this family for comparison, not as a claim of historical equivalence.</x:v>
      </x:c>
      <x:c r="M1268" s="120" t="str">
        <x:v>Framework core</x:v>
      </x:c>
    </x:row>
    <x:row r="1269" ht="44" customHeight="1">
      <x:c r="A1269" s="119" t="str">
        <x:v>ART-218</x:v>
      </x:c>
      <x:c r="B1269" s="120" t="str">
        <x:v>Ritual Tool</x:v>
      </x:c>
      <x:c r="C1269" s="120" t="str">
        <x:v>Artifacts, Relics, Weapons &amp; Vehicles</x:v>
      </x:c>
      <x:c r="D1269" s="120" t="str">
        <x:v>ART-200</x:v>
      </x:c>
      <x:c r="E1269" s="120" t="str">
        <x:f>IF(D1269="","",IFERROR(VLOOKUP(D1269,$A$2:$B$1656,2,FALSE),""))</x:f>
        <x:v>Weapons &amp; Instruments of Power</x:v>
      </x:c>
      <x:c r="F1269" s="120" t="n">
        <x:v>3</x:v>
      </x:c>
      <x:c r="G1269" s="120" t="str">
        <x:v>A specialized implement whose efficacy derives from its place within a rite rather than ordinary utility or combat.</x:v>
      </x:c>
      <x:c r="H1269" s="120" t="str">
        <x:v>Do not detach the tool from the ritual system that gives it meaning.</x:v>
      </x:c>
      <x:c r="I1269" s="120" t="str">
        <x:v>wand; athame-like blade; censer; sacrificial ladle</x:v>
      </x:c>
      <x:c r="J1269" s="120" t="str">
        <x:v>ritual precision, authorization, mediation</x:v>
      </x:c>
      <x:c r="K1269" s="120" t="str">
        <x:v>ritual implement; sacred tool</x:v>
      </x:c>
      <x:c r="L1269" s="120" t="str">
        <x:v>Preserve source-specific terminology, metaphysics, ritual context, and cultural ownership; use this family for comparison, not as a claim of historical equivalence.</x:v>
      </x:c>
      <x:c r="M1269" s="120" t="str">
        <x:v>Framework core</x:v>
      </x:c>
    </x:row>
    <x:row r="1270" ht="44" customHeight="1">
      <x:c r="A1270" s="119" t="str">
        <x:v>ART-219</x:v>
      </x:c>
      <x:c r="B1270" s="120" t="str">
        <x:v>Summoned or Invoked Weapon</x:v>
      </x:c>
      <x:c r="C1270" s="120" t="str">
        <x:v>Artifacts, Relics, Weapons &amp; Vehicles</x:v>
      </x:c>
      <x:c r="D1270" s="120" t="str">
        <x:v>ART-200</x:v>
      </x:c>
      <x:c r="E1270" s="120" t="str">
        <x:f>IF(D1270="","",IFERROR(VLOOKUP(D1270,$A$2:$B$1656,2,FALSE),""))</x:f>
        <x:v>Weapons &amp; Instruments of Power</x:v>
      </x:c>
      <x:c r="F1270" s="120" t="n">
        <x:v>3</x:v>
      </x:c>
      <x:c r="G1270" s="120" t="str">
        <x:v>A weapon called into being, drawn from another realm, manifested from power, or temporarily embodied through invocation.</x:v>
      </x:c>
      <x:c r="H1270" s="120" t="str">
        <x:v>The weapon's episodic manifestation distinguishes it from normal equipment storage.</x:v>
      </x:c>
      <x:c r="I1270" s="120" t="str">
        <x:v>spirit weapon; conjured blade; astral bow</x:v>
      </x:c>
      <x:c r="J1270" s="120" t="str">
        <x:v>instant armament, identity, transformation</x:v>
      </x:c>
      <x:c r="K1270" s="120" t="str">
        <x:v>summoned weapon; manifested arm</x:v>
      </x:c>
      <x:c r="L1270" s="120" t="str">
        <x:v>Preserve source-specific terminology, metaphysics, ritual context, and cultural ownership; use this family for comparison, not as a claim of historical equivalence.</x:v>
      </x:c>
      <x:c r="M1270" s="120" t="str">
        <x:v>Framework core</x:v>
      </x:c>
    </x:row>
    <x:row r="1271" ht="44" customHeight="1">
      <x:c r="A1271" s="119" t="str">
        <x:v>ART-301</x:v>
      </x:c>
      <x:c r="B1271" s="120" t="str">
        <x:v>Enchanted Armor</x:v>
      </x:c>
      <x:c r="C1271" s="120" t="str">
        <x:v>Artifacts, Relics, Weapons &amp; Vehicles</x:v>
      </x:c>
      <x:c r="D1271" s="120" t="str">
        <x:v>ART-300</x:v>
      </x:c>
      <x:c r="E1271" s="120" t="str">
        <x:f>IF(D1271="","",IFERROR(VLOOKUP(D1271,$A$2:$B$1656,2,FALSE),""))</x:f>
        <x:v>Protective &amp; Transformative Gear</x:v>
      </x:c>
      <x:c r="F1271" s="120" t="n">
        <x:v>3</x:v>
      </x:c>
      <x:c r="G1271" s="120" t="str">
        <x:v>Protective equipment enhanced through magic, blessing, craft, spirit, technology, or unusual material.</x:v>
      </x:c>
      <x:c r="H1271" s="120" t="str">
        <x:v>It remains equipment rather than a bodily transformation unless fusion is central.</x:v>
      </x:c>
      <x:c r="I1271" s="120" t="str">
        <x:v>magic armor; rune plate; blessed mail</x:v>
      </x:c>
      <x:c r="J1271" s="120" t="str">
        <x:v>defense, status, resistance</x:v>
      </x:c>
      <x:c r="K1271" s="120" t="str">
        <x:v>enchanted armor; magic mail</x:v>
      </x:c>
      <x:c r="L1271" s="120" t="str">
        <x:v>Preserve source-specific terminology, metaphysics, ritual context, and cultural ownership; use this family for comparison, not as a claim of historical equivalence.</x:v>
      </x:c>
      <x:c r="M1271" s="120" t="str">
        <x:v>Framework core</x:v>
      </x:c>
    </x:row>
    <x:row r="1272" ht="44" customHeight="1">
      <x:c r="A1272" s="119" t="str">
        <x:v>ART-302</x:v>
      </x:c>
      <x:c r="B1272" s="120" t="str">
        <x:v>Invulnerable Armor</x:v>
      </x:c>
      <x:c r="C1272" s="120" t="str">
        <x:v>Artifacts, Relics, Weapons &amp; Vehicles</x:v>
      </x:c>
      <x:c r="D1272" s="120" t="str">
        <x:v>ART-300</x:v>
      </x:c>
      <x:c r="E1272" s="120" t="str">
        <x:f>IF(D1272="","",IFERROR(VLOOKUP(D1272,$A$2:$B$1656,2,FALSE),""))</x:f>
        <x:v>Protective &amp; Transformative Gear</x:v>
      </x:c>
      <x:c r="F1272" s="120" t="n">
        <x:v>3</x:v>
      </x:c>
      <x:c r="G1272" s="120" t="str">
        <x:v>Armor granting extraordinary immunity or near-immunity to specified attacks, environments, or ordinary harm.</x:v>
      </x:c>
      <x:c r="H1272" s="120" t="str">
        <x:v>Its protection is usually conditional; it should not be conflated with universal immortality.</x:v>
      </x:c>
      <x:c r="I1272" s="120" t="str">
        <x:v>invincible mail; skin-like armor</x:v>
      </x:c>
      <x:c r="J1272" s="120" t="str">
        <x:v>defense, plot constraint, specialized counter</x:v>
      </x:c>
      <x:c r="K1272" s="120" t="str">
        <x:v>invulnerable armor; impervious mail</x:v>
      </x:c>
      <x:c r="L1272" s="120" t="str">
        <x:v>Preserve source-specific terminology, metaphysics, ritual context, and cultural ownership; use this family for comparison, not as a claim of historical equivalence.</x:v>
      </x:c>
      <x:c r="M1272" s="120" t="str">
        <x:v>Framework core</x:v>
      </x:c>
    </x:row>
    <x:row r="1273" ht="44" customHeight="1">
      <x:c r="A1273" s="119" t="str">
        <x:v>ART-303</x:v>
      </x:c>
      <x:c r="B1273" s="120" t="str">
        <x:v>Sacred Shield</x:v>
      </x:c>
      <x:c r="C1273" s="120" t="str">
        <x:v>Artifacts, Relics, Weapons &amp; Vehicles</x:v>
      </x:c>
      <x:c r="D1273" s="120" t="str">
        <x:v>ART-300</x:v>
      </x:c>
      <x:c r="E1273" s="120" t="str">
        <x:f>IF(D1273="","",IFERROR(VLOOKUP(D1273,$A$2:$B$1656,2,FALSE),""))</x:f>
        <x:v>Protective &amp; Transformative Gear</x:v>
      </x:c>
      <x:c r="F1273" s="120" t="n">
        <x:v>3</x:v>
      </x:c>
      <x:c r="G1273" s="120" t="str">
        <x:v>A shield with divine, ritual, protective, reflective, or communal significance beyond ordinary defense.</x:v>
      </x:c>
      <x:c r="H1273" s="120" t="str">
        <x:v>Its role may include sanctuary, revelation, or group protection.</x:v>
      </x:c>
      <x:c r="I1273" s="120" t="str">
        <x:v>holy shield; mirror shield; guardian aegis</x:v>
      </x:c>
      <x:c r="J1273" s="120" t="str">
        <x:v>protection, warding, legitimacy</x:v>
      </x:c>
      <x:c r="K1273" s="120" t="str">
        <x:v>sacred shield; aegis</x:v>
      </x:c>
      <x:c r="L1273" s="120" t="str">
        <x:v>Preserve source-specific terminology, metaphysics, ritual context, and cultural ownership; use this family for comparison, not as a claim of historical equivalence.</x:v>
      </x:c>
      <x:c r="M1273" s="120" t="str">
        <x:v>Framework core</x:v>
      </x:c>
    </x:row>
    <x:row r="1274" ht="44" customHeight="1">
      <x:c r="A1274" s="119" t="str">
        <x:v>ART-304</x:v>
      </x:c>
      <x:c r="B1274" s="120" t="str">
        <x:v>Transformative Garment</x:v>
      </x:c>
      <x:c r="C1274" s="120" t="str">
        <x:v>Artifacts, Relics, Weapons &amp; Vehicles</x:v>
      </x:c>
      <x:c r="D1274" s="120" t="str">
        <x:v>ART-300</x:v>
      </x:c>
      <x:c r="E1274" s="120" t="str">
        <x:f>IF(D1274="","",IFERROR(VLOOKUP(D1274,$A$2:$B$1656,2,FALSE),""))</x:f>
        <x:v>Protective &amp; Transformative Gear</x:v>
      </x:c>
      <x:c r="F1274" s="120" t="n">
        <x:v>3</x:v>
      </x:c>
      <x:c r="G1274" s="120" t="str">
        <x:v>Clothing or wearable material that changes the bearer's body, identity, abilities, social recognition, or mode of movement.</x:v>
      </x:c>
      <x:c r="H1274" s="120" t="str">
        <x:v>Disguise alone is insufficient when no transformation or authoritative recognition occurs.</x:v>
      </x:c>
      <x:c r="I1274" s="120" t="str">
        <x:v>animal skin; celestial robe; battle suit</x:v>
      </x:c>
      <x:c r="J1274" s="120" t="str">
        <x:v>transformation, concealment, empowerment</x:v>
      </x:c>
      <x:c r="K1274" s="120" t="str">
        <x:v>magic garment; transformation robe</x:v>
      </x:c>
      <x:c r="L1274" s="120" t="str">
        <x:v>Preserve source-specific terminology, metaphysics, ritual context, and cultural ownership; use this family for comparison, not as a claim of historical equivalence.</x:v>
      </x:c>
      <x:c r="M1274" s="120" t="str">
        <x:v>Framework core</x:v>
      </x:c>
    </x:row>
    <x:row r="1275" ht="44" customHeight="1">
      <x:c r="A1275" s="119" t="str">
        <x:v>ART-305</x:v>
      </x:c>
      <x:c r="B1275" s="120" t="str">
        <x:v>Invisibility or Concealment Item</x:v>
      </x:c>
      <x:c r="C1275" s="120" t="str">
        <x:v>Artifacts, Relics, Weapons &amp; Vehicles</x:v>
      </x:c>
      <x:c r="D1275" s="120" t="str">
        <x:v>ART-300</x:v>
      </x:c>
      <x:c r="E1275" s="120" t="str">
        <x:f>IF(D1275="","",IFERROR(VLOOKUP(D1275,$A$2:$B$1656,2,FALSE),""))</x:f>
        <x:v>Protective &amp; Transformative Gear</x:v>
      </x:c>
      <x:c r="F1275" s="120" t="n">
        <x:v>3</x:v>
      </x:c>
      <x:c r="G1275" s="120" t="str">
        <x:v>A wearable or carried object that hides the bearer from sight, perception, divination, recognition, or tracking.</x:v>
      </x:c>
      <x:c r="H1275" s="120" t="str">
        <x:v>Different concealment modes should be preserved in source records.</x:v>
      </x:c>
      <x:c r="I1275" s="120" t="str">
        <x:v>cloak of invisibility; shadow veil</x:v>
      </x:c>
      <x:c r="J1275" s="120" t="str">
        <x:v>stealth, escape, taboo observation</x:v>
      </x:c>
      <x:c r="K1275" s="120" t="str">
        <x:v>invisibility item; concealing cloak</x:v>
      </x:c>
      <x:c r="L1275" s="120" t="str">
        <x:v>Preserve source-specific terminology, metaphysics, ritual context, and cultural ownership; use this family for comparison, not as a claim of historical equivalence.</x:v>
      </x:c>
      <x:c r="M1275" s="120" t="str">
        <x:v>Framework core</x:v>
      </x:c>
    </x:row>
    <x:row r="1276" ht="44" customHeight="1">
      <x:c r="A1276" s="119" t="str">
        <x:v>ART-306</x:v>
      </x:c>
      <x:c r="B1276" s="120" t="str">
        <x:v>Winged or Flight-Granting Gear</x:v>
      </x:c>
      <x:c r="C1276" s="120" t="str">
        <x:v>Artifacts, Relics, Weapons &amp; Vehicles</x:v>
      </x:c>
      <x:c r="D1276" s="120" t="str">
        <x:v>ART-300</x:v>
      </x:c>
      <x:c r="E1276" s="120" t="str">
        <x:f>IF(D1276="","",IFERROR(VLOOKUP(D1276,$A$2:$B$1656,2,FALSE),""))</x:f>
        <x:v>Protective &amp; Transformative Gear</x:v>
      </x:c>
      <x:c r="F1276" s="120" t="n">
        <x:v>3</x:v>
      </x:c>
      <x:c r="G1276" s="120" t="str">
        <x:v>Equipment that enables flight, gliding, levitation, or controlled aerial movement.</x:v>
      </x:c>
      <x:c r="H1276" s="120" t="str">
        <x:v>It differs from innate wings or mount-based travel.</x:v>
      </x:c>
      <x:c r="I1276" s="120" t="str">
        <x:v>winged sandals; flight cloak; jetlike relic</x:v>
      </x:c>
      <x:c r="J1276" s="120" t="str">
        <x:v>mobility, transcendence, escape</x:v>
      </x:c>
      <x:c r="K1276" s="120" t="str">
        <x:v>flight gear; winged garment</x:v>
      </x:c>
      <x:c r="L1276" s="120" t="str">
        <x:v>Preserve source-specific terminology, metaphysics, ritual context, and cultural ownership; use this family for comparison, not as a claim of historical equivalence.</x:v>
      </x:c>
      <x:c r="M1276" s="120" t="str">
        <x:v>Framework core</x:v>
      </x:c>
    </x:row>
    <x:row r="1277" ht="44" customHeight="1">
      <x:c r="A1277" s="119" t="str">
        <x:v>ART-307</x:v>
      </x:c>
      <x:c r="B1277" s="120" t="str">
        <x:v>Mask of Identity or Power</x:v>
      </x:c>
      <x:c r="C1277" s="120" t="str">
        <x:v>Artifacts, Relics, Weapons &amp; Vehicles</x:v>
      </x:c>
      <x:c r="D1277" s="120" t="str">
        <x:v>ART-300</x:v>
      </x:c>
      <x:c r="E1277" s="120" t="str">
        <x:f>IF(D1277="","",IFERROR(VLOOKUP(D1277,$A$2:$B$1656,2,FALSE),""))</x:f>
        <x:v>Protective &amp; Transformative Gear</x:v>
      </x:c>
      <x:c r="F1277" s="120" t="n">
        <x:v>3</x:v>
      </x:c>
      <x:c r="G1277" s="120" t="str">
        <x:v>A mask that changes, conceals, reveals, authorizes, channels, or stores identity and capability.</x:v>
      </x:c>
      <x:c r="H1277" s="120" t="str">
        <x:v>Masks may be social, ritual, possessed, or transformative; these are not interchangeable.</x:v>
      </x:c>
      <x:c r="I1277" s="120" t="str">
        <x:v>spirit mask; war mask; face-stealing mask</x:v>
      </x:c>
      <x:c r="J1277" s="120" t="str">
        <x:v>role assumption, possession, disguise, ritual authority</x:v>
      </x:c>
      <x:c r="K1277" s="120" t="str">
        <x:v>magic mask; ritual face</x:v>
      </x:c>
      <x:c r="L1277" s="120" t="str">
        <x:v>Preserve source-specific terminology, metaphysics, ritual context, and cultural ownership; use this family for comparison, not as a claim of historical equivalence.</x:v>
      </x:c>
      <x:c r="M1277" s="120" t="str">
        <x:v>Framework core</x:v>
      </x:c>
    </x:row>
    <x:row r="1278" ht="44" customHeight="1">
      <x:c r="A1278" s="119" t="str">
        <x:v>ART-308</x:v>
      </x:c>
      <x:c r="B1278" s="120" t="str">
        <x:v>Crown or Diadem of Power</x:v>
      </x:c>
      <x:c r="C1278" s="120" t="str">
        <x:v>Artifacts, Relics, Weapons &amp; Vehicles</x:v>
      </x:c>
      <x:c r="D1278" s="120" t="str">
        <x:v>ART-300</x:v>
      </x:c>
      <x:c r="E1278" s="120" t="str">
        <x:f>IF(D1278="","",IFERROR(VLOOKUP(D1278,$A$2:$B$1656,2,FALSE),""))</x:f>
        <x:v>Protective &amp; Transformative Gear</x:v>
      </x:c>
      <x:c r="F1278" s="120" t="n">
        <x:v>3</x:v>
      </x:c>
      <x:c r="G1278" s="120" t="str">
        <x:v>A headpiece that confers, amplifies, recognizes, controls, or symbolizes supernatural authority.</x:v>
      </x:c>
      <x:c r="H1278" s="120" t="str">
        <x:v>Not every crown is royal regalia; some are instruments of command or transformation.</x:v>
      </x:c>
      <x:c r="I1278" s="120" t="str">
        <x:v>sorcerous crown; divine diadem</x:v>
      </x:c>
      <x:c r="J1278" s="120" t="str">
        <x:v>sovereignty, control, enhancement</x:v>
      </x:c>
      <x:c r="K1278" s="120" t="str">
        <x:v>magic crown; diadem</x:v>
      </x:c>
      <x:c r="L1278" s="120" t="str">
        <x:v>Preserve source-specific terminology, metaphysics, ritual context, and cultural ownership; use this family for comparison, not as a claim of historical equivalence.</x:v>
      </x:c>
      <x:c r="M1278" s="120" t="str">
        <x:v>Framework core</x:v>
      </x:c>
    </x:row>
    <x:row r="1279" ht="44" customHeight="1">
      <x:c r="A1279" s="119" t="str">
        <x:v>ART-309</x:v>
      </x:c>
      <x:c r="B1279" s="120" t="str">
        <x:v>Ring, Amulet, or Talisman</x:v>
      </x:c>
      <x:c r="C1279" s="120" t="str">
        <x:v>Artifacts, Relics, Weapons &amp; Vehicles</x:v>
      </x:c>
      <x:c r="D1279" s="120" t="str">
        <x:v>ART-300</x:v>
      </x:c>
      <x:c r="E1279" s="120" t="str">
        <x:f>IF(D1279="","",IFERROR(VLOOKUP(D1279,$A$2:$B$1656,2,FALSE),""))</x:f>
        <x:v>Protective &amp; Transformative Gear</x:v>
      </x:c>
      <x:c r="F1279" s="120" t="n">
        <x:v>3</x:v>
      </x:c>
      <x:c r="G1279" s="120" t="str">
        <x:v>A compact wearable object carrying protection, identity, pact, storage, access, or focused power.</x:v>
      </x:c>
      <x:c r="H1279" s="120" t="str">
        <x:v>The form is secondary to the durable wearable relationship.</x:v>
      </x:c>
      <x:c r="I1279" s="120" t="str">
        <x:v>ring; pendant; charm; torque</x:v>
      </x:c>
      <x:c r="J1279" s="120" t="str">
        <x:v>protection, authentication, portable power</x:v>
      </x:c>
      <x:c r="K1279" s="120" t="str">
        <x:v>magic ring; amulet; talisman</x:v>
      </x:c>
      <x:c r="L1279" s="120" t="str">
        <x:v>Preserve source-specific terminology, metaphysics, ritual context, and cultural ownership; use this family for comparison, not as a claim of historical equivalence.</x:v>
      </x:c>
      <x:c r="M1279" s="120" t="str">
        <x:v>Framework core</x:v>
      </x:c>
    </x:row>
    <x:row r="1280" ht="44" customHeight="1">
      <x:c r="A1280" s="119" t="str">
        <x:v>ART-310</x:v>
      </x:c>
      <x:c r="B1280" s="120" t="str">
        <x:v>Empowered Boots, Gloves, or Belt</x:v>
      </x:c>
      <x:c r="C1280" s="120" t="str">
        <x:v>Artifacts, Relics, Weapons &amp; Vehicles</x:v>
      </x:c>
      <x:c r="D1280" s="120" t="str">
        <x:v>ART-300</x:v>
      </x:c>
      <x:c r="E1280" s="120" t="str">
        <x:f>IF(D1280="","",IFERROR(VLOOKUP(D1280,$A$2:$B$1656,2,FALSE),""))</x:f>
        <x:v>Protective &amp; Transformative Gear</x:v>
      </x:c>
      <x:c r="F1280" s="120" t="n">
        <x:v>3</x:v>
      </x:c>
      <x:c r="G1280" s="120" t="str">
        <x:v>Wearable gear that augments movement, strength, dexterity, craft, combat, or other bodily functions.</x:v>
      </x:c>
      <x:c r="H1280" s="120" t="str">
        <x:v>These items are equipment interfaces rather than permanent body changes.</x:v>
      </x:c>
      <x:c r="I1280" s="120" t="str">
        <x:v>seven-league boots; gauntlets; girdle</x:v>
      </x:c>
      <x:c r="J1280" s="120" t="str">
        <x:v>mobility, labor, combat, trials</x:v>
      </x:c>
      <x:c r="K1280" s="120" t="str">
        <x:v>magic boots; gauntlets; belt</x:v>
      </x:c>
      <x:c r="L1280" s="120" t="str">
        <x:v>Preserve source-specific terminology, metaphysics, ritual context, and cultural ownership; use this family for comparison, not as a claim of historical equivalence.</x:v>
      </x:c>
      <x:c r="M1280" s="120" t="str">
        <x:v>Framework core</x:v>
      </x:c>
    </x:row>
    <x:row r="1281" ht="44" customHeight="1">
      <x:c r="A1281" s="119" t="str">
        <x:v>ART-311</x:v>
      </x:c>
      <x:c r="B1281" s="120" t="str">
        <x:v>Prosthetic or Replacement Relic</x:v>
      </x:c>
      <x:c r="C1281" s="120" t="str">
        <x:v>Artifacts, Relics, Weapons &amp; Vehicles</x:v>
      </x:c>
      <x:c r="D1281" s="120" t="str">
        <x:v>ART-300</x:v>
      </x:c>
      <x:c r="E1281" s="120" t="str">
        <x:f>IF(D1281="","",IFERROR(VLOOKUP(D1281,$A$2:$B$1656,2,FALSE),""))</x:f>
        <x:v>Protective &amp; Transformative Gear</x:v>
      </x:c>
      <x:c r="F1281" s="120" t="n">
        <x:v>3</x:v>
      </x:c>
      <x:c r="G1281" s="120" t="str">
        <x:v>An artificial limb, eye, organ, or replacement body-part with exceptional capabilities or metaphysical significance.</x:v>
      </x:c>
      <x:c r="H1281" s="120" t="str">
        <x:v>It may restore, exceed, or alter the lost function and can complicate personal identity.</x:v>
      </x:c>
      <x:c r="I1281" s="120" t="str">
        <x:v>magic arm; seeing eye; artificial heart</x:v>
      </x:c>
      <x:c r="J1281" s="120" t="str">
        <x:v>restoration, enhancement, bodily cost</x:v>
      </x:c>
      <x:c r="K1281" s="120" t="str">
        <x:v>enchanted prosthesis; replacement relic</x:v>
      </x:c>
      <x:c r="L1281" s="120" t="str">
        <x:v>Preserve source-specific terminology, metaphysics, ritual context, and cultural ownership; use this family for comparison, not as a claim of historical equivalence.</x:v>
      </x:c>
      <x:c r="M1281" s="120" t="str">
        <x:v>Framework core</x:v>
      </x:c>
    </x:row>
    <x:row r="1282" ht="44" customHeight="1">
      <x:c r="A1282" s="119" t="str">
        <x:v>ART-312</x:v>
      </x:c>
      <x:c r="B1282" s="120" t="str">
        <x:v>Sealed Armor or Possessive Suit</x:v>
      </x:c>
      <x:c r="C1282" s="120" t="str">
        <x:v>Artifacts, Relics, Weapons &amp; Vehicles</x:v>
      </x:c>
      <x:c r="D1282" s="120" t="str">
        <x:v>ART-300</x:v>
      </x:c>
      <x:c r="E1282" s="120" t="str">
        <x:f>IF(D1282="","",IFERROR(VLOOKUP(D1282,$A$2:$B$1656,2,FALSE),""))</x:f>
        <x:v>Protective &amp; Transformative Gear</x:v>
      </x:c>
      <x:c r="F1282" s="120" t="n">
        <x:v>3</x:v>
      </x:c>
      <x:c r="G1282" s="120" t="str">
        <x:v>Armor that encloses, binds, possesses, sustains, imprisons, or gradually merges with the wearer.</x:v>
      </x:c>
      <x:c r="H1282" s="120" t="str">
        <x:v>The armor-wearer boundary is central to the archetype.</x:v>
      </x:c>
      <x:c r="I1282" s="120" t="str">
        <x:v>living suit; cursed plate; sealed shell</x:v>
      </x:c>
      <x:c r="J1282" s="120" t="str">
        <x:v>survival, imprisonment, corruption, transformation</x:v>
      </x:c>
      <x:c r="K1282" s="120" t="str">
        <x:v>possessive armor; sealed suit</x:v>
      </x:c>
      <x:c r="L1282" s="120" t="str">
        <x:v>Preserve source-specific terminology, metaphysics, ritual context, and cultural ownership; use this family for comparison, not as a claim of historical equivalence.</x:v>
      </x:c>
      <x:c r="M1282" s="120" t="str">
        <x:v>Framework core</x:v>
      </x:c>
    </x:row>
    <x:row r="1283" ht="44" customHeight="1">
      <x:c r="A1283" s="119" t="str">
        <x:v>ART-313</x:v>
      </x:c>
      <x:c r="B1283" s="120" t="str">
        <x:v>Artifact Set</x:v>
      </x:c>
      <x:c r="C1283" s="120" t="str">
        <x:v>Artifacts, Relics, Weapons &amp; Vehicles</x:v>
      </x:c>
      <x:c r="D1283" s="120" t="str">
        <x:v>ART-300</x:v>
      </x:c>
      <x:c r="E1283" s="120" t="str">
        <x:f>IF(D1283="","",IFERROR(VLOOKUP(D1283,$A$2:$B$1656,2,FALSE),""))</x:f>
        <x:v>Protective &amp; Transformative Gear</x:v>
      </x:c>
      <x:c r="F1283" s="120" t="n">
        <x:v>3</x:v>
      </x:c>
      <x:c r="G1283" s="120" t="str">
        <x:v>Multiple coordinated objects whose full function, legitimacy, or power emerges only when assembled or used together.</x:v>
      </x:c>
      <x:c r="H1283" s="120" t="str">
        <x:v>A set is more than a collection when its parts have designed interdependence.</x:v>
      </x:c>
      <x:c r="I1283" s="120" t="str">
        <x:v>regalia set; elemental gear; relic ensemble</x:v>
      </x:c>
      <x:c r="J1283" s="120" t="str">
        <x:v>collection, progression, combined power</x:v>
      </x:c>
      <x:c r="K1283" s="120" t="str">
        <x:v>artifact set; relic suite</x:v>
      </x:c>
      <x:c r="L1283" s="120" t="str">
        <x:v>Preserve source-specific terminology, metaphysics, ritual context, and cultural ownership; use this family for comparison, not as a claim of historical equivalence.</x:v>
      </x:c>
      <x:c r="M1283" s="120" t="str">
        <x:v>Framework core</x:v>
      </x:c>
    </x:row>
    <x:row r="1284" ht="44" customHeight="1">
      <x:c r="A1284" s="119" t="str">
        <x:v>ART-314</x:v>
      </x:c>
      <x:c r="B1284" s="120" t="str">
        <x:v>Regalia of Transformation</x:v>
      </x:c>
      <x:c r="C1284" s="120" t="str">
        <x:v>Artifacts, Relics, Weapons &amp; Vehicles</x:v>
      </x:c>
      <x:c r="D1284" s="120" t="str">
        <x:v>ART-300</x:v>
      </x:c>
      <x:c r="E1284" s="120" t="str">
        <x:f>IF(D1284="","",IFERROR(VLOOKUP(D1284,$A$2:$B$1656,2,FALSE),""))</x:f>
        <x:v>Protective &amp; Transformative Gear</x:v>
      </x:c>
      <x:c r="F1284" s="120" t="n">
        <x:v>3</x:v>
      </x:c>
      <x:c r="G1284" s="120" t="str">
        <x:v>A coordinated costume or insignia that authorizes and enacts a repeatable transformed identity or empowered form.</x:v>
      </x:c>
      <x:c r="H1284" s="120" t="str">
        <x:v>The transformation is tied to formal equipment and presentation.</x:v>
      </x:c>
      <x:c r="I1284" s="120" t="str">
        <x:v>transformation costume; sacred vestments</x:v>
      </x:c>
      <x:c r="J1284" s="120" t="str">
        <x:v>role change, empowerment, recognition</x:v>
      </x:c>
      <x:c r="K1284" s="120" t="str">
        <x:v>transformation regalia; battle attire</x:v>
      </x:c>
      <x:c r="L1284" s="120" t="str">
        <x:v>Preserve source-specific terminology, metaphysics, ritual context, and cultural ownership; use this family for comparison, not as a claim of historical equivalence.</x:v>
      </x:c>
      <x:c r="M1284" s="120" t="str">
        <x:v>Framework core</x:v>
      </x:c>
    </x:row>
    <x:row r="1285" ht="44" customHeight="1">
      <x:c r="A1285" s="119" t="str">
        <x:v>ART-401</x:v>
      </x:c>
      <x:c r="B1285" s="120" t="str">
        <x:v>Grimoire or Spellbook</x:v>
      </x:c>
      <x:c r="C1285" s="120" t="str">
        <x:v>Artifacts, Relics, Weapons &amp; Vehicles</x:v>
      </x:c>
      <x:c r="D1285" s="120" t="str">
        <x:v>ART-400</x:v>
      </x:c>
      <x:c r="E1285" s="120" t="str">
        <x:f>IF(D1285="","",IFERROR(VLOOKUP(D1285,$A$2:$B$1656,2,FALSE),""))</x:f>
        <x:v>Texts, Symbols &amp; Containers</x:v>
      </x:c>
      <x:c r="F1285" s="120" t="n">
        <x:v>3</x:v>
      </x:c>
      <x:c r="G1285" s="120" t="str">
        <x:v>A book that records, teaches, stores, constrains, or itself performs magical operations.</x:v>
      </x:c>
      <x:c r="H1285" s="120" t="str">
        <x:v>It differs from a general scholarly text through operative magical use.</x:v>
      </x:c>
      <x:c r="I1285" s="120" t="str">
        <x:v>spellbook; book of shadows; living grimoire</x:v>
      </x:c>
      <x:c r="J1285" s="120" t="str">
        <x:v>learning, casting, inheritance, danger</x:v>
      </x:c>
      <x:c r="K1285" s="120" t="str">
        <x:v>grimoire; spellbook</x:v>
      </x:c>
      <x:c r="L1285" s="120" t="str">
        <x:v>Preserve source-specific terminology, metaphysics, ritual context, and cultural ownership; use this family for comparison, not as a claim of historical equivalence.</x:v>
      </x:c>
      <x:c r="M1285" s="120" t="str">
        <x:v>Framework core</x:v>
      </x:c>
    </x:row>
    <x:row r="1286" ht="44" customHeight="1">
      <x:c r="A1286" s="119" t="str">
        <x:v>ART-402</x:v>
      </x:c>
      <x:c r="B1286" s="120" t="str">
        <x:v>Prophetic Text</x:v>
      </x:c>
      <x:c r="C1286" s="120" t="str">
        <x:v>Artifacts, Relics, Weapons &amp; Vehicles</x:v>
      </x:c>
      <x:c r="D1286" s="120" t="str">
        <x:v>ART-400</x:v>
      </x:c>
      <x:c r="E1286" s="120" t="str">
        <x:f>IF(D1286="","",IFERROR(VLOOKUP(D1286,$A$2:$B$1656,2,FALSE),""))</x:f>
        <x:v>Texts, Symbols &amp; Containers</x:v>
      </x:c>
      <x:c r="F1286" s="120" t="n">
        <x:v>3</x:v>
      </x:c>
      <x:c r="G1286" s="120" t="str">
        <x:v>A written, inscribed, woven, or otherwise recorded account of future events, destinies, conditions, or warnings.</x:v>
      </x:c>
      <x:c r="H1286" s="120" t="str">
        <x:v>Its authority and interpretive ambiguity are analytically important.</x:v>
      </x:c>
      <x:c r="I1286" s="120" t="str">
        <x:v>prophecy scroll; oracle book; sealed verse</x:v>
      </x:c>
      <x:c r="J1286" s="120" t="str">
        <x:v>foreshadowing, legitimacy, misinterpretation</x:v>
      </x:c>
      <x:c r="K1286" s="120" t="str">
        <x:v>prophetic text; book of prophecy</x:v>
      </x:c>
      <x:c r="L1286" s="120" t="str">
        <x:v>Preserve source-specific terminology, metaphysics, ritual context, and cultural ownership; use this family for comparison, not as a claim of historical equivalence.</x:v>
      </x:c>
      <x:c r="M1286" s="120" t="str">
        <x:v>Framework core</x:v>
      </x:c>
    </x:row>
    <x:row r="1287" ht="44" customHeight="1">
      <x:c r="A1287" s="119" t="str">
        <x:v>ART-403</x:v>
      </x:c>
      <x:c r="B1287" s="120" t="str">
        <x:v>Cosmic Record or Book of Fate</x:v>
      </x:c>
      <x:c r="C1287" s="120" t="str">
        <x:v>Artifacts, Relics, Weapons &amp; Vehicles</x:v>
      </x:c>
      <x:c r="D1287" s="120" t="str">
        <x:v>ART-400</x:v>
      </x:c>
      <x:c r="E1287" s="120" t="str">
        <x:f>IF(D1287="","",IFERROR(VLOOKUP(D1287,$A$2:$B$1656,2,FALSE),""))</x:f>
        <x:v>Texts, Symbols &amp; Containers</x:v>
      </x:c>
      <x:c r="F1287" s="120" t="n">
        <x:v>3</x:v>
      </x:c>
      <x:c r="G1287" s="120" t="str">
        <x:v>An object that contains or manifests the total order, history, names, deeds, destinies, or laws of the world.</x:v>
      </x:c>
      <x:c r="H1287" s="120" t="str">
        <x:v>Unlike a single prophecy, it claims systemic scope.</x:v>
      </x:c>
      <x:c r="I1287" s="120" t="str">
        <x:v>book of life; celestial register; fate archive</x:v>
      </x:c>
      <x:c r="J1287" s="120" t="str">
        <x:v>judgment, knowledge, control, metaphysical administration</x:v>
      </x:c>
      <x:c r="K1287" s="120" t="str">
        <x:v>cosmic record; book of fate</x:v>
      </x:c>
      <x:c r="L1287" s="120" t="str">
        <x:v>Preserve source-specific terminology, metaphysics, ritual context, and cultural ownership; use this family for comparison, not as a claim of historical equivalence.</x:v>
      </x:c>
      <x:c r="M1287" s="120" t="str">
        <x:v>Framework core</x:v>
      </x:c>
    </x:row>
    <x:row r="1288" ht="44" customHeight="1">
      <x:c r="A1288" s="119" t="str">
        <x:v>ART-404</x:v>
      </x:c>
      <x:c r="B1288" s="120" t="str">
        <x:v>Map of Hidden or Changing Realms</x:v>
      </x:c>
      <x:c r="C1288" s="120" t="str">
        <x:v>Artifacts, Relics, Weapons &amp; Vehicles</x:v>
      </x:c>
      <x:c r="D1288" s="120" t="str">
        <x:v>ART-400</x:v>
      </x:c>
      <x:c r="E1288" s="120" t="str">
        <x:f>IF(D1288="","",IFERROR(VLOOKUP(D1288,$A$2:$B$1656,2,FALSE),""))</x:f>
        <x:v>Texts, Symbols &amp; Containers</x:v>
      </x:c>
      <x:c r="F1288" s="120" t="n">
        <x:v>3</x:v>
      </x:c>
      <x:c r="G1288" s="120" t="str">
        <x:v>A map that reveals concealed geography, moving places, realm paths, persons, or conditions inaccessible to ordinary cartography.</x:v>
      </x:c>
      <x:c r="H1288" s="120" t="str">
        <x:v>The map may be dynamic, selective, or dependent on eligibility.</x:v>
      </x:c>
      <x:c r="I1288" s="120" t="str">
        <x:v>living map; dream chart; underworld route</x:v>
      </x:c>
      <x:c r="J1288" s="120" t="str">
        <x:v>navigation, quest access, revelation</x:v>
      </x:c>
      <x:c r="K1288" s="120" t="str">
        <x:v>magic map; hidden-realm chart</x:v>
      </x:c>
      <x:c r="L1288" s="120" t="str">
        <x:v>Preserve source-specific terminology, metaphysics, ritual context, and cultural ownership; use this family for comparison, not as a claim of historical equivalence.</x:v>
      </x:c>
      <x:c r="M1288" s="120" t="str">
        <x:v>Framework core</x:v>
      </x:c>
    </x:row>
    <x:row r="1289" ht="44" customHeight="1">
      <x:c r="A1289" s="119" t="str">
        <x:v>ART-405</x:v>
      </x:c>
      <x:c r="B1289" s="120" t="str">
        <x:v>Inscribed Tablet or Stele</x:v>
      </x:c>
      <x:c r="C1289" s="120" t="str">
        <x:v>Artifacts, Relics, Weapons &amp; Vehicles</x:v>
      </x:c>
      <x:c r="D1289" s="120" t="str">
        <x:v>ART-400</x:v>
      </x:c>
      <x:c r="E1289" s="120" t="str">
        <x:f>IF(D1289="","",IFERROR(VLOOKUP(D1289,$A$2:$B$1656,2,FALSE),""))</x:f>
        <x:v>Texts, Symbols &amp; Containers</x:v>
      </x:c>
      <x:c r="F1289" s="120" t="n">
        <x:v>3</x:v>
      </x:c>
      <x:c r="G1289" s="120" t="str">
        <x:v>A durable inscribed object carrying law, covenant, name, history, spell, boundary, or divine communication.</x:v>
      </x:c>
      <x:c r="H1289" s="120" t="str">
        <x:v>Material permanence and public authority often distinguish it from ordinary writing.</x:v>
      </x:c>
      <x:c r="I1289" s="120" t="str">
        <x:v>law tablet; rune stone; boundary stele</x:v>
      </x:c>
      <x:c r="J1289" s="120" t="str">
        <x:v>law, memory, warding, legitimacy</x:v>
      </x:c>
      <x:c r="K1289" s="120" t="str">
        <x:v>tablet; stele; inscribed stone</x:v>
      </x:c>
      <x:c r="L1289" s="120" t="str">
        <x:v>Preserve source-specific terminology, metaphysics, ritual context, and cultural ownership; use this family for comparison, not as a claim of historical equivalence.</x:v>
      </x:c>
      <x:c r="M1289" s="120" t="str">
        <x:v>Framework core</x:v>
      </x:c>
    </x:row>
    <x:row r="1290" ht="44" customHeight="1">
      <x:c r="A1290" s="119" t="str">
        <x:v>ART-406</x:v>
      </x:c>
      <x:c r="B1290" s="120" t="str">
        <x:v>Talisman or Inscribed Charm</x:v>
      </x:c>
      <x:c r="C1290" s="120" t="str">
        <x:v>Artifacts, Relics, Weapons &amp; Vehicles</x:v>
      </x:c>
      <x:c r="D1290" s="120" t="str">
        <x:v>ART-400</x:v>
      </x:c>
      <x:c r="E1290" s="120" t="str">
        <x:f>IF(D1290="","",IFERROR(VLOOKUP(D1290,$A$2:$B$1656,2,FALSE),""))</x:f>
        <x:v>Texts, Symbols &amp; Containers</x:v>
      </x:c>
      <x:c r="F1290" s="120" t="n">
        <x:v>3</x:v>
      </x:c>
      <x:c r="G1290" s="120" t="str">
        <x:v>A prepared symbolic object that stores, channels, wards, seals, invokes, or releases a bounded effect.</x:v>
      </x:c>
      <x:c r="H1290" s="120" t="str">
        <x:v>It is usually portable and technically or ritually produced.</x:v>
      </x:c>
      <x:c r="I1290" s="120" t="str">
        <x:v>paper charm; seal strip; rune token</x:v>
      </x:c>
      <x:c r="J1290" s="120" t="str">
        <x:v>protection, exorcism, attack, authorization</x:v>
      </x:c>
      <x:c r="K1290" s="120" t="str">
        <x:v>talisman; charm; seal</x:v>
      </x:c>
      <x:c r="L1290" s="120" t="str">
        <x:v>Preserve source-specific terminology, metaphysics, ritual context, and cultural ownership; use this family for comparison, not as a claim of historical equivalence.</x:v>
      </x:c>
      <x:c r="M1290" s="120" t="str">
        <x:v>Framework core</x:v>
      </x:c>
    </x:row>
    <x:row r="1291" ht="44" customHeight="1">
      <x:c r="A1291" s="119" t="str">
        <x:v>ART-407</x:v>
      </x:c>
      <x:c r="B1291" s="120" t="str">
        <x:v>Vessel of Power</x:v>
      </x:c>
      <x:c r="C1291" s="120" t="str">
        <x:v>Artifacts, Relics, Weapons &amp; Vehicles</x:v>
      </x:c>
      <x:c r="D1291" s="120" t="str">
        <x:v>ART-400</x:v>
      </x:c>
      <x:c r="E1291" s="120" t="str">
        <x:f>IF(D1291="","",IFERROR(VLOOKUP(D1291,$A$2:$B$1656,2,FALSE),""))</x:f>
        <x:v>Texts, Symbols &amp; Containers</x:v>
      </x:c>
      <x:c r="F1291" s="120" t="n">
        <x:v>3</x:v>
      </x:c>
      <x:c r="G1291" s="120" t="str">
        <x:v>A container that stores divine force, magic, memory, weather, disease, spirits, or another nonordinary substance.</x:v>
      </x:c>
      <x:c r="H1291" s="120" t="str">
        <x:v>The container relation—not merely object form—is primary.</x:v>
      </x:c>
      <x:c r="I1291" s="120" t="str">
        <x:v>jar of winds; lamp; power urn</x:v>
      </x:c>
      <x:c r="J1291" s="120" t="str">
        <x:v>storage, release, containment, risk</x:v>
      </x:c>
      <x:c r="K1291" s="120" t="str">
        <x:v>power vessel; enchanted container</x:v>
      </x:c>
      <x:c r="L1291" s="120" t="str">
        <x:v>Preserve source-specific terminology, metaphysics, ritual context, and cultural ownership; use this family for comparison, not as a claim of historical equivalence.</x:v>
      </x:c>
      <x:c r="M1291" s="120" t="str">
        <x:v>Framework core</x:v>
      </x:c>
    </x:row>
    <x:row r="1292" ht="44" customHeight="1">
      <x:c r="A1292" s="119" t="str">
        <x:v>ART-408</x:v>
      </x:c>
      <x:c r="B1292" s="120" t="str">
        <x:v>Prison Vessel</x:v>
      </x:c>
      <x:c r="C1292" s="120" t="str">
        <x:v>Artifacts, Relics, Weapons &amp; Vehicles</x:v>
      </x:c>
      <x:c r="D1292" s="120" t="str">
        <x:v>ART-400</x:v>
      </x:c>
      <x:c r="E1292" s="120" t="str">
        <x:f>IF(D1292="","",IFERROR(VLOOKUP(D1292,$A$2:$B$1656,2,FALSE),""))</x:f>
        <x:v>Texts, Symbols &amp; Containers</x:v>
      </x:c>
      <x:c r="F1292" s="120" t="n">
        <x:v>3</x:v>
      </x:c>
      <x:c r="G1292" s="120" t="str">
        <x:v>A container specifically designed or used to confine a being, soul, monster, deity, curse, or dangerous force.</x:v>
      </x:c>
      <x:c r="H1292" s="120" t="str">
        <x:v>It differs from a general vessel because escape and custody define its function.</x:v>
      </x:c>
      <x:c r="I1292" s="120" t="str">
        <x:v>spirit bottle; demon jar; sealed reliquary</x:v>
      </x:c>
      <x:c r="J1292" s="120" t="str">
        <x:v>containment, bargaining, catastrophic release</x:v>
      </x:c>
      <x:c r="K1292" s="120" t="str">
        <x:v>prison vessel; binding container</x:v>
      </x:c>
      <x:c r="L1292" s="120" t="str">
        <x:v>Preserve source-specific terminology, metaphysics, ritual context, and cultural ownership; use this family for comparison, not as a claim of historical equivalence.</x:v>
      </x:c>
      <x:c r="M1292" s="120" t="str">
        <x:v>Framework core</x:v>
      </x:c>
    </x:row>
    <x:row r="1293" ht="44" customHeight="1">
      <x:c r="A1293" s="119" t="str">
        <x:v>ART-409</x:v>
      </x:c>
      <x:c r="B1293" s="120" t="str">
        <x:v>Wish-Granting Object</x:v>
      </x:c>
      <x:c r="C1293" s="120" t="str">
        <x:v>Artifacts, Relics, Weapons &amp; Vehicles</x:v>
      </x:c>
      <x:c r="D1293" s="120" t="str">
        <x:v>ART-400</x:v>
      </x:c>
      <x:c r="E1293" s="120" t="str">
        <x:f>IF(D1293="","",IFERROR(VLOOKUP(D1293,$A$2:$B$1656,2,FALSE),""))</x:f>
        <x:v>Texts, Symbols &amp; Containers</x:v>
      </x:c>
      <x:c r="F1293" s="120" t="n">
        <x:v>3</x:v>
      </x:c>
      <x:c r="G1293" s="120" t="str">
        <x:v>An object that grants requests, alters reality, or mediates bargains according to stated or hidden rules.</x:v>
      </x:c>
      <x:c r="H1293" s="120" t="str">
        <x:v>The object may be an interface to a being rather than the source of power.</x:v>
      </x:c>
      <x:c r="I1293" s="120" t="str">
        <x:v>wish stone; lamp; wishing jewel</x:v>
      </x:c>
      <x:c r="J1293" s="120" t="str">
        <x:v>desire, loophole, moral test</x:v>
      </x:c>
      <x:c r="K1293" s="120" t="str">
        <x:v>wish object; wishing relic</x:v>
      </x:c>
      <x:c r="L1293" s="120" t="str">
        <x:v>Preserve source-specific terminology, metaphysics, ritual context, and cultural ownership; use this family for comparison, not as a claim of historical equivalence.</x:v>
      </x:c>
      <x:c r="M1293" s="120" t="str">
        <x:v>Framework core</x:v>
      </x:c>
    </x:row>
    <x:row r="1294" ht="44" customHeight="1">
      <x:c r="A1294" s="119" t="str">
        <x:v>ART-410</x:v>
      </x:c>
      <x:c r="B1294" s="120" t="str">
        <x:v>Memory or Knowledge Repository</x:v>
      </x:c>
      <x:c r="C1294" s="120" t="str">
        <x:v>Artifacts, Relics, Weapons &amp; Vehicles</x:v>
      </x:c>
      <x:c r="D1294" s="120" t="str">
        <x:v>ART-400</x:v>
      </x:c>
      <x:c r="E1294" s="120" t="str">
        <x:f>IF(D1294="","",IFERROR(VLOOKUP(D1294,$A$2:$B$1656,2,FALSE),""))</x:f>
        <x:v>Texts, Symbols &amp; Containers</x:v>
      </x:c>
      <x:c r="F1294" s="120" t="n">
        <x:v>3</x:v>
      </x:c>
      <x:c r="G1294" s="120" t="str">
        <x:v>An object that stores transferable memories, skills, testimony, identities, archives, or experiential knowledge.</x:v>
      </x:c>
      <x:c r="H1294" s="120" t="str">
        <x:v>Storage may preserve, overwrite, copy, or selectively reveal knowledge.</x:v>
      </x:c>
      <x:c r="I1294" s="120" t="str">
        <x:v>memory crystal; ancestor archive; skill stone</x:v>
      </x:c>
      <x:c r="J1294" s="120" t="str">
        <x:v>education, inheritance, identity, evidence</x:v>
      </x:c>
      <x:c r="K1294" s="120" t="str">
        <x:v>memory object; knowledge repository</x:v>
      </x:c>
      <x:c r="L1294" s="120" t="str">
        <x:v>Preserve source-specific terminology, metaphysics, ritual context, and cultural ownership; use this family for comparison, not as a claim of historical equivalence.</x:v>
      </x:c>
      <x:c r="M1294" s="120" t="str">
        <x:v>Framework core</x:v>
      </x:c>
    </x:row>
    <x:row r="1295" ht="44" customHeight="1">
      <x:c r="A1295" s="119" t="str">
        <x:v>ART-411</x:v>
      </x:c>
      <x:c r="B1295" s="120" t="str">
        <x:v>Name-Bearing Object</x:v>
      </x:c>
      <x:c r="C1295" s="120" t="str">
        <x:v>Artifacts, Relics, Weapons &amp; Vehicles</x:v>
      </x:c>
      <x:c r="D1295" s="120" t="str">
        <x:v>ART-400</x:v>
      </x:c>
      <x:c r="E1295" s="120" t="str">
        <x:f>IF(D1295="","",IFERROR(VLOOKUP(D1295,$A$2:$B$1656,2,FALSE),""))</x:f>
        <x:v>Texts, Symbols &amp; Containers</x:v>
      </x:c>
      <x:c r="F1295" s="120" t="n">
        <x:v>3</x:v>
      </x:c>
      <x:c r="G1295" s="120" t="str">
        <x:v>An object that contains, reveals, hides, substitutes for, or gives control over a true name or essential identity.</x:v>
      </x:c>
      <x:c r="H1295" s="120" t="str">
        <x:v>It operates through identity law rather than generic enchantment.</x:v>
      </x:c>
      <x:c r="I1295" s="120" t="str">
        <x:v>name tablet; soul tag; identity token</x:v>
      </x:c>
      <x:c r="J1295" s="120" t="str">
        <x:v>control, protection, authentication</x:v>
      </x:c>
      <x:c r="K1295" s="120" t="str">
        <x:v>name object; identity token</x:v>
      </x:c>
      <x:c r="L1295" s="120" t="str">
        <x:v>Preserve source-specific terminology, metaphysics, ritual context, and cultural ownership; use this family for comparison, not as a claim of historical equivalence.</x:v>
      </x:c>
      <x:c r="M1295" s="120" t="str">
        <x:v>Framework core</x:v>
      </x:c>
    </x:row>
    <x:row r="1296" ht="44" customHeight="1">
      <x:c r="A1296" s="119" t="str">
        <x:v>ART-412</x:v>
      </x:c>
      <x:c r="B1296" s="120" t="str">
        <x:v>Mirror of Revelation or Passage</x:v>
      </x:c>
      <x:c r="C1296" s="120" t="str">
        <x:v>Artifacts, Relics, Weapons &amp; Vehicles</x:v>
      </x:c>
      <x:c r="D1296" s="120" t="str">
        <x:v>ART-400</x:v>
      </x:c>
      <x:c r="E1296" s="120" t="str">
        <x:f>IF(D1296="","",IFERROR(VLOOKUP(D1296,$A$2:$B$1656,2,FALSE),""))</x:f>
        <x:v>Texts, Symbols &amp; Containers</x:v>
      </x:c>
      <x:c r="F1296" s="120" t="n">
        <x:v>3</x:v>
      </x:c>
      <x:c r="G1296" s="120" t="str">
        <x:v>A mirror that reveals truth, remote scenes, hidden identity, alternate possibilities, or a route into another realm.</x:v>
      </x:c>
      <x:c r="H1296" s="120" t="str">
        <x:v>Reflective symbolism should not obscure distinct source mechanisms.</x:v>
      </x:c>
      <x:c r="I1296" s="120" t="str">
        <x:v>scrying mirror; truth mirror; portal mirror</x:v>
      </x:c>
      <x:c r="J1296" s="120" t="str">
        <x:v>divination, self-knowledge, travel</x:v>
      </x:c>
      <x:c r="K1296" s="120" t="str">
        <x:v>magic mirror; seeing glass</x:v>
      </x:c>
      <x:c r="L1296" s="120" t="str">
        <x:v>Preserve source-specific terminology, metaphysics, ritual context, and cultural ownership; use this family for comparison, not as a claim of historical equivalence.</x:v>
      </x:c>
      <x:c r="M1296" s="120" t="str">
        <x:v>Framework core</x:v>
      </x:c>
    </x:row>
    <x:row r="1297" ht="44" customHeight="1">
      <x:c r="A1297" s="119" t="str">
        <x:v>ART-413</x:v>
      </x:c>
      <x:c r="B1297" s="120" t="str">
        <x:v>Power Gem or Crystal</x:v>
      </x:c>
      <x:c r="C1297" s="120" t="str">
        <x:v>Artifacts, Relics, Weapons &amp; Vehicles</x:v>
      </x:c>
      <x:c r="D1297" s="120" t="str">
        <x:v>ART-400</x:v>
      </x:c>
      <x:c r="E1297" s="120" t="str">
        <x:f>IF(D1297="","",IFERROR(VLOOKUP(D1297,$A$2:$B$1656,2,FALSE),""))</x:f>
        <x:v>Texts, Symbols &amp; Containers</x:v>
      </x:c>
      <x:c r="F1297" s="120" t="n">
        <x:v>3</x:v>
      </x:c>
      <x:c r="G1297" s="120" t="str">
        <x:v>A stone or crystal that stores, focuses, personifies, unlocks, or embodies exceptional power.</x:v>
      </x:c>
      <x:c r="H1297" s="120" t="str">
        <x:v>Not every valuable gem is an artifact; operative function is required.</x:v>
      </x:c>
      <x:c r="I1297" s="120" t="str">
        <x:v>mana crystal; soul gem; elemental jewel</x:v>
      </x:c>
      <x:c r="J1297" s="120" t="str">
        <x:v>resource, focus, key, collection</x:v>
      </x:c>
      <x:c r="K1297" s="120" t="str">
        <x:v>power crystal; magic gem</x:v>
      </x:c>
      <x:c r="L1297" s="120" t="str">
        <x:v>Preserve source-specific terminology, metaphysics, ritual context, and cultural ownership; use this family for comparison, not as a claim of historical equivalence.</x:v>
      </x:c>
      <x:c r="M1297" s="120" t="str">
        <x:v>Framework core</x:v>
      </x:c>
    </x:row>
    <x:row r="1298" ht="44" customHeight="1">
      <x:c r="A1298" s="119" t="str">
        <x:v>ART-414</x:v>
      </x:c>
      <x:c r="B1298" s="120" t="str">
        <x:v>Orb or Scrying Device</x:v>
      </x:c>
      <x:c r="C1298" s="120" t="str">
        <x:v>Artifacts, Relics, Weapons &amp; Vehicles</x:v>
      </x:c>
      <x:c r="D1298" s="120" t="str">
        <x:v>ART-400</x:v>
      </x:c>
      <x:c r="E1298" s="120" t="str">
        <x:f>IF(D1298="","",IFERROR(VLOOKUP(D1298,$A$2:$B$1656,2,FALSE),""))</x:f>
        <x:v>Texts, Symbols &amp; Containers</x:v>
      </x:c>
      <x:c r="F1298" s="120" t="n">
        <x:v>3</x:v>
      </x:c>
      <x:c r="G1298" s="120" t="str">
        <x:v>A compact instrument used to observe distant, hidden, future, spiritual, or otherwise inaccessible information.</x:v>
      </x:c>
      <x:c r="H1298" s="120" t="str">
        <x:v>It may also serve command or communication functions, which should be recorded separately.</x:v>
      </x:c>
      <x:c r="I1298" s="120" t="str">
        <x:v>crystal ball; seeing orb; command sphere</x:v>
      </x:c>
      <x:c r="J1298" s="120" t="str">
        <x:v>divination, surveillance, coordination</x:v>
      </x:c>
      <x:c r="K1298" s="120" t="str">
        <x:v>scrying orb; seeing stone</x:v>
      </x:c>
      <x:c r="L1298" s="120" t="str">
        <x:v>Preserve source-specific terminology, metaphysics, ritual context, and cultural ownership; use this family for comparison, not as a claim of historical equivalence.</x:v>
      </x:c>
      <x:c r="M1298" s="120" t="str">
        <x:v>Framework core</x:v>
      </x:c>
    </x:row>
    <x:row r="1299" ht="44" customHeight="1">
      <x:c r="A1299" s="119" t="str">
        <x:v>ART-415</x:v>
      </x:c>
      <x:c r="B1299" s="120" t="str">
        <x:v>Contract, Charter, or Binding Scroll</x:v>
      </x:c>
      <x:c r="C1299" s="120" t="str">
        <x:v>Artifacts, Relics, Weapons &amp; Vehicles</x:v>
      </x:c>
      <x:c r="D1299" s="120" t="str">
        <x:v>ART-400</x:v>
      </x:c>
      <x:c r="E1299" s="120" t="str">
        <x:f>IF(D1299="","",IFERROR(VLOOKUP(D1299,$A$2:$B$1656,2,FALSE),""))</x:f>
        <x:v>Texts, Symbols &amp; Containers</x:v>
      </x:c>
      <x:c r="F1299" s="120" t="n">
        <x:v>3</x:v>
      </x:c>
      <x:c r="G1299" s="120" t="str">
        <x:v>A written object whose terms have supernatural, legal-cosmic, institutional, or identity-altering force.</x:v>
      </x:c>
      <x:c r="H1299" s="120" t="str">
        <x:v>The text is operative, not merely documentary.</x:v>
      </x:c>
      <x:c r="I1299" s="120" t="str">
        <x:v>soul contract; divine charter; pact scroll</x:v>
      </x:c>
      <x:c r="J1299" s="120" t="str">
        <x:v>binding, authorization, exchange</x:v>
      </x:c>
      <x:c r="K1299" s="120" t="str">
        <x:v>magic contract; binding scroll</x:v>
      </x:c>
      <x:c r="L1299" s="120" t="str">
        <x:v>Preserve source-specific terminology, metaphysics, ritual context, and cultural ownership; use this family for comparison, not as a claim of historical equivalence.</x:v>
      </x:c>
      <x:c r="M1299" s="120" t="str">
        <x:v>Framework core</x:v>
      </x:c>
    </x:row>
    <x:row r="1300" ht="44" customHeight="1">
      <x:c r="A1300" s="119" t="str">
        <x:v>ART-416</x:v>
      </x:c>
      <x:c r="B1300" s="120" t="str">
        <x:v>Lots, Dice, Cards, or Fate Objects</x:v>
      </x:c>
      <x:c r="C1300" s="120" t="str">
        <x:v>Artifacts, Relics, Weapons &amp; Vehicles</x:v>
      </x:c>
      <x:c r="D1300" s="120" t="str">
        <x:v>ART-400</x:v>
      </x:c>
      <x:c r="E1300" s="120" t="str">
        <x:f>IF(D1300="","",IFERROR(VLOOKUP(D1300,$A$2:$B$1656,2,FALSE),""))</x:f>
        <x:v>Texts, Symbols &amp; Containers</x:v>
      </x:c>
      <x:c r="F1300" s="120" t="n">
        <x:v>3</x:v>
      </x:c>
      <x:c r="G1300" s="120" t="str">
        <x:v>Objects used to allocate destiny, reveal divine judgment, determine ritual choice, or materially alter outcomes through chance.</x:v>
      </x:c>
      <x:c r="H1300" s="120" t="str">
        <x:v>Distinguish divinatory use from ordinary gambling or randomization.</x:v>
      </x:c>
      <x:c r="I1300" s="120" t="str">
        <x:v>sacred dice; oracle lots; fate cards</x:v>
      </x:c>
      <x:c r="J1300" s="120" t="str">
        <x:v>decision, prophecy, dispossession, chance mechanics</x:v>
      </x:c>
      <x:c r="K1300" s="120" t="str">
        <x:v>lots; fate dice; divination cards</x:v>
      </x:c>
      <x:c r="L1300" s="120" t="str">
        <x:v>Preserve source-specific terminology, metaphysics, ritual context, and cultural ownership; use this family for comparison, not as a claim of historical equivalence.</x:v>
      </x:c>
      <x:c r="M1300" s="120" t="str">
        <x:v>Framework core</x:v>
      </x:c>
    </x:row>
    <x:row r="1301" ht="44" customHeight="1">
      <x:c r="A1301" s="119" t="str">
        <x:v>ART-417</x:v>
      </x:c>
      <x:c r="B1301" s="120" t="str">
        <x:v>Horn, Bell, Conch, or Signal Relic</x:v>
      </x:c>
      <x:c r="C1301" s="120" t="str">
        <x:v>Artifacts, Relics, Weapons &amp; Vehicles</x:v>
      </x:c>
      <x:c r="D1301" s="120" t="str">
        <x:v>ART-400</x:v>
      </x:c>
      <x:c r="E1301" s="120" t="str">
        <x:f>IF(D1301="","",IFERROR(VLOOKUP(D1301,$A$2:$B$1656,2,FALSE),""))</x:f>
        <x:v>Texts, Symbols &amp; Containers</x:v>
      </x:c>
      <x:c r="F1301" s="120" t="n">
        <x:v>3</x:v>
      </x:c>
      <x:c r="G1301" s="120" t="str">
        <x:v>A sounding object that summons, commands, warns, awakens, opens, consecrates, or announces across ordinary or supernatural boundaries.</x:v>
      </x:c>
      <x:c r="H1301" s="120" t="str">
        <x:v>Its effect depends on sound and recognized signal.</x:v>
      </x:c>
      <x:c r="I1301" s="120" t="str">
        <x:v>war horn; sacred conch; summoning bell</x:v>
      </x:c>
      <x:c r="J1301" s="120" t="str">
        <x:v>communication, summoning, morale, threshold opening</x:v>
      </x:c>
      <x:c r="K1301" s="120" t="str">
        <x:v>signal relic; sacred horn</x:v>
      </x:c>
      <x:c r="L1301" s="120" t="str">
        <x:v>Preserve source-specific terminology, metaphysics, ritual context, and cultural ownership; use this family for comparison, not as a claim of historical equivalence.</x:v>
      </x:c>
      <x:c r="M1301" s="120" t="str">
        <x:v>Framework core</x:v>
      </x:c>
    </x:row>
    <x:row r="1302" ht="44" customHeight="1">
      <x:c r="A1302" s="119" t="str">
        <x:v>ART-501</x:v>
      </x:c>
      <x:c r="B1302" s="120" t="str">
        <x:v>Divine Chariot</x:v>
      </x:c>
      <x:c r="C1302" s="120" t="str">
        <x:v>Artifacts, Relics, Weapons &amp; Vehicles</x:v>
      </x:c>
      <x:c r="D1302" s="120" t="str">
        <x:v>ART-500</x:v>
      </x:c>
      <x:c r="E1302" s="120" t="str">
        <x:f>IF(D1302="","",IFERROR(VLOOKUP(D1302,$A$2:$B$1656,2,FALSE),""))</x:f>
        <x:v>Vehicles, Mounts &amp; Conveyances</x:v>
      </x:c>
      <x:c r="F1302" s="120" t="n">
        <x:v>3</x:v>
      </x:c>
      <x:c r="G1302" s="120" t="str">
        <x:v>A chariot associated with a deity, celestial lineage, supernatural driver, or cosmic journey.</x:v>
      </x:c>
      <x:c r="H1302" s="120" t="str">
        <x:v>It may be a vehicle, weapon platform, emblem of office, and cosmological image at once.</x:v>
      </x:c>
      <x:c r="I1302" s="120" t="str">
        <x:v>solar chariot; god's car; sky chariot</x:v>
      </x:c>
      <x:c r="J1302" s="120" t="str">
        <x:v>warfare, revelation, divine travel</x:v>
      </x:c>
      <x:c r="K1302" s="120" t="str">
        <x:v>divine chariot; celestial car</x:v>
      </x:c>
      <x:c r="L1302" s="120" t="str">
        <x:v>Preserve source-specific terminology, metaphysics, ritual context, and cultural ownership; use this family for comparison, not as a claim of historical equivalence.</x:v>
      </x:c>
      <x:c r="M1302" s="120" t="str">
        <x:v>Framework core</x:v>
      </x:c>
    </x:row>
    <x:row r="1303" ht="44" customHeight="1">
      <x:c r="A1303" s="119" t="str">
        <x:v>ART-502</x:v>
      </x:c>
      <x:c r="B1303" s="120" t="str">
        <x:v>Flying Vehicle</x:v>
      </x:c>
      <x:c r="C1303" s="120" t="str">
        <x:v>Artifacts, Relics, Weapons &amp; Vehicles</x:v>
      </x:c>
      <x:c r="D1303" s="120" t="str">
        <x:v>ART-500</x:v>
      </x:c>
      <x:c r="E1303" s="120" t="str">
        <x:f>IF(D1303="","",IFERROR(VLOOKUP(D1303,$A$2:$B$1656,2,FALSE),""))</x:f>
        <x:v>Vehicles, Mounts &amp; Conveyances</x:v>
      </x:c>
      <x:c r="F1303" s="120" t="n">
        <x:v>3</x:v>
      </x:c>
      <x:c r="G1303" s="120" t="str">
        <x:v>A constructed conveyance that travels through the air by magic, divine power, unusual technology, or living components.</x:v>
      </x:c>
      <x:c r="H1303" s="120" t="str">
        <x:v>It differs from a flying mount because the vehicle itself carries occupants.</x:v>
      </x:c>
      <x:c r="I1303" s="120" t="str">
        <x:v>flying ship; aerial palace; sky carriage</x:v>
      </x:c>
      <x:c r="J1303" s="120" t="str">
        <x:v>travel, warfare, prestige</x:v>
      </x:c>
      <x:c r="K1303" s="120" t="str">
        <x:v>flying vehicle; skyship</x:v>
      </x:c>
      <x:c r="L1303" s="120" t="str">
        <x:v>Preserve source-specific terminology, metaphysics, ritual context, and cultural ownership; use this family for comparison, not as a claim of historical equivalence.</x:v>
      </x:c>
      <x:c r="M1303" s="120" t="str">
        <x:v>Framework core</x:v>
      </x:c>
    </x:row>
    <x:row r="1304" ht="44" customHeight="1">
      <x:c r="A1304" s="119" t="str">
        <x:v>ART-503</x:v>
      </x:c>
      <x:c r="B1304" s="120" t="str">
        <x:v>World-Traveling Ship</x:v>
      </x:c>
      <x:c r="C1304" s="120" t="str">
        <x:v>Artifacts, Relics, Weapons &amp; Vehicles</x:v>
      </x:c>
      <x:c r="D1304" s="120" t="str">
        <x:v>ART-500</x:v>
      </x:c>
      <x:c r="E1304" s="120" t="str">
        <x:f>IF(D1304="","",IFERROR(VLOOKUP(D1304,$A$2:$B$1656,2,FALSE),""))</x:f>
        <x:v>Vehicles, Mounts &amp; Conveyances</x:v>
      </x:c>
      <x:c r="F1304" s="120" t="n">
        <x:v>3</x:v>
      </x:c>
      <x:c r="G1304" s="120" t="str">
        <x:v>A vessel capable of crossing worlds, planes, cosmic seas, impossible distances, or boundaries inaccessible to ordinary ships.</x:v>
      </x:c>
      <x:c r="H1304" s="120" t="str">
        <x:v>Its route may be spatial, spiritual, temporal, or cosmological.</x:v>
      </x:c>
      <x:c r="I1304" s="120" t="str">
        <x:v>realmship; star barque; world ark</x:v>
      </x:c>
      <x:c r="J1304" s="120" t="str">
        <x:v>exploration, migration, apocalypse survival</x:v>
      </x:c>
      <x:c r="K1304" s="120" t="str">
        <x:v>world ship; realm vessel</x:v>
      </x:c>
      <x:c r="L1304" s="120" t="str">
        <x:v>Preserve source-specific terminology, metaphysics, ritual context, and cultural ownership; use this family for comparison, not as a claim of historical equivalence.</x:v>
      </x:c>
      <x:c r="M1304" s="120" t="str">
        <x:v>Framework core</x:v>
      </x:c>
    </x:row>
    <x:row r="1305" ht="44" customHeight="1">
      <x:c r="A1305" s="119" t="str">
        <x:v>ART-504</x:v>
      </x:c>
      <x:c r="B1305" s="120" t="str">
        <x:v>Underworld Ferry or Death Conveyance</x:v>
      </x:c>
      <x:c r="C1305" s="120" t="str">
        <x:v>Artifacts, Relics, Weapons &amp; Vehicles</x:v>
      </x:c>
      <x:c r="D1305" s="120" t="str">
        <x:v>ART-500</x:v>
      </x:c>
      <x:c r="E1305" s="120" t="str">
        <x:f>IF(D1305="","",IFERROR(VLOOKUP(D1305,$A$2:$B$1656,2,FALSE),""))</x:f>
        <x:v>Vehicles, Mounts &amp; Conveyances</x:v>
      </x:c>
      <x:c r="F1305" s="120" t="n">
        <x:v>3</x:v>
      </x:c>
      <x:c r="G1305" s="120" t="str">
        <x:v>A boat, cart, mount, or vehicle that carries souls or living travelers across a boundary of death.</x:v>
      </x:c>
      <x:c r="H1305" s="120" t="str">
        <x:v>It is defined by psychopompic passage rather than mundane transport.</x:v>
      </x:c>
      <x:c r="I1305" s="120" t="str">
        <x:v>funeral boat; river ferry; corpse cart</x:v>
      </x:c>
      <x:c r="J1305" s="120" t="str">
        <x:v>afterlife passage, judgment, rescue quest</x:v>
      </x:c>
      <x:c r="K1305" s="120" t="str">
        <x:v>death ferry; underworld boat</x:v>
      </x:c>
      <x:c r="L1305" s="120" t="str">
        <x:v>Preserve source-specific terminology, metaphysics, ritual context, and cultural ownership; use this family for comparison, not as a claim of historical equivalence.</x:v>
      </x:c>
      <x:c r="M1305" s="120" t="str">
        <x:v>Framework core</x:v>
      </x:c>
    </x:row>
    <x:row r="1306" ht="44" customHeight="1">
      <x:c r="A1306" s="119" t="str">
        <x:v>ART-505</x:v>
      </x:c>
      <x:c r="B1306" s="120" t="str">
        <x:v>Living Vehicle</x:v>
      </x:c>
      <x:c r="C1306" s="120" t="str">
        <x:v>Artifacts, Relics, Weapons &amp; Vehicles</x:v>
      </x:c>
      <x:c r="D1306" s="120" t="str">
        <x:v>ART-500</x:v>
      </x:c>
      <x:c r="E1306" s="120" t="str">
        <x:f>IF(D1306="","",IFERROR(VLOOKUP(D1306,$A$2:$B$1656,2,FALSE),""))</x:f>
        <x:v>Vehicles, Mounts &amp; Conveyances</x:v>
      </x:c>
      <x:c r="F1306" s="120" t="n">
        <x:v>3</x:v>
      </x:c>
      <x:c r="G1306" s="120" t="str">
        <x:v>A creature, organism, construct, or symbiotic body used as a vehicle while retaining biological or personal properties.</x:v>
      </x:c>
      <x:c r="H1306" s="120" t="str">
        <x:v>Consent, personhood, and control vary by source and must be recorded.</x:v>
      </x:c>
      <x:c r="I1306" s="120" t="str">
        <x:v>living ship; giant carrier; beast vessel</x:v>
      </x:c>
      <x:c r="J1306" s="120" t="str">
        <x:v>travel, partnership, exploitation, transformation</x:v>
      </x:c>
      <x:c r="K1306" s="120" t="str">
        <x:v>living vehicle; organic conveyance</x:v>
      </x:c>
      <x:c r="L1306" s="120" t="str">
        <x:v>Preserve source-specific terminology, metaphysics, ritual context, and cultural ownership; use this family for comparison, not as a claim of historical equivalence.</x:v>
      </x:c>
      <x:c r="M1306" s="120" t="str">
        <x:v>Framework core</x:v>
      </x:c>
    </x:row>
    <x:row r="1307" ht="44" customHeight="1">
      <x:c r="A1307" s="119" t="str">
        <x:v>ART-506</x:v>
      </x:c>
      <x:c r="B1307" s="120" t="str">
        <x:v>Transforming Vehicle</x:v>
      </x:c>
      <x:c r="C1307" s="120" t="str">
        <x:v>Artifacts, Relics, Weapons &amp; Vehicles</x:v>
      </x:c>
      <x:c r="D1307" s="120" t="str">
        <x:v>ART-500</x:v>
      </x:c>
      <x:c r="E1307" s="120" t="str">
        <x:f>IF(D1307="","",IFERROR(VLOOKUP(D1307,$A$2:$B$1656,2,FALSE),""))</x:f>
        <x:v>Vehicles, Mounts &amp; Conveyances</x:v>
      </x:c>
      <x:c r="F1307" s="120" t="n">
        <x:v>3</x:v>
      </x:c>
      <x:c r="G1307" s="120" t="str">
        <x:v>A conveyance that changes form, scale, environment, or operational mode, including shifts between vehicle and creature or structure.</x:v>
      </x:c>
      <x:c r="H1307" s="120" t="str">
        <x:v>Transformation is intrinsic rather than normal docking or assembly.</x:v>
      </x:c>
      <x:c r="I1307" s="120" t="str">
        <x:v>vehicle-beast; folding ship; mobile armor</x:v>
      </x:c>
      <x:c r="J1307" s="120" t="str">
        <x:v>versatility, disguise, spectacle</x:v>
      </x:c>
      <x:c r="K1307" s="120" t="str">
        <x:v>transforming vehicle; morphing conveyance</x:v>
      </x:c>
      <x:c r="L1307" s="120" t="str">
        <x:v>Preserve source-specific terminology, metaphysics, ritual context, and cultural ownership; use this family for comparison, not as a claim of historical equivalence.</x:v>
      </x:c>
      <x:c r="M1307" s="120" t="str">
        <x:v>Framework core</x:v>
      </x:c>
    </x:row>
    <x:row r="1308" ht="44" customHeight="1">
      <x:c r="A1308" s="119" t="str">
        <x:v>ART-507</x:v>
      </x:c>
      <x:c r="B1308" s="120" t="str">
        <x:v>War Chariot</x:v>
      </x:c>
      <x:c r="C1308" s="120" t="str">
        <x:v>Artifacts, Relics, Weapons &amp; Vehicles</x:v>
      </x:c>
      <x:c r="D1308" s="120" t="str">
        <x:v>ART-500</x:v>
      </x:c>
      <x:c r="E1308" s="120" t="str">
        <x:f>IF(D1308="","",IFERROR(VLOOKUP(D1308,$A$2:$B$1656,2,FALSE),""))</x:f>
        <x:v>Vehicles, Mounts &amp; Conveyances</x:v>
      </x:c>
      <x:c r="F1308" s="120" t="n">
        <x:v>3</x:v>
      </x:c>
      <x:c r="G1308" s="120" t="str">
        <x:v>A chariot serving as a mobile combat platform and social role nexus for warrior, driver, weapons, and status.</x:v>
      </x:c>
      <x:c r="H1308" s="120" t="str">
        <x:v>Its cultural and tactical system should not be reduced to a generic mount.</x:v>
      </x:c>
      <x:c r="I1308" s="120" t="str">
        <x:v>heroic chariot; archer chariot; command chariot</x:v>
      </x:c>
      <x:c r="J1308" s="120" t="str">
        <x:v>battle mobility, elite warfare, counsel</x:v>
      </x:c>
      <x:c r="K1308" s="120" t="str">
        <x:v>war chariot; battle car</x:v>
      </x:c>
      <x:c r="L1308" s="120" t="str">
        <x:v>Preserve source-specific terminology, metaphysics, ritual context, and cultural ownership; use this family for comparison, not as a claim of historical equivalence.</x:v>
      </x:c>
      <x:c r="M1308" s="120" t="str">
        <x:v>Framework core</x:v>
      </x:c>
    </x:row>
    <x:row r="1309" ht="44" customHeight="1">
      <x:c r="A1309" s="119" t="str">
        <x:v>ART-508</x:v>
      </x:c>
      <x:c r="B1309" s="120" t="str">
        <x:v>Magical Mount</x:v>
      </x:c>
      <x:c r="C1309" s="120" t="str">
        <x:v>Artifacts, Relics, Weapons &amp; Vehicles</x:v>
      </x:c>
      <x:c r="D1309" s="120" t="str">
        <x:v>ART-500</x:v>
      </x:c>
      <x:c r="E1309" s="120" t="str">
        <x:f>IF(D1309="","",IFERROR(VLOOKUP(D1309,$A$2:$B$1656,2,FALSE),""))</x:f>
        <x:v>Vehicles, Mounts &amp; Conveyances</x:v>
      </x:c>
      <x:c r="F1309" s="120" t="n">
        <x:v>3</x:v>
      </x:c>
      <x:c r="G1309" s="120" t="str">
        <x:v>A ridden being or construct with exceptional mobility, intelligence, elemental nature, or otherworldly capability.</x:v>
      </x:c>
      <x:c r="H1309" s="120" t="str">
        <x:v>A mount may be a person or partner rather than equipment; source ontology controls classification.</x:v>
      </x:c>
      <x:c r="I1309" s="120" t="str">
        <x:v>flying horse; nightmare; spirit stag</x:v>
      </x:c>
      <x:c r="J1309" s="120" t="str">
        <x:v>travel, companionship, status, combat</x:v>
      </x:c>
      <x:c r="K1309" s="120" t="str">
        <x:v>magic mount; enchanted steed</x:v>
      </x:c>
      <x:c r="L1309" s="120" t="str">
        <x:v>Preserve source-specific terminology, metaphysics, ritual context, and cultural ownership; use this family for comparison, not as a claim of historical equivalence.</x:v>
      </x:c>
      <x:c r="M1309" s="120" t="str">
        <x:v>Framework core</x:v>
      </x:c>
    </x:row>
    <x:row r="1310" ht="44" customHeight="1">
      <x:c r="A1310" s="119" t="str">
        <x:v>ART-509</x:v>
      </x:c>
      <x:c r="B1310" s="120" t="str">
        <x:v>Divine Mount or Vāhana-Type Conveyance</x:v>
      </x:c>
      <x:c r="C1310" s="120" t="str">
        <x:v>Artifacts, Relics, Weapons &amp; Vehicles</x:v>
      </x:c>
      <x:c r="D1310" s="120" t="str">
        <x:v>ART-500</x:v>
      </x:c>
      <x:c r="E1310" s="120" t="str">
        <x:f>IF(D1310="","",IFERROR(VLOOKUP(D1310,$A$2:$B$1656,2,FALSE),""))</x:f>
        <x:v>Vehicles, Mounts &amp; Conveyances</x:v>
      </x:c>
      <x:c r="F1310" s="120" t="n">
        <x:v>3</x:v>
      </x:c>
      <x:c r="G1310" s="120" t="str">
        <x:v>A being or emblematic vehicle closely associated with a deity's manifestation, iconography, authority, or movement.</x:v>
      </x:c>
      <x:c r="H1310" s="120" t="str">
        <x:v>Do not universalize the Sanskrit term vāhana beyond appropriate traditions; use it only as a source-specific example.</x:v>
      </x:c>
      <x:c r="I1310" s="120" t="str">
        <x:v>god's animal; sacred carrier</x:v>
      </x:c>
      <x:c r="J1310" s="120" t="str">
        <x:v>divine identity, worship, symbolism, travel</x:v>
      </x:c>
      <x:c r="K1310" s="120" t="str">
        <x:v>divine mount; sacred vehicle</x:v>
      </x:c>
      <x:c r="L1310" s="120" t="str">
        <x:v>Use source-native terms and iconographic relationships. The comparative family does not make all divine-animal associations equivalent to South Asian vāhana traditions.</x:v>
      </x:c>
      <x:c r="M1310" s="120" t="str">
        <x:v>Framework core</x:v>
      </x:c>
    </x:row>
    <x:row r="1311" ht="44" customHeight="1">
      <x:c r="A1311" s="119" t="str">
        <x:v>ART-510</x:v>
      </x:c>
      <x:c r="B1311" s="120" t="str">
        <x:v>Giant-Beast Conveyance</x:v>
      </x:c>
      <x:c r="C1311" s="120" t="str">
        <x:v>Artifacts, Relics, Weapons &amp; Vehicles</x:v>
      </x:c>
      <x:c r="D1311" s="120" t="str">
        <x:v>ART-500</x:v>
      </x:c>
      <x:c r="E1311" s="120" t="str">
        <x:f>IF(D1311="","",IFERROR(VLOOKUP(D1311,$A$2:$B$1656,2,FALSE),""))</x:f>
        <x:v>Vehicles, Mounts &amp; Conveyances</x:v>
      </x:c>
      <x:c r="F1311" s="120" t="n">
        <x:v>3</x:v>
      </x:c>
      <x:c r="G1311" s="120" t="str">
        <x:v>An enormous living being used to carry settlements, armies, structures, or traveling communities.</x:v>
      </x:c>
      <x:c r="H1311" s="120" t="str">
        <x:v>Its scale and mobile-habitat function distinguish it from an ordinary mount.</x:v>
      </x:c>
      <x:c r="I1311" s="120" t="str">
        <x:v>city-bearing turtle; walking island; caravan beast</x:v>
      </x:c>
      <x:c r="J1311" s="120" t="str">
        <x:v>migration, worldbuilding, spectacle</x:v>
      </x:c>
      <x:c r="K1311" s="120" t="str">
        <x:v>world beast; city carrier</x:v>
      </x:c>
      <x:c r="L1311" s="120" t="str">
        <x:v>Preserve source-specific terminology, metaphysics, ritual context, and cultural ownership; use this family for comparison, not as a claim of historical equivalence.</x:v>
      </x:c>
      <x:c r="M1311" s="120" t="str">
        <x:v>Framework core</x:v>
      </x:c>
    </x:row>
    <x:row r="1312" ht="44" customHeight="1">
      <x:c r="A1312" s="119" t="str">
        <x:v>ART-511</x:v>
      </x:c>
      <x:c r="B1312" s="120" t="str">
        <x:v>Portal Device</x:v>
      </x:c>
      <x:c r="C1312" s="120" t="str">
        <x:v>Artifacts, Relics, Weapons &amp; Vehicles</x:v>
      </x:c>
      <x:c r="D1312" s="120" t="str">
        <x:v>ART-500</x:v>
      </x:c>
      <x:c r="E1312" s="120" t="str">
        <x:f>IF(D1312="","",IFERROR(VLOOKUP(D1312,$A$2:$B$1656,2,FALSE),""))</x:f>
        <x:v>Vehicles, Mounts &amp; Conveyances</x:v>
      </x:c>
      <x:c r="F1312" s="120" t="n">
        <x:v>3</x:v>
      </x:c>
      <x:c r="G1312" s="120" t="str">
        <x:v>A constructed object that opens, stabilizes, selects, or navigates a passage between distant locations or realms.</x:v>
      </x:c>
      <x:c r="H1312" s="120" t="str">
        <x:v>It is a conveyance interface even if it does not itself move.</x:v>
      </x:c>
      <x:c r="I1312" s="120" t="str">
        <x:v>gate machine; teleport stone; doorway key</x:v>
      </x:c>
      <x:c r="J1312" s="120" t="str">
        <x:v>travel, invasion, infrastructure</x:v>
      </x:c>
      <x:c r="K1312" s="120" t="str">
        <x:v>portal device; gate engine</x:v>
      </x:c>
      <x:c r="L1312" s="120" t="str">
        <x:v>Preserve source-specific terminology, metaphysics, ritual context, and cultural ownership; use this family for comparison, not as a claim of historical equivalence.</x:v>
      </x:c>
      <x:c r="M1312" s="120" t="str">
        <x:v>Framework core</x:v>
      </x:c>
    </x:row>
    <x:row r="1313" ht="44" customHeight="1">
      <x:c r="A1313" s="119" t="str">
        <x:v>ART-512</x:v>
      </x:c>
      <x:c r="B1313" s="120" t="str">
        <x:v>Time-Travel Conveyance</x:v>
      </x:c>
      <x:c r="C1313" s="120" t="str">
        <x:v>Artifacts, Relics, Weapons &amp; Vehicles</x:v>
      </x:c>
      <x:c r="D1313" s="120" t="str">
        <x:v>ART-500</x:v>
      </x:c>
      <x:c r="E1313" s="120" t="str">
        <x:f>IF(D1313="","",IFERROR(VLOOKUP(D1313,$A$2:$B$1656,2,FALSE),""))</x:f>
        <x:v>Vehicles, Mounts &amp; Conveyances</x:v>
      </x:c>
      <x:c r="F1313" s="120" t="n">
        <x:v>3</x:v>
      </x:c>
      <x:c r="G1313" s="120" t="str">
        <x:v>A vehicle or device whose principal function is movement across time, timelines, ages, or temporal states.</x:v>
      </x:c>
      <x:c r="H1313" s="120" t="str">
        <x:v>Temporal stasis alone is not travel unless displacement occurs.</x:v>
      </x:c>
      <x:c r="I1313" s="120" t="str">
        <x:v>time ship; chronal carriage; age wheel</x:v>
      </x:c>
      <x:c r="J1313" s="120" t="str">
        <x:v>causality, rescue, revision, exploration</x:v>
      </x:c>
      <x:c r="K1313" s="120" t="str">
        <x:v>time vehicle; chronal conveyance</x:v>
      </x:c>
      <x:c r="L1313" s="120" t="str">
        <x:v>Preserve source-specific terminology, metaphysics, ritual context, and cultural ownership; use this family for comparison, not as a claim of historical equivalence.</x:v>
      </x:c>
      <x:c r="M1313" s="120" t="str">
        <x:v>Framework core</x:v>
      </x:c>
    </x:row>
    <x:row r="1314" ht="44" customHeight="1">
      <x:c r="A1314" s="119" t="str">
        <x:v>ART-513</x:v>
      </x:c>
      <x:c r="B1314" s="120" t="str">
        <x:v>Mobile Fortress</x:v>
      </x:c>
      <x:c r="C1314" s="120" t="str">
        <x:v>Artifacts, Relics, Weapons &amp; Vehicles</x:v>
      </x:c>
      <x:c r="D1314" s="120" t="str">
        <x:v>ART-500</x:v>
      </x:c>
      <x:c r="E1314" s="120" t="str">
        <x:f>IF(D1314="","",IFERROR(VLOOKUP(D1314,$A$2:$B$1656,2,FALSE),""))</x:f>
        <x:v>Vehicles, Mounts &amp; Conveyances</x:v>
      </x:c>
      <x:c r="F1314" s="120" t="n">
        <x:v>3</x:v>
      </x:c>
      <x:c r="G1314" s="120" t="str">
        <x:v>A fortified structure capable of strategic movement across land, sea, air, space, or realms.</x:v>
      </x:c>
      <x:c r="H1314" s="120" t="str">
        <x:v>It combines settlement, military platform, and vehicle functions.</x:v>
      </x:c>
      <x:c r="I1314" s="120" t="str">
        <x:v>walking castle; fortress ship; flying citadel</x:v>
      </x:c>
      <x:c r="J1314" s="120" t="str">
        <x:v>warfare, refuge, territorial power</x:v>
      </x:c>
      <x:c r="K1314" s="120" t="str">
        <x:v>mobile fortress; moving citadel</x:v>
      </x:c>
      <x:c r="L1314" s="120" t="str">
        <x:v>Preserve source-specific terminology, metaphysics, ritual context, and cultural ownership; use this family for comparison, not as a claim of historical equivalence.</x:v>
      </x:c>
      <x:c r="M1314" s="120" t="str">
        <x:v>Framework core</x:v>
      </x:c>
    </x:row>
    <x:row r="1315" ht="44" customHeight="1">
      <x:c r="A1315" s="119" t="str">
        <x:v>ART-514</x:v>
      </x:c>
      <x:c r="B1315" s="120" t="str">
        <x:v>Interplanar Vessel</x:v>
      </x:c>
      <x:c r="C1315" s="120" t="str">
        <x:v>Artifacts, Relics, Weapons &amp; Vehicles</x:v>
      </x:c>
      <x:c r="D1315" s="120" t="str">
        <x:v>ART-500</x:v>
      </x:c>
      <x:c r="E1315" s="120" t="str">
        <x:f>IF(D1315="","",IFERROR(VLOOKUP(D1315,$A$2:$B$1656,2,FALSE),""))</x:f>
        <x:v>Vehicles, Mounts &amp; Conveyances</x:v>
      </x:c>
      <x:c r="F1315" s="120" t="n">
        <x:v>3</x:v>
      </x:c>
      <x:c r="G1315" s="120" t="str">
        <x:v>A purpose-built conveyance for repeated travel among planes, dimensions, or metaphysical realms.</x:v>
      </x:c>
      <x:c r="H1315" s="120" t="str">
        <x:v>Unlike a one-use world ship, it functions as sustained cross-realm infrastructure.</x:v>
      </x:c>
      <x:c r="I1315" s="120" t="str">
        <x:v>planar ship; astral vessel; realm skiff</x:v>
      </x:c>
      <x:c r="J1315" s="120" t="str">
        <x:v>exploration, trade, invasion, pilgrimage</x:v>
      </x:c>
      <x:c r="K1315" s="120" t="str">
        <x:v>interplanar ship; astral vessel</x:v>
      </x:c>
      <x:c r="L1315" s="120" t="str">
        <x:v>Preserve source-specific terminology, metaphysics, ritual context, and cultural ownership; use this family for comparison, not as a claim of historical equivalence.</x:v>
      </x:c>
      <x:c r="M1315" s="120" t="str">
        <x:v>Framework core</x:v>
      </x:c>
    </x:row>
    <x:row r="1316" ht="44" customHeight="1">
      <x:c r="A1316" s="119" t="str">
        <x:v>ART-601</x:v>
      </x:c>
      <x:c r="B1316" s="120" t="str">
        <x:v>Realm Key</x:v>
      </x:c>
      <x:c r="C1316" s="120" t="str">
        <x:v>Artifacts, Relics, Weapons &amp; Vehicles</x:v>
      </x:c>
      <x:c r="D1316" s="120" t="str">
        <x:v>ART-600</x:v>
      </x:c>
      <x:c r="E1316" s="120" t="str">
        <x:f>IF(D1316="","",IFERROR(VLOOKUP(D1316,$A$2:$B$1656,2,FALSE),""))</x:f>
        <x:v>Keys, Seals &amp; Control Objects</x:v>
      </x:c>
      <x:c r="F1316" s="120" t="n">
        <x:v>3</x:v>
      </x:c>
      <x:c r="G1316" s="120" t="str">
        <x:v>An object required to open, enter, leave, locate, or authorize access to a particular realm or cosmological boundary.</x:v>
      </x:c>
      <x:c r="H1316" s="120" t="str">
        <x:v>It may be a literal key, name, relic, body-part, or symbolic credential.</x:v>
      </x:c>
      <x:c r="I1316" s="120" t="str">
        <x:v>gate key; underworld token; world rune</x:v>
      </x:c>
      <x:c r="J1316" s="120" t="str">
        <x:v>access, exclusion, quest gating</x:v>
      </x:c>
      <x:c r="K1316" s="120" t="str">
        <x:v>realm key; gate token</x:v>
      </x:c>
      <x:c r="L1316" s="120" t="str">
        <x:v>Preserve source-specific terminology, metaphysics, ritual context, and cultural ownership; use this family for comparison, not as a claim of historical equivalence.</x:v>
      </x:c>
      <x:c r="M1316" s="120" t="str">
        <x:v>Framework core</x:v>
      </x:c>
    </x:row>
    <x:row r="1317" ht="44" customHeight="1">
      <x:c r="A1317" s="119" t="str">
        <x:v>ART-602</x:v>
      </x:c>
      <x:c r="B1317" s="120" t="str">
        <x:v>Binding Seal</x:v>
      </x:c>
      <x:c r="C1317" s="120" t="str">
        <x:v>Artifacts, Relics, Weapons &amp; Vehicles</x:v>
      </x:c>
      <x:c r="D1317" s="120" t="str">
        <x:v>ART-600</x:v>
      </x:c>
      <x:c r="E1317" s="120" t="str">
        <x:f>IF(D1317="","",IFERROR(VLOOKUP(D1317,$A$2:$B$1656,2,FALSE),""))</x:f>
        <x:v>Keys, Seals &amp; Control Objects</x:v>
      </x:c>
      <x:c r="F1317" s="120" t="n">
        <x:v>3</x:v>
      </x:c>
      <x:c r="G1317" s="120" t="str">
        <x:v>An object or inscription that confines, suppresses, prohibits, or stabilizes a being, force, curse, portal, or condition.</x:v>
      </x:c>
      <x:c r="H1317" s="120" t="str">
        <x:v>Breaking or weakening the seal is a distinct narrative and mechanical operation.</x:v>
      </x:c>
      <x:c r="I1317" s="120" t="str">
        <x:v>ward seal; prison mark; lock tablet</x:v>
      </x:c>
      <x:c r="J1317" s="120" t="str">
        <x:v>containment, protection, deferred threat</x:v>
      </x:c>
      <x:c r="K1317" s="120" t="str">
        <x:v>binding seal; ward</x:v>
      </x:c>
      <x:c r="L1317" s="120" t="str">
        <x:v>Preserve source-specific terminology, metaphysics, ritual context, and cultural ownership; use this family for comparison, not as a claim of historical equivalence.</x:v>
      </x:c>
      <x:c r="M1317" s="120" t="str">
        <x:v>Framework core</x:v>
      </x:c>
    </x:row>
    <x:row r="1318" ht="44" customHeight="1">
      <x:c r="A1318" s="119" t="str">
        <x:v>ART-603</x:v>
      </x:c>
      <x:c r="B1318" s="120" t="str">
        <x:v>Command Token</x:v>
      </x:c>
      <x:c r="C1318" s="120" t="str">
        <x:v>Artifacts, Relics, Weapons &amp; Vehicles</x:v>
      </x:c>
      <x:c r="D1318" s="120" t="str">
        <x:v>ART-600</x:v>
      </x:c>
      <x:c r="E1318" s="120" t="str">
        <x:f>IF(D1318="","",IFERROR(VLOOKUP(D1318,$A$2:$B$1656,2,FALSE),""))</x:f>
        <x:v>Keys, Seals &amp; Control Objects</x:v>
      </x:c>
      <x:c r="F1318" s="120" t="n">
        <x:v>3</x:v>
      </x:c>
      <x:c r="G1318" s="120" t="str">
        <x:v>An object whose possession or recognized use grants command over units, constructs, spirits, beasts, weapons, or institutions.</x:v>
      </x:c>
      <x:c r="H1318" s="120" t="str">
        <x:v>Authority may be magical, legal, symbolic, or technical.</x:v>
      </x:c>
      <x:c r="I1318" s="120" t="str">
        <x:v>control rod; general's seal; master key</x:v>
      </x:c>
      <x:c r="J1318" s="120" t="str">
        <x:v>command, authentication, usurpation</x:v>
      </x:c>
      <x:c r="K1318" s="120" t="str">
        <x:v>command token; control emblem</x:v>
      </x:c>
      <x:c r="L1318" s="120" t="str">
        <x:v>Preserve source-specific terminology, metaphysics, ritual context, and cultural ownership; use this family for comparison, not as a claim of historical equivalence.</x:v>
      </x:c>
      <x:c r="M1318" s="120" t="str">
        <x:v>Framework core</x:v>
      </x:c>
    </x:row>
    <x:row r="1319" ht="44" customHeight="1">
      <x:c r="A1319" s="119" t="str">
        <x:v>ART-604</x:v>
      </x:c>
      <x:c r="B1319" s="120" t="str">
        <x:v>Summoning Focus</x:v>
      </x:c>
      <x:c r="C1319" s="120" t="str">
        <x:v>Artifacts, Relics, Weapons &amp; Vehicles</x:v>
      </x:c>
      <x:c r="D1319" s="120" t="str">
        <x:v>ART-600</x:v>
      </x:c>
      <x:c r="E1319" s="120" t="str">
        <x:f>IF(D1319="","",IFERROR(VLOOKUP(D1319,$A$2:$B$1656,2,FALSE),""))</x:f>
        <x:v>Keys, Seals &amp; Control Objects</x:v>
      </x:c>
      <x:c r="F1319" s="120" t="n">
        <x:v>3</x:v>
      </x:c>
      <x:c r="G1319" s="120" t="str">
        <x:v>An object required to call, manifest, invite, anchor, or control a being or force from elsewhere.</x:v>
      </x:c>
      <x:c r="H1319" s="120" t="str">
        <x:v>It differs from a general spell focus by its specific relation to summoning.</x:v>
      </x:c>
      <x:c r="I1319" s="120" t="str">
        <x:v>summoning circle object; beacon; idol</x:v>
      </x:c>
      <x:c r="J1319" s="120" t="str">
        <x:v>invocation, anchoring, negotiation</x:v>
      </x:c>
      <x:c r="K1319" s="120" t="str">
        <x:v>summoning focus; calling relic</x:v>
      </x:c>
      <x:c r="L1319" s="120" t="str">
        <x:v>Preserve source-specific terminology, metaphysics, ritual context, and cultural ownership; use this family for comparison, not as a claim of historical equivalence.</x:v>
      </x:c>
      <x:c r="M1319" s="120" t="str">
        <x:v>Framework core</x:v>
      </x:c>
    </x:row>
    <x:row r="1320" ht="44" customHeight="1">
      <x:c r="A1320" s="119" t="str">
        <x:v>ART-605</x:v>
      </x:c>
      <x:c r="B1320" s="120" t="str">
        <x:v>True-Name Token</x:v>
      </x:c>
      <x:c r="C1320" s="120" t="str">
        <x:v>Artifacts, Relics, Weapons &amp; Vehicles</x:v>
      </x:c>
      <x:c r="D1320" s="120" t="str">
        <x:v>ART-600</x:v>
      </x:c>
      <x:c r="E1320" s="120" t="str">
        <x:f>IF(D1320="","",IFERROR(VLOOKUP(D1320,$A$2:$B$1656,2,FALSE),""))</x:f>
        <x:v>Keys, Seals &amp; Control Objects</x:v>
      </x:c>
      <x:c r="F1320" s="120" t="n">
        <x:v>3</x:v>
      </x:c>
      <x:c r="G1320" s="120" t="str">
        <x:v>An object that embodies or proves a being's true name and thereby enables recognition, protection, summoning, or control.</x:v>
      </x:c>
      <x:c r="H1320" s="120" t="str">
        <x:v>The token mediates name-law; it is not merely an identity document.</x:v>
      </x:c>
      <x:c r="I1320" s="120" t="str">
        <x:v>name stone; sigil; secret tablet</x:v>
      </x:c>
      <x:c r="J1320" s="120" t="str">
        <x:v>authentication, coercion, warding</x:v>
      </x:c>
      <x:c r="K1320" s="120" t="str">
        <x:v>name token; identity seal</x:v>
      </x:c>
      <x:c r="L1320" s="120" t="str">
        <x:v>Preserve source-specific terminology, metaphysics, ritual context, and cultural ownership; use this family for comparison, not as a claim of historical equivalence.</x:v>
      </x:c>
      <x:c r="M1320" s="120" t="str">
        <x:v>Framework core</x:v>
      </x:c>
    </x:row>
    <x:row r="1321" ht="44" customHeight="1">
      <x:c r="A1321" s="119" t="str">
        <x:v>ART-606</x:v>
      </x:c>
      <x:c r="B1321" s="120" t="str">
        <x:v>Soul Vessel or External Life Anchor</x:v>
      </x:c>
      <x:c r="C1321" s="120" t="str">
        <x:v>Artifacts, Relics, Weapons &amp; Vehicles</x:v>
      </x:c>
      <x:c r="D1321" s="120" t="str">
        <x:v>ART-600</x:v>
      </x:c>
      <x:c r="E1321" s="120" t="str">
        <x:f>IF(D1321="","",IFERROR(VLOOKUP(D1321,$A$2:$B$1656,2,FALSE),""))</x:f>
        <x:v>Keys, Seals &amp; Control Objects</x:v>
      </x:c>
      <x:c r="F1321" s="120" t="n">
        <x:v>3</x:v>
      </x:c>
      <x:c r="G1321" s="120" t="str">
        <x:v>An object containing or anchoring part or all of a being's soul, life, death, memory, or continued existence.</x:v>
      </x:c>
      <x:c r="H1321" s="120" t="str">
        <x:v>The category includes but is not limited to villainous phylactery-like implementations.</x:v>
      </x:c>
      <x:c r="I1321" s="120" t="str">
        <x:v>soul jar; life egg; heart object</x:v>
      </x:c>
      <x:c r="J1321" s="120" t="str">
        <x:v>immortality, vulnerability, resurrection, imprisonment</x:v>
      </x:c>
      <x:c r="K1321" s="120" t="str">
        <x:v>soul vessel; life anchor</x:v>
      </x:c>
      <x:c r="L1321" s="120" t="str">
        <x:v>Preserve source-specific terminology, metaphysics, ritual context, and cultural ownership; use this family for comparison, not as a claim of historical equivalence.</x:v>
      </x:c>
      <x:c r="M1321" s="120" t="str">
        <x:v>Framework core</x:v>
      </x:c>
    </x:row>
    <x:row r="1322" ht="44" customHeight="1">
      <x:c r="A1322" s="119" t="str">
        <x:v>ART-607</x:v>
      </x:c>
      <x:c r="B1322" s="120" t="str">
        <x:v>Immortality Anchor</x:v>
      </x:c>
      <x:c r="C1322" s="120" t="str">
        <x:v>Artifacts, Relics, Weapons &amp; Vehicles</x:v>
      </x:c>
      <x:c r="D1322" s="120" t="str">
        <x:v>ART-600</x:v>
      </x:c>
      <x:c r="E1322" s="120" t="str">
        <x:f>IF(D1322="","",IFERROR(VLOOKUP(D1322,$A$2:$B$1656,2,FALSE),""))</x:f>
        <x:v>Keys, Seals &amp; Control Objects</x:v>
      </x:c>
      <x:c r="F1322" s="120" t="n">
        <x:v>3</x:v>
      </x:c>
      <x:c r="G1322" s="120" t="str">
        <x:v>An object that prevents aging, death, dissolution, or final passage while a condition of possession, integrity, or connection holds.</x:v>
      </x:c>
      <x:c r="H1322" s="120" t="str">
        <x:v>It may overlap with a soul vessel but need not contain the soul.</x:v>
      </x:c>
      <x:c r="I1322" s="120" t="str">
        <x:v>immortal fruit; life stone; eternal flame</x:v>
      </x:c>
      <x:c r="J1322" s="120" t="str">
        <x:v>longevity, quest, conditional vulnerability</x:v>
      </x:c>
      <x:c r="K1322" s="120" t="str">
        <x:v>immortality object; life anchor</x:v>
      </x:c>
      <x:c r="L1322" s="120" t="str">
        <x:v>Preserve source-specific terminology, metaphysics, ritual context, and cultural ownership; use this family for comparison, not as a claim of historical equivalence.</x:v>
      </x:c>
      <x:c r="M1322" s="120" t="str">
        <x:v>Framework core</x:v>
      </x:c>
    </x:row>
    <x:row r="1323" ht="44" customHeight="1">
      <x:c r="A1323" s="119" t="str">
        <x:v>ART-608</x:v>
      </x:c>
      <x:c r="B1323" s="120" t="str">
        <x:v>Wardstone or Territorial Keystone</x:v>
      </x:c>
      <x:c r="C1323" s="120" t="str">
        <x:v>Artifacts, Relics, Weapons &amp; Vehicles</x:v>
      </x:c>
      <x:c r="D1323" s="120" t="str">
        <x:v>ART-600</x:v>
      </x:c>
      <x:c r="E1323" s="120" t="str">
        <x:f>IF(D1323="","",IFERROR(VLOOKUP(D1323,$A$2:$B$1656,2,FALSE),""))</x:f>
        <x:v>Keys, Seals &amp; Control Objects</x:v>
      </x:c>
      <x:c r="F1323" s="120" t="n">
        <x:v>3</x:v>
      </x:c>
      <x:c r="G1323" s="120" t="str">
        <x:v>An object that protects, defines, stabilizes, nourishes, conceals, or controls a bounded place or community.</x:v>
      </x:c>
      <x:c r="H1323" s="120" t="str">
        <x:v>Its power is spatial and institutional rather than merely personal.</x:v>
      </x:c>
      <x:c r="I1323" s="120" t="str">
        <x:v>city ward; land stone; shrine pillar</x:v>
      </x:c>
      <x:c r="J1323" s="120" t="str">
        <x:v>territorial defense, identity, environmental balance</x:v>
      </x:c>
      <x:c r="K1323" s="120" t="str">
        <x:v>wardstone; keystone</x:v>
      </x:c>
      <x:c r="L1323" s="120" t="str">
        <x:v>Preserve source-specific terminology, metaphysics, ritual context, and cultural ownership; use this family for comparison, not as a claim of historical equivalence.</x:v>
      </x:c>
      <x:c r="M1323" s="120" t="str">
        <x:v>Framework core</x:v>
      </x:c>
    </x:row>
    <x:row r="1324" ht="44" customHeight="1">
      <x:c r="A1324" s="119" t="str">
        <x:v>ART-609</x:v>
      </x:c>
      <x:c r="B1324" s="120" t="str">
        <x:v>Control Collar, Brand, or Restraint</x:v>
      </x:c>
      <x:c r="C1324" s="120" t="str">
        <x:v>Artifacts, Relics, Weapons &amp; Vehicles</x:v>
      </x:c>
      <x:c r="D1324" s="120" t="str">
        <x:v>ART-600</x:v>
      </x:c>
      <x:c r="E1324" s="120" t="str">
        <x:f>IF(D1324="","",IFERROR(VLOOKUP(D1324,$A$2:$B$1656,2,FALSE),""))</x:f>
        <x:v>Keys, Seals &amp; Control Objects</x:v>
      </x:c>
      <x:c r="F1324" s="120" t="n">
        <x:v>3</x:v>
      </x:c>
      <x:c r="G1324" s="120" t="str">
        <x:v>A worn or imposed object that coerces obedience, limits power, tracks, punishes, or prevents escape.</x:v>
      </x:c>
      <x:c r="H1324" s="120" t="str">
        <x:v>The family is ethically charged and should not be treated as neutral equipment.</x:v>
      </x:c>
      <x:c r="I1324" s="120" t="str">
        <x:v>slave collar; seal bracelet; obedience brand</x:v>
      </x:c>
      <x:c r="J1324" s="120" t="str">
        <x:v>coercion, imprisonment, rebellion</x:v>
      </x:c>
      <x:c r="K1324" s="120" t="str">
        <x:v>control collar; binding restraint</x:v>
      </x:c>
      <x:c r="L1324" s="120" t="str">
        <x:v>Preserve source-specific terminology, metaphysics, ritual context, and cultural ownership; use this family for comparison, not as a claim of historical equivalence.</x:v>
      </x:c>
      <x:c r="M1324" s="120" t="str">
        <x:v>Framework core</x:v>
      </x:c>
    </x:row>
    <x:row r="1325" ht="44" customHeight="1">
      <x:c r="A1325" s="119" t="str">
        <x:v>ART-610</x:v>
      </x:c>
      <x:c r="B1325" s="120" t="str">
        <x:v>Contract Token</x:v>
      </x:c>
      <x:c r="C1325" s="120" t="str">
        <x:v>Artifacts, Relics, Weapons &amp; Vehicles</x:v>
      </x:c>
      <x:c r="D1325" s="120" t="str">
        <x:v>ART-600</x:v>
      </x:c>
      <x:c r="E1325" s="120" t="str">
        <x:f>IF(D1325="","",IFERROR(VLOOKUP(D1325,$A$2:$B$1656,2,FALSE),""))</x:f>
        <x:v>Keys, Seals &amp; Control Objects</x:v>
      </x:c>
      <x:c r="F1325" s="120" t="n">
        <x:v>3</x:v>
      </x:c>
      <x:c r="G1325" s="120" t="str">
        <x:v>An object exchanged, marked, broken, or returned to activate or prove a pact, debt, marriage, service, truce, or supernatural contract.</x:v>
      </x:c>
      <x:c r="H1325" s="120" t="str">
        <x:v>The token's efficacy comes from a relational rule.</x:v>
      </x:c>
      <x:c r="I1325" s="120" t="str">
        <x:v>pledge ring; half-token; covenant coin</x:v>
      </x:c>
      <x:c r="J1325" s="120" t="str">
        <x:v>reciprocity, authentication, release</x:v>
      </x:c>
      <x:c r="K1325" s="120" t="str">
        <x:v>contract token; pledge object</x:v>
      </x:c>
      <x:c r="L1325" s="120" t="str">
        <x:v>Preserve source-specific terminology, metaphysics, ritual context, and cultural ownership; use this family for comparison, not as a claim of historical equivalence.</x:v>
      </x:c>
      <x:c r="M1325" s="120" t="str">
        <x:v>Framework core</x:v>
      </x:c>
    </x:row>
    <x:row r="1326" ht="44" customHeight="1">
      <x:c r="A1326" s="119" t="str">
        <x:v>ART-611</x:v>
      </x:c>
      <x:c r="B1326" s="120" t="str">
        <x:v>Territory Control Relic</x:v>
      </x:c>
      <x:c r="C1326" s="120" t="str">
        <x:v>Artifacts, Relics, Weapons &amp; Vehicles</x:v>
      </x:c>
      <x:c r="D1326" s="120" t="str">
        <x:v>ART-600</x:v>
      </x:c>
      <x:c r="E1326" s="120" t="str">
        <x:f>IF(D1326="","",IFERROR(VLOOKUP(D1326,$A$2:$B$1656,2,FALSE),""))</x:f>
        <x:v>Keys, Seals &amp; Control Objects</x:v>
      </x:c>
      <x:c r="F1326" s="120" t="n">
        <x:v>3</x:v>
      </x:c>
      <x:c r="G1326" s="120" t="str">
        <x:v>An object that grants dominion over a landscape, weather system, city, dungeon, or bounded magical ecology.</x:v>
      </x:c>
      <x:c r="H1326" s="120" t="str">
        <x:v>Possession may not equal moral or legal legitimacy.</x:v>
      </x:c>
      <x:c r="I1326" s="120" t="str">
        <x:v>season stone; dungeon heart; weather crown</x:v>
      </x:c>
      <x:c r="J1326" s="120" t="str">
        <x:v>governance, conquest, environmental control</x:v>
      </x:c>
      <x:c r="K1326" s="120" t="str">
        <x:v>domain relic; territory core</x:v>
      </x:c>
      <x:c r="L1326" s="120" t="str">
        <x:v>Preserve source-specific terminology, metaphysics, ritual context, and cultural ownership; use this family for comparison, not as a claim of historical equivalence.</x:v>
      </x:c>
      <x:c r="M1326" s="120" t="str">
        <x:v>Framework core</x:v>
      </x:c>
    </x:row>
    <x:row r="1327" ht="44" customHeight="1">
      <x:c r="A1327" s="119" t="str">
        <x:v>ART-612</x:v>
      </x:c>
      <x:c r="B1327" s="120" t="str">
        <x:v>Prison Key or Release Object</x:v>
      </x:c>
      <x:c r="C1327" s="120" t="str">
        <x:v>Artifacts, Relics, Weapons &amp; Vehicles</x:v>
      </x:c>
      <x:c r="D1327" s="120" t="str">
        <x:v>ART-600</x:v>
      </x:c>
      <x:c r="E1327" s="120" t="str">
        <x:f>IF(D1327="","",IFERROR(VLOOKUP(D1327,$A$2:$B$1656,2,FALSE),""))</x:f>
        <x:v>Keys, Seals &amp; Control Objects</x:v>
      </x:c>
      <x:c r="F1327" s="120" t="n">
        <x:v>3</x:v>
      </x:c>
      <x:c r="G1327" s="120" t="str">
        <x:v>An object whose destruction, assembly, activation, or transfer releases a sealed being, army, curse, or realm.</x:v>
      </x:c>
      <x:c r="H1327" s="120" t="str">
        <x:v>It is defined by its release condition rather than ordinary access.</x:v>
      </x:c>
      <x:c r="I1327" s="120" t="str">
        <x:v>seal shard; lock sword; release bell</x:v>
      </x:c>
      <x:c r="J1327" s="120" t="str">
        <x:v>threat escalation, moral choice, rescue</x:v>
      </x:c>
      <x:c r="K1327" s="120" t="str">
        <x:v>release key; prison key</x:v>
      </x:c>
      <x:c r="L1327" s="120" t="str">
        <x:v>Preserve source-specific terminology, metaphysics, ritual context, and cultural ownership; use this family for comparison, not as a claim of historical equivalence.</x:v>
      </x:c>
      <x:c r="M1327" s="120" t="str">
        <x:v>Framework core</x:v>
      </x:c>
    </x:row>
    <x:row r="1328" ht="44" customHeight="1">
      <x:c r="A1328" s="119" t="str">
        <x:v>ART-701</x:v>
      </x:c>
      <x:c r="B1328" s="120" t="str">
        <x:v>Quest Object</x:v>
      </x:c>
      <x:c r="C1328" s="120" t="str">
        <x:v>Artifacts, Relics, Weapons &amp; Vehicles</x:v>
      </x:c>
      <x:c r="D1328" s="120" t="str">
        <x:v>ART-700</x:v>
      </x:c>
      <x:c r="E1328" s="120" t="str">
        <x:f>IF(D1328="","",IFERROR(VLOOKUP(D1328,$A$2:$B$1656,2,FALSE),""))</x:f>
        <x:v>Artifacts by Narrative Function</x:v>
      </x:c>
      <x:c r="F1328" s="120" t="n">
        <x:v>3</x:v>
      </x:c>
      <x:c r="G1328" s="120" t="str">
        <x:v>An object whose acquisition, transport, use, destruction, or return structures a major quest.</x:v>
      </x:c>
      <x:c r="H1328" s="120" t="str">
        <x:v>This is a narrative function and should be paired with the object's source-faithful ontology.</x:v>
      </x:c>
      <x:c r="I1328" s="120" t="str">
        <x:v>fetch object; sacred prize; mission relic</x:v>
      </x:c>
      <x:c r="J1328" s="120" t="str">
        <x:v>motivation, route structure, party assembly</x:v>
      </x:c>
      <x:c r="K1328" s="120" t="str">
        <x:v>quest item; objective relic</x:v>
      </x:c>
      <x:c r="L1328" s="120" t="str">
        <x:v>Preserve source-specific terminology, metaphysics, ritual context, and cultural ownership; use this family for comparison, not as a claim of historical equivalence.</x:v>
      </x:c>
      <x:c r="M1328" s="120" t="str">
        <x:v>Framework core</x:v>
      </x:c>
    </x:row>
    <x:row r="1329" ht="44" customHeight="1">
      <x:c r="A1329" s="119" t="str">
        <x:v>ART-702</x:v>
      </x:c>
      <x:c r="B1329" s="120" t="str">
        <x:v>Artifact to Destroy</x:v>
      </x:c>
      <x:c r="C1329" s="120" t="str">
        <x:v>Artifacts, Relics, Weapons &amp; Vehicles</x:v>
      </x:c>
      <x:c r="D1329" s="120" t="str">
        <x:v>ART-700</x:v>
      </x:c>
      <x:c r="E1329" s="120" t="str">
        <x:f>IF(D1329="","",IFERROR(VLOOKUP(D1329,$A$2:$B$1656,2,FALSE),""))</x:f>
        <x:v>Artifacts by Narrative Function</x:v>
      </x:c>
      <x:c r="F1329" s="120" t="n">
        <x:v>3</x:v>
      </x:c>
      <x:c r="G1329" s="120" t="str">
        <x:v>An object whose continued existence poses such danger or corruption that the central task is safe destruction.</x:v>
      </x:c>
      <x:c r="H1329" s="120" t="str">
        <x:v>The difficulty may lie in eligibility, location, method, attachment, or consequences.</x:v>
      </x:c>
      <x:c r="I1329" s="120" t="str">
        <x:v>doomed ring; world weapon; cursed core</x:v>
      </x:c>
      <x:c r="J1329" s="120" t="str">
        <x:v>sacrifice, temptation, final journey</x:v>
      </x:c>
      <x:c r="K1329" s="120" t="str">
        <x:v>destroy-the-artifact object</x:v>
      </x:c>
      <x:c r="L1329" s="120" t="str">
        <x:v>Preserve source-specific terminology, metaphysics, ritual context, and cultural ownership; use this family for comparison, not as a claim of historical equivalence.</x:v>
      </x:c>
      <x:c r="M1329" s="120" t="str">
        <x:v>Framework core</x:v>
      </x:c>
    </x:row>
    <x:row r="1330" ht="44" customHeight="1">
      <x:c r="A1330" s="119" t="str">
        <x:v>ART-703</x:v>
      </x:c>
      <x:c r="B1330" s="120" t="str">
        <x:v>Artifact to Assemble</x:v>
      </x:c>
      <x:c r="C1330" s="120" t="str">
        <x:v>Artifacts, Relics, Weapons &amp; Vehicles</x:v>
      </x:c>
      <x:c r="D1330" s="120" t="str">
        <x:v>ART-700</x:v>
      </x:c>
      <x:c r="E1330" s="120" t="str">
        <x:f>IF(D1330="","",IFERROR(VLOOKUP(D1330,$A$2:$B$1656,2,FALSE),""))</x:f>
        <x:v>Artifacts by Narrative Function</x:v>
      </x:c>
      <x:c r="F1330" s="120" t="n">
        <x:v>3</x:v>
      </x:c>
      <x:c r="G1330" s="120" t="str">
        <x:v>An object whose scattered parts must be united to activate, restore, authorize, or understand it.</x:v>
      </x:c>
      <x:c r="H1330" s="120" t="str">
        <x:v>Assembly can be heroic, catastrophic, or morally ambiguous.</x:v>
      </x:c>
      <x:c r="I1330" s="120" t="str">
        <x:v>shard quest; broken crown; seal pieces</x:v>
      </x:c>
      <x:c r="J1330" s="120" t="str">
        <x:v>collection, revelation, escalation</x:v>
      </x:c>
      <x:c r="K1330" s="120" t="str">
        <x:v>assemble-the-relic quest</x:v>
      </x:c>
      <x:c r="L1330" s="120" t="str">
        <x:v>Preserve source-specific terminology, metaphysics, ritual context, and cultural ownership; use this family for comparison, not as a claim of historical equivalence.</x:v>
      </x:c>
      <x:c r="M1330" s="120" t="str">
        <x:v>Framework core</x:v>
      </x:c>
    </x:row>
    <x:row r="1331" ht="44" customHeight="1">
      <x:c r="A1331" s="119" t="str">
        <x:v>ART-704</x:v>
      </x:c>
      <x:c r="B1331" s="120" t="str">
        <x:v>Artifact to Return or Restore</x:v>
      </x:c>
      <x:c r="C1331" s="120" t="str">
        <x:v>Artifacts, Relics, Weapons &amp; Vehicles</x:v>
      </x:c>
      <x:c r="D1331" s="120" t="str">
        <x:v>ART-700</x:v>
      </x:c>
      <x:c r="E1331" s="120" t="str">
        <x:f>IF(D1331="","",IFERROR(VLOOKUP(D1331,$A$2:$B$1656,2,FALSE),""))</x:f>
        <x:v>Artifacts by Narrative Function</x:v>
      </x:c>
      <x:c r="F1331" s="120" t="n">
        <x:v>3</x:v>
      </x:c>
      <x:c r="G1331" s="120" t="str">
        <x:v>An object whose rightful return repairs legitimacy, ecology, memory, covenant, or cosmological order.</x:v>
      </x:c>
      <x:c r="H1331" s="120" t="str">
        <x:v>Return matters more than possession.</x:v>
      </x:c>
      <x:c r="I1331" s="120" t="str">
        <x:v>stolen fire; ancestral sword; temple relic</x:v>
      </x:c>
      <x:c r="J1331" s="120" t="str">
        <x:v>restoration, restitution, reconciliation</x:v>
      </x:c>
      <x:c r="K1331" s="120" t="str">
        <x:v>return-the-relic quest</x:v>
      </x:c>
      <x:c r="L1331" s="120" t="str">
        <x:v>Preserve source-specific terminology, metaphysics, ritual context, and cultural ownership; use this family for comparison, not as a claim of historical equivalence.</x:v>
      </x:c>
      <x:c r="M1331" s="120" t="str">
        <x:v>Framework core</x:v>
      </x:c>
    </x:row>
    <x:row r="1332" ht="44" customHeight="1">
      <x:c r="A1332" s="119" t="str">
        <x:v>ART-705</x:v>
      </x:c>
      <x:c r="B1332" s="120" t="str">
        <x:v>Artifact to Guard</x:v>
      </x:c>
      <x:c r="C1332" s="120" t="str">
        <x:v>Artifacts, Relics, Weapons &amp; Vehicles</x:v>
      </x:c>
      <x:c r="D1332" s="120" t="str">
        <x:v>ART-700</x:v>
      </x:c>
      <x:c r="E1332" s="120" t="str">
        <x:f>IF(D1332="","",IFERROR(VLOOKUP(D1332,$A$2:$B$1656,2,FALSE),""))</x:f>
        <x:v>Artifacts by Narrative Function</x:v>
      </x:c>
      <x:c r="F1332" s="120" t="n">
        <x:v>3</x:v>
      </x:c>
      <x:c r="G1332" s="120" t="str">
        <x:v>An object whose protection, concealment, custody, or controlled succession structures an institution or conflict.</x:v>
      </x:c>
      <x:c r="H1332" s="120" t="str">
        <x:v>Guardianship may create obligation and political power.</x:v>
      </x:c>
      <x:c r="I1332" s="120" t="str">
        <x:v>sealed weapon; sacred flame; royal archive</x:v>
      </x:c>
      <x:c r="J1332" s="120" t="str">
        <x:v>stewardship, siege, institutional continuity</x:v>
      </x:c>
      <x:c r="K1332" s="120" t="str">
        <x:v>guarded relic; entrusted artifact</x:v>
      </x:c>
      <x:c r="L1332" s="120" t="str">
        <x:v>Preserve source-specific terminology, metaphysics, ritual context, and cultural ownership; use this family for comparison, not as a claim of historical equivalence.</x:v>
      </x:c>
      <x:c r="M1332" s="120" t="str">
        <x:v>Framework core</x:v>
      </x:c>
    </x:row>
    <x:row r="1333" ht="44" customHeight="1">
      <x:c r="A1333" s="119" t="str">
        <x:v>ART-706</x:v>
      </x:c>
      <x:c r="B1333" s="120" t="str">
        <x:v>Artifact of Temptation</x:v>
      </x:c>
      <x:c r="C1333" s="120" t="str">
        <x:v>Artifacts, Relics, Weapons &amp; Vehicles</x:v>
      </x:c>
      <x:c r="D1333" s="120" t="str">
        <x:v>ART-700</x:v>
      </x:c>
      <x:c r="E1333" s="120" t="str">
        <x:f>IF(D1333="","",IFERROR(VLOOKUP(D1333,$A$2:$B$1656,2,FALSE),""))</x:f>
        <x:v>Artifacts by Narrative Function</x:v>
      </x:c>
      <x:c r="F1333" s="120" t="n">
        <x:v>3</x:v>
      </x:c>
      <x:c r="G1333" s="120" t="str">
        <x:v>An object that offers power, knowledge, desire, safety, or legitimacy at a moral, bodily, social, or metaphysical cost.</x:v>
      </x:c>
      <x:c r="H1333" s="120" t="str">
        <x:v>Temptation can operate without the object being intrinsically evil.</x:v>
      </x:c>
      <x:c r="I1333" s="120" t="str">
        <x:v>forbidden fruit; corrupting ring; bargain gem</x:v>
      </x:c>
      <x:c r="J1333" s="120" t="str">
        <x:v>character testing, corruption, tragic choice</x:v>
      </x:c>
      <x:c r="K1333" s="120" t="str">
        <x:v>temptation object; forbidden relic</x:v>
      </x:c>
      <x:c r="L1333" s="120" t="str">
        <x:v>Preserve source-specific terminology, metaphysics, ritual context, and cultural ownership; use this family for comparison, not as a claim of historical equivalence.</x:v>
      </x:c>
      <x:c r="M1333" s="120" t="str">
        <x:v>Framework core</x:v>
      </x:c>
    </x:row>
    <x:row r="1334" ht="44" customHeight="1">
      <x:c r="A1334" s="119" t="str">
        <x:v>ART-707</x:v>
      </x:c>
      <x:c r="B1334" s="120" t="str">
        <x:v>Artifact of Succession</x:v>
      </x:c>
      <x:c r="C1334" s="120" t="str">
        <x:v>Artifacts, Relics, Weapons &amp; Vehicles</x:v>
      </x:c>
      <x:c r="D1334" s="120" t="str">
        <x:v>ART-700</x:v>
      </x:c>
      <x:c r="E1334" s="120" t="str">
        <x:f>IF(D1334="","",IFERROR(VLOOKUP(D1334,$A$2:$B$1656,2,FALSE),""))</x:f>
        <x:v>Artifacts by Narrative Function</x:v>
      </x:c>
      <x:c r="F1334" s="120" t="n">
        <x:v>3</x:v>
      </x:c>
      <x:c r="G1334" s="120" t="str">
        <x:v>An object whose possession, recognition, inheritance, or ritual presentation determines office or dynastic continuity.</x:v>
      </x:c>
      <x:c r="H1334" s="120" t="str">
        <x:v>It may overlap with regalia but is defined by transition of authority.</x:v>
      </x:c>
      <x:c r="I1334" s="120" t="str">
        <x:v>heirloom seal; royal sword; succession tablet</x:v>
      </x:c>
      <x:c r="J1334" s="120" t="str">
        <x:v>inheritance, legitimacy, civil conflict</x:v>
      </x:c>
      <x:c r="K1334" s="120" t="str">
        <x:v>succession relic; heir token</x:v>
      </x:c>
      <x:c r="L1334" s="120" t="str">
        <x:v>Preserve source-specific terminology, metaphysics, ritual context, and cultural ownership; use this family for comparison, not as a claim of historical equivalence.</x:v>
      </x:c>
      <x:c r="M1334" s="120" t="str">
        <x:v>Framework core</x:v>
      </x:c>
    </x:row>
    <x:row r="1335" ht="44" customHeight="1">
      <x:c r="A1335" s="119" t="str">
        <x:v>ART-708</x:v>
      </x:c>
      <x:c r="B1335" s="120" t="str">
        <x:v>Hidden or Buried Relic</x:v>
      </x:c>
      <x:c r="C1335" s="120" t="str">
        <x:v>Artifacts, Relics, Weapons &amp; Vehicles</x:v>
      </x:c>
      <x:c r="D1335" s="120" t="str">
        <x:v>ART-700</x:v>
      </x:c>
      <x:c r="E1335" s="120" t="str">
        <x:f>IF(D1335="","",IFERROR(VLOOKUP(D1335,$A$2:$B$1656,2,FALSE),""))</x:f>
        <x:v>Artifacts by Narrative Function</x:v>
      </x:c>
      <x:c r="F1335" s="120" t="n">
        <x:v>3</x:v>
      </x:c>
      <x:c r="G1335" s="120" t="str">
        <x:v>An object deliberately concealed, forgotten, entombed, submerged, or removed from ordinary access until rediscovery.</x:v>
      </x:c>
      <x:c r="H1335" s="120" t="str">
        <x:v>Hiddenness and recovery history shape its meaning.</x:v>
      </x:c>
      <x:c r="I1335" s="120" t="str">
        <x:v>buried weapon; sealed archive; sunken treasure</x:v>
      </x:c>
      <x:c r="J1335" s="120" t="str">
        <x:v>archaeology, awakening threat, lost history</x:v>
      </x:c>
      <x:c r="K1335" s="120" t="str">
        <x:v>lost relic; buried artifact</x:v>
      </x:c>
      <x:c r="L1335" s="120" t="str">
        <x:v>Preserve source-specific terminology, metaphysics, ritual context, and cultural ownership; use this family for comparison, not as a claim of historical equivalence.</x:v>
      </x:c>
      <x:c r="M1335" s="120" t="str">
        <x:v>Framework core</x:v>
      </x:c>
    </x:row>
    <x:row r="1336" ht="44" customHeight="1">
      <x:c r="A1336" s="119" t="str">
        <x:v>ART-709</x:v>
      </x:c>
      <x:c r="B1336" s="120" t="str">
        <x:v>Lost-Technology Artifact</x:v>
      </x:c>
      <x:c r="C1336" s="120" t="str">
        <x:v>Artifacts, Relics, Weapons &amp; Vehicles</x:v>
      </x:c>
      <x:c r="D1336" s="120" t="str">
        <x:v>ART-700</x:v>
      </x:c>
      <x:c r="E1336" s="120" t="str">
        <x:f>IF(D1336="","",IFERROR(VLOOKUP(D1336,$A$2:$B$1656,2,FALSE),""))</x:f>
        <x:v>Artifacts by Narrative Function</x:v>
      </x:c>
      <x:c r="F1336" s="120" t="n">
        <x:v>3</x:v>
      </x:c>
      <x:c r="G1336" s="120" t="str">
        <x:v>An object from a vanished, precursor, divine, or technologically superior culture whose manufacture is no longer understood.</x:v>
      </x:c>
      <x:c r="H1336" s="120" t="str">
        <x:v>Apparent magic may be technological, ritual, or hybrid; preserve source explanation.</x:v>
      </x:c>
      <x:c r="I1336" s="120" t="str">
        <x:v>ancient machine; precursor weapon; relic device</x:v>
      </x:c>
      <x:c r="J1336" s="120" t="str">
        <x:v>mystery, asymmetry, restoration, misuse</x:v>
      </x:c>
      <x:c r="K1336" s="120" t="str">
        <x:v>ancient technology; precursor artifact</x:v>
      </x:c>
      <x:c r="L1336" s="120" t="str">
        <x:v>Preserve source-specific terminology, metaphysics, ritual context, and cultural ownership; use this family for comparison, not as a claim of historical equivalence.</x:v>
      </x:c>
      <x:c r="M1336" s="120" t="str">
        <x:v>Framework core</x:v>
      </x:c>
    </x:row>
    <x:row r="1337" ht="44" customHeight="1">
      <x:c r="A1337" s="119" t="str">
        <x:v>ART-710</x:v>
      </x:c>
      <x:c r="B1337" s="120" t="str">
        <x:v>Sacrificial Artifact</x:v>
      </x:c>
      <x:c r="C1337" s="120" t="str">
        <x:v>Artifacts, Relics, Weapons &amp; Vehicles</x:v>
      </x:c>
      <x:c r="D1337" s="120" t="str">
        <x:v>ART-700</x:v>
      </x:c>
      <x:c r="E1337" s="120" t="str">
        <x:f>IF(D1337="","",IFERROR(VLOOKUP(D1337,$A$2:$B$1656,2,FALSE),""))</x:f>
        <x:v>Artifacts by Narrative Function</x:v>
      </x:c>
      <x:c r="F1337" s="120" t="n">
        <x:v>3</x:v>
      </x:c>
      <x:c r="G1337" s="120" t="str">
        <x:v>An object whose destruction, offering, surrender, or irreversible expenditure is required to gain an outcome or restore order.</x:v>
      </x:c>
      <x:c r="H1337" s="120" t="str">
        <x:v>The sacrifice concerns value, identity, memory, or power, not merely resource consumption.</x:v>
      </x:c>
      <x:c r="I1337" s="120" t="str">
        <x:v>broken crown; offered weapon; burned book</x:v>
      </x:c>
      <x:c r="J1337" s="120" t="str">
        <x:v>renunciation, cost, transformation</x:v>
      </x:c>
      <x:c r="K1337" s="120" t="str">
        <x:v>sacrificed relic; offered artifact</x:v>
      </x:c>
      <x:c r="L1337" s="120" t="str">
        <x:v>Preserve source-specific terminology, metaphysics, ritual context, and cultural ownership; use this family for comparison, not as a claim of historical equivalence.</x:v>
      </x:c>
      <x:c r="M1337" s="120" t="str">
        <x:v>Framework core</x:v>
      </x:c>
    </x:row>
    <x:row r="1338" ht="44" customHeight="1">
      <x:c r="A1338" s="119" t="str">
        <x:v>ART-711</x:v>
      </x:c>
      <x:c r="B1338" s="120" t="str">
        <x:v>Truth-Revealing Artifact</x:v>
      </x:c>
      <x:c r="C1338" s="120" t="str">
        <x:v>Artifacts, Relics, Weapons &amp; Vehicles</x:v>
      </x:c>
      <x:c r="D1338" s="120" t="str">
        <x:v>ART-700</x:v>
      </x:c>
      <x:c r="E1338" s="120" t="str">
        <x:f>IF(D1338="","",IFERROR(VLOOKUP(D1338,$A$2:$B$1656,2,FALSE),""))</x:f>
        <x:v>Artifacts by Narrative Function</x:v>
      </x:c>
      <x:c r="F1338" s="120" t="n">
        <x:v>3</x:v>
      </x:c>
      <x:c r="G1338" s="120" t="str">
        <x:v>An object that exposes lies, hidden nature, lineage, guilt, illusion, or inaccessible history.</x:v>
      </x:c>
      <x:c r="H1338" s="120" t="str">
        <x:v>Revelation may be selective, dangerous, or dependent on interpretation.</x:v>
      </x:c>
      <x:c r="I1338" s="120" t="str">
        <x:v>truth mirror; judging sword; memory stone</x:v>
      </x:c>
      <x:c r="J1338" s="120" t="str">
        <x:v>investigation, judgment, identity crisis</x:v>
      </x:c>
      <x:c r="K1338" s="120" t="str">
        <x:v>truth object; revelatory relic</x:v>
      </x:c>
      <x:c r="L1338" s="120" t="str">
        <x:v>Preserve source-specific terminology, metaphysics, ritual context, and cultural ownership; use this family for comparison, not as a claim of historical equivalence.</x:v>
      </x:c>
      <x:c r="M1338" s="120" t="str">
        <x:v>Framework core</x:v>
      </x:c>
    </x:row>
    <x:row r="1339" ht="44" customHeight="1">
      <x:c r="A1339" s="119" t="str">
        <x:v>ART-712</x:v>
      </x:c>
      <x:c r="B1339" s="120" t="str">
        <x:v>Price-Bearing Artifact</x:v>
      </x:c>
      <x:c r="C1339" s="120" t="str">
        <x:v>Artifacts, Relics, Weapons &amp; Vehicles</x:v>
      </x:c>
      <x:c r="D1339" s="120" t="str">
        <x:v>ART-700</x:v>
      </x:c>
      <x:c r="E1339" s="120" t="str">
        <x:f>IF(D1339="","",IFERROR(VLOOKUP(D1339,$A$2:$B$1656,2,FALSE),""))</x:f>
        <x:v>Artifacts by Narrative Function</x:v>
      </x:c>
      <x:c r="F1339" s="120" t="n">
        <x:v>3</x:v>
      </x:c>
      <x:c r="G1339" s="120" t="str">
        <x:v>An object whose use reliably exacts a specified cost in life, memory, years, identity, relationship, freedom, or future obligation.</x:v>
      </x:c>
      <x:c r="H1339" s="120" t="str">
        <x:v>A price is a rule of use, not simply a vague risk.</x:v>
      </x:c>
      <x:c r="I1339" s="120" t="str">
        <x:v>blood-cost weapon; memory book; debt token</x:v>
      </x:c>
      <x:c r="J1339" s="120" t="str">
        <x:v>resource tradeoff, tragedy, power ethics</x:v>
      </x:c>
      <x:c r="K1339" s="120" t="str">
        <x:v>costly artifact; price-bound relic</x:v>
      </x:c>
      <x:c r="L1339" s="120" t="str">
        <x:v>Preserve source-specific terminology, metaphysics, ritual context, and cultural ownership; use this family for comparison, not as a claim of historical equivalence.</x:v>
      </x:c>
      <x:c r="M1339" s="120" t="str">
        <x:v>Framework core</x:v>
      </x:c>
    </x:row>
    <x:row r="1340" ht="44" customHeight="1">
      <x:c r="A1340" s="119" t="str">
        <x:v>COS-000</x:v>
      </x:c>
      <x:c r="B1340" s="120" t="str">
        <x:v>Cosmologies, Realms &amp; Sacred Geography</x:v>
      </x:c>
      <x:c r="C1340" s="120" t="str">
        <x:v>Cosmologies, Realms &amp; Sacred Geography</x:v>
      </x:c>
      <x:c r="D1340" s="120"/>
      <x:c r="E1340" s="120" t="str">
        <x:f>IF(D1340="","",IFERROR(VLOOKUP(D1340,$A$2:$B$1656,2,FALSE),""))</x:f>
      </x:c>
      <x:c r="F1340" s="120" t="n">
        <x:v>1</x:v>
      </x:c>
      <x:c r="G1340" s="120" t="str">
        <x:v>Structures of the universe, layers of existence, afterlives, parallel domains, sacred places, boundaries, routes, and world-changing temporal or eschatological patterns.</x:v>
      </x:c>
      <x:c r="H1340" s="120" t="str">
        <x:v>A top-level analytical domain. Source records may link to several domains without being reduced to any one of them.</x:v>
      </x:c>
      <x:c r="I1340" s="120"/>
      <x:c r="J1340" s="120" t="str">
        <x:v>Provides a primary comparison axis for the database.</x:v>
      </x:c>
      <x:c r="K1340" s="120" t="str">
        <x:v>Cosmologies, Realms &amp; Sacred Geography</x:v>
      </x:c>
      <x:c r="L1340" s="120" t="str">
        <x:v>Preserve the source's own categories and avoid treating a comparative family as an indigenous or canonical taxonomy.</x:v>
      </x:c>
      <x:c r="M1340" s="120" t="str">
        <x:v>Domain Root</x:v>
      </x:c>
    </x:row>
    <x:row r="1341" ht="44" customHeight="1">
      <x:c r="A1341" s="119" t="str">
        <x:v>COS-100</x:v>
      </x:c>
      <x:c r="B1341" s="120" t="str">
        <x:v>Cosmic Structure &amp; Time</x:v>
      </x:c>
      <x:c r="C1341" s="120" t="str">
        <x:v>Cosmologies, Realms &amp; Sacred Geography</x:v>
      </x:c>
      <x:c r="D1341" s="120" t="str">
        <x:v>COS-000</x:v>
      </x:c>
      <x:c r="E1341" s="120" t="str">
        <x:f>IF(D1341="","",IFERROR(VLOOKUP(D1341,$A$2:$B$1656,2,FALSE),""))</x:f>
        <x:v>Cosmologies, Realms &amp; Sacred Geography</x:v>
      </x:c>
      <x:c r="F1341" s="120" t="n">
        <x:v>2</x:v>
      </x:c>
      <x:c r="G1341" s="120" t="str">
        <x:v>Large-scale arrangements of worlds, planes, elements, directions, time, creation, and metaphysical administration.</x:v>
      </x:c>
      <x:c r="H1341" s="120" t="str">
        <x:v>An organizing family rather than a source-native universal; classify a source concept at the narrowest defensible level.</x:v>
      </x:c>
      <x:c r="I1341" s="120"/>
      <x:c r="J1341" s="120" t="str">
        <x:v>Organizes source-specific records and normalized subfamilies.</x:v>
      </x:c>
      <x:c r="K1341" s="120" t="str">
        <x:v>Cosmic Structure &amp; Time</x:v>
      </x:c>
      <x:c r="L1341" s="120" t="str">
        <x:v>Preserve source-specific terminology, metaphysics, ritual context, and cultural ownership; use this family for comparison, not as a claim of historical equivalence.</x:v>
      </x:c>
      <x:c r="M1341" s="120" t="str">
        <x:v>Category</x:v>
      </x:c>
    </x:row>
    <x:row r="1342" ht="44" customHeight="1">
      <x:c r="A1342" s="119" t="str">
        <x:v>COS-200</x:v>
      </x:c>
      <x:c r="B1342" s="120" t="str">
        <x:v>Divine, Spirit &amp; Elemental Realms</x:v>
      </x:c>
      <x:c r="C1342" s="120" t="str">
        <x:v>Cosmologies, Realms &amp; Sacred Geography</x:v>
      </x:c>
      <x:c r="D1342" s="120" t="str">
        <x:v>COS-000</x:v>
      </x:c>
      <x:c r="E1342" s="120" t="str">
        <x:f>IF(D1342="","",IFERROR(VLOOKUP(D1342,$A$2:$B$1656,2,FALSE),""))</x:f>
        <x:v>Cosmologies, Realms &amp; Sacred Geography</x:v>
      </x:c>
      <x:c r="F1342" s="120" t="n">
        <x:v>2</x:v>
      </x:c>
      <x:c r="G1342" s="120" t="str">
        <x:v>Domains principally associated with gods, ancestors, spirits, nature powers, elements, dreams, or infernal beings.</x:v>
      </x:c>
      <x:c r="H1342" s="120" t="str">
        <x:v>An organizing family rather than a source-native universal; classify a source concept at the narrowest defensible level.</x:v>
      </x:c>
      <x:c r="I1342" s="120"/>
      <x:c r="J1342" s="120" t="str">
        <x:v>Organizes source-specific records and normalized subfamilies.</x:v>
      </x:c>
      <x:c r="K1342" s="120" t="str">
        <x:v>Divine, Spirit &amp; Elemental Realms</x:v>
      </x:c>
      <x:c r="L1342" s="120" t="str">
        <x:v>Preserve source-specific terminology, metaphysics, ritual context, and cultural ownership; use this family for comparison, not as a claim of historical equivalence.</x:v>
      </x:c>
      <x:c r="M1342" s="120" t="str">
        <x:v>Category</x:v>
      </x:c>
    </x:row>
    <x:row r="1343" ht="44" customHeight="1">
      <x:c r="A1343" s="119" t="str">
        <x:v>COS-300</x:v>
      </x:c>
      <x:c r="B1343" s="120" t="str">
        <x:v>Afterlives &amp; Underworlds</x:v>
      </x:c>
      <x:c r="C1343" s="120" t="str">
        <x:v>Cosmologies, Realms &amp; Sacred Geography</x:v>
      </x:c>
      <x:c r="D1343" s="120" t="str">
        <x:v>COS-000</x:v>
      </x:c>
      <x:c r="E1343" s="120" t="str">
        <x:f>IF(D1343="","",IFERROR(VLOOKUP(D1343,$A$2:$B$1656,2,FALSE),""))</x:f>
        <x:v>Cosmologies, Realms &amp; Sacred Geography</x:v>
      </x:c>
      <x:c r="F1343" s="120" t="n">
        <x:v>2</x:v>
      </x:c>
      <x:c r="G1343" s="120" t="str">
        <x:v>Destinations, processes, roads, judgments, communities, and return paths associated with death and postmortem existence.</x:v>
      </x:c>
      <x:c r="H1343" s="120" t="str">
        <x:v>An organizing family rather than a source-native universal; classify a source concept at the narrowest defensible level.</x:v>
      </x:c>
      <x:c r="I1343" s="120"/>
      <x:c r="J1343" s="120" t="str">
        <x:v>Organizes source-specific records and normalized subfamilies.</x:v>
      </x:c>
      <x:c r="K1343" s="120" t="str">
        <x:v>Afterlives &amp; Underworlds</x:v>
      </x:c>
      <x:c r="L1343" s="120" t="str">
        <x:v>Preserve source-specific terminology, metaphysics, ritual context, and cultural ownership; use this family for comparison, not as a claim of historical equivalence.</x:v>
      </x:c>
      <x:c r="M1343" s="120" t="str">
        <x:v>Category</x:v>
      </x:c>
    </x:row>
    <x:row r="1344" ht="44" customHeight="1">
      <x:c r="A1344" s="119" t="str">
        <x:v>COS-400</x:v>
      </x:c>
      <x:c r="B1344" s="120" t="str">
        <x:v>Liminal, Parallel &amp; Constructed Realms</x:v>
      </x:c>
      <x:c r="C1344" s="120" t="str">
        <x:v>Cosmologies, Realms &amp; Sacred Geography</x:v>
      </x:c>
      <x:c r="D1344" s="120" t="str">
        <x:v>COS-000</x:v>
      </x:c>
      <x:c r="E1344" s="120" t="str">
        <x:f>IF(D1344="","",IFERROR(VLOOKUP(D1344,$A$2:$B$1656,2,FALSE),""))</x:f>
        <x:v>Cosmologies, Realms &amp; Sacred Geography</x:v>
      </x:c>
      <x:c r="F1344" s="120" t="n">
        <x:v>2</x:v>
      </x:c>
      <x:c r="G1344" s="120" t="str">
        <x:v>Worlds alongside, between, within, or generated from ordinary reality, including dream, shadow, prison, pocket, and simulated domains.</x:v>
      </x:c>
      <x:c r="H1344" s="120" t="str">
        <x:v>An organizing family rather than a source-native universal; classify a source concept at the narrowest defensible level.</x:v>
      </x:c>
      <x:c r="I1344" s="120"/>
      <x:c r="J1344" s="120" t="str">
        <x:v>Organizes source-specific records and normalized subfamilies.</x:v>
      </x:c>
      <x:c r="K1344" s="120" t="str">
        <x:v>Liminal, Parallel &amp; Constructed Realms</x:v>
      </x:c>
      <x:c r="L1344" s="120" t="str">
        <x:v>Preserve source-specific terminology, metaphysics, ritual context, and cultural ownership; use this family for comparison, not as a claim of historical equivalence.</x:v>
      </x:c>
      <x:c r="M1344" s="120" t="str">
        <x:v>Category</x:v>
      </x:c>
    </x:row>
    <x:row r="1345" ht="44" customHeight="1">
      <x:c r="A1345" s="119" t="str">
        <x:v>COS-500</x:v>
      </x:c>
      <x:c r="B1345" s="120" t="str">
        <x:v>Sacred Geography &amp; World Anchors</x:v>
      </x:c>
      <x:c r="C1345" s="120" t="str">
        <x:v>Cosmologies, Realms &amp; Sacred Geography</x:v>
      </x:c>
      <x:c r="D1345" s="120" t="str">
        <x:v>COS-000</x:v>
      </x:c>
      <x:c r="E1345" s="120" t="str">
        <x:f>IF(D1345="","",IFERROR(VLOOKUP(D1345,$A$2:$B$1656,2,FALSE),""))</x:f>
        <x:v>Cosmologies, Realms &amp; Sacred Geography</x:v>
      </x:c>
      <x:c r="F1345" s="120" t="n">
        <x:v>2</x:v>
      </x:c>
      <x:c r="G1345" s="120" t="str">
        <x:v>Places whose religious, cosmological, ancestral, ecological, or world-structuring significance exceeds ordinary geography.</x:v>
      </x:c>
      <x:c r="H1345" s="120" t="str">
        <x:v>An organizing family rather than a source-native universal; classify a source concept at the narrowest defensible level.</x:v>
      </x:c>
      <x:c r="I1345" s="120"/>
      <x:c r="J1345" s="120" t="str">
        <x:v>Organizes source-specific records and normalized subfamilies.</x:v>
      </x:c>
      <x:c r="K1345" s="120" t="str">
        <x:v>Sacred Geography &amp; World Anchors</x:v>
      </x:c>
      <x:c r="L1345" s="120" t="str">
        <x:v>Preserve source-specific terminology, metaphysics, ritual context, and cultural ownership; use this family for comparison, not as a claim of historical equivalence.</x:v>
      </x:c>
      <x:c r="M1345" s="120" t="str">
        <x:v>Category</x:v>
      </x:c>
    </x:row>
    <x:row r="1346" ht="44" customHeight="1">
      <x:c r="A1346" s="119" t="str">
        <x:v>COS-600</x:v>
      </x:c>
      <x:c r="B1346" s="120" t="str">
        <x:v>Cosmological Boundaries &amp; Travel</x:v>
      </x:c>
      <x:c r="C1346" s="120" t="str">
        <x:v>Cosmologies, Realms &amp; Sacred Geography</x:v>
      </x:c>
      <x:c r="D1346" s="120" t="str">
        <x:v>COS-000</x:v>
      </x:c>
      <x:c r="E1346" s="120" t="str">
        <x:f>IF(D1346="","",IFERROR(VLOOKUP(D1346,$A$2:$B$1656,2,FALSE),""))</x:f>
        <x:v>Cosmologies, Realms &amp; Sacred Geography</x:v>
      </x:c>
      <x:c r="F1346" s="120" t="n">
        <x:v>2</x:v>
      </x:c>
      <x:c r="G1346" s="120" t="str">
        <x:v>Veils, gates, routes, ascents, descents, projections, and other ways that beings cross or fail to cross among realms.</x:v>
      </x:c>
      <x:c r="H1346" s="120" t="str">
        <x:v>An organizing family rather than a source-native universal; classify a source concept at the narrowest defensible level.</x:v>
      </x:c>
      <x:c r="I1346" s="120"/>
      <x:c r="J1346" s="120" t="str">
        <x:v>Organizes source-specific records and normalized subfamilies.</x:v>
      </x:c>
      <x:c r="K1346" s="120" t="str">
        <x:v>Cosmological Boundaries &amp; Travel</x:v>
      </x:c>
      <x:c r="L1346" s="120" t="str">
        <x:v>Preserve source-specific terminology, metaphysics, ritual context, and cultural ownership; use this family for comparison, not as a claim of historical equivalence.</x:v>
      </x:c>
      <x:c r="M1346" s="120" t="str">
        <x:v>Category</x:v>
      </x:c>
    </x:row>
    <x:row r="1347" ht="44" customHeight="1">
      <x:c r="A1347" s="119" t="str">
        <x:v>COS-700</x:v>
      </x:c>
      <x:c r="B1347" s="120" t="str">
        <x:v>Eschatology, Cycles &amp; World Change</x:v>
      </x:c>
      <x:c r="C1347" s="120" t="str">
        <x:v>Cosmologies, Realms &amp; Sacred Geography</x:v>
      </x:c>
      <x:c r="D1347" s="120" t="str">
        <x:v>COS-000</x:v>
      </x:c>
      <x:c r="E1347" s="120" t="str">
        <x:f>IF(D1347="","",IFERROR(VLOOKUP(D1347,$A$2:$B$1656,2,FALSE),""))</x:f>
        <x:v>Cosmologies, Realms &amp; Sacred Geography</x:v>
      </x:c>
      <x:c r="F1347" s="120" t="n">
        <x:v>2</x:v>
      </x:c>
      <x:c r="G1347" s="120" t="str">
        <x:v>Patterns governing decline, apocalypse, renewal, divine withdrawal, convergence, and transformations of the whole world order.</x:v>
      </x:c>
      <x:c r="H1347" s="120" t="str">
        <x:v>An organizing family rather than a source-native universal; classify a source concept at the narrowest defensible level.</x:v>
      </x:c>
      <x:c r="I1347" s="120"/>
      <x:c r="J1347" s="120" t="str">
        <x:v>Organizes source-specific records and normalized subfamilies.</x:v>
      </x:c>
      <x:c r="K1347" s="120" t="str">
        <x:v>Eschatology, Cycles &amp; World Change</x:v>
      </x:c>
      <x:c r="L1347" s="120" t="str">
        <x:v>Preserve source-specific terminology, metaphysics, ritual context, and cultural ownership; use this family for comparison, not as a claim of historical equivalence.</x:v>
      </x:c>
      <x:c r="M1347" s="120" t="str">
        <x:v>Category</x:v>
      </x:c>
    </x:row>
    <x:row r="1348" ht="44" customHeight="1">
      <x:c r="A1348" s="119" t="str">
        <x:v>COS-101</x:v>
      </x:c>
      <x:c r="B1348" s="120" t="str">
        <x:v>Layered Cosmos</x:v>
      </x:c>
      <x:c r="C1348" s="120" t="str">
        <x:v>Cosmologies, Realms &amp; Sacred Geography</x:v>
      </x:c>
      <x:c r="D1348" s="120" t="str">
        <x:v>COS-100</x:v>
      </x:c>
      <x:c r="E1348" s="120" t="str">
        <x:f>IF(D1348="","",IFERROR(VLOOKUP(D1348,$A$2:$B$1656,2,FALSE),""))</x:f>
        <x:v>Cosmic Structure &amp; Time</x:v>
      </x:c>
      <x:c r="F1348" s="120" t="n">
        <x:v>3</x:v>
      </x:c>
      <x:c r="G1348" s="120" t="str">
        <x:v>A universe organized into vertically, concentrically, morally, or ontologically ordered levels.</x:v>
      </x:c>
      <x:c r="H1348" s="120" t="str">
        <x:v>The number, hierarchy, and accessibility of layers are source-specific.</x:v>
      </x:c>
      <x:c r="I1348" s="120" t="str">
        <x:v>three worlds; nine realms; layered heavens</x:v>
      </x:c>
      <x:c r="J1348" s="120" t="str">
        <x:v>cosmic orientation, status, travel</x:v>
      </x:c>
      <x:c r="K1348" s="120" t="str">
        <x:v>layered universe; cosmic tiers</x:v>
      </x:c>
      <x:c r="L1348" s="120" t="str">
        <x:v>Preserve source-specific terminology, metaphysics, ritual context, and cultural ownership; use this family for comparison, not as a claim of historical equivalence.</x:v>
      </x:c>
      <x:c r="M1348" s="120" t="str">
        <x:v>Framework core</x:v>
      </x:c>
    </x:row>
    <x:row r="1349" ht="44" customHeight="1">
      <x:c r="A1349" s="119" t="str">
        <x:v>COS-102</x:v>
      </x:c>
      <x:c r="B1349" s="120" t="str">
        <x:v>Axis Mundi or World Axis</x:v>
      </x:c>
      <x:c r="C1349" s="120" t="str">
        <x:v>Cosmologies, Realms &amp; Sacred Geography</x:v>
      </x:c>
      <x:c r="D1349" s="120" t="str">
        <x:v>COS-100</x:v>
      </x:c>
      <x:c r="E1349" s="120" t="str">
        <x:f>IF(D1349="","",IFERROR(VLOOKUP(D1349,$A$2:$B$1656,2,FALSE),""))</x:f>
        <x:v>Cosmic Structure &amp; Time</x:v>
      </x:c>
      <x:c r="F1349" s="120" t="n">
        <x:v>3</x:v>
      </x:c>
      <x:c r="G1349" s="120" t="str">
        <x:v>A place, being, object, or line that links and organizes multiple cosmic levels or directions.</x:v>
      </x:c>
      <x:c r="H1349" s="120" t="str">
        <x:v>A world tree is one subtype; not every sacred center is a literal axis.</x:v>
      </x:c>
      <x:c r="I1349" s="120" t="str">
        <x:v>world tree; cosmic pillar; central mountain</x:v>
      </x:c>
      <x:c r="J1349" s="120" t="str">
        <x:v>realm connection, sacred center, orientation</x:v>
      </x:c>
      <x:c r="K1349" s="120" t="str">
        <x:v>axis mundi; world axis</x:v>
      </x:c>
      <x:c r="L1349" s="120" t="str">
        <x:v>Preserve source-specific terminology, metaphysics, ritual context, and cultural ownership; use this family for comparison, not as a claim of historical equivalence.</x:v>
      </x:c>
      <x:c r="M1349" s="120" t="str">
        <x:v>Framework core</x:v>
      </x:c>
    </x:row>
    <x:row r="1350" ht="44" customHeight="1">
      <x:c r="A1350" s="119" t="str">
        <x:v>COS-103</x:v>
      </x:c>
      <x:c r="B1350" s="120" t="str">
        <x:v>World Mountain Cosmology</x:v>
      </x:c>
      <x:c r="C1350" s="120" t="str">
        <x:v>Cosmologies, Realms &amp; Sacred Geography</x:v>
      </x:c>
      <x:c r="D1350" s="120" t="str">
        <x:v>COS-100</x:v>
      </x:c>
      <x:c r="E1350" s="120" t="str">
        <x:f>IF(D1350="","",IFERROR(VLOOKUP(D1350,$A$2:$B$1656,2,FALSE),""))</x:f>
        <x:v>Cosmic Structure &amp; Time</x:v>
      </x:c>
      <x:c r="F1350" s="120" t="n">
        <x:v>3</x:v>
      </x:c>
      <x:c r="G1350" s="120" t="str">
        <x:v>A cosmos centered on or structured by a primordial, sacred, or universal mountain.</x:v>
      </x:c>
      <x:c r="H1350" s="120" t="str">
        <x:v>Do not merge distinct world-mountain traditions merely because they share vertical imagery.</x:v>
      </x:c>
      <x:c r="I1350" s="120" t="str">
        <x:v>cosmic mountain; mountain of gods</x:v>
      </x:c>
      <x:c r="J1350" s="120" t="str">
        <x:v>center, ascent, divine residence</x:v>
      </x:c>
      <x:c r="K1350" s="120" t="str">
        <x:v>world mountain; cosmic peak</x:v>
      </x:c>
      <x:c r="L1350" s="120" t="str">
        <x:v>Preserve source-specific terminology, metaphysics, ritual context, and cultural ownership; use this family for comparison, not as a claim of historical equivalence.</x:v>
      </x:c>
      <x:c r="M1350" s="120" t="str">
        <x:v>Framework core</x:v>
      </x:c>
    </x:row>
    <x:row r="1351" ht="44" customHeight="1">
      <x:c r="A1351" s="119" t="str">
        <x:v>COS-104</x:v>
      </x:c>
      <x:c r="B1351" s="120" t="str">
        <x:v>Cosmic Ocean</x:v>
      </x:c>
      <x:c r="C1351" s="120" t="str">
        <x:v>Cosmologies, Realms &amp; Sacred Geography</x:v>
      </x:c>
      <x:c r="D1351" s="120" t="str">
        <x:v>COS-100</x:v>
      </x:c>
      <x:c r="E1351" s="120" t="str">
        <x:f>IF(D1351="","",IFERROR(VLOOKUP(D1351,$A$2:$B$1656,2,FALSE),""))</x:f>
        <x:v>Cosmic Structure &amp; Time</x:v>
      </x:c>
      <x:c r="F1351" s="120" t="n">
        <x:v>3</x:v>
      </x:c>
      <x:c r="G1351" s="120" t="str">
        <x:v>A primordial, encircling, celestial, subterranean, or inter-world ocean that structures creation and realm boundaries.</x:v>
      </x:c>
      <x:c r="H1351" s="120" t="str">
        <x:v>Its waters may be material, chaotic, divine, or symbolic; preserve the source model.</x:v>
      </x:c>
      <x:c r="I1351" s="120" t="str">
        <x:v>world sea; primeval waters; star ocean</x:v>
      </x:c>
      <x:c r="J1351" s="120" t="str">
        <x:v>creation, boundary, travel, dissolution</x:v>
      </x:c>
      <x:c r="K1351" s="120" t="str">
        <x:v>cosmic ocean; world sea</x:v>
      </x:c>
      <x:c r="L1351" s="120" t="str">
        <x:v>Preserve source-specific terminology, metaphysics, ritual context, and cultural ownership; use this family for comparison, not as a claim of historical equivalence.</x:v>
      </x:c>
      <x:c r="M1351" s="120" t="str">
        <x:v>Framework core</x:v>
      </x:c>
    </x:row>
    <x:row r="1352" ht="44" customHeight="1">
      <x:c r="A1352" s="119" t="str">
        <x:v>COS-105</x:v>
      </x:c>
      <x:c r="B1352" s="120" t="str">
        <x:v>Multiple Planes or Worlds</x:v>
      </x:c>
      <x:c r="C1352" s="120" t="str">
        <x:v>Cosmologies, Realms &amp; Sacred Geography</x:v>
      </x:c>
      <x:c r="D1352" s="120" t="str">
        <x:v>COS-100</x:v>
      </x:c>
      <x:c r="E1352" s="120" t="str">
        <x:f>IF(D1352="","",IFERROR(VLOOKUP(D1352,$A$2:$B$1656,2,FALSE),""))</x:f>
        <x:v>Cosmic Structure &amp; Time</x:v>
      </x:c>
      <x:c r="F1352" s="120" t="n">
        <x:v>3</x:v>
      </x:c>
      <x:c r="G1352" s="120" t="str">
        <x:v>A cosmology containing distinct coexisting domains with their own inhabitants, laws, materials, or causal conditions.</x:v>
      </x:c>
      <x:c r="H1352" s="120" t="str">
        <x:v>Difference need not imply hierarchy; do not default to a game-plane model.</x:v>
      </x:c>
      <x:c r="I1352" s="120" t="str">
        <x:v>planes; lokas; worlds; dimensions</x:v>
      </x:c>
      <x:c r="J1352" s="120" t="str">
        <x:v>worldbuilding, travel, metaphysical plurality</x:v>
      </x:c>
      <x:c r="K1352" s="120" t="str">
        <x:v>many worlds; planes</x:v>
      </x:c>
      <x:c r="L1352" s="120" t="str">
        <x:v>Preserve source-specific terminology, metaphysics, ritual context, and cultural ownership; use this family for comparison, not as a claim of historical equivalence.</x:v>
      </x:c>
      <x:c r="M1352" s="120" t="str">
        <x:v>Framework core</x:v>
      </x:c>
    </x:row>
    <x:row r="1353" ht="44" customHeight="1">
      <x:c r="A1353" s="119" t="str">
        <x:v>COS-106</x:v>
      </x:c>
      <x:c r="B1353" s="120" t="str">
        <x:v>Nested Worlds</x:v>
      </x:c>
      <x:c r="C1353" s="120" t="str">
        <x:v>Cosmologies, Realms &amp; Sacred Geography</x:v>
      </x:c>
      <x:c r="D1353" s="120" t="str">
        <x:v>COS-100</x:v>
      </x:c>
      <x:c r="E1353" s="120" t="str">
        <x:f>IF(D1353="","",IFERROR(VLOOKUP(D1353,$A$2:$B$1656,2,FALSE),""))</x:f>
        <x:v>Cosmic Structure &amp; Time</x:v>
      </x:c>
      <x:c r="F1353" s="120" t="n">
        <x:v>3</x:v>
      </x:c>
      <x:c r="G1353" s="120" t="str">
        <x:v>Worlds contained within other worlds, beings, objects, dreams, texts, or scales of reality.</x:v>
      </x:c>
      <x:c r="H1353" s="120" t="str">
        <x:v>Containment may be literal, visionary, recursive, or metaphysical.</x:v>
      </x:c>
      <x:c r="I1353" s="120" t="str">
        <x:v>world in a jewel; universe in a body</x:v>
      </x:c>
      <x:c r="J1353" s="120" t="str">
        <x:v>wonder, recursion, revelation</x:v>
      </x:c>
      <x:c r="K1353" s="120" t="str">
        <x:v>nested cosmos; world within world</x:v>
      </x:c>
      <x:c r="L1353" s="120" t="str">
        <x:v>Preserve source-specific terminology, metaphysics, ritual context, and cultural ownership; use this family for comparison, not as a claim of historical equivalence.</x:v>
      </x:c>
      <x:c r="M1353" s="120" t="str">
        <x:v>Framework core</x:v>
      </x:c>
    </x:row>
    <x:row r="1354" ht="44" customHeight="1">
      <x:c r="A1354" s="119" t="str">
        <x:v>COS-107</x:v>
      </x:c>
      <x:c r="B1354" s="120" t="str">
        <x:v>Microcosm–Macrocosm Correspondence</x:v>
      </x:c>
      <x:c r="C1354" s="120" t="str">
        <x:v>Cosmologies, Realms &amp; Sacred Geography</x:v>
      </x:c>
      <x:c r="D1354" s="120" t="str">
        <x:v>COS-100</x:v>
      </x:c>
      <x:c r="E1354" s="120" t="str">
        <x:f>IF(D1354="","",IFERROR(VLOOKUP(D1354,$A$2:$B$1656,2,FALSE),""))</x:f>
        <x:v>Cosmic Structure &amp; Time</x:v>
      </x:c>
      <x:c r="F1354" s="120" t="n">
        <x:v>3</x:v>
      </x:c>
      <x:c r="G1354" s="120" t="str">
        <x:v>A cosmology in which body, city, temple, ritual, or society mirrors and participates in the structure of the whole universe.</x:v>
      </x:c>
      <x:c r="H1354" s="120" t="str">
        <x:v>This is a relational principle, not simply visual resemblance.</x:v>
      </x:c>
      <x:c r="I1354" s="120" t="str">
        <x:v>body-as-cosmos; temple-as-world</x:v>
      </x:c>
      <x:c r="J1354" s="120" t="str">
        <x:v>ritual efficacy, healing, governance, symbolism</x:v>
      </x:c>
      <x:c r="K1354" s="120" t="str">
        <x:v>microcosm; macrocosm</x:v>
      </x:c>
      <x:c r="L1354" s="120" t="str">
        <x:v>Preserve source-specific terminology, metaphysics, ritual context, and cultural ownership; use this family for comparison, not as a claim of historical equivalence.</x:v>
      </x:c>
      <x:c r="M1354" s="120" t="str">
        <x:v>Framework core</x:v>
      </x:c>
    </x:row>
    <x:row r="1355" ht="44" customHeight="1">
      <x:c r="A1355" s="119" t="str">
        <x:v>COS-108</x:v>
      </x:c>
      <x:c r="B1355" s="120" t="str">
        <x:v>Directional Cosmology</x:v>
      </x:c>
      <x:c r="C1355" s="120" t="str">
        <x:v>Cosmologies, Realms &amp; Sacred Geography</x:v>
      </x:c>
      <x:c r="D1355" s="120" t="str">
        <x:v>COS-100</x:v>
      </x:c>
      <x:c r="E1355" s="120" t="str">
        <x:f>IF(D1355="","",IFERROR(VLOOKUP(D1355,$A$2:$B$1656,2,FALSE),""))</x:f>
        <x:v>Cosmic Structure &amp; Time</x:v>
      </x:c>
      <x:c r="F1355" s="120" t="n">
        <x:v>3</x:v>
      </x:c>
      <x:c r="G1355" s="120" t="str">
        <x:v>A universe ordered by cardinal, intercardinal, vertical, seasonal, elemental, or color-coded directions.</x:v>
      </x:c>
      <x:c r="H1355" s="120" t="str">
        <x:v>Directional associations are not universal and require source-specific mapping.</x:v>
      </x:c>
      <x:c r="I1355" s="120" t="str">
        <x:v>four quarters; eight directions; directional guardians</x:v>
      </x:c>
      <x:c r="J1355" s="120" t="str">
        <x:v>orientation, ritual layout, faction structure</x:v>
      </x:c>
      <x:c r="K1355" s="120" t="str">
        <x:v>cosmic directions; quarters</x:v>
      </x:c>
      <x:c r="L1355" s="120" t="str">
        <x:v>Preserve source-specific terminology, metaphysics, ritual context, and cultural ownership; use this family for comparison, not as a claim of historical equivalence.</x:v>
      </x:c>
      <x:c r="M1355" s="120" t="str">
        <x:v>Framework core</x:v>
      </x:c>
    </x:row>
    <x:row r="1356" ht="44" customHeight="1">
      <x:c r="A1356" s="119" t="str">
        <x:v>COS-109</x:v>
      </x:c>
      <x:c r="B1356" s="120" t="str">
        <x:v>Elemental Cosmology</x:v>
      </x:c>
      <x:c r="C1356" s="120" t="str">
        <x:v>Cosmologies, Realms &amp; Sacred Geography</x:v>
      </x:c>
      <x:c r="D1356" s="120" t="str">
        <x:v>COS-100</x:v>
      </x:c>
      <x:c r="E1356" s="120" t="str">
        <x:f>IF(D1356="","",IFERROR(VLOOKUP(D1356,$A$2:$B$1656,2,FALSE),""))</x:f>
        <x:v>Cosmic Structure &amp; Time</x:v>
      </x:c>
      <x:c r="F1356" s="120" t="n">
        <x:v>3</x:v>
      </x:c>
      <x:c r="G1356" s="120" t="str">
        <x:v>A universe whose substances, processes, beings, and transformations are organized through a set of elements or phases.</x:v>
      </x:c>
      <x:c r="H1356" s="120" t="str">
        <x:v>Element lists and their relationships vary; do not force all systems into classical four-element models.</x:v>
      </x:c>
      <x:c r="I1356" s="120" t="str">
        <x:v>four elements; five phases; elemental planes</x:v>
      </x:c>
      <x:c r="J1356" s="120" t="str">
        <x:v>magic logic, medicine, world structure</x:v>
      </x:c>
      <x:c r="K1356" s="120" t="str">
        <x:v>elemental cosmos; phases</x:v>
      </x:c>
      <x:c r="L1356" s="120" t="str">
        <x:v>Preserve source-specific terminology, metaphysics, ritual context, and cultural ownership; use this family for comparison, not as a claim of historical equivalence.</x:v>
      </x:c>
      <x:c r="M1356" s="120" t="str">
        <x:v>Framework core</x:v>
      </x:c>
    </x:row>
    <x:row r="1357" ht="44" customHeight="1">
      <x:c r="A1357" s="119" t="str">
        <x:v>COS-110</x:v>
      </x:c>
      <x:c r="B1357" s="120" t="str">
        <x:v>Moralized Cosmology</x:v>
      </x:c>
      <x:c r="C1357" s="120" t="str">
        <x:v>Cosmologies, Realms &amp; Sacred Geography</x:v>
      </x:c>
      <x:c r="D1357" s="120" t="str">
        <x:v>COS-100</x:v>
      </x:c>
      <x:c r="E1357" s="120" t="str">
        <x:f>IF(D1357="","",IFERROR(VLOOKUP(D1357,$A$2:$B$1656,2,FALSE),""))</x:f>
        <x:v>Cosmic Structure &amp; Time</x:v>
      </x:c>
      <x:c r="F1357" s="120" t="n">
        <x:v>3</x:v>
      </x:c>
      <x:c r="G1357" s="120" t="str">
        <x:v>A cosmos whose geography or state of existence reflects conduct, virtue, sin, merit, purity, or ethical orientation.</x:v>
      </x:c>
      <x:c r="H1357" s="120" t="str">
        <x:v>Moral geography may coexist with ritual, social, and metaphysical criteria that are not reducible to morality.</x:v>
      </x:c>
      <x:c r="I1357" s="120" t="str">
        <x:v>reward realm; polluted world; merit heavens</x:v>
      </x:c>
      <x:c r="J1357" s="120" t="str">
        <x:v>judgment, social order, consequence</x:v>
      </x:c>
      <x:c r="K1357" s="120" t="str">
        <x:v>moral cosmos; ethical geography</x:v>
      </x:c>
      <x:c r="L1357" s="120" t="str">
        <x:v>Preserve source-specific terminology, metaphysics, ritual context, and cultural ownership; use this family for comparison, not as a claim of historical equivalence.</x:v>
      </x:c>
      <x:c r="M1357" s="120" t="str">
        <x:v>Framework core</x:v>
      </x:c>
    </x:row>
    <x:row r="1358" ht="44" customHeight="1">
      <x:c r="A1358" s="119" t="str">
        <x:v>COS-111</x:v>
      </x:c>
      <x:c r="B1358" s="120" t="str">
        <x:v>Dream-Generated Cosmos</x:v>
      </x:c>
      <x:c r="C1358" s="120" t="str">
        <x:v>Cosmologies, Realms &amp; Sacred Geography</x:v>
      </x:c>
      <x:c r="D1358" s="120" t="str">
        <x:v>COS-100</x:v>
      </x:c>
      <x:c r="E1358" s="120" t="str">
        <x:f>IF(D1358="","",IFERROR(VLOOKUP(D1358,$A$2:$B$1656,2,FALSE),""))</x:f>
        <x:v>Cosmic Structure &amp; Time</x:v>
      </x:c>
      <x:c r="F1358" s="120" t="n">
        <x:v>3</x:v>
      </x:c>
      <x:c r="G1358" s="120" t="str">
        <x:v>A world created, sustained, altered, or revealed through the dream of a deity, sleeper, collective, or cosmic mind.</x:v>
      </x:c>
      <x:c r="H1358" s="120" t="str">
        <x:v>A dream realm visited by sleepers is different from a cosmos ontologically generated by dreaming.</x:v>
      </x:c>
      <x:c r="I1358" s="120" t="str">
        <x:v>god's dream; collective dreamworld</x:v>
      </x:c>
      <x:c r="J1358" s="120" t="str">
        <x:v>creation, instability, awakening threat</x:v>
      </x:c>
      <x:c r="K1358" s="120" t="str">
        <x:v>dream cosmos; dreamed world</x:v>
      </x:c>
      <x:c r="L1358" s="120" t="str">
        <x:v>Preserve source-specific terminology, metaphysics, ritual context, and cultural ownership; use this family for comparison, not as a claim of historical equivalence.</x:v>
      </x:c>
      <x:c r="M1358" s="120" t="str">
        <x:v>Framework core</x:v>
      </x:c>
    </x:row>
    <x:row r="1359" ht="44" customHeight="1">
      <x:c r="A1359" s="119" t="str">
        <x:v>COS-112</x:v>
      </x:c>
      <x:c r="B1359" s="120" t="str">
        <x:v>Cyclical Time</x:v>
      </x:c>
      <x:c r="C1359" s="120" t="str">
        <x:v>Cosmologies, Realms &amp; Sacred Geography</x:v>
      </x:c>
      <x:c r="D1359" s="120" t="str">
        <x:v>COS-100</x:v>
      </x:c>
      <x:c r="E1359" s="120" t="str">
        <x:f>IF(D1359="","",IFERROR(VLOOKUP(D1359,$A$2:$B$1656,2,FALSE),""))</x:f>
        <x:v>Cosmic Structure &amp; Time</x:v>
      </x:c>
      <x:c r="F1359" s="120" t="n">
        <x:v>3</x:v>
      </x:c>
      <x:c r="G1359" s="120" t="str">
        <x:v>A temporal order structured by repeating ages, seasons, destructions, rebirths, dynasties, or cosmic patterns.</x:v>
      </x:c>
      <x:c r="H1359" s="120" t="str">
        <x:v>Recurrence may preserve, reset, or transform events; distinguish exact repetition from patterned cycles.</x:v>
      </x:c>
      <x:c r="I1359" s="120" t="str">
        <x:v>cosmic ages; eternal recurrence; kalpa-like cycles</x:v>
      </x:c>
      <x:c r="J1359" s="120" t="str">
        <x:v>decline, renewal, prophecy, progression</x:v>
      </x:c>
      <x:c r="K1359" s="120" t="str">
        <x:v>cyclical time; world ages</x:v>
      </x:c>
      <x:c r="L1359" s="120" t="str">
        <x:v>Preserve source-specific terminology, metaphysics, ritual context, and cultural ownership; use this family for comparison, not as a claim of historical equivalence.</x:v>
      </x:c>
      <x:c r="M1359" s="120" t="str">
        <x:v>Framework core</x:v>
      </x:c>
    </x:row>
    <x:row r="1360" ht="44" customHeight="1">
      <x:c r="A1360" s="119" t="str">
        <x:v>COS-113</x:v>
      </x:c>
      <x:c r="B1360" s="120" t="str">
        <x:v>Linear Sacred History</x:v>
      </x:c>
      <x:c r="C1360" s="120" t="str">
        <x:v>Cosmologies, Realms &amp; Sacred Geography</x:v>
      </x:c>
      <x:c r="D1360" s="120" t="str">
        <x:v>COS-100</x:v>
      </x:c>
      <x:c r="E1360" s="120" t="str">
        <x:f>IF(D1360="","",IFERROR(VLOOKUP(D1360,$A$2:$B$1656,2,FALSE),""))</x:f>
        <x:v>Cosmic Structure &amp; Time</x:v>
      </x:c>
      <x:c r="F1360" s="120" t="n">
        <x:v>3</x:v>
      </x:c>
      <x:c r="G1360" s="120" t="str">
        <x:v>A temporal order moving from creation through revelation, covenant, decline, judgment, or final transformation toward a nonrepeating end.</x:v>
      </x:c>
      <x:c r="H1360" s="120" t="str">
        <x:v>Linear history may include local cycles without becoming cosmically cyclical.</x:v>
      </x:c>
      <x:c r="I1360" s="120" t="str">
        <x:v>creation-to-apocalypse history</x:v>
      </x:c>
      <x:c r="J1360" s="120" t="str">
        <x:v>teleology, prophecy, final judgment</x:v>
      </x:c>
      <x:c r="K1360" s="120" t="str">
        <x:v>sacred history; linear cosmos</x:v>
      </x:c>
      <x:c r="L1360" s="120" t="str">
        <x:v>Preserve source-specific terminology, metaphysics, ritual context, and cultural ownership; use this family for comparison, not as a claim of historical equivalence.</x:v>
      </x:c>
      <x:c r="M1360" s="120" t="str">
        <x:v>Framework core</x:v>
      </x:c>
    </x:row>
    <x:row r="1361" ht="44" customHeight="1">
      <x:c r="A1361" s="119" t="str">
        <x:v>COS-114</x:v>
      </x:c>
      <x:c r="B1361" s="120" t="str">
        <x:v>Creation from a Primordial Being</x:v>
      </x:c>
      <x:c r="C1361" s="120" t="str">
        <x:v>Cosmologies, Realms &amp; Sacred Geography</x:v>
      </x:c>
      <x:c r="D1361" s="120" t="str">
        <x:v>COS-100</x:v>
      </x:c>
      <x:c r="E1361" s="120" t="str">
        <x:f>IF(D1361="","",IFERROR(VLOOKUP(D1361,$A$2:$B$1656,2,FALSE),""))</x:f>
        <x:v>Cosmic Structure &amp; Time</x:v>
      </x:c>
      <x:c r="F1361" s="120" t="n">
        <x:v>3</x:v>
      </x:c>
      <x:c r="G1361" s="120" t="str">
        <x:v>A world formed from the body, sacrifice, division, dream, speech, or death of a primordial person or creature.</x:v>
      </x:c>
      <x:c r="H1361" s="120" t="str">
        <x:v>This family compares structural motifs, not the identity or theology of source-specific beings.</x:v>
      </x:c>
      <x:c r="I1361" s="120" t="str">
        <x:v>cosmic body; slain giant; primordial sacrifice</x:v>
      </x:c>
      <x:c r="J1361" s="120" t="str">
        <x:v>cosmogony, correspondence, sacred materials</x:v>
      </x:c>
      <x:c r="K1361" s="120" t="str">
        <x:v>primordial-body creation</x:v>
      </x:c>
      <x:c r="L1361" s="120" t="str">
        <x:v>Preserve source-specific terminology, metaphysics, ritual context, and cultural ownership; use this family for comparison, not as a claim of historical equivalence.</x:v>
      </x:c>
      <x:c r="M1361" s="120" t="str">
        <x:v>Framework core</x:v>
      </x:c>
    </x:row>
    <x:row r="1362" ht="44" customHeight="1">
      <x:c r="A1362" s="119" t="str">
        <x:v>COS-115</x:v>
      </x:c>
      <x:c r="B1362" s="120" t="str">
        <x:v>Creation from Chaos, Void, or Primordial Waters</x:v>
      </x:c>
      <x:c r="C1362" s="120" t="str">
        <x:v>Cosmologies, Realms &amp; Sacred Geography</x:v>
      </x:c>
      <x:c r="D1362" s="120" t="str">
        <x:v>COS-100</x:v>
      </x:c>
      <x:c r="E1362" s="120" t="str">
        <x:f>IF(D1362="","",IFERROR(VLOOKUP(D1362,$A$2:$B$1656,2,FALSE),""))</x:f>
        <x:v>Cosmic Structure &amp; Time</x:v>
      </x:c>
      <x:c r="F1362" s="120" t="n">
        <x:v>3</x:v>
      </x:c>
      <x:c r="G1362" s="120" t="str">
        <x:v>A cosmogony in which ordered reality emerges from undifferentiated emptiness, darkness, waters, mixture, or chaos.</x:v>
      </x:c>
      <x:c r="H1362" s="120" t="str">
        <x:v>The pre-creation state may be active, personal, material, or apophatic; do not flatten these distinctions.</x:v>
      </x:c>
      <x:c r="I1362" s="120" t="str">
        <x:v>void; chaos; abyss; primeval water</x:v>
      </x:c>
      <x:c r="J1362" s="120" t="str">
        <x:v>cosmogony, order-versus-chaos</x:v>
      </x:c>
      <x:c r="K1362" s="120" t="str">
        <x:v>creation from chaos; primordial void</x:v>
      </x:c>
      <x:c r="L1362" s="120" t="str">
        <x:v>Preserve source-specific terminology, metaphysics, ritual context, and cultural ownership; use this family for comparison, not as a claim of historical equivalence.</x:v>
      </x:c>
      <x:c r="M1362" s="120" t="str">
        <x:v>Framework core</x:v>
      </x:c>
    </x:row>
    <x:row r="1363" ht="44" customHeight="1">
      <x:c r="A1363" s="119" t="str">
        <x:v>COS-116</x:v>
      </x:c>
      <x:c r="B1363" s="120" t="str">
        <x:v>Creation by Word, Name, Song, or Thought</x:v>
      </x:c>
      <x:c r="C1363" s="120" t="str">
        <x:v>Cosmologies, Realms &amp; Sacred Geography</x:v>
      </x:c>
      <x:c r="D1363" s="120" t="str">
        <x:v>COS-100</x:v>
      </x:c>
      <x:c r="E1363" s="120" t="str">
        <x:f>IF(D1363="","",IFERROR(VLOOKUP(D1363,$A$2:$B$1656,2,FALSE),""))</x:f>
        <x:v>Cosmic Structure &amp; Time</x:v>
      </x:c>
      <x:c r="F1363" s="120" t="n">
        <x:v>3</x:v>
      </x:c>
      <x:c r="G1363" s="120" t="str">
        <x:v>A cosmogony in which utterance, naming, music, mental intention, or narrative articulation brings reality into being.</x:v>
      </x:c>
      <x:c r="H1363" s="120" t="str">
        <x:v>Do not assume all performative creation is the same as spellcasting.</x:v>
      </x:c>
      <x:c r="I1363" s="120" t="str">
        <x:v>creation song; divine word; naming creation</x:v>
      </x:c>
      <x:c r="J1363" s="120" t="str">
        <x:v>cosmogony, language power, artistic metaphysics</x:v>
      </x:c>
      <x:c r="K1363" s="120" t="str">
        <x:v>spoken creation; sung world</x:v>
      </x:c>
      <x:c r="L1363" s="120" t="str">
        <x:v>Preserve source-specific terminology, metaphysics, ritual context, and cultural ownership; use this family for comparison, not as a claim of historical equivalence.</x:v>
      </x:c>
      <x:c r="M1363" s="120" t="str">
        <x:v>Framework core</x:v>
      </x:c>
    </x:row>
    <x:row r="1364" ht="44" customHeight="1">
      <x:c r="A1364" s="119" t="str">
        <x:v>COS-117</x:v>
      </x:c>
      <x:c r="B1364" s="120" t="str">
        <x:v>Creation by Craft, Birth, or Conflict</x:v>
      </x:c>
      <x:c r="C1364" s="120" t="str">
        <x:v>Cosmologies, Realms &amp; Sacred Geography</x:v>
      </x:c>
      <x:c r="D1364" s="120" t="str">
        <x:v>COS-100</x:v>
      </x:c>
      <x:c r="E1364" s="120" t="str">
        <x:f>IF(D1364="","",IFERROR(VLOOKUP(D1364,$A$2:$B$1656,2,FALSE),""))</x:f>
        <x:v>Cosmic Structure &amp; Time</x:v>
      </x:c>
      <x:c r="F1364" s="120" t="n">
        <x:v>3</x:v>
      </x:c>
      <x:c r="G1364" s="120" t="str">
        <x:v>A cosmogony organized through fabrication, generation, sexual reproduction, contest, dismemberment, or victory over prior beings.</x:v>
      </x:c>
      <x:c r="H1364" s="120" t="str">
        <x:v>These mechanisms may coexist and should be separately recorded in source entries.</x:v>
      </x:c>
      <x:c r="I1364" s="120" t="str">
        <x:v>divine smithing; cosmic birth; dragon combat</x:v>
      </x:c>
      <x:c r="J1364" s="120" t="str">
        <x:v>cosmogony, divine genealogy, legitimation</x:v>
      </x:c>
      <x:c r="K1364" s="120" t="str">
        <x:v>crafted world; conflict creation</x:v>
      </x:c>
      <x:c r="L1364" s="120" t="str">
        <x:v>Preserve source-specific terminology, metaphysics, ritual context, and cultural ownership; use this family for comparison, not as a claim of historical equivalence.</x:v>
      </x:c>
      <x:c r="M1364" s="120" t="str">
        <x:v>Framework core</x:v>
      </x:c>
    </x:row>
    <x:row r="1365" ht="44" customHeight="1">
      <x:c r="A1365" s="119" t="str">
        <x:v>COS-118</x:v>
      </x:c>
      <x:c r="B1365" s="120" t="str">
        <x:v>Repeating Creation and Destruction</x:v>
      </x:c>
      <x:c r="C1365" s="120" t="str">
        <x:v>Cosmologies, Realms &amp; Sacred Geography</x:v>
      </x:c>
      <x:c r="D1365" s="120" t="str">
        <x:v>COS-100</x:v>
      </x:c>
      <x:c r="E1365" s="120" t="str">
        <x:f>IF(D1365="","",IFERROR(VLOOKUP(D1365,$A$2:$B$1656,2,FALSE),""))</x:f>
        <x:v>Cosmic Structure &amp; Time</x:v>
      </x:c>
      <x:c r="F1365" s="120" t="n">
        <x:v>3</x:v>
      </x:c>
      <x:c r="G1365" s="120" t="str">
        <x:v>A cosmos repeatedly manifested, dissolved, destroyed, and renewed over vast cycles.</x:v>
      </x:c>
      <x:c r="H1365" s="120" t="str">
        <x:v>This differs from seasonal recurrence by total or near-total world reconstitution.</x:v>
      </x:c>
      <x:c r="I1365" s="120" t="str">
        <x:v>world dissolution; successive creations</x:v>
      </x:c>
      <x:c r="J1365" s="120" t="str">
        <x:v>cosmic scale, fatalism, renewal</x:v>
      </x:c>
      <x:c r="K1365" s="120" t="str">
        <x:v>cyclic creation; world dissolution</x:v>
      </x:c>
      <x:c r="L1365" s="120" t="str">
        <x:v>Preserve source-specific terminology, metaphysics, ritual context, and cultural ownership; use this family for comparison, not as a claim of historical equivalence.</x:v>
      </x:c>
      <x:c r="M1365" s="120" t="str">
        <x:v>Framework core</x:v>
      </x:c>
    </x:row>
    <x:row r="1366" ht="44" customHeight="1">
      <x:c r="A1366" s="119" t="str">
        <x:v>COS-119</x:v>
      </x:c>
      <x:c r="B1366" s="120" t="str">
        <x:v>Cosmic Bureaucracy</x:v>
      </x:c>
      <x:c r="C1366" s="120" t="str">
        <x:v>Cosmologies, Realms &amp; Sacred Geography</x:v>
      </x:c>
      <x:c r="D1366" s="120" t="str">
        <x:v>COS-100</x:v>
      </x:c>
      <x:c r="E1366" s="120" t="str">
        <x:f>IF(D1366="","",IFERROR(VLOOKUP(D1366,$A$2:$B$1656,2,FALSE),""))</x:f>
        <x:v>Cosmic Structure &amp; Time</x:v>
      </x:c>
      <x:c r="F1366" s="120" t="n">
        <x:v>3</x:v>
      </x:c>
      <x:c r="G1366" s="120" t="str">
        <x:v>A universe administered through ranked offices, registries, courts, ministries, messengers, inspectors, and jurisdictional rules.</x:v>
      </x:c>
      <x:c r="H1366" s="120" t="str">
        <x:v>The bureaucratic metaphor may be theological, satirical, ritual, or game-mechanical; preserve the context.</x:v>
      </x:c>
      <x:c r="I1366" s="120" t="str">
        <x:v>celestial ministries; divine court; spirit officials</x:v>
      </x:c>
      <x:c r="J1366" s="120" t="str">
        <x:v>administration, petitions, judgment, comedy</x:v>
      </x:c>
      <x:c r="K1366" s="120" t="str">
        <x:v>heavenly bureaucracy; cosmic administration</x:v>
      </x:c>
      <x:c r="L1366" s="120" t="str">
        <x:v>Preserve source-specific terminology, metaphysics, ritual context, and cultural ownership; use this family for comparison, not as a claim of historical equivalence.</x:v>
      </x:c>
      <x:c r="M1366" s="120" t="str">
        <x:v>Framework core</x:v>
      </x:c>
    </x:row>
    <x:row r="1367" ht="44" customHeight="1">
      <x:c r="A1367" s="119" t="str">
        <x:v>COS-120</x:v>
      </x:c>
      <x:c r="B1367" s="120" t="str">
        <x:v>Plural or Competing Cosmologies</x:v>
      </x:c>
      <x:c r="C1367" s="120" t="str">
        <x:v>Cosmologies, Realms &amp; Sacred Geography</x:v>
      </x:c>
      <x:c r="D1367" s="120" t="str">
        <x:v>COS-100</x:v>
      </x:c>
      <x:c r="E1367" s="120" t="str">
        <x:f>IF(D1367="","",IFERROR(VLOOKUP(D1367,$A$2:$B$1656,2,FALSE),""))</x:f>
        <x:v>Cosmic Structure &amp; Time</x:v>
      </x:c>
      <x:c r="F1367" s="120" t="n">
        <x:v>3</x:v>
      </x:c>
      <x:c r="G1367" s="120" t="str">
        <x:v>A setting in which multiple incompatible or partially compatible accounts of reality operate, compete, or remain unresolved.</x:v>
      </x:c>
      <x:c r="H1367" s="120" t="str">
        <x:v>Authorial ambiguity and in-world belief should not be mistaken for a single settled system.</x:v>
      </x:c>
      <x:c r="I1367" s="120" t="str">
        <x:v>rival creation myths; overlapping planes</x:v>
      </x:c>
      <x:c r="J1367" s="120" t="str">
        <x:v>epistemic pluralism, conflict, mystery</x:v>
      </x:c>
      <x:c r="K1367" s="120" t="str">
        <x:v>contested cosmology; multiple truths</x:v>
      </x:c>
      <x:c r="L1367" s="120" t="str">
        <x:v>Preserve source-specific terminology, metaphysics, ritual context, and cultural ownership; use this family for comparison, not as a claim of historical equivalence.</x:v>
      </x:c>
      <x:c r="M1367" s="120" t="str">
        <x:v>Framework core</x:v>
      </x:c>
    </x:row>
    <x:row r="1368" ht="44" customHeight="1">
      <x:c r="A1368" s="119" t="str">
        <x:v>COS-201</x:v>
      </x:c>
      <x:c r="B1368" s="120" t="str">
        <x:v>Celestial Realm or Heaven</x:v>
      </x:c>
      <x:c r="C1368" s="120" t="str">
        <x:v>Cosmologies, Realms &amp; Sacred Geography</x:v>
      </x:c>
      <x:c r="D1368" s="120" t="str">
        <x:v>COS-200</x:v>
      </x:c>
      <x:c r="E1368" s="120" t="str">
        <x:f>IF(D1368="","",IFERROR(VLOOKUP(D1368,$A$2:$B$1656,2,FALSE),""))</x:f>
        <x:v>Divine, Spirit &amp; Elemental Realms</x:v>
      </x:c>
      <x:c r="F1368" s="120" t="n">
        <x:v>3</x:v>
      </x:c>
      <x:c r="G1368" s="120" t="str">
        <x:v>A domain associated with divine beings, elevated states, reward, celestial order, or luminous existence.</x:v>
      </x:c>
      <x:c r="H1368" s="120" t="str">
        <x:v>Heaven may be one realm among many and is not always an eternal final afterlife.</x:v>
      </x:c>
      <x:c r="I1368" s="120" t="str">
        <x:v>sky heaven; divine city; paradise realm</x:v>
      </x:c>
      <x:c r="J1368" s="120" t="str">
        <x:v>divine residence, reward, ascent</x:v>
      </x:c>
      <x:c r="K1368" s="120" t="str">
        <x:v>heaven; celestial realm</x:v>
      </x:c>
      <x:c r="L1368" s="120" t="str">
        <x:v>Preserve source-specific terminology, metaphysics, ritual context, and cultural ownership; use this family for comparison, not as a claim of historical equivalence.</x:v>
      </x:c>
      <x:c r="M1368" s="120" t="str">
        <x:v>Framework core</x:v>
      </x:c>
    </x:row>
    <x:row r="1369" ht="44" customHeight="1">
      <x:c r="A1369" s="119" t="str">
        <x:v>COS-202</x:v>
      </x:c>
      <x:c r="B1369" s="120" t="str">
        <x:v>Divine Court</x:v>
      </x:c>
      <x:c r="C1369" s="120" t="str">
        <x:v>Cosmologies, Realms &amp; Sacred Geography</x:v>
      </x:c>
      <x:c r="D1369" s="120" t="str">
        <x:v>COS-200</x:v>
      </x:c>
      <x:c r="E1369" s="120" t="str">
        <x:f>IF(D1369="","",IFERROR(VLOOKUP(D1369,$A$2:$B$1656,2,FALSE),""))</x:f>
        <x:v>Divine, Spirit &amp; Elemental Realms</x:v>
      </x:c>
      <x:c r="F1369" s="120" t="n">
        <x:v>3</x:v>
      </x:c>
      <x:c r="G1369" s="120" t="str">
        <x:v>A spatial and institutional realm where gods, divine officials, ancestors, or cosmic powers assemble and govern.</x:v>
      </x:c>
      <x:c r="H1369" s="120" t="str">
        <x:v>A divine court is both a place and an institution; link both domains where appropriate.</x:v>
      </x:c>
      <x:c r="I1369" s="120" t="str">
        <x:v>hall of gods; celestial palace; council realm</x:v>
      </x:c>
      <x:c r="J1369" s="120" t="str">
        <x:v>governance, judgment, petitions, intrigue</x:v>
      </x:c>
      <x:c r="K1369" s="120" t="str">
        <x:v>divine court; heavenly palace</x:v>
      </x:c>
      <x:c r="L1369" s="120" t="str">
        <x:v>Preserve source-specific terminology, metaphysics, ritual context, and cultural ownership; use this family for comparison, not as a claim of historical equivalence.</x:v>
      </x:c>
      <x:c r="M1369" s="120" t="str">
        <x:v>Framework core</x:v>
      </x:c>
    </x:row>
    <x:row r="1370" ht="44" customHeight="1">
      <x:c r="A1370" s="119" t="str">
        <x:v>COS-203</x:v>
      </x:c>
      <x:c r="B1370" s="120" t="str">
        <x:v>Spirit World</x:v>
      </x:c>
      <x:c r="C1370" s="120" t="str">
        <x:v>Cosmologies, Realms &amp; Sacred Geography</x:v>
      </x:c>
      <x:c r="D1370" s="120" t="str">
        <x:v>COS-200</x:v>
      </x:c>
      <x:c r="E1370" s="120" t="str">
        <x:f>IF(D1370="","",IFERROR(VLOOKUP(D1370,$A$2:$B$1656,2,FALSE),""))</x:f>
        <x:v>Divine, Spirit &amp; Elemental Realms</x:v>
      </x:c>
      <x:c r="F1370" s="120" t="n">
        <x:v>3</x:v>
      </x:c>
      <x:c r="G1370" s="120" t="str">
        <x:v>A domain principally inhabited by spirits, souls, nonhuman persons, or subtle forms that overlaps or contrasts with the mortal world.</x:v>
      </x:c>
      <x:c r="H1370" s="120" t="str">
        <x:v>Do not treat all source-specific spirit domains as one uniform plane.</x:v>
      </x:c>
      <x:c r="I1370" s="120" t="str">
        <x:v>spirit realm; invisible world; other side</x:v>
      </x:c>
      <x:c r="J1370" s="120" t="str">
        <x:v>mediation, travel, ecology, ancestry</x:v>
      </x:c>
      <x:c r="K1370" s="120" t="str">
        <x:v>spirit world; unseen realm</x:v>
      </x:c>
      <x:c r="L1370" s="120" t="str">
        <x:v>Preserve source-specific terminology, metaphysics, ritual context, and cultural ownership; use this family for comparison, not as a claim of historical equivalence.</x:v>
      </x:c>
      <x:c r="M1370" s="120" t="str">
        <x:v>Framework core</x:v>
      </x:c>
    </x:row>
    <x:row r="1371" ht="44" customHeight="1">
      <x:c r="A1371" s="119" t="str">
        <x:v>COS-204</x:v>
      </x:c>
      <x:c r="B1371" s="120" t="str">
        <x:v>Ancestor Realm</x:v>
      </x:c>
      <x:c r="C1371" s="120" t="str">
        <x:v>Cosmologies, Realms &amp; Sacred Geography</x:v>
      </x:c>
      <x:c r="D1371" s="120" t="str">
        <x:v>COS-200</x:v>
      </x:c>
      <x:c r="E1371" s="120" t="str">
        <x:f>IF(D1371="","",IFERROR(VLOOKUP(D1371,$A$2:$B$1656,2,FALSE),""))</x:f>
        <x:v>Divine, Spirit &amp; Elemental Realms</x:v>
      </x:c>
      <x:c r="F1371" s="120" t="n">
        <x:v>3</x:v>
      </x:c>
      <x:c r="G1371" s="120" t="str">
        <x:v>A domain where ancestors continue social, ritual, protective, or juridical relationships with living descendants.</x:v>
      </x:c>
      <x:c r="H1371" s="120" t="str">
        <x:v>This is not merely a generic ghost plane; kinship and ritual reciprocity are central.</x:v>
      </x:c>
      <x:c r="I1371" s="120" t="str">
        <x:v>land of ancestors; ancestral village; pitṛ realm</x:v>
      </x:c>
      <x:c r="J1371" s="120" t="str">
        <x:v>continuity, counsel, obligation, identity</x:v>
      </x:c>
      <x:c r="K1371" s="120" t="str">
        <x:v>ancestor realm; ancestral world</x:v>
      </x:c>
      <x:c r="L1371" s="120" t="str">
        <x:v>Preserve source-specific terminology, metaphysics, ritual context, and cultural ownership; use this family for comparison, not as a claim of historical equivalence.</x:v>
      </x:c>
      <x:c r="M1371" s="120" t="str">
        <x:v>Framework core</x:v>
      </x:c>
    </x:row>
    <x:row r="1372" ht="44" customHeight="1">
      <x:c r="A1372" s="119" t="str">
        <x:v>COS-205</x:v>
      </x:c>
      <x:c r="B1372" s="120" t="str">
        <x:v>Elemental Realm</x:v>
      </x:c>
      <x:c r="C1372" s="120" t="str">
        <x:v>Cosmologies, Realms &amp; Sacred Geography</x:v>
      </x:c>
      <x:c r="D1372" s="120" t="str">
        <x:v>COS-200</x:v>
      </x:c>
      <x:c r="E1372" s="120" t="str">
        <x:f>IF(D1372="","",IFERROR(VLOOKUP(D1372,$A$2:$B$1656,2,FALSE),""))</x:f>
        <x:v>Divine, Spirit &amp; Elemental Realms</x:v>
      </x:c>
      <x:c r="F1372" s="120" t="n">
        <x:v>3</x:v>
      </x:c>
      <x:c r="G1372" s="120" t="str">
        <x:v>A domain primarily constituted by or inhabited through an element, phase, energy, or natural process.</x:v>
      </x:c>
      <x:c r="H1372" s="120" t="str">
        <x:v>The realm may be personified, ecological, or abstract; preserve the source ontology.</x:v>
      </x:c>
      <x:c r="I1372" s="120" t="str">
        <x:v>fire world; water plane; storm domain</x:v>
      </x:c>
      <x:c r="J1372" s="120" t="str">
        <x:v>elemental origin, travel, resource, hazard</x:v>
      </x:c>
      <x:c r="K1372" s="120" t="str">
        <x:v>elemental plane; elemental realm</x:v>
      </x:c>
      <x:c r="L1372" s="120" t="str">
        <x:v>Preserve source-specific terminology, metaphysics, ritual context, and cultural ownership; use this family for comparison, not as a claim of historical equivalence.</x:v>
      </x:c>
      <x:c r="M1372" s="120" t="str">
        <x:v>Framework core</x:v>
      </x:c>
    </x:row>
    <x:row r="1373" ht="44" customHeight="1">
      <x:c r="A1373" s="119" t="str">
        <x:v>COS-206</x:v>
      </x:c>
      <x:c r="B1373" s="120" t="str">
        <x:v>Nature or Green Realm</x:v>
      </x:c>
      <x:c r="C1373" s="120" t="str">
        <x:v>Cosmologies, Realms &amp; Sacred Geography</x:v>
      </x:c>
      <x:c r="D1373" s="120" t="str">
        <x:v>COS-200</x:v>
      </x:c>
      <x:c r="E1373" s="120" t="str">
        <x:f>IF(D1373="","",IFERROR(VLOOKUP(D1373,$A$2:$B$1656,2,FALSE),""))</x:f>
        <x:v>Divine, Spirit &amp; Elemental Realms</x:v>
      </x:c>
      <x:c r="F1373" s="120" t="n">
        <x:v>3</x:v>
      </x:c>
      <x:c r="G1373" s="120" t="str">
        <x:v>A domain embodying wilderness, growth, seasonal life, plants, animals, ecological memory, or nature spirits.</x:v>
      </x:c>
      <x:c r="H1373" s="120" t="str">
        <x:v>It is not automatically benevolent, pristine, or opposed to civilization.</x:v>
      </x:c>
      <x:c r="I1373" s="120" t="str">
        <x:v>green world; beast realm; forest otherworld</x:v>
      </x:c>
      <x:c r="J1373" s="120" t="str">
        <x:v>ecological power, refuge, threat, renewal</x:v>
      </x:c>
      <x:c r="K1373" s="120" t="str">
        <x:v>nature realm; green world</x:v>
      </x:c>
      <x:c r="L1373" s="120" t="str">
        <x:v>Preserve source-specific terminology, metaphysics, ritual context, and cultural ownership; use this family for comparison, not as a claim of historical equivalence.</x:v>
      </x:c>
      <x:c r="M1373" s="120" t="str">
        <x:v>Framework core</x:v>
      </x:c>
    </x:row>
    <x:row r="1374" ht="44" customHeight="1">
      <x:c r="A1374" s="119" t="str">
        <x:v>COS-207</x:v>
      </x:c>
      <x:c r="B1374" s="120" t="str">
        <x:v>Dream Realm</x:v>
      </x:c>
      <x:c r="C1374" s="120" t="str">
        <x:v>Cosmologies, Realms &amp; Sacred Geography</x:v>
      </x:c>
      <x:c r="D1374" s="120" t="str">
        <x:v>COS-200</x:v>
      </x:c>
      <x:c r="E1374" s="120" t="str">
        <x:f>IF(D1374="","",IFERROR(VLOOKUP(D1374,$A$2:$B$1656,2,FALSE),""))</x:f>
        <x:v>Divine, Spirit &amp; Elemental Realms</x:v>
      </x:c>
      <x:c r="F1374" s="120" t="n">
        <x:v>3</x:v>
      </x:c>
      <x:c r="G1374" s="120" t="str">
        <x:v>A domain entered through sleep, trance, imagination, prophecy, or altered consciousness where dream logic has operative reality.</x:v>
      </x:c>
      <x:c r="H1374" s="120" t="str">
        <x:v>Distinguish a visitable dream domain from a cosmos created by dreaming.</x:v>
      </x:c>
      <x:c r="I1374" s="120" t="str">
        <x:v>dreamscape; oneiric world; nightmare realm</x:v>
      </x:c>
      <x:c r="J1374" s="120" t="str">
        <x:v>revelation, healing, horror, travel</x:v>
      </x:c>
      <x:c r="K1374" s="120" t="str">
        <x:v>dream realm; dreamscape</x:v>
      </x:c>
      <x:c r="L1374" s="120" t="str">
        <x:v>Preserve source-specific terminology, metaphysics, ritual context, and cultural ownership; use this family for comparison, not as a claim of historical equivalence.</x:v>
      </x:c>
      <x:c r="M1374" s="120" t="str">
        <x:v>Framework core</x:v>
      </x:c>
    </x:row>
    <x:row r="1375" ht="44" customHeight="1">
      <x:c r="A1375" s="119" t="str">
        <x:v>COS-208</x:v>
      </x:c>
      <x:c r="B1375" s="120" t="str">
        <x:v>Realm of the Gods</x:v>
      </x:c>
      <x:c r="C1375" s="120" t="str">
        <x:v>Cosmologies, Realms &amp; Sacred Geography</x:v>
      </x:c>
      <x:c r="D1375" s="120" t="str">
        <x:v>COS-200</x:v>
      </x:c>
      <x:c r="E1375" s="120" t="str">
        <x:f>IF(D1375="","",IFERROR(VLOOKUP(D1375,$A$2:$B$1656,2,FALSE),""))</x:f>
        <x:v>Divine, Spirit &amp; Elemental Realms</x:v>
      </x:c>
      <x:c r="F1375" s="120" t="n">
        <x:v>3</x:v>
      </x:c>
      <x:c r="G1375" s="120" t="str">
        <x:v>A domain reserved for, generated by, or principally associated with a particular pantheon or class of divine beings.</x:v>
      </x:c>
      <x:c r="H1375" s="120" t="str">
        <x:v>It may overlap with heaven but need not be a moral reward realm.</x:v>
      </x:c>
      <x:c r="I1375" s="120" t="str">
        <x:v>Olympian-like realm; god world</x:v>
      </x:c>
      <x:c r="J1375" s="120" t="str">
        <x:v>divine politics, origin, quest access</x:v>
      </x:c>
      <x:c r="K1375" s="120" t="str">
        <x:v>realm of gods; divine world</x:v>
      </x:c>
      <x:c r="L1375" s="120" t="str">
        <x:v>Preserve source-specific terminology, metaphysics, ritual context, and cultural ownership; use this family for comparison, not as a claim of historical equivalence.</x:v>
      </x:c>
      <x:c r="M1375" s="120" t="str">
        <x:v>Framework core</x:v>
      </x:c>
    </x:row>
    <x:row r="1376" ht="44" customHeight="1">
      <x:c r="A1376" s="119" t="str">
        <x:v>COS-209</x:v>
      </x:c>
      <x:c r="B1376" s="120" t="str">
        <x:v>Astral or Celestial Expanse</x:v>
      </x:c>
      <x:c r="C1376" s="120" t="str">
        <x:v>Cosmologies, Realms &amp; Sacred Geography</x:v>
      </x:c>
      <x:c r="D1376" s="120" t="str">
        <x:v>COS-200</x:v>
      </x:c>
      <x:c r="E1376" s="120" t="str">
        <x:f>IF(D1376="","",IFERROR(VLOOKUP(D1376,$A$2:$B$1656,2,FALSE),""))</x:f>
        <x:v>Divine, Spirit &amp; Elemental Realms</x:v>
      </x:c>
      <x:c r="F1376" s="120" t="n">
        <x:v>3</x:v>
      </x:c>
      <x:c r="G1376" s="120" t="str">
        <x:v>A nonordinary medium of stars, souls, thought, light, or emptiness through which realms or distant places are traversed.</x:v>
      </x:c>
      <x:c r="H1376" s="120" t="str">
        <x:v>Its physics and metaphysics vary widely; do not default to any one tabletop model.</x:v>
      </x:c>
      <x:c r="I1376" s="120" t="str">
        <x:v>astral sea; star road; celestial void</x:v>
      </x:c>
      <x:c r="J1376" s="120" t="str">
        <x:v>travel, projection, cosmic encounter</x:v>
      </x:c>
      <x:c r="K1376" s="120" t="str">
        <x:v>astral realm; star sea</x:v>
      </x:c>
      <x:c r="L1376" s="120" t="str">
        <x:v>Preserve source-specific terminology, metaphysics, ritual context, and cultural ownership; use this family for comparison, not as a claim of historical equivalence.</x:v>
      </x:c>
      <x:c r="M1376" s="120" t="str">
        <x:v>Framework core</x:v>
      </x:c>
    </x:row>
    <x:row r="1377" ht="44" customHeight="1">
      <x:c r="A1377" s="119" t="str">
        <x:v>COS-210</x:v>
      </x:c>
      <x:c r="B1377" s="120" t="str">
        <x:v>Infernal or Demonic Realm</x:v>
      </x:c>
      <x:c r="C1377" s="120" t="str">
        <x:v>Cosmologies, Realms &amp; Sacred Geography</x:v>
      </x:c>
      <x:c r="D1377" s="120" t="str">
        <x:v>COS-200</x:v>
      </x:c>
      <x:c r="E1377" s="120" t="str">
        <x:f>IF(D1377="","",IFERROR(VLOOKUP(D1377,$A$2:$B$1656,2,FALSE),""))</x:f>
        <x:v>Divine, Spirit &amp; Elemental Realms</x:v>
      </x:c>
      <x:c r="F1377" s="120" t="n">
        <x:v>3</x:v>
      </x:c>
      <x:c r="G1377" s="120" t="str">
        <x:v>A domain associated with destructive, adversarial, punitive, corruptive, or demonized beings and forces.</x:v>
      </x:c>
      <x:c r="H1377" s="120" t="str">
        <x:v>Do not assume source beings labeled 'demon' inhabit a Christian-style hell or are morally uniform.</x:v>
      </x:c>
      <x:c r="I1377" s="120" t="str">
        <x:v>hell realm; demon world; abyss</x:v>
      </x:c>
      <x:c r="J1377" s="120" t="str">
        <x:v>threat, punishment, invasion, temptation</x:v>
      </x:c>
      <x:c r="K1377" s="120" t="str">
        <x:v>infernal realm; demon plane</x:v>
      </x:c>
      <x:c r="L1377" s="120" t="str">
        <x:v>Preserve source-specific terminology, metaphysics, ritual context, and cultural ownership; use this family for comparison, not as a claim of historical equivalence.</x:v>
      </x:c>
      <x:c r="M1377" s="120" t="str">
        <x:v>Framework core</x:v>
      </x:c>
    </x:row>
    <x:row r="1378" ht="44" customHeight="1">
      <x:c r="A1378" s="119" t="str">
        <x:v>COS-211</x:v>
      </x:c>
      <x:c r="B1378" s="120" t="str">
        <x:v>Faerie or Otherworld Realm</x:v>
      </x:c>
      <x:c r="C1378" s="120" t="str">
        <x:v>Cosmologies, Realms &amp; Sacred Geography</x:v>
      </x:c>
      <x:c r="D1378" s="120" t="str">
        <x:v>COS-200</x:v>
      </x:c>
      <x:c r="E1378" s="120" t="str">
        <x:f>IF(D1378="","",IFERROR(VLOOKUP(D1378,$A$2:$B$1656,2,FALSE),""))</x:f>
        <x:v>Divine, Spirit &amp; Elemental Realms</x:v>
      </x:c>
      <x:c r="F1378" s="120" t="n">
        <x:v>3</x:v>
      </x:c>
      <x:c r="G1378" s="120" t="str">
        <x:v>A liminal nonhuman realm characterized by altered time, beauty, danger, reciprocity, taboo, or unstable boundaries with the mortal world.</x:v>
      </x:c>
      <x:c r="H1378" s="120" t="str">
        <x:v>Use as a comparative family, not a synonym for culturally specific otherworlds.</x:v>
      </x:c>
      <x:c r="I1378" s="120" t="str">
        <x:v>fairyland; síd realm; enchanted otherworld</x:v>
      </x:c>
      <x:c r="J1378" s="120" t="str">
        <x:v>encounter, abduction, gift exchange, time distortion</x:v>
      </x:c>
      <x:c r="K1378" s="120" t="str">
        <x:v>faerie realm; otherworld</x:v>
      </x:c>
      <x:c r="L1378" s="120" t="str">
        <x:v>Preserve source-specific terminology, metaphysics, ritual context, and cultural ownership; use this family for comparison, not as a claim of historical equivalence.</x:v>
      </x:c>
      <x:c r="M1378" s="120" t="str">
        <x:v>Framework core</x:v>
      </x:c>
    </x:row>
    <x:row r="1379" ht="44" customHeight="1">
      <x:c r="A1379" s="119" t="str">
        <x:v>COS-212</x:v>
      </x:c>
      <x:c r="B1379" s="120" t="str">
        <x:v>Realm of Memory</x:v>
      </x:c>
      <x:c r="C1379" s="120" t="str">
        <x:v>Cosmologies, Realms &amp; Sacred Geography</x:v>
      </x:c>
      <x:c r="D1379" s="120" t="str">
        <x:v>COS-200</x:v>
      </x:c>
      <x:c r="E1379" s="120" t="str">
        <x:f>IF(D1379="","",IFERROR(VLOOKUP(D1379,$A$2:$B$1656,2,FALSE),""))</x:f>
        <x:v>Divine, Spirit &amp; Elemental Realms</x:v>
      </x:c>
      <x:c r="F1379" s="120" t="n">
        <x:v>3</x:v>
      </x:c>
      <x:c r="G1379" s="120" t="str">
        <x:v>A domain composed of, preserving, or giving access to memories, histories, ancestral traces, or collective consciousness.</x:v>
      </x:c>
      <x:c r="H1379" s="120" t="str">
        <x:v>Memory may be spatialized without implying objective historical truth.</x:v>
      </x:c>
      <x:c r="I1379" s="120" t="str">
        <x:v>memory world; archive realm; echo plane</x:v>
      </x:c>
      <x:c r="J1379" s="120" t="str">
        <x:v>recovery, testimony, identity, grief</x:v>
      </x:c>
      <x:c r="K1379" s="120" t="str">
        <x:v>memory realm; echo world</x:v>
      </x:c>
      <x:c r="L1379" s="120" t="str">
        <x:v>Preserve source-specific terminology, metaphysics, ritual context, and cultural ownership; use this family for comparison, not as a claim of historical equivalence.</x:v>
      </x:c>
      <x:c r="M1379" s="120" t="str">
        <x:v>Framework core</x:v>
      </x:c>
    </x:row>
    <x:row r="1380" ht="44" customHeight="1">
      <x:c r="A1380" s="119" t="str">
        <x:v>COS-213</x:v>
      </x:c>
      <x:c r="B1380" s="120" t="str">
        <x:v>Realm of Law or Order</x:v>
      </x:c>
      <x:c r="C1380" s="120" t="str">
        <x:v>Cosmologies, Realms &amp; Sacred Geography</x:v>
      </x:c>
      <x:c r="D1380" s="120" t="str">
        <x:v>COS-200</x:v>
      </x:c>
      <x:c r="E1380" s="120" t="str">
        <x:f>IF(D1380="","",IFERROR(VLOOKUP(D1380,$A$2:$B$1656,2,FALSE),""))</x:f>
        <x:v>Divine, Spirit &amp; Elemental Realms</x:v>
      </x:c>
      <x:c r="F1380" s="120" t="n">
        <x:v>3</x:v>
      </x:c>
      <x:c r="G1380" s="120" t="str">
        <x:v>A domain embodying cosmic law, absolute structure, calculation, contracts, hierarchy, or deterministic order.</x:v>
      </x:c>
      <x:c r="H1380" s="120" t="str">
        <x:v>Order is not inherently good; excessive rigidity may be threatening.</x:v>
      </x:c>
      <x:c r="I1380" s="120" t="str">
        <x:v>law plane; clockwork heaven; contract realm</x:v>
      </x:c>
      <x:c r="J1380" s="120" t="str">
        <x:v>judgment, bureaucracy, metaphysical opposition</x:v>
      </x:c>
      <x:c r="K1380" s="120" t="str">
        <x:v>realm of order; law world</x:v>
      </x:c>
      <x:c r="L1380" s="120" t="str">
        <x:v>Preserve source-specific terminology, metaphysics, ritual context, and cultural ownership; use this family for comparison, not as a claim of historical equivalence.</x:v>
      </x:c>
      <x:c r="M1380" s="120" t="str">
        <x:v>Framework core</x:v>
      </x:c>
    </x:row>
    <x:row r="1381" ht="44" customHeight="1">
      <x:c r="A1381" s="119" t="str">
        <x:v>COS-214</x:v>
      </x:c>
      <x:c r="B1381" s="120" t="str">
        <x:v>Realm of Chaos or Flux</x:v>
      </x:c>
      <x:c r="C1381" s="120" t="str">
        <x:v>Cosmologies, Realms &amp; Sacred Geography</x:v>
      </x:c>
      <x:c r="D1381" s="120" t="str">
        <x:v>COS-200</x:v>
      </x:c>
      <x:c r="E1381" s="120" t="str">
        <x:f>IF(D1381="","",IFERROR(VLOOKUP(D1381,$A$2:$B$1656,2,FALSE),""))</x:f>
        <x:v>Divine, Spirit &amp; Elemental Realms</x:v>
      </x:c>
      <x:c r="F1381" s="120" t="n">
        <x:v>3</x:v>
      </x:c>
      <x:c r="G1381" s="120" t="str">
        <x:v>A domain characterized by instability, transformation, unbounded possibility, contradiction, or resistance to fixed form.</x:v>
      </x:c>
      <x:c r="H1381" s="120" t="str">
        <x:v>Chaos is not automatically evil or random; source meanings vary.</x:v>
      </x:c>
      <x:c r="I1381" s="120" t="str">
        <x:v>chaos realm; formless world; wild magic plane</x:v>
      </x:c>
      <x:c r="J1381" s="120" t="str">
        <x:v>creation, mutation, threat, liberation</x:v>
      </x:c>
      <x:c r="K1381" s="120" t="str">
        <x:v>realm of chaos; flux world</x:v>
      </x:c>
      <x:c r="L1381" s="120" t="str">
        <x:v>Preserve source-specific terminology, metaphysics, ritual context, and cultural ownership; use this family for comparison, not as a claim of historical equivalence.</x:v>
      </x:c>
      <x:c r="M1381" s="120" t="str">
        <x:v>Framework core</x:v>
      </x:c>
    </x:row>
    <x:row r="1382" ht="44" customHeight="1">
      <x:c r="A1382" s="119" t="str">
        <x:v>COS-301</x:v>
      </x:c>
      <x:c r="B1382" s="120" t="str">
        <x:v>Underworld</x:v>
      </x:c>
      <x:c r="C1382" s="120" t="str">
        <x:v>Cosmologies, Realms &amp; Sacred Geography</x:v>
      </x:c>
      <x:c r="D1382" s="120" t="str">
        <x:v>COS-300</x:v>
      </x:c>
      <x:c r="E1382" s="120" t="str">
        <x:f>IF(D1382="","",IFERROR(VLOOKUP(D1382,$A$2:$B$1656,2,FALSE),""))</x:f>
        <x:v>Afterlives &amp; Underworlds</x:v>
      </x:c>
      <x:c r="F1382" s="120" t="n">
        <x:v>3</x:v>
      </x:c>
      <x:c r="G1382" s="120" t="str">
        <x:v>A realm beneath, beyond, or otherwise separated from ordinary life that receives or contains the dead.</x:v>
      </x:c>
      <x:c r="H1382" s="120" t="str">
        <x:v>An underworld may include neutral residence, judgment, punishment, or divine government in varying combinations.</x:v>
      </x:c>
      <x:c r="I1382" s="120" t="str">
        <x:v>land of dead; subterranean death realm</x:v>
      </x:c>
      <x:c r="J1382" s="120" t="str">
        <x:v>afterlife, descent quest, ancestral contact</x:v>
      </x:c>
      <x:c r="K1382" s="120" t="str">
        <x:v>underworld; realm of dead</x:v>
      </x:c>
      <x:c r="L1382" s="120" t="str">
        <x:v>Preserve source-specific terminology, metaphysics, ritual context, and cultural ownership; use this family for comparison, not as a claim of historical equivalence.</x:v>
      </x:c>
      <x:c r="M1382" s="120" t="str">
        <x:v>Framework core</x:v>
      </x:c>
    </x:row>
    <x:row r="1383" ht="44" customHeight="1">
      <x:c r="A1383" s="119" t="str">
        <x:v>COS-302</x:v>
      </x:c>
      <x:c r="B1383" s="120" t="str">
        <x:v>Judgment Realm</x:v>
      </x:c>
      <x:c r="C1383" s="120" t="str">
        <x:v>Cosmologies, Realms &amp; Sacred Geography</x:v>
      </x:c>
      <x:c r="D1383" s="120" t="str">
        <x:v>COS-300</x:v>
      </x:c>
      <x:c r="E1383" s="120" t="str">
        <x:f>IF(D1383="","",IFERROR(VLOOKUP(D1383,$A$2:$B$1656,2,FALSE),""))</x:f>
        <x:v>Afterlives &amp; Underworlds</x:v>
      </x:c>
      <x:c r="F1383" s="120" t="n">
        <x:v>3</x:v>
      </x:c>
      <x:c r="G1383" s="120" t="str">
        <x:v>A postmortem domain or process where deeds, identity, obligations, purity, merit, or truth are evaluated.</x:v>
      </x:c>
      <x:c r="H1383" s="120" t="str">
        <x:v>Judgment criteria may be moral, ritual, social, legal, or cosmological.</x:v>
      </x:c>
      <x:c r="I1383" s="120" t="str">
        <x:v>hall of judgment; weighing court; death tribunal</x:v>
      </x:c>
      <x:c r="J1383" s="120" t="str">
        <x:v>accountability, revelation, sorting</x:v>
      </x:c>
      <x:c r="K1383" s="120" t="str">
        <x:v>afterlife judgment; court of dead</x:v>
      </x:c>
      <x:c r="L1383" s="120" t="str">
        <x:v>Preserve source-specific terminology, metaphysics, ritual context, and cultural ownership; use this family for comparison, not as a claim of historical equivalence.</x:v>
      </x:c>
      <x:c r="M1383" s="120" t="str">
        <x:v>Framework core</x:v>
      </x:c>
    </x:row>
    <x:row r="1384" ht="44" customHeight="1">
      <x:c r="A1384" s="119" t="str">
        <x:v>COS-303</x:v>
      </x:c>
      <x:c r="B1384" s="120" t="str">
        <x:v>Paradise or Reward Realm</x:v>
      </x:c>
      <x:c r="C1384" s="120" t="str">
        <x:v>Cosmologies, Realms &amp; Sacred Geography</x:v>
      </x:c>
      <x:c r="D1384" s="120" t="str">
        <x:v>COS-300</x:v>
      </x:c>
      <x:c r="E1384" s="120" t="str">
        <x:f>IF(D1384="","",IFERROR(VLOOKUP(D1384,$A$2:$B$1656,2,FALSE),""))</x:f>
        <x:v>Afterlives &amp; Underworlds</x:v>
      </x:c>
      <x:c r="F1384" s="120" t="n">
        <x:v>3</x:v>
      </x:c>
      <x:c r="G1384" s="120" t="str">
        <x:v>A desirable postmortem or elevated domain associated with reward, rest, beauty, union, heroism, or merit.</x:v>
      </x:c>
      <x:c r="H1384" s="120" t="str">
        <x:v>It may be temporary, conditional, class-specific, or one among multiple destinies.</x:v>
      </x:c>
      <x:c r="I1384" s="120" t="str">
        <x:v>blessed fields; paradise garden; warrior hall</x:v>
      </x:c>
      <x:c r="J1384" s="120" t="str">
        <x:v>reward, aspiration, consolation</x:v>
      </x:c>
      <x:c r="K1384" s="120" t="str">
        <x:v>paradise; blessed realm</x:v>
      </x:c>
      <x:c r="L1384" s="120" t="str">
        <x:v>Preserve source-specific terminology, metaphysics, ritual context, and cultural ownership; use this family for comparison, not as a claim of historical equivalence.</x:v>
      </x:c>
      <x:c r="M1384" s="120" t="str">
        <x:v>Framework core</x:v>
      </x:c>
    </x:row>
    <x:row r="1385" ht="44" customHeight="1">
      <x:c r="A1385" s="119" t="str">
        <x:v>COS-304</x:v>
      </x:c>
      <x:c r="B1385" s="120" t="str">
        <x:v>Punishment Realm or Hell</x:v>
      </x:c>
      <x:c r="C1385" s="120" t="str">
        <x:v>Cosmologies, Realms &amp; Sacred Geography</x:v>
      </x:c>
      <x:c r="D1385" s="120" t="str">
        <x:v>COS-300</x:v>
      </x:c>
      <x:c r="E1385" s="120" t="str">
        <x:f>IF(D1385="","",IFERROR(VLOOKUP(D1385,$A$2:$B$1656,2,FALSE),""))</x:f>
        <x:v>Afterlives &amp; Underworlds</x:v>
      </x:c>
      <x:c r="F1385" s="120" t="n">
        <x:v>3</x:v>
      </x:c>
      <x:c r="G1385" s="120" t="str">
        <x:v>A postmortem domain or condition of suffering, correction, imprisonment, purification, or retribution.</x:v>
      </x:c>
      <x:c r="H1385" s="120" t="str">
        <x:v>Punishment may be temporary, graded, symbolic, or eternal; preserve source doctrine.</x:v>
      </x:c>
      <x:c r="I1385" s="120" t="str">
        <x:v>hells; torture realm; prison afterlife</x:v>
      </x:c>
      <x:c r="J1385" s="120" t="str">
        <x:v>consequence, fear, purification, justice</x:v>
      </x:c>
      <x:c r="K1385" s="120" t="str">
        <x:v>hell; punishment realm</x:v>
      </x:c>
      <x:c r="L1385" s="120" t="str">
        <x:v>Preserve source-specific terminology, metaphysics, ritual context, and cultural ownership; use this family for comparison, not as a claim of historical equivalence.</x:v>
      </x:c>
      <x:c r="M1385" s="120" t="str">
        <x:v>Framework core</x:v>
      </x:c>
    </x:row>
    <x:row r="1386" ht="44" customHeight="1">
      <x:c r="A1386" s="119" t="str">
        <x:v>COS-305</x:v>
      </x:c>
      <x:c r="B1386" s="120" t="str">
        <x:v>Transitional or Purgatorial Realm</x:v>
      </x:c>
      <x:c r="C1386" s="120" t="str">
        <x:v>Cosmologies, Realms &amp; Sacred Geography</x:v>
      </x:c>
      <x:c r="D1386" s="120" t="str">
        <x:v>COS-300</x:v>
      </x:c>
      <x:c r="E1386" s="120" t="str">
        <x:f>IF(D1386="","",IFERROR(VLOOKUP(D1386,$A$2:$B$1656,2,FALSE),""))</x:f>
        <x:v>Afterlives &amp; Underworlds</x:v>
      </x:c>
      <x:c r="F1386" s="120" t="n">
        <x:v>3</x:v>
      </x:c>
      <x:c r="G1386" s="120" t="str">
        <x:v>A temporary postmortem domain where souls wait, purify, remember, forget, travel, or prepare for another state.</x:v>
      </x:c>
      <x:c r="H1386" s="120" t="str">
        <x:v>It is neither final reward nor final punishment by definition.</x:v>
      </x:c>
      <x:c r="I1386" s="120" t="str">
        <x:v>waiting land; limbo; purification realm</x:v>
      </x:c>
      <x:c r="J1386" s="120" t="str">
        <x:v>transition, delay, ritual aid</x:v>
      </x:c>
      <x:c r="K1386" s="120" t="str">
        <x:v>intermediate state; purgatorial realm</x:v>
      </x:c>
      <x:c r="L1386" s="120" t="str">
        <x:v>Preserve source-specific terminology, metaphysics, ritual context, and cultural ownership; use this family for comparison, not as a claim of historical equivalence.</x:v>
      </x:c>
      <x:c r="M1386" s="120" t="str">
        <x:v>Framework core</x:v>
      </x:c>
    </x:row>
    <x:row r="1387" ht="44" customHeight="1">
      <x:c r="A1387" s="119" t="str">
        <x:v>COS-306</x:v>
      </x:c>
      <x:c r="B1387" s="120" t="str">
        <x:v>Warrior Afterlife</x:v>
      </x:c>
      <x:c r="C1387" s="120" t="str">
        <x:v>Cosmologies, Realms &amp; Sacred Geography</x:v>
      </x:c>
      <x:c r="D1387" s="120" t="str">
        <x:v>COS-300</x:v>
      </x:c>
      <x:c r="E1387" s="120" t="str">
        <x:f>IF(D1387="","",IFERROR(VLOOKUP(D1387,$A$2:$B$1656,2,FALSE),""))</x:f>
        <x:v>Afterlives &amp; Underworlds</x:v>
      </x:c>
      <x:c r="F1387" s="120" t="n">
        <x:v>3</x:v>
      </x:c>
      <x:c r="G1387" s="120" t="str">
        <x:v>An afterlife specifically privileging warriors, heroic death, battle service, or martial community.</x:v>
      </x:c>
      <x:c r="H1387" s="120" t="str">
        <x:v>Do not universalize one Norse model across all warrior paradises.</x:v>
      </x:c>
      <x:c r="I1387" s="120" t="str">
        <x:v>hall of heroes; battlefield heaven</x:v>
      </x:c>
      <x:c r="J1387" s="120" t="str">
        <x:v>martial ethos, recruitment, heroic memory</x:v>
      </x:c>
      <x:c r="K1387" s="120" t="str">
        <x:v>warrior heaven; hero hall</x:v>
      </x:c>
      <x:c r="L1387" s="120" t="str">
        <x:v>Preserve source-specific terminology, metaphysics, ritual context, and cultural ownership; use this family for comparison, not as a claim of historical equivalence.</x:v>
      </x:c>
      <x:c r="M1387" s="120" t="str">
        <x:v>Framework core</x:v>
      </x:c>
    </x:row>
    <x:row r="1388" ht="44" customHeight="1">
      <x:c r="A1388" s="119" t="str">
        <x:v>COS-307</x:v>
      </x:c>
      <x:c r="B1388" s="120" t="str">
        <x:v>Ancestor Village or Continuing Community</x:v>
      </x:c>
      <x:c r="C1388" s="120" t="str">
        <x:v>Cosmologies, Realms &amp; Sacred Geography</x:v>
      </x:c>
      <x:c r="D1388" s="120" t="str">
        <x:v>COS-300</x:v>
      </x:c>
      <x:c r="E1388" s="120" t="str">
        <x:f>IF(D1388="","",IFERROR(VLOOKUP(D1388,$A$2:$B$1656,2,FALSE),""))</x:f>
        <x:v>Afterlives &amp; Underworlds</x:v>
      </x:c>
      <x:c r="F1388" s="120" t="n">
        <x:v>3</x:v>
      </x:c>
      <x:c r="G1388" s="120" t="str">
        <x:v>An afterlife in which the dead continue kinship, settlement, work, and social relations resembling a living community.</x:v>
      </x:c>
      <x:c r="H1388" s="120" t="str">
        <x:v>It emphasizes continuity over abstract reward or punishment.</x:v>
      </x:c>
      <x:c r="I1388" s="120" t="str">
        <x:v>village of dead; ancestral homeland</x:v>
      </x:c>
      <x:c r="J1388" s="120" t="str">
        <x:v>kinship, burial, community continuity</x:v>
      </x:c>
      <x:c r="K1388" s="120" t="str">
        <x:v>ancestor village; land of ancestors</x:v>
      </x:c>
      <x:c r="L1388" s="120" t="str">
        <x:v>Preserve source-specific terminology, metaphysics, ritual context, and cultural ownership; use this family for comparison, not as a claim of historical equivalence.</x:v>
      </x:c>
      <x:c r="M1388" s="120" t="str">
        <x:v>Framework core</x:v>
      </x:c>
    </x:row>
    <x:row r="1389" ht="44" customHeight="1">
      <x:c r="A1389" s="119" t="str">
        <x:v>COS-308</x:v>
      </x:c>
      <x:c r="B1389" s="120" t="str">
        <x:v>Reincarnation Cycle</x:v>
      </x:c>
      <x:c r="C1389" s="120" t="str">
        <x:v>Cosmologies, Realms &amp; Sacred Geography</x:v>
      </x:c>
      <x:c r="D1389" s="120" t="str">
        <x:v>COS-300</x:v>
      </x:c>
      <x:c r="E1389" s="120" t="str">
        <x:f>IF(D1389="","",IFERROR(VLOOKUP(D1389,$A$2:$B$1656,2,FALSE),""))</x:f>
        <x:v>Afterlives &amp; Underworlds</x:v>
      </x:c>
      <x:c r="F1389" s="120" t="n">
        <x:v>3</x:v>
      </x:c>
      <x:c r="G1389" s="120" t="str">
        <x:v>A structured process by which beings return to embodied existence through rebirth, transmigration, or repeated lives.</x:v>
      </x:c>
      <x:c r="H1389" s="120" t="str">
        <x:v>Do not collapse distinct doctrines of self, soul, karma, liberation, and rebirth into a single generic mechanic.</x:v>
      </x:c>
      <x:c r="I1389" s="120" t="str">
        <x:v>rebirth wheel; transmigration; successive lives</x:v>
      </x:c>
      <x:c r="J1389" s="120" t="str">
        <x:v>moral causation, progression, memory, liberation</x:v>
      </x:c>
      <x:c r="K1389" s="120" t="str">
        <x:v>reincarnation cycle; rebirth</x:v>
      </x:c>
      <x:c r="L1389" s="120" t="str">
        <x:v>Preserve source-specific terminology, metaphysics, ritual context, and cultural ownership; use this family for comparison, not as a claim of historical equivalence.</x:v>
      </x:c>
      <x:c r="M1389" s="120" t="str">
        <x:v>Framework core</x:v>
      </x:c>
    </x:row>
    <x:row r="1390" ht="44" customHeight="1">
      <x:c r="A1390" s="119" t="str">
        <x:v>COS-309</x:v>
      </x:c>
      <x:c r="B1390" s="120" t="str">
        <x:v>Ghost-Linger World</x:v>
      </x:c>
      <x:c r="C1390" s="120" t="str">
        <x:v>Cosmologies, Realms &amp; Sacred Geography</x:v>
      </x:c>
      <x:c r="D1390" s="120" t="str">
        <x:v>COS-300</x:v>
      </x:c>
      <x:c r="E1390" s="120" t="str">
        <x:f>IF(D1390="","",IFERROR(VLOOKUP(D1390,$A$2:$B$1656,2,FALSE),""))</x:f>
        <x:v>Afterlives &amp; Underworlds</x:v>
      </x:c>
      <x:c r="F1390" s="120" t="n">
        <x:v>3</x:v>
      </x:c>
      <x:c r="G1390" s="120" t="str">
        <x:v>A condition or adjacent domain in which the dead remain near the living through attachment, unfinished business, trauma, ritual failure, or choice.</x:v>
      </x:c>
      <x:c r="H1390" s="120" t="str">
        <x:v>It may be a state rather than a separate geographical realm.</x:v>
      </x:c>
      <x:c r="I1390" s="120" t="str">
        <x:v>grey world; echo layer; haunted overlap</x:v>
      </x:c>
      <x:c r="J1390" s="120" t="str">
        <x:v>haunting, closure, memory, danger</x:v>
      </x:c>
      <x:c r="K1390" s="120" t="str">
        <x:v>ghost realm; lingering dead</x:v>
      </x:c>
      <x:c r="L1390" s="120" t="str">
        <x:v>Preserve source-specific terminology, metaphysics, ritual context, and cultural ownership; use this family for comparison, not as a claim of historical equivalence.</x:v>
      </x:c>
      <x:c r="M1390" s="120" t="str">
        <x:v>Framework core</x:v>
      </x:c>
    </x:row>
    <x:row r="1391" ht="44" customHeight="1">
      <x:c r="A1391" s="119" t="str">
        <x:v>COS-310</x:v>
      </x:c>
      <x:c r="B1391" s="120" t="str">
        <x:v>Road of the Dead</x:v>
      </x:c>
      <x:c r="C1391" s="120" t="str">
        <x:v>Cosmologies, Realms &amp; Sacred Geography</x:v>
      </x:c>
      <x:c r="D1391" s="120" t="str">
        <x:v>COS-300</x:v>
      </x:c>
      <x:c r="E1391" s="120" t="str">
        <x:f>IF(D1391="","",IFERROR(VLOOKUP(D1391,$A$2:$B$1656,2,FALSE),""))</x:f>
        <x:v>Afterlives &amp; Underworlds</x:v>
      </x:c>
      <x:c r="F1391" s="120" t="n">
        <x:v>3</x:v>
      </x:c>
      <x:c r="G1391" s="120" t="str">
        <x:v>A route, sequence of trials, landmarks, guides, rivers, gates, or offerings through which the deceased travel.</x:v>
      </x:c>
      <x:c r="H1391" s="120" t="str">
        <x:v>The road is a process and sacred geography, not merely a destination.</x:v>
      </x:c>
      <x:c r="I1391" s="120" t="str">
        <x:v>death road; soul path; funeral journey</x:v>
      </x:c>
      <x:c r="J1391" s="120" t="str">
        <x:v>psychopomp role, burial rites, ordeal</x:v>
      </x:c>
      <x:c r="K1391" s="120" t="str">
        <x:v>road of dead; soul journey</x:v>
      </x:c>
      <x:c r="L1391" s="120" t="str">
        <x:v>Preserve source-specific terminology, metaphysics, ritual context, and cultural ownership; use this family for comparison, not as a claim of historical equivalence.</x:v>
      </x:c>
      <x:c r="M1391" s="120" t="str">
        <x:v>Framework core</x:v>
      </x:c>
    </x:row>
    <x:row r="1392" ht="44" customHeight="1">
      <x:c r="A1392" s="119" t="str">
        <x:v>COS-311</x:v>
      </x:c>
      <x:c r="B1392" s="120" t="str">
        <x:v>River Boundary of Death</x:v>
      </x:c>
      <x:c r="C1392" s="120" t="str">
        <x:v>Cosmologies, Realms &amp; Sacred Geography</x:v>
      </x:c>
      <x:c r="D1392" s="120" t="str">
        <x:v>COS-300</x:v>
      </x:c>
      <x:c r="E1392" s="120" t="str">
        <x:f>IF(D1392="","",IFERROR(VLOOKUP(D1392,$A$2:$B$1656,2,FALSE),""))</x:f>
        <x:v>Afterlives &amp; Underworlds</x:v>
      </x:c>
      <x:c r="F1392" s="120" t="n">
        <x:v>3</x:v>
      </x:c>
      <x:c r="G1392" s="120" t="str">
        <x:v>A river, sea, ford, bridge, or water crossing that separates living and dead domains.</x:v>
      </x:c>
      <x:c r="H1392" s="120" t="str">
        <x:v>Water symbolism alone is insufficient; the crossing must govern death passage.</x:v>
      </x:c>
      <x:c r="I1392" s="120" t="str">
        <x:v>underworld river; ferry crossing; death ford</x:v>
      </x:c>
      <x:c r="J1392" s="120" t="str">
        <x:v>boundary, payment, psychopomp, return difficulty</x:v>
      </x:c>
      <x:c r="K1392" s="120" t="str">
        <x:v>river of death; underworld crossing</x:v>
      </x:c>
      <x:c r="L1392" s="120" t="str">
        <x:v>Preserve source-specific terminology, metaphysics, ritual context, and cultural ownership; use this family for comparison, not as a claim of historical equivalence.</x:v>
      </x:c>
      <x:c r="M1392" s="120" t="str">
        <x:v>Framework core</x:v>
      </x:c>
    </x:row>
    <x:row r="1393" ht="44" customHeight="1">
      <x:c r="A1393" s="119" t="str">
        <x:v>COS-312</x:v>
      </x:c>
      <x:c r="B1393" s="120" t="str">
        <x:v>Court of the Dead</x:v>
      </x:c>
      <x:c r="C1393" s="120" t="str">
        <x:v>Cosmologies, Realms &amp; Sacred Geography</x:v>
      </x:c>
      <x:c r="D1393" s="120" t="str">
        <x:v>COS-300</x:v>
      </x:c>
      <x:c r="E1393" s="120" t="str">
        <x:f>IF(D1393="","",IFERROR(VLOOKUP(D1393,$A$2:$B$1656,2,FALSE),""))</x:f>
        <x:v>Afterlives &amp; Underworlds</x:v>
      </x:c>
      <x:c r="F1393" s="120" t="n">
        <x:v>3</x:v>
      </x:c>
      <x:c r="G1393" s="120" t="str">
        <x:v>A royal, bureaucratic, ancestral, or divine court administering dead souls, judgments, petitions, records, or punishments.</x:v>
      </x:c>
      <x:c r="H1393" s="120" t="str">
        <x:v>This combines afterlife geography with institutional governance.</x:v>
      </x:c>
      <x:c r="I1393" s="120" t="str">
        <x:v>death king's court; underworld ministry</x:v>
      </x:c>
      <x:c r="J1393" s="120" t="str">
        <x:v>judgment, bureaucracy, appeals, quests</x:v>
      </x:c>
      <x:c r="K1393" s="120" t="str">
        <x:v>court of dead; underworld court</x:v>
      </x:c>
      <x:c r="L1393" s="120" t="str">
        <x:v>Preserve source-specific terminology, metaphysics, ritual context, and cultural ownership; use this family for comparison, not as a claim of historical equivalence.</x:v>
      </x:c>
      <x:c r="M1393" s="120" t="str">
        <x:v>Framework core</x:v>
      </x:c>
    </x:row>
    <x:row r="1394" ht="44" customHeight="1">
      <x:c r="A1394" s="119" t="str">
        <x:v>COS-313</x:v>
      </x:c>
      <x:c r="B1394" s="120" t="str">
        <x:v>Postmortem Trial</x:v>
      </x:c>
      <x:c r="C1394" s="120" t="str">
        <x:v>Cosmologies, Realms &amp; Sacred Geography</x:v>
      </x:c>
      <x:c r="D1394" s="120" t="str">
        <x:v>COS-300</x:v>
      </x:c>
      <x:c r="E1394" s="120" t="str">
        <x:f>IF(D1394="","",IFERROR(VLOOKUP(D1394,$A$2:$B$1656,2,FALSE),""))</x:f>
        <x:v>Afterlives &amp; Underworlds</x:v>
      </x:c>
      <x:c r="F1394" s="120" t="n">
        <x:v>3</x:v>
      </x:c>
      <x:c r="G1394" s="120" t="str">
        <x:v>A test, contest, examination, battle, riddle, weighing, or revelation occurring after death or during an underworld journey.</x:v>
      </x:c>
      <x:c r="H1394" s="120" t="str">
        <x:v>A trial is an event structure, not an entire realm.</x:v>
      </x:c>
      <x:c r="I1394" s="120" t="str">
        <x:v>weighing; bridge test; heaven test</x:v>
      </x:c>
      <x:c r="J1394" s="120" t="str">
        <x:v>judgment, transformation, narrative climax</x:v>
      </x:c>
      <x:c r="K1394" s="120" t="str">
        <x:v>afterlife trial; death ordeal</x:v>
      </x:c>
      <x:c r="L1394" s="120" t="str">
        <x:v>Preserve source-specific terminology, metaphysics, ritual context, and cultural ownership; use this family for comparison, not as a claim of historical equivalence.</x:v>
      </x:c>
      <x:c r="M1394" s="120" t="str">
        <x:v>Framework core</x:v>
      </x:c>
    </x:row>
    <x:row r="1395" ht="44" customHeight="1">
      <x:c r="A1395" s="119" t="str">
        <x:v>COS-314</x:v>
      </x:c>
      <x:c r="B1395" s="120" t="str">
        <x:v>Multiple Afterlives</x:v>
      </x:c>
      <x:c r="C1395" s="120" t="str">
        <x:v>Cosmologies, Realms &amp; Sacred Geography</x:v>
      </x:c>
      <x:c r="D1395" s="120" t="str">
        <x:v>COS-300</x:v>
      </x:c>
      <x:c r="E1395" s="120" t="str">
        <x:f>IF(D1395="","",IFERROR(VLOOKUP(D1395,$A$2:$B$1656,2,FALSE),""))</x:f>
        <x:v>Afterlives &amp; Underworlds</x:v>
      </x:c>
      <x:c r="F1395" s="120" t="n">
        <x:v>3</x:v>
      </x:c>
      <x:c r="G1395" s="120" t="str">
        <x:v>A system offering different destinations or states according to conduct, role, death, affiliation, lineage, ritual, or divine patronage.</x:v>
      </x:c>
      <x:c r="H1395" s="120" t="str">
        <x:v>Multiplicity may be hierarchical, parallel, temporary, or contested.</x:v>
      </x:c>
      <x:c r="I1395" s="120" t="str">
        <x:v>many heavens and hells; class afterlives</x:v>
      </x:c>
      <x:c r="J1395" s="120" t="str">
        <x:v>social reflection, choice, judgment</x:v>
      </x:c>
      <x:c r="K1395" s="120" t="str">
        <x:v>plural afterlife; multiple destinations</x:v>
      </x:c>
      <x:c r="L1395" s="120" t="str">
        <x:v>Preserve source-specific terminology, metaphysics, ritual context, and cultural ownership; use this family for comparison, not as a claim of historical equivalence.</x:v>
      </x:c>
      <x:c r="M1395" s="120" t="str">
        <x:v>Framework core</x:v>
      </x:c>
    </x:row>
    <x:row r="1396" ht="44" customHeight="1">
      <x:c r="A1396" s="119" t="str">
        <x:v>COS-315</x:v>
      </x:c>
      <x:c r="B1396" s="120" t="str">
        <x:v>Oblivion or Dissolution</x:v>
      </x:c>
      <x:c r="C1396" s="120" t="str">
        <x:v>Cosmologies, Realms &amp; Sacred Geography</x:v>
      </x:c>
      <x:c r="D1396" s="120" t="str">
        <x:v>COS-300</x:v>
      </x:c>
      <x:c r="E1396" s="120" t="str">
        <x:f>IF(D1396="","",IFERROR(VLOOKUP(D1396,$A$2:$B$1656,2,FALSE),""))</x:f>
        <x:v>Afterlives &amp; Underworlds</x:v>
      </x:c>
      <x:c r="F1396" s="120" t="n">
        <x:v>3</x:v>
      </x:c>
      <x:c r="G1396" s="120" t="str">
        <x:v>A postmortem outcome in which identity, memory, soul, form, or distinction ceases, merges, or becomes inaccessible.</x:v>
      </x:c>
      <x:c r="H1396" s="120" t="str">
        <x:v>Dissolution may be feared, desired, liberating, or metaphysically neutral.</x:v>
      </x:c>
      <x:c r="I1396" s="120" t="str">
        <x:v>soul erasure; return to source; final death</x:v>
      </x:c>
      <x:c r="J1396" s="120" t="str">
        <x:v>stakes, liberation, horror, cosmology</x:v>
      </x:c>
      <x:c r="K1396" s="120" t="str">
        <x:v>oblivion; dissolution</x:v>
      </x:c>
      <x:c r="L1396" s="120" t="str">
        <x:v>Preserve source-specific terminology, metaphysics, ritual context, and cultural ownership; use this family for comparison, not as a claim of historical equivalence.</x:v>
      </x:c>
      <x:c r="M1396" s="120" t="str">
        <x:v>Framework core</x:v>
      </x:c>
    </x:row>
    <x:row r="1397" ht="44" customHeight="1">
      <x:c r="A1397" s="119" t="str">
        <x:v>COS-316</x:v>
      </x:c>
      <x:c r="B1397" s="120" t="str">
        <x:v>Return-from-Death Path</x:v>
      </x:c>
      <x:c r="C1397" s="120" t="str">
        <x:v>Cosmologies, Realms &amp; Sacred Geography</x:v>
      </x:c>
      <x:c r="D1397" s="120" t="str">
        <x:v>COS-300</x:v>
      </x:c>
      <x:c r="E1397" s="120" t="str">
        <x:f>IF(D1397="","",IFERROR(VLOOKUP(D1397,$A$2:$B$1656,2,FALSE),""))</x:f>
        <x:v>Afterlives &amp; Underworlds</x:v>
      </x:c>
      <x:c r="F1397" s="120" t="n">
        <x:v>3</x:v>
      </x:c>
      <x:c r="G1397" s="120" t="str">
        <x:v>A defined route or rule by which the dead may re-enter life, embodiment, memory, or the mortal world.</x:v>
      </x:c>
      <x:c r="H1397" s="120" t="str">
        <x:v>This is cosmological infrastructure, distinct from the power or ritual that activates it.</x:v>
      </x:c>
      <x:c r="I1397" s="120" t="str">
        <x:v>resurrection gate; rebirth road; seasonal return</x:v>
      </x:c>
      <x:c r="J1397" s="120" t="str">
        <x:v>resurrection, quest, taboo, cycle</x:v>
      </x:c>
      <x:c r="K1397" s="120" t="str">
        <x:v>return path; gate of life</x:v>
      </x:c>
      <x:c r="L1397" s="120" t="str">
        <x:v>Preserve source-specific terminology, metaphysics, ritual context, and cultural ownership; use this family for comparison, not as a claim of historical equivalence.</x:v>
      </x:c>
      <x:c r="M1397" s="120" t="str">
        <x:v>Framework core</x:v>
      </x:c>
    </x:row>
    <x:row r="1398" ht="44" customHeight="1">
      <x:c r="A1398" s="119" t="str">
        <x:v>COS-401</x:v>
      </x:c>
      <x:c r="B1398" s="120" t="str">
        <x:v>Mirror World</x:v>
      </x:c>
      <x:c r="C1398" s="120" t="str">
        <x:v>Cosmologies, Realms &amp; Sacred Geography</x:v>
      </x:c>
      <x:c r="D1398" s="120" t="str">
        <x:v>COS-400</x:v>
      </x:c>
      <x:c r="E1398" s="120" t="str">
        <x:f>IF(D1398="","",IFERROR(VLOOKUP(D1398,$A$2:$B$1656,2,FALSE),""))</x:f>
        <x:v>Liminal, Parallel &amp; Constructed Realms</x:v>
      </x:c>
      <x:c r="F1398" s="120" t="n">
        <x:v>3</x:v>
      </x:c>
      <x:c r="G1398" s="120" t="str">
        <x:v>A parallel realm resembling the ordinary world while reversing, distorting, selectively omitting, or exposing its features.</x:v>
      </x:c>
      <x:c r="H1398" s="120" t="str">
        <x:v>Similarity and patterned difference distinguish it from any unrelated alternate world.</x:v>
      </x:c>
      <x:c r="I1398" s="120" t="str">
        <x:v>inverse city; reflected kingdom; negative world</x:v>
      </x:c>
      <x:c r="J1398" s="120" t="str">
        <x:v>self-confrontation, puzzle, social critique</x:v>
      </x:c>
      <x:c r="K1398" s="120" t="str">
        <x:v>mirror world; inverted realm</x:v>
      </x:c>
      <x:c r="L1398" s="120" t="str">
        <x:v>Preserve source-specific terminology, metaphysics, ritual context, and cultural ownership; use this family for comparison, not as a claim of historical equivalence.</x:v>
      </x:c>
      <x:c r="M1398" s="120" t="str">
        <x:v>Framework core</x:v>
      </x:c>
    </x:row>
    <x:row r="1399" ht="44" customHeight="1">
      <x:c r="A1399" s="119" t="str">
        <x:v>COS-402</x:v>
      </x:c>
      <x:c r="B1399" s="120" t="str">
        <x:v>Shadow World</x:v>
      </x:c>
      <x:c r="C1399" s="120" t="str">
        <x:v>Cosmologies, Realms &amp; Sacred Geography</x:v>
      </x:c>
      <x:c r="D1399" s="120" t="str">
        <x:v>COS-400</x:v>
      </x:c>
      <x:c r="E1399" s="120" t="str">
        <x:f>IF(D1399="","",IFERROR(VLOOKUP(D1399,$A$2:$B$1656,2,FALSE),""))</x:f>
        <x:v>Liminal, Parallel &amp; Constructed Realms</x:v>
      </x:c>
      <x:c r="F1399" s="120" t="n">
        <x:v>3</x:v>
      </x:c>
      <x:c r="G1399" s="120" t="str">
        <x:v>A dim, hidden, negative, spiritual, or attenuated counterpart to ordinary reality associated with shadows, death, secrecy, or suppressed forces.</x:v>
      </x:c>
      <x:c r="H1399" s="120" t="str">
        <x:v>Aesthetic darkness alone is insufficient; it must function as a distinct layer or domain.</x:v>
      </x:c>
      <x:c r="I1399" s="120" t="str">
        <x:v>shadow plane; twilight world; umbral realm</x:v>
      </x:c>
      <x:c r="J1399" s="120" t="str">
        <x:v>stealth, threat, passage, metaphysical contrast</x:v>
      </x:c>
      <x:c r="K1399" s="120" t="str">
        <x:v>shadow world; umbral realm</x:v>
      </x:c>
      <x:c r="L1399" s="120" t="str">
        <x:v>Preserve source-specific terminology, metaphysics, ritual context, and cultural ownership; use this family for comparison, not as a claim of historical equivalence.</x:v>
      </x:c>
      <x:c r="M1399" s="120" t="str">
        <x:v>Framework core</x:v>
      </x:c>
    </x:row>
    <x:row r="1400" ht="44" customHeight="1">
      <x:c r="A1400" s="119" t="str">
        <x:v>COS-403</x:v>
      </x:c>
      <x:c r="B1400" s="120" t="str">
        <x:v>Pocket Realm</x:v>
      </x:c>
      <x:c r="C1400" s="120" t="str">
        <x:v>Cosmologies, Realms &amp; Sacred Geography</x:v>
      </x:c>
      <x:c r="D1400" s="120" t="str">
        <x:v>COS-400</x:v>
      </x:c>
      <x:c r="E1400" s="120" t="str">
        <x:f>IF(D1400="","",IFERROR(VLOOKUP(D1400,$A$2:$B$1656,2,FALSE),""))</x:f>
        <x:v>Liminal, Parallel &amp; Constructed Realms</x:v>
      </x:c>
      <x:c r="F1400" s="120" t="n">
        <x:v>3</x:v>
      </x:c>
      <x:c r="G1400" s="120" t="str">
        <x:v>A bounded small-scale world or space with its own interior extent, laws, or time, embedded within or attached to a larger reality.</x:v>
      </x:c>
      <x:c r="H1400" s="120" t="str">
        <x:v>It is more than ordinary hidden architecture when interior reality exceeds normal space.</x:v>
      </x:c>
      <x:c r="I1400" s="120" t="str">
        <x:v>bag-world; private demiplane; sealed garden</x:v>
      </x:c>
      <x:c r="J1400" s="120" t="str">
        <x:v>storage, refuge, prison, personal domain</x:v>
      </x:c>
      <x:c r="K1400" s="120" t="str">
        <x:v>pocket dimension; demiplane</x:v>
      </x:c>
      <x:c r="L1400" s="120" t="str">
        <x:v>Preserve source-specific terminology, metaphysics, ritual context, and cultural ownership; use this family for comparison, not as a claim of historical equivalence.</x:v>
      </x:c>
      <x:c r="M1400" s="120" t="str">
        <x:v>Framework core</x:v>
      </x:c>
    </x:row>
    <x:row r="1401" ht="44" customHeight="1">
      <x:c r="A1401" s="119" t="str">
        <x:v>COS-404</x:v>
      </x:c>
      <x:c r="B1401" s="120" t="str">
        <x:v>Prison Realm</x:v>
      </x:c>
      <x:c r="C1401" s="120" t="str">
        <x:v>Cosmologies, Realms &amp; Sacred Geography</x:v>
      </x:c>
      <x:c r="D1401" s="120" t="str">
        <x:v>COS-400</x:v>
      </x:c>
      <x:c r="E1401" s="120" t="str">
        <x:f>IF(D1401="","",IFERROR(VLOOKUP(D1401,$A$2:$B$1656,2,FALSE),""))</x:f>
        <x:v>Liminal, Parallel &amp; Constructed Realms</x:v>
      </x:c>
      <x:c r="F1401" s="120" t="n">
        <x:v>3</x:v>
      </x:c>
      <x:c r="G1401" s="120" t="str">
        <x:v>A realm constructed or designated to confine beings, armies, gods, curses, or dangerous powers.</x:v>
      </x:c>
      <x:c r="H1401" s="120" t="str">
        <x:v>Its laws, exits, and wardens are organized around containment.</x:v>
      </x:c>
      <x:c r="I1401" s="120" t="str">
        <x:v>sealed plane; exile dimension; timeless prison</x:v>
      </x:c>
      <x:c r="J1401" s="120" t="str">
        <x:v>containment, escape plot, deferred threat</x:v>
      </x:c>
      <x:c r="K1401" s="120" t="str">
        <x:v>prison realm; sealed world</x:v>
      </x:c>
      <x:c r="L1401" s="120" t="str">
        <x:v>Preserve source-specific terminology, metaphysics, ritual context, and cultural ownership; use this family for comparison, not as a claim of historical equivalence.</x:v>
      </x:c>
      <x:c r="M1401" s="120" t="str">
        <x:v>Framework core</x:v>
      </x:c>
    </x:row>
    <x:row r="1402" ht="44" customHeight="1">
      <x:c r="A1402" s="119" t="str">
        <x:v>COS-405</x:v>
      </x:c>
      <x:c r="B1402" s="120" t="str">
        <x:v>Hidden World Alongside the Mortal</x:v>
      </x:c>
      <x:c r="C1402" s="120" t="str">
        <x:v>Cosmologies, Realms &amp; Sacred Geography</x:v>
      </x:c>
      <x:c r="D1402" s="120" t="str">
        <x:v>COS-400</x:v>
      </x:c>
      <x:c r="E1402" s="120" t="str">
        <x:f>IF(D1402="","",IFERROR(VLOOKUP(D1402,$A$2:$B$1656,2,FALSE),""))</x:f>
        <x:v>Liminal, Parallel &amp; Constructed Realms</x:v>
      </x:c>
      <x:c r="F1402" s="120" t="n">
        <x:v>3</x:v>
      </x:c>
      <x:c r="G1402" s="120" t="str">
        <x:v>A society or ecology coexisting with ordinary reality but concealed by perception, law, geography, magic, or social secrecy.</x:v>
      </x:c>
      <x:c r="H1402" s="120" t="str">
        <x:v>It may be physically present rather than a separate plane.</x:v>
      </x:c>
      <x:c r="I1402" s="120" t="str">
        <x:v>hidden city; invisible kingdom; secret magical society</x:v>
      </x:c>
      <x:c r="J1402" s="120" t="str">
        <x:v>urban fantasy, liminality, revelation</x:v>
      </x:c>
      <x:c r="K1402" s="120" t="str">
        <x:v>hidden world; unseen society</x:v>
      </x:c>
      <x:c r="L1402" s="120" t="str">
        <x:v>Preserve source-specific terminology, metaphysics, ritual context, and cultural ownership; use this family for comparison, not as a claim of historical equivalence.</x:v>
      </x:c>
      <x:c r="M1402" s="120" t="str">
        <x:v>Framework core</x:v>
      </x:c>
    </x:row>
    <x:row r="1403" ht="44" customHeight="1">
      <x:c r="A1403" s="119" t="str">
        <x:v>COS-406</x:v>
      </x:c>
      <x:c r="B1403" s="120" t="str">
        <x:v>Time-Dilated Realm</x:v>
      </x:c>
      <x:c r="C1403" s="120" t="str">
        <x:v>Cosmologies, Realms &amp; Sacred Geography</x:v>
      </x:c>
      <x:c r="D1403" s="120" t="str">
        <x:v>COS-400</x:v>
      </x:c>
      <x:c r="E1403" s="120" t="str">
        <x:f>IF(D1403="","",IFERROR(VLOOKUP(D1403,$A$2:$B$1656,2,FALSE),""))</x:f>
        <x:v>Liminal, Parallel &amp; Constructed Realms</x:v>
      </x:c>
      <x:c r="F1403" s="120" t="n">
        <x:v>3</x:v>
      </x:c>
      <x:c r="G1403" s="120" t="str">
        <x:v>A domain where time passes at a different rate, direction, sequence, or subjective experience than outside.</x:v>
      </x:c>
      <x:c r="H1403" s="120" t="str">
        <x:v>Time distortion must be systematic enough to shape travel or history.</x:v>
      </x:c>
      <x:c r="I1403" s="120" t="str">
        <x:v>fast-time chamber; timeless land; century night</x:v>
      </x:c>
      <x:c r="J1403" s="120" t="str">
        <x:v>training, loss, aging, prophecy</x:v>
      </x:c>
      <x:c r="K1403" s="120" t="str">
        <x:v>time-dilated realm; altered-time world</x:v>
      </x:c>
      <x:c r="L1403" s="120" t="str">
        <x:v>Preserve source-specific terminology, metaphysics, ritual context, and cultural ownership; use this family for comparison, not as a claim of historical equivalence.</x:v>
      </x:c>
      <x:c r="M1403" s="120" t="str">
        <x:v>Framework core</x:v>
      </x:c>
    </x:row>
    <x:row r="1404" ht="44" customHeight="1">
      <x:c r="A1404" s="119" t="str">
        <x:v>COS-407</x:v>
      </x:c>
      <x:c r="B1404" s="120" t="str">
        <x:v>Labyrinth Realm</x:v>
      </x:c>
      <x:c r="C1404" s="120" t="str">
        <x:v>Cosmologies, Realms &amp; Sacred Geography</x:v>
      </x:c>
      <x:c r="D1404" s="120" t="str">
        <x:v>COS-400</x:v>
      </x:c>
      <x:c r="E1404" s="120" t="str">
        <x:f>IF(D1404="","",IFERROR(VLOOKUP(D1404,$A$2:$B$1656,2,FALSE),""))</x:f>
        <x:v>Liminal, Parallel &amp; Constructed Realms</x:v>
      </x:c>
      <x:c r="F1404" s="120" t="n">
        <x:v>3</x:v>
      </x:c>
      <x:c r="G1404" s="120" t="str">
        <x:v>A domain whose geography is fundamentally maze-like, recursive, shifting, sentient, or resistant to stable mapping.</x:v>
      </x:c>
      <x:c r="H1404" s="120" t="str">
        <x:v>A normal labyrinth becomes a realm archetype when spatial logic defines the world.</x:v>
      </x:c>
      <x:c r="I1404" s="120" t="str">
        <x:v>endless maze; shifting halls; living labyrinth</x:v>
      </x:c>
      <x:c r="J1404" s="120" t="str">
        <x:v>ordeal, entrapment, procedural exploration</x:v>
      </x:c>
      <x:c r="K1404" s="120" t="str">
        <x:v>labyrinth world; maze realm</x:v>
      </x:c>
      <x:c r="L1404" s="120" t="str">
        <x:v>Preserve source-specific terminology, metaphysics, ritual context, and cultural ownership; use this family for comparison, not as a claim of historical equivalence.</x:v>
      </x:c>
      <x:c r="M1404" s="120" t="str">
        <x:v>Framework core</x:v>
      </x:c>
    </x:row>
    <x:row r="1405" ht="44" customHeight="1">
      <x:c r="A1405" s="119" t="str">
        <x:v>COS-408</x:v>
      </x:c>
      <x:c r="B1405" s="120" t="str">
        <x:v>Dungeon-as-World</x:v>
      </x:c>
      <x:c r="C1405" s="120" t="str">
        <x:v>Cosmologies, Realms &amp; Sacred Geography</x:v>
      </x:c>
      <x:c r="D1405" s="120" t="str">
        <x:v>COS-400</x:v>
      </x:c>
      <x:c r="E1405" s="120" t="str">
        <x:f>IF(D1405="","",IFERROR(VLOOKUP(D1405,$A$2:$B$1656,2,FALSE),""))</x:f>
        <x:v>Liminal, Parallel &amp; Constructed Realms</x:v>
      </x:c>
      <x:c r="F1405" s="120" t="n">
        <x:v>3</x:v>
      </x:c>
      <x:c r="G1405" s="120" t="str">
        <x:v>A dungeon, tower, ruin, cave, or descending structure functioning as a self-contained ecosystem, civilization, cosmology, or progression world.</x:v>
      </x:c>
      <x:c r="H1405" s="120" t="str">
        <x:v>Scale, persistence, and internal order distinguish it from a mere adventure site.</x:v>
      </x:c>
      <x:c r="I1405" s="120" t="str">
        <x:v>infinite dungeon; tower world; abyss ecosystem</x:v>
      </x:c>
      <x:c r="J1405" s="120" t="str">
        <x:v>progression, resource economy, exploration</x:v>
      </x:c>
      <x:c r="K1405" s="120" t="str">
        <x:v>world dungeon; megadungeon</x:v>
      </x:c>
      <x:c r="L1405" s="120" t="str">
        <x:v>Preserve source-specific terminology, metaphysics, ritual context, and cultural ownership; use this family for comparison, not as a claim of historical equivalence.</x:v>
      </x:c>
      <x:c r="M1405" s="120" t="str">
        <x:v>Framework core</x:v>
      </x:c>
    </x:row>
    <x:row r="1406" ht="44" customHeight="1">
      <x:c r="A1406" s="119" t="str">
        <x:v>COS-409</x:v>
      </x:c>
      <x:c r="B1406" s="120" t="str">
        <x:v>Interior Realm within a Being or Artifact</x:v>
      </x:c>
      <x:c r="C1406" s="120" t="str">
        <x:v>Cosmologies, Realms &amp; Sacred Geography</x:v>
      </x:c>
      <x:c r="D1406" s="120" t="str">
        <x:v>COS-400</x:v>
      </x:c>
      <x:c r="E1406" s="120" t="str">
        <x:f>IF(D1406="","",IFERROR(VLOOKUP(D1406,$A$2:$B$1656,2,FALSE),""))</x:f>
        <x:v>Liminal, Parallel &amp; Constructed Realms</x:v>
      </x:c>
      <x:c r="F1406" s="120" t="n">
        <x:v>3</x:v>
      </x:c>
      <x:c r="G1406" s="120" t="str">
        <x:v>A traversable domain located within a creature, deity, machine, book, painting, weapon, or other bounded entity.</x:v>
      </x:c>
      <x:c r="H1406" s="120" t="str">
        <x:v>Interior scale and metaphysical relation are source-specific and may be symbolic or literal.</x:v>
      </x:c>
      <x:c r="I1406" s="120" t="str">
        <x:v>body world; painting realm; book universe</x:v>
      </x:c>
      <x:c r="J1406" s="120" t="str">
        <x:v>healing, rescue, revelation, surreal exploration</x:v>
      </x:c>
      <x:c r="K1406" s="120" t="str">
        <x:v>interior world; artifact realm</x:v>
      </x:c>
      <x:c r="L1406" s="120" t="str">
        <x:v>Preserve source-specific terminology, metaphysics, ritual context, and cultural ownership; use this family for comparison, not as a claim of historical equivalence.</x:v>
      </x:c>
      <x:c r="M1406" s="120" t="str">
        <x:v>Framework core</x:v>
      </x:c>
    </x:row>
    <x:row r="1407" ht="44" customHeight="1">
      <x:c r="A1407" s="119" t="str">
        <x:v>COS-410</x:v>
      </x:c>
      <x:c r="B1407" s="120" t="str">
        <x:v>Simulated or Constructed Reality</x:v>
      </x:c>
      <x:c r="C1407" s="120" t="str">
        <x:v>Cosmologies, Realms &amp; Sacred Geography</x:v>
      </x:c>
      <x:c r="D1407" s="120" t="str">
        <x:v>COS-400</x:v>
      </x:c>
      <x:c r="E1407" s="120" t="str">
        <x:f>IF(D1407="","",IFERROR(VLOOKUP(D1407,$A$2:$B$1656,2,FALSE),""))</x:f>
        <x:v>Liminal, Parallel &amp; Constructed Realms</x:v>
      </x:c>
      <x:c r="F1407" s="120" t="n">
        <x:v>3</x:v>
      </x:c>
      <x:c r="G1407" s="120" t="str">
        <x:v>A deliberately built world that reproduces, replaces, tests, or manipulates experienced reality through magic, technology, dream, or illusion.</x:v>
      </x:c>
      <x:c r="H1407" s="120" t="str">
        <x:v>A temporary illusion is not necessarily a full constructed reality.</x:v>
      </x:c>
      <x:c r="I1407" s="120" t="str">
        <x:v>virtual world; illusion prison; artificial cosmos</x:v>
      </x:c>
      <x:c r="J1407" s="120" t="str">
        <x:v>control, epistemic doubt, training, escape</x:v>
      </x:c>
      <x:c r="K1407" s="120" t="str">
        <x:v>constructed reality; simulation</x:v>
      </x:c>
      <x:c r="L1407" s="120" t="str">
        <x:v>Preserve source-specific terminology, metaphysics, ritual context, and cultural ownership; use this family for comparison, not as a claim of historical equivalence.</x:v>
      </x:c>
      <x:c r="M1407" s="120" t="str">
        <x:v>Framework core</x:v>
      </x:c>
    </x:row>
    <x:row r="1408" ht="44" customHeight="1">
      <x:c r="A1408" s="119" t="str">
        <x:v>COS-411</x:v>
      </x:c>
      <x:c r="B1408" s="120" t="str">
        <x:v>Threshold Zone</x:v>
      </x:c>
      <x:c r="C1408" s="120" t="str">
        <x:v>Cosmologies, Realms &amp; Sacred Geography</x:v>
      </x:c>
      <x:c r="D1408" s="120" t="str">
        <x:v>COS-400</x:v>
      </x:c>
      <x:c r="E1408" s="120" t="str">
        <x:f>IF(D1408="","",IFERROR(VLOOKUP(D1408,$A$2:$B$1656,2,FALSE),""))</x:f>
        <x:v>Liminal, Parallel &amp; Constructed Realms</x:v>
      </x:c>
      <x:c r="F1408" s="120" t="n">
        <x:v>3</x:v>
      </x:c>
      <x:c r="G1408" s="120" t="str">
        <x:v>A liminal space that is neither fully one realm nor another and whose rules arise from transition, ambiguity, or contested belonging.</x:v>
      </x:c>
      <x:c r="H1408" s="120" t="str">
        <x:v>Examples include shores, twilight roads, doorlands, borders, and stations between states.</x:v>
      </x:c>
      <x:c r="I1408" s="120" t="str">
        <x:v>twilight boundary; limbo road; between-place</x:v>
      </x:c>
      <x:c r="J1408" s="120" t="str">
        <x:v>encounter, transformation, negotiation</x:v>
      </x:c>
      <x:c r="K1408" s="120" t="str">
        <x:v>threshold realm; liminal zone</x:v>
      </x:c>
      <x:c r="L1408" s="120" t="str">
        <x:v>Preserve source-specific terminology, metaphysics, ritual context, and cultural ownership; use this family for comparison, not as a claim of historical equivalence.</x:v>
      </x:c>
      <x:c r="M1408" s="120" t="str">
        <x:v>Framework core</x:v>
      </x:c>
    </x:row>
    <x:row r="1409" ht="44" customHeight="1">
      <x:c r="A1409" s="119" t="str">
        <x:v>COS-412</x:v>
      </x:c>
      <x:c r="B1409" s="120" t="str">
        <x:v>Crossroads Realm</x:v>
      </x:c>
      <x:c r="C1409" s="120" t="str">
        <x:v>Cosmologies, Realms &amp; Sacred Geography</x:v>
      </x:c>
      <x:c r="D1409" s="120" t="str">
        <x:v>COS-400</x:v>
      </x:c>
      <x:c r="E1409" s="120" t="str">
        <x:f>IF(D1409="","",IFERROR(VLOOKUP(D1409,$A$2:$B$1656,2,FALSE),""))</x:f>
        <x:v>Liminal, Parallel &amp; Constructed Realms</x:v>
      </x:c>
      <x:c r="F1409" s="120" t="n">
        <x:v>3</x:v>
      </x:c>
      <x:c r="G1409" s="120" t="str">
        <x:v>A place where many paths, worlds, times, stories, or jurisdictions meet and choices redirect travelers among them.</x:v>
      </x:c>
      <x:c r="H1409" s="120" t="str">
        <x:v>The realm is defined by connectivity and decision rather than merely having roads.</x:v>
      </x:c>
      <x:c r="I1409" s="120" t="str">
        <x:v>world crossroads; nexus; junction city</x:v>
      </x:c>
      <x:c r="J1409" s="120" t="str">
        <x:v>travel, trade, chance meeting, fate choice</x:v>
      </x:c>
      <x:c r="K1409" s="120" t="str">
        <x:v>crossroads realm; nexus</x:v>
      </x:c>
      <x:c r="L1409" s="120" t="str">
        <x:v>Preserve source-specific terminology, metaphysics, ritual context, and cultural ownership; use this family for comparison, not as a claim of historical equivalence.</x:v>
      </x:c>
      <x:c r="M1409" s="120" t="str">
        <x:v>Framework core</x:v>
      </x:c>
    </x:row>
    <x:row r="1410" ht="44" customHeight="1">
      <x:c r="A1410" s="119" t="str">
        <x:v>COS-413</x:v>
      </x:c>
      <x:c r="B1410" s="120" t="str">
        <x:v>Seasonal Realm</x:v>
      </x:c>
      <x:c r="C1410" s="120" t="str">
        <x:v>Cosmologies, Realms &amp; Sacred Geography</x:v>
      </x:c>
      <x:c r="D1410" s="120" t="str">
        <x:v>COS-400</x:v>
      </x:c>
      <x:c r="E1410" s="120" t="str">
        <x:f>IF(D1410="","",IFERROR(VLOOKUP(D1410,$A$2:$B$1656,2,FALSE),""))</x:f>
        <x:v>Liminal, Parallel &amp; Constructed Realms</x:v>
      </x:c>
      <x:c r="F1410" s="120" t="n">
        <x:v>3</x:v>
      </x:c>
      <x:c r="G1410" s="120" t="str">
        <x:v>A domain fixed in, ruled by, or cycling through a season whose conditions shape inhabitants and access.</x:v>
      </x:c>
      <x:c r="H1410" s="120" t="str">
        <x:v>Season may be ecological, political, emotional, or cosmological.</x:v>
      </x:c>
      <x:c r="I1410" s="120" t="str">
        <x:v>eternal winter; summer court realm; autumn land</x:v>
      </x:c>
      <x:c r="J1410" s="120" t="str">
        <x:v>faction identity, mood, time cycle</x:v>
      </x:c>
      <x:c r="K1410" s="120" t="str">
        <x:v>season realm; eternal season</x:v>
      </x:c>
      <x:c r="L1410" s="120" t="str">
        <x:v>Preserve source-specific terminology, metaphysics, ritual context, and cultural ownership; use this family for comparison, not as a claim of historical equivalence.</x:v>
      </x:c>
      <x:c r="M1410" s="120" t="str">
        <x:v>Framework core</x:v>
      </x:c>
    </x:row>
    <x:row r="1411" ht="44" customHeight="1">
      <x:c r="A1411" s="119" t="str">
        <x:v>COS-414</x:v>
      </x:c>
      <x:c r="B1411" s="120" t="str">
        <x:v>Story or Text-Generated Realm</x:v>
      </x:c>
      <x:c r="C1411" s="120" t="str">
        <x:v>Cosmologies, Realms &amp; Sacred Geography</x:v>
      </x:c>
      <x:c r="D1411" s="120" t="str">
        <x:v>COS-400</x:v>
      </x:c>
      <x:c r="E1411" s="120" t="str">
        <x:f>IF(D1411="","",IFERROR(VLOOKUP(D1411,$A$2:$B$1656,2,FALSE),""))</x:f>
        <x:v>Liminal, Parallel &amp; Constructed Realms</x:v>
      </x:c>
      <x:c r="F1411" s="120" t="n">
        <x:v>3</x:v>
      </x:c>
      <x:c r="G1411" s="120" t="str">
        <x:v>A world produced, sustained, entered, or altered through narrative, books, performance, belief, or retelling.</x:v>
      </x:c>
      <x:c r="H1411" s="120" t="str">
        <x:v>It differs from an ordinary fictional setting because textuality is operative within the story.</x:v>
      </x:c>
      <x:c r="I1411" s="120" t="str">
        <x:v>book world; tale realm; narrative prison</x:v>
      </x:c>
      <x:c r="J1411" s="120" t="str">
        <x:v>metafiction, identity, revision</x:v>
      </x:c>
      <x:c r="K1411" s="120" t="str">
        <x:v>story world; textual realm</x:v>
      </x:c>
      <x:c r="L1411" s="120" t="str">
        <x:v>Preserve source-specific terminology, metaphysics, ritual context, and cultural ownership; use this family for comparison, not as a claim of historical equivalence.</x:v>
      </x:c>
      <x:c r="M1411" s="120" t="str">
        <x:v>Framework core</x:v>
      </x:c>
    </x:row>
    <x:row r="1412" ht="44" customHeight="1">
      <x:c r="A1412" s="119" t="str">
        <x:v>COS-415</x:v>
      </x:c>
      <x:c r="B1412" s="120" t="str">
        <x:v>Personal Domain or Inner World</x:v>
      </x:c>
      <x:c r="C1412" s="120" t="str">
        <x:v>Cosmologies, Realms &amp; Sacred Geography</x:v>
      </x:c>
      <x:c r="D1412" s="120" t="str">
        <x:v>COS-400</x:v>
      </x:c>
      <x:c r="E1412" s="120" t="str">
        <x:f>IF(D1412="","",IFERROR(VLOOKUP(D1412,$A$2:$B$1656,2,FALSE),""))</x:f>
        <x:v>Liminal, Parallel &amp; Constructed Realms</x:v>
      </x:c>
      <x:c r="F1412" s="120" t="n">
        <x:v>3</x:v>
      </x:c>
      <x:c r="G1412" s="120" t="str">
        <x:v>A realm generated from or governed by an individual's mind, soul, power, trauma, cultivation, or authority.</x:v>
      </x:c>
      <x:c r="H1412" s="120" t="str">
        <x:v>It may be private, expandable, contested, or projected outward.</x:v>
      </x:c>
      <x:c r="I1412" s="120" t="str">
        <x:v>soulscape; mind palace; domain expansion</x:v>
      </x:c>
      <x:c r="J1412" s="120" t="str">
        <x:v>self-confrontation, training, power expression</x:v>
      </x:c>
      <x:c r="K1412" s="120" t="str">
        <x:v>inner world; personal realm</x:v>
      </x:c>
      <x:c r="L1412" s="120" t="str">
        <x:v>Preserve source-specific terminology, metaphysics, ritual context, and cultural ownership; use this family for comparison, not as a claim of historical equivalence.</x:v>
      </x:c>
      <x:c r="M1412" s="120" t="str">
        <x:v>Framework core</x:v>
      </x:c>
    </x:row>
    <x:row r="1413" ht="44" customHeight="1">
      <x:c r="A1413" s="119" t="str">
        <x:v>COS-501</x:v>
      </x:c>
      <x:c r="B1413" s="120" t="str">
        <x:v>Sacred Mountain</x:v>
      </x:c>
      <x:c r="C1413" s="120" t="str">
        <x:v>Cosmologies, Realms &amp; Sacred Geography</x:v>
      </x:c>
      <x:c r="D1413" s="120" t="str">
        <x:v>COS-500</x:v>
      </x:c>
      <x:c r="E1413" s="120" t="str">
        <x:f>IF(D1413="","",IFERROR(VLOOKUP(D1413,$A$2:$B$1656,2,FALSE),""))</x:f>
        <x:v>Sacred Geography &amp; World Anchors</x:v>
      </x:c>
      <x:c r="F1413" s="120" t="n">
        <x:v>3</x:v>
      </x:c>
      <x:c r="G1413" s="120" t="str">
        <x:v>A mountain revered as divine residence, cosmic center, ancestor place, pilgrimage goal, source of law, or site of revelation.</x:v>
      </x:c>
      <x:c r="H1413" s="120" t="str">
        <x:v>Do not treat all sacred mountains as interchangeable world-axis motifs.</x:v>
      </x:c>
      <x:c r="I1413" s="120" t="str">
        <x:v>holy peak; mountain shrine; god mountain</x:v>
      </x:c>
      <x:c r="J1413" s="120" t="str">
        <x:v>pilgrimage, ascent, revelation, boundary</x:v>
      </x:c>
      <x:c r="K1413" s="120" t="str">
        <x:v>sacred mountain; holy peak</x:v>
      </x:c>
      <x:c r="L1413" s="120" t="str">
        <x:v>Preserve source-specific terminology, metaphysics, ritual context, and cultural ownership; use this family for comparison, not as a claim of historical equivalence.</x:v>
      </x:c>
      <x:c r="M1413" s="120" t="str">
        <x:v>Framework core</x:v>
      </x:c>
    </x:row>
    <x:row r="1414" ht="44" customHeight="1">
      <x:c r="A1414" s="119" t="str">
        <x:v>COS-502</x:v>
      </x:c>
      <x:c r="B1414" s="120" t="str">
        <x:v>Sacred River or Waters</x:v>
      </x:c>
      <x:c r="C1414" s="120" t="str">
        <x:v>Cosmologies, Realms &amp; Sacred Geography</x:v>
      </x:c>
      <x:c r="D1414" s="120" t="str">
        <x:v>COS-500</x:v>
      </x:c>
      <x:c r="E1414" s="120" t="str">
        <x:f>IF(D1414="","",IFERROR(VLOOKUP(D1414,$A$2:$B$1656,2,FALSE),""))</x:f>
        <x:v>Sacred Geography &amp; World Anchors</x:v>
      </x:c>
      <x:c r="F1414" s="120" t="n">
        <x:v>3</x:v>
      </x:c>
      <x:c r="G1414" s="120" t="str">
        <x:v>A river, spring, lake, sea, or confluence with ritual, purifying, ancestral, divine, healing, or cosmological significance.</x:v>
      </x:c>
      <x:c r="H1414" s="120" t="str">
        <x:v>Water's sacred meaning is source-specific and may coexist with danger or pollution.</x:v>
      </x:c>
      <x:c r="I1414" s="120" t="str">
        <x:v>holy river; healing spring; sacred confluence</x:v>
      </x:c>
      <x:c r="J1414" s="120" t="str">
        <x:v>pilgrimage, purification, boundary, sustenance</x:v>
      </x:c>
      <x:c r="K1414" s="120" t="str">
        <x:v>sacred waters; holy river</x:v>
      </x:c>
      <x:c r="L1414" s="120" t="str">
        <x:v>Preserve source-specific terminology, metaphysics, ritual context, and cultural ownership; use this family for comparison, not as a claim of historical equivalence.</x:v>
      </x:c>
      <x:c r="M1414" s="120" t="str">
        <x:v>Framework core</x:v>
      </x:c>
    </x:row>
    <x:row r="1415" ht="44" customHeight="1">
      <x:c r="A1415" s="119" t="str">
        <x:v>COS-503</x:v>
      </x:c>
      <x:c r="B1415" s="120" t="str">
        <x:v>Sacred Forest or Grove</x:v>
      </x:c>
      <x:c r="C1415" s="120" t="str">
        <x:v>Cosmologies, Realms &amp; Sacred Geography</x:v>
      </x:c>
      <x:c r="D1415" s="120" t="str">
        <x:v>COS-500</x:v>
      </x:c>
      <x:c r="E1415" s="120" t="str">
        <x:f>IF(D1415="","",IFERROR(VLOOKUP(D1415,$A$2:$B$1656,2,FALSE),""))</x:f>
        <x:v>Sacred Geography &amp; World Anchors</x:v>
      </x:c>
      <x:c r="F1415" s="120" t="n">
        <x:v>3</x:v>
      </x:c>
      <x:c r="G1415" s="120" t="str">
        <x:v>A forested place protected, inhabited, or constituted by divine, ancestral, spirit, ecological, or ritual presence.</x:v>
      </x:c>
      <x:c r="H1415" s="120" t="str">
        <x:v>It is not simply an untouched wilderness or generic druid biome.</x:v>
      </x:c>
      <x:c r="I1415" s="120" t="str">
        <x:v>holy grove; spirit forest; forbidden wood</x:v>
      </x:c>
      <x:c r="J1415" s="120" t="str">
        <x:v>worship, taboo, refuge, encounter</x:v>
      </x:c>
      <x:c r="K1415" s="120" t="str">
        <x:v>sacred grove; holy forest</x:v>
      </x:c>
      <x:c r="L1415" s="120" t="str">
        <x:v>Preserve source-specific terminology, metaphysics, ritual context, and cultural ownership; use this family for comparison, not as a claim of historical equivalence.</x:v>
      </x:c>
      <x:c r="M1415" s="120" t="str">
        <x:v>Framework core</x:v>
      </x:c>
    </x:row>
    <x:row r="1416" ht="44" customHeight="1">
      <x:c r="A1416" s="119" t="str">
        <x:v>COS-504</x:v>
      </x:c>
      <x:c r="B1416" s="120" t="str">
        <x:v>Holy City or Cosmic Capital</x:v>
      </x:c>
      <x:c r="C1416" s="120" t="str">
        <x:v>Cosmologies, Realms &amp; Sacred Geography</x:v>
      </x:c>
      <x:c r="D1416" s="120" t="str">
        <x:v>COS-500</x:v>
      </x:c>
      <x:c r="E1416" s="120" t="str">
        <x:f>IF(D1416="","",IFERROR(VLOOKUP(D1416,$A$2:$B$1656,2,FALSE),""))</x:f>
        <x:v>Sacred Geography &amp; World Anchors</x:v>
      </x:c>
      <x:c r="F1416" s="120" t="n">
        <x:v>3</x:v>
      </x:c>
      <x:c r="G1416" s="120" t="str">
        <x:v>A city whose political, ritual, pilgrimage, cosmological, or divine significance makes it a center of worlds or sacred history.</x:v>
      </x:c>
      <x:c r="H1416" s="120" t="str">
        <x:v>Sacred centrality need not imply universal authority.</x:v>
      </x:c>
      <x:c r="I1416" s="120" t="str">
        <x:v>temple city; divine capital; world city</x:v>
      </x:c>
      <x:c r="J1416" s="120" t="str">
        <x:v>pilgrimage, governance, revelation, conflict</x:v>
      </x:c>
      <x:c r="K1416" s="120" t="str">
        <x:v>holy city; cosmic capital</x:v>
      </x:c>
      <x:c r="L1416" s="120" t="str">
        <x:v>Preserve source-specific terminology, metaphysics, ritual context, and cultural ownership; use this family for comparison, not as a claim of historical equivalence.</x:v>
      </x:c>
      <x:c r="M1416" s="120" t="str">
        <x:v>Framework core</x:v>
      </x:c>
    </x:row>
    <x:row r="1417" ht="44" customHeight="1">
      <x:c r="A1417" s="119" t="str">
        <x:v>COS-505</x:v>
      </x:c>
      <x:c r="B1417" s="120" t="str">
        <x:v>Temple-Centered Cosmos</x:v>
      </x:c>
      <x:c r="C1417" s="120" t="str">
        <x:v>Cosmologies, Realms &amp; Sacred Geography</x:v>
      </x:c>
      <x:c r="D1417" s="120" t="str">
        <x:v>COS-500</x:v>
      </x:c>
      <x:c r="E1417" s="120" t="str">
        <x:f>IF(D1417="","",IFERROR(VLOOKUP(D1417,$A$2:$B$1656,2,FALSE),""))</x:f>
        <x:v>Sacred Geography &amp; World Anchors</x:v>
      </x:c>
      <x:c r="F1417" s="120" t="n">
        <x:v>3</x:v>
      </x:c>
      <x:c r="G1417" s="120" t="str">
        <x:v>A worldview in which a temple, shrine, palace, or ritual complex reproduces and mediates the structure of the universe.</x:v>
      </x:c>
      <x:c r="H1417" s="120" t="str">
        <x:v>The building is active cosmological infrastructure, not just symbolic decoration.</x:v>
      </x:c>
      <x:c r="I1417" s="120" t="str">
        <x:v>temple mountain; shrine cosmos; sacred precinct</x:v>
      </x:c>
      <x:c r="J1417" s="120" t="str">
        <x:v>ritual maintenance, kingship, divine presence</x:v>
      </x:c>
      <x:c r="K1417" s="120" t="str">
        <x:v>cosmic temple; temple-world</x:v>
      </x:c>
      <x:c r="L1417" s="120" t="str">
        <x:v>Preserve source-specific terminology, metaphysics, ritual context, and cultural ownership; use this family for comparison, not as a claim of historical equivalence.</x:v>
      </x:c>
      <x:c r="M1417" s="120" t="str">
        <x:v>Framework core</x:v>
      </x:c>
    </x:row>
    <x:row r="1418" ht="44" customHeight="1">
      <x:c r="A1418" s="119" t="str">
        <x:v>COS-506</x:v>
      </x:c>
      <x:c r="B1418" s="120" t="str">
        <x:v>Pilgrimage Network</x:v>
      </x:c>
      <x:c r="C1418" s="120" t="str">
        <x:v>Cosmologies, Realms &amp; Sacred Geography</x:v>
      </x:c>
      <x:c r="D1418" s="120" t="str">
        <x:v>COS-500</x:v>
      </x:c>
      <x:c r="E1418" s="120" t="str">
        <x:f>IF(D1418="","",IFERROR(VLOOKUP(D1418,$A$2:$B$1656,2,FALSE),""))</x:f>
        <x:v>Sacred Geography &amp; World Anchors</x:v>
      </x:c>
      <x:c r="F1418" s="120" t="n">
        <x:v>3</x:v>
      </x:c>
      <x:c r="G1418" s="120" t="str">
        <x:v>A connected sacred geography of routes, shrines, rivers, mountains, tombs, and crossings whose traversal has religious or transformative meaning.</x:v>
      </x:c>
      <x:c r="H1418" s="120" t="str">
        <x:v>The network is not reducible to a set of fast-travel points.</x:v>
      </x:c>
      <x:c r="I1418" s="120" t="str">
        <x:v>holy circuit; sacred road; tīrtha network</x:v>
      </x:c>
      <x:c r="J1418" s="120" t="str">
        <x:v>merit, identity, healing, social exchange</x:v>
      </x:c>
      <x:c r="K1418" s="120" t="str">
        <x:v>pilgrimage route; sacred circuit</x:v>
      </x:c>
      <x:c r="L1418" s="120" t="str">
        <x:v>Preserve source-specific terminology, metaphysics, ritual context, and cultural ownership; use this family for comparison, not as a claim of historical equivalence.</x:v>
      </x:c>
      <x:c r="M1418" s="120" t="str">
        <x:v>Framework core</x:v>
      </x:c>
    </x:row>
    <x:row r="1419" ht="44" customHeight="1">
      <x:c r="A1419" s="119" t="str">
        <x:v>COS-507</x:v>
      </x:c>
      <x:c r="B1419" s="120" t="str">
        <x:v>Sacred Crossing or Ford</x:v>
      </x:c>
      <x:c r="C1419" s="120" t="str">
        <x:v>Cosmologies, Realms &amp; Sacred Geography</x:v>
      </x:c>
      <x:c r="D1419" s="120" t="str">
        <x:v>COS-500</x:v>
      </x:c>
      <x:c r="E1419" s="120" t="str">
        <x:f>IF(D1419="","",IFERROR(VLOOKUP(D1419,$A$2:$B$1656,2,FALSE),""))</x:f>
        <x:v>Sacred Geography &amp; World Anchors</x:v>
      </x:c>
      <x:c r="F1419" s="120" t="n">
        <x:v>3</x:v>
      </x:c>
      <x:c r="G1419" s="120" t="str">
        <x:v>A place where physical crossing also enables ritual passage, purification, divine contact, social transition, or access between worlds.</x:v>
      </x:c>
      <x:c r="H1419" s="120" t="str">
        <x:v>The comparative family includes source-specific crossing concepts without equating their theology.</x:v>
      </x:c>
      <x:c r="I1419" s="120" t="str">
        <x:v>holy ford; bridge shrine; crossing place</x:v>
      </x:c>
      <x:c r="J1419" s="120" t="str">
        <x:v>passage, pilgrimage, boundary</x:v>
      </x:c>
      <x:c r="K1419" s="120" t="str">
        <x:v>sacred crossing; holy ford</x:v>
      </x:c>
      <x:c r="L1419" s="120" t="str">
        <x:v>Preserve source-specific terminology, metaphysics, ritual context, and cultural ownership; use this family for comparison, not as a claim of historical equivalence.</x:v>
      </x:c>
      <x:c r="M1419" s="120" t="str">
        <x:v>Framework core</x:v>
      </x:c>
    </x:row>
    <x:row r="1420" ht="44" customHeight="1">
      <x:c r="A1420" s="119" t="str">
        <x:v>COS-508</x:v>
      </x:c>
      <x:c r="B1420" s="120" t="str">
        <x:v>Forbidden Land</x:v>
      </x:c>
      <x:c r="C1420" s="120" t="str">
        <x:v>Cosmologies, Realms &amp; Sacred Geography</x:v>
      </x:c>
      <x:c r="D1420" s="120" t="str">
        <x:v>COS-500</x:v>
      </x:c>
      <x:c r="E1420" s="120" t="str">
        <x:f>IF(D1420="","",IFERROR(VLOOKUP(D1420,$A$2:$B$1656,2,FALSE),""))</x:f>
        <x:v>Sacred Geography &amp; World Anchors</x:v>
      </x:c>
      <x:c r="F1420" s="120" t="n">
        <x:v>3</x:v>
      </x:c>
      <x:c r="G1420" s="120" t="str">
        <x:v>A place barred by divine law, taboo, danger, secrecy, ritual restriction, or inherited prohibition.</x:v>
      </x:c>
      <x:c r="H1420" s="120" t="str">
        <x:v>Forbiddenness may protect inhabitants, outsiders, or cosmological order.</x:v>
      </x:c>
      <x:c r="I1420" s="120" t="str">
        <x:v>sealed valley; taboo island; no-man's sacred land</x:v>
      </x:c>
      <x:c r="J1420" s="120" t="str">
        <x:v>boundary, transgression, discovery</x:v>
      </x:c>
      <x:c r="K1420" s="120" t="str">
        <x:v>forbidden land; taboo place</x:v>
      </x:c>
      <x:c r="L1420" s="120" t="str">
        <x:v>Preserve source-specific terminology, metaphysics, ritual context, and cultural ownership; use this family for comparison, not as a claim of historical equivalence.</x:v>
      </x:c>
      <x:c r="M1420" s="120" t="str">
        <x:v>Framework core</x:v>
      </x:c>
    </x:row>
    <x:row r="1421" ht="44" customHeight="1">
      <x:c r="A1421" s="119" t="str">
        <x:v>COS-509</x:v>
      </x:c>
      <x:c r="B1421" s="120" t="str">
        <x:v>Cursed or Blighted Land</x:v>
      </x:c>
      <x:c r="C1421" s="120" t="str">
        <x:v>Cosmologies, Realms &amp; Sacred Geography</x:v>
      </x:c>
      <x:c r="D1421" s="120" t="str">
        <x:v>COS-500</x:v>
      </x:c>
      <x:c r="E1421" s="120" t="str">
        <x:f>IF(D1421="","",IFERROR(VLOOKUP(D1421,$A$2:$B$1656,2,FALSE),""))</x:f>
        <x:v>Sacred Geography &amp; World Anchors</x:v>
      </x:c>
      <x:c r="F1421" s="120" t="n">
        <x:v>3</x:v>
      </x:c>
      <x:c r="G1421" s="120" t="str">
        <x:v>A landscape altered by curse, pollution, war, death, divine disfavor, corruption, or broken covenant.</x:v>
      </x:c>
      <x:c r="H1421" s="120" t="str">
        <x:v>The land may retain agency and recovery conditions.</x:v>
      </x:c>
      <x:c r="I1421" s="120" t="str">
        <x:v>wasteland; haunted battlefield; poisoned kingdom</x:v>
      </x:c>
      <x:c r="J1421" s="120" t="str">
        <x:v>environmental stakes, restoration, exile</x:v>
      </x:c>
      <x:c r="K1421" s="120" t="str">
        <x:v>cursed land; blighted realm</x:v>
      </x:c>
      <x:c r="L1421" s="120" t="str">
        <x:v>Preserve source-specific terminology, metaphysics, ritual context, and cultural ownership; use this family for comparison, not as a claim of historical equivalence.</x:v>
      </x:c>
      <x:c r="M1421" s="120" t="str">
        <x:v>Framework core</x:v>
      </x:c>
    </x:row>
    <x:row r="1422" ht="44" customHeight="1">
      <x:c r="A1422" s="119" t="str">
        <x:v>COS-510</x:v>
      </x:c>
      <x:c r="B1422" s="120" t="str">
        <x:v>Wounded Land</x:v>
      </x:c>
      <x:c r="C1422" s="120" t="str">
        <x:v>Cosmologies, Realms &amp; Sacred Geography</x:v>
      </x:c>
      <x:c r="D1422" s="120" t="str">
        <x:v>COS-500</x:v>
      </x:c>
      <x:c r="E1422" s="120" t="str">
        <x:f>IF(D1422="","",IFERROR(VLOOKUP(D1422,$A$2:$B$1656,2,FALSE),""))</x:f>
        <x:v>Sacred Geography &amp; World Anchors</x:v>
      </x:c>
      <x:c r="F1422" s="120" t="n">
        <x:v>3</x:v>
      </x:c>
      <x:c r="G1422" s="120" t="str">
        <x:v>A landscape whose fertility, weather, health, or coherence reflects injury to ruler, community, covenant, sacred object, or cosmic balance.</x:v>
      </x:c>
      <x:c r="H1422" s="120" t="str">
        <x:v>It is a relational narrative pattern, not merely ecological damage.</x:v>
      </x:c>
      <x:c r="I1422" s="120" t="str">
        <x:v>barren kingdom; sick earth; broken season</x:v>
      </x:c>
      <x:c r="J1422" s="120" t="str">
        <x:v>restoration quest, kingship critique</x:v>
      </x:c>
      <x:c r="K1422" s="120" t="str">
        <x:v>wounded land; barren realm</x:v>
      </x:c>
      <x:c r="L1422" s="120" t="str">
        <x:v>Preserve source-specific terminology, metaphysics, ritual context, and cultural ownership; use this family for comparison, not as a claim of historical equivalence.</x:v>
      </x:c>
      <x:c r="M1422" s="120" t="str">
        <x:v>Framework core</x:v>
      </x:c>
    </x:row>
    <x:row r="1423" ht="44" customHeight="1">
      <x:c r="A1423" s="119" t="str">
        <x:v>COS-511</x:v>
      </x:c>
      <x:c r="B1423" s="120" t="str">
        <x:v>Living Landscape</x:v>
      </x:c>
      <x:c r="C1423" s="120" t="str">
        <x:v>Cosmologies, Realms &amp; Sacred Geography</x:v>
      </x:c>
      <x:c r="D1423" s="120" t="str">
        <x:v>COS-500</x:v>
      </x:c>
      <x:c r="E1423" s="120" t="str">
        <x:f>IF(D1423="","",IFERROR(VLOOKUP(D1423,$A$2:$B$1656,2,FALSE),""))</x:f>
        <x:v>Sacred Geography &amp; World Anchors</x:v>
      </x:c>
      <x:c r="F1423" s="120" t="n">
        <x:v>3</x:v>
      </x:c>
      <x:c r="G1423" s="120" t="str">
        <x:v>A place that perceives, remembers, chooses, grows, moves, communicates, or responds as a living or personal being.</x:v>
      </x:c>
      <x:c r="H1423" s="120" t="str">
        <x:v>Personhood and agency must be source-attested rather than assumed from poetic description.</x:v>
      </x:c>
      <x:c r="I1423" s="120" t="str">
        <x:v>sentient forest; walking island; conscious desert</x:v>
      </x:c>
      <x:c r="J1423" s="120" t="str">
        <x:v>ecology, negotiation, threat, companionship</x:v>
      </x:c>
      <x:c r="K1423" s="120" t="str">
        <x:v>living land; sentient landscape</x:v>
      </x:c>
      <x:c r="L1423" s="120" t="str">
        <x:v>Preserve source-specific terminology, metaphysics, ritual context, and cultural ownership; use this family for comparison, not as a claim of historical equivalence.</x:v>
      </x:c>
      <x:c r="M1423" s="120" t="str">
        <x:v>Framework core</x:v>
      </x:c>
    </x:row>
    <x:row r="1424" ht="44" customHeight="1">
      <x:c r="A1424" s="119" t="str">
        <x:v>COS-512</x:v>
      </x:c>
      <x:c r="B1424" s="120" t="str">
        <x:v>World Heart or Core</x:v>
      </x:c>
      <x:c r="C1424" s="120" t="str">
        <x:v>Cosmologies, Realms &amp; Sacred Geography</x:v>
      </x:c>
      <x:c r="D1424" s="120" t="str">
        <x:v>COS-500</x:v>
      </x:c>
      <x:c r="E1424" s="120" t="str">
        <x:f>IF(D1424="","",IFERROR(VLOOKUP(D1424,$A$2:$B$1656,2,FALSE),""))</x:f>
        <x:v>Sacred Geography &amp; World Anchors</x:v>
      </x:c>
      <x:c r="F1424" s="120" t="n">
        <x:v>3</x:v>
      </x:c>
      <x:c r="G1424" s="120" t="str">
        <x:v>A central place, object, organism, flame, tree, crystal, or engine that sustains the world or a bounded realm.</x:v>
      </x:c>
      <x:c r="H1424" s="120" t="str">
        <x:v>The heart is infrastructure, not merely a symbolic center.</x:v>
      </x:c>
      <x:c r="I1424" s="120" t="str">
        <x:v>world core; realm heart; central flame</x:v>
      </x:c>
      <x:c r="J1424" s="120" t="str">
        <x:v>stability, vulnerability, restoration</x:v>
      </x:c>
      <x:c r="K1424" s="120" t="str">
        <x:v>world heart; realm core</x:v>
      </x:c>
      <x:c r="L1424" s="120" t="str">
        <x:v>Preserve source-specific terminology, metaphysics, ritual context, and cultural ownership; use this family for comparison, not as a claim of historical equivalence.</x:v>
      </x:c>
      <x:c r="M1424" s="120" t="str">
        <x:v>Framework core</x:v>
      </x:c>
    </x:row>
    <x:row r="1425" ht="44" customHeight="1">
      <x:c r="A1425" s="119" t="str">
        <x:v>COS-513</x:v>
      </x:c>
      <x:c r="B1425" s="120" t="str">
        <x:v>Ley-Line or Sacred-Energy Network</x:v>
      </x:c>
      <x:c r="C1425" s="120" t="str">
        <x:v>Cosmologies, Realms &amp; Sacred Geography</x:v>
      </x:c>
      <x:c r="D1425" s="120" t="str">
        <x:v>COS-500</x:v>
      </x:c>
      <x:c r="E1425" s="120" t="str">
        <x:f>IF(D1425="","",IFERROR(VLOOKUP(D1425,$A$2:$B$1656,2,FALSE),""))</x:f>
        <x:v>Sacred Geography &amp; World Anchors</x:v>
      </x:c>
      <x:c r="F1425" s="120" t="n">
        <x:v>3</x:v>
      </x:c>
      <x:c r="G1425" s="120" t="str">
        <x:v>A network of routes, currents, nodes, veins, dragon paths, or sacred alignments through which power or vitality moves across the landscape.</x:v>
      </x:c>
      <x:c r="H1425" s="120" t="str">
        <x:v>Do not retroactively label culture-specific sacred geographies as 'ley lines' without source evidence.</x:v>
      </x:c>
      <x:c r="I1425" s="120" t="str">
        <x:v>mana lines; earth veins; dragon roads</x:v>
      </x:c>
      <x:c r="J1425" s="120" t="str">
        <x:v>magic geography, settlement, travel, conflict</x:v>
      </x:c>
      <x:c r="K1425" s="120" t="str">
        <x:v>ley lines; power network</x:v>
      </x:c>
      <x:c r="L1425" s="120" t="str">
        <x:v>Preserve source-specific terminology, metaphysics, ritual context, and cultural ownership; use this family for comparison, not as a claim of historical equivalence.</x:v>
      </x:c>
      <x:c r="M1425" s="120" t="str">
        <x:v>Framework core</x:v>
      </x:c>
    </x:row>
    <x:row r="1426" ht="44" customHeight="1">
      <x:c r="A1426" s="119" t="str">
        <x:v>COS-514</x:v>
      </x:c>
      <x:c r="B1426" s="120" t="str">
        <x:v>Sacred Island</x:v>
      </x:c>
      <x:c r="C1426" s="120" t="str">
        <x:v>Cosmologies, Realms &amp; Sacred Geography</x:v>
      </x:c>
      <x:c r="D1426" s="120" t="str">
        <x:v>COS-500</x:v>
      </x:c>
      <x:c r="E1426" s="120" t="str">
        <x:f>IF(D1426="","",IFERROR(VLOOKUP(D1426,$A$2:$B$1656,2,FALSE),""))</x:f>
        <x:v>Sacred Geography &amp; World Anchors</x:v>
      </x:c>
      <x:c r="F1426" s="120" t="n">
        <x:v>3</x:v>
      </x:c>
      <x:c r="G1426" s="120" t="str">
        <x:v>An island associated with gods, ancestors, immortals, healing, exile, initiation, hidden knowledge, or otherworld transition.</x:v>
      </x:c>
      <x:c r="H1426" s="120" t="str">
        <x:v>Isolation and sacred function are both important.</x:v>
      </x:c>
      <x:c r="I1426" s="120" t="str">
        <x:v>isle of blessed; immortal island; hidden sanctuary</x:v>
      </x:c>
      <x:c r="J1426" s="120" t="str">
        <x:v>pilgrimage, refuge, revelation</x:v>
      </x:c>
      <x:c r="K1426" s="120" t="str">
        <x:v>sacred island; blessed isle</x:v>
      </x:c>
      <x:c r="L1426" s="120" t="str">
        <x:v>Preserve source-specific terminology, metaphysics, ritual context, and cultural ownership; use this family for comparison, not as a claim of historical equivalence.</x:v>
      </x:c>
      <x:c r="M1426" s="120" t="str">
        <x:v>Framework core</x:v>
      </x:c>
    </x:row>
    <x:row r="1427" ht="44" customHeight="1">
      <x:c r="A1427" s="119" t="str">
        <x:v>COS-515</x:v>
      </x:c>
      <x:c r="B1427" s="120" t="str">
        <x:v>Cosmic Battlefield</x:v>
      </x:c>
      <x:c r="C1427" s="120" t="str">
        <x:v>Cosmologies, Realms &amp; Sacred Geography</x:v>
      </x:c>
      <x:c r="D1427" s="120" t="str">
        <x:v>COS-500</x:v>
      </x:c>
      <x:c r="E1427" s="120" t="str">
        <x:f>IF(D1427="","",IFERROR(VLOOKUP(D1427,$A$2:$B$1656,2,FALSE),""))</x:f>
        <x:v>Sacred Geography &amp; World Anchors</x:v>
      </x:c>
      <x:c r="F1427" s="120" t="n">
        <x:v>3</x:v>
      </x:c>
      <x:c r="G1427" s="120" t="str">
        <x:v>A place where conflicts among gods, primordial beings, dynasties, or world-ordering forces acquire permanent sacred and cosmological significance.</x:v>
      </x:c>
      <x:c r="H1427" s="120" t="str">
        <x:v>Not every large battle site becomes sacred geography.</x:v>
      </x:c>
      <x:c r="I1427" s="120" t="str">
        <x:v>holy battlefield; field of destiny; final plain</x:v>
      </x:c>
      <x:c r="J1427" s="120" t="str">
        <x:v>memory, pilgrimage, fate, revelation</x:v>
      </x:c>
      <x:c r="K1427" s="120" t="str">
        <x:v>cosmic battlefield; sacred war field</x:v>
      </x:c>
      <x:c r="L1427" s="120" t="str">
        <x:v>Preserve source-specific terminology, metaphysics, ritual context, and cultural ownership; use this family for comparison, not as a claim of historical equivalence.</x:v>
      </x:c>
      <x:c r="M1427" s="120" t="str">
        <x:v>Framework core</x:v>
      </x:c>
    </x:row>
    <x:row r="1428" ht="44" customHeight="1">
      <x:c r="A1428" s="119" t="str">
        <x:v>COS-516</x:v>
      </x:c>
      <x:c r="B1428" s="120" t="str">
        <x:v>Ancestral Homeland</x:v>
      </x:c>
      <x:c r="C1428" s="120" t="str">
        <x:v>Cosmologies, Realms &amp; Sacred Geography</x:v>
      </x:c>
      <x:c r="D1428" s="120" t="str">
        <x:v>COS-500</x:v>
      </x:c>
      <x:c r="E1428" s="120" t="str">
        <x:f>IF(D1428="","",IFERROR(VLOOKUP(D1428,$A$2:$B$1656,2,FALSE),""))</x:f>
        <x:v>Sacred Geography &amp; World Anchors</x:v>
      </x:c>
      <x:c r="F1428" s="120" t="n">
        <x:v>3</x:v>
      </x:c>
      <x:c r="G1428" s="120" t="str">
        <x:v>A place whose land, graves, origins, migration memory, law, or spiritual relations ground collective identity and obligation.</x:v>
      </x:c>
      <x:c r="H1428" s="120" t="str">
        <x:v>Avoid using the term abstractly where living communities claim real sacred relationships to land.</x:v>
      </x:c>
      <x:c r="I1428" s="120" t="str">
        <x:v>origin land; burial ground; clan mountain</x:v>
      </x:c>
      <x:c r="J1428" s="120" t="str">
        <x:v>identity, return, sovereignty, memory</x:v>
      </x:c>
      <x:c r="K1428" s="120" t="str">
        <x:v>ancestral homeland; origin place</x:v>
      </x:c>
      <x:c r="L1428" s="120" t="str">
        <x:v>Preserve source-specific terminology, metaphysics, ritual context, and cultural ownership; use this family for comparison, not as a claim of historical equivalence.</x:v>
      </x:c>
      <x:c r="M1428" s="120" t="str">
        <x:v>Framework core</x:v>
      </x:c>
    </x:row>
    <x:row r="1429" ht="44" customHeight="1">
      <x:c r="A1429" s="119" t="str">
        <x:v>COS-517</x:v>
      </x:c>
      <x:c r="B1429" s="120" t="str">
        <x:v>Borderland Between Worlds</x:v>
      </x:c>
      <x:c r="C1429" s="120" t="str">
        <x:v>Cosmologies, Realms &amp; Sacred Geography</x:v>
      </x:c>
      <x:c r="D1429" s="120" t="str">
        <x:v>COS-500</x:v>
      </x:c>
      <x:c r="E1429" s="120" t="str">
        <x:f>IF(D1429="","",IFERROR(VLOOKUP(D1429,$A$2:$B$1656,2,FALSE),""))</x:f>
        <x:v>Sacred Geography &amp; World Anchors</x:v>
      </x:c>
      <x:c r="F1429" s="120" t="n">
        <x:v>3</x:v>
      </x:c>
      <x:c r="G1429" s="120" t="str">
        <x:v>A physical region where mortal, spirit, divine, faerie, dead, or monstrous worlds overlap and ordinary distinctions weaken.</x:v>
      </x:c>
      <x:c r="H1429" s="120" t="str">
        <x:v>It is geographical and sustained, unlike a brief threshold event.</x:v>
      </x:c>
      <x:c r="I1429" s="120" t="str">
        <x:v>twilight march; spirit frontier; haunted coast</x:v>
      </x:c>
      <x:c r="J1429" s="120" t="str">
        <x:v>encounter, hybridity, danger, mediation</x:v>
      </x:c>
      <x:c r="K1429" s="120" t="str">
        <x:v>borderland; liminal frontier</x:v>
      </x:c>
      <x:c r="L1429" s="120" t="str">
        <x:v>Preserve source-specific terminology, metaphysics, ritual context, and cultural ownership; use this family for comparison, not as a claim of historical equivalence.</x:v>
      </x:c>
      <x:c r="M1429" s="120" t="str">
        <x:v>Framework core</x:v>
      </x:c>
    </x:row>
    <x:row r="1430" ht="44" customHeight="1">
      <x:c r="A1430" s="119" t="str">
        <x:v>COS-518</x:v>
      </x:c>
      <x:c r="B1430" s="120" t="str">
        <x:v>Undersea Realm</x:v>
      </x:c>
      <x:c r="C1430" s="120" t="str">
        <x:v>Cosmologies, Realms &amp; Sacred Geography</x:v>
      </x:c>
      <x:c r="D1430" s="120" t="str">
        <x:v>COS-500</x:v>
      </x:c>
      <x:c r="E1430" s="120" t="str">
        <x:f>IF(D1430="","",IFERROR(VLOOKUP(D1430,$A$2:$B$1656,2,FALSE),""))</x:f>
        <x:v>Sacred Geography &amp; World Anchors</x:v>
      </x:c>
      <x:c r="F1430" s="120" t="n">
        <x:v>3</x:v>
      </x:c>
      <x:c r="G1430" s="120" t="str">
        <x:v>A kingdom, ecosystem, palace, city, or otherworld located beneath or within seas and waters.</x:v>
      </x:c>
      <x:c r="H1430" s="120" t="str">
        <x:v>Undersea geography may belong to mortals, spirits, gods, monsters, or the dead and should not be homogenized.</x:v>
      </x:c>
      <x:c r="I1430" s="120" t="str">
        <x:v>sea kingdom; dragon palace; drowned city</x:v>
      </x:c>
      <x:c r="J1430" s="120" t="str">
        <x:v>travel, diplomacy, wonder, threat</x:v>
      </x:c>
      <x:c r="K1430" s="120" t="str">
        <x:v>undersea world; sea realm</x:v>
      </x:c>
      <x:c r="L1430" s="120" t="str">
        <x:v>Preserve source-specific terminology, metaphysics, ritual context, and cultural ownership; use this family for comparison, not as a claim of historical equivalence.</x:v>
      </x:c>
      <x:c r="M1430" s="120" t="str">
        <x:v>Framework core</x:v>
      </x:c>
    </x:row>
    <x:row r="1431" ht="44" customHeight="1">
      <x:c r="A1431" s="119" t="str">
        <x:v>COS-519</x:v>
      </x:c>
      <x:c r="B1431" s="120" t="str">
        <x:v>Sky or Floating Realm</x:v>
      </x:c>
      <x:c r="C1431" s="120" t="str">
        <x:v>Cosmologies, Realms &amp; Sacred Geography</x:v>
      </x:c>
      <x:c r="D1431" s="120" t="str">
        <x:v>COS-500</x:v>
      </x:c>
      <x:c r="E1431" s="120" t="str">
        <x:f>IF(D1431="","",IFERROR(VLOOKUP(D1431,$A$2:$B$1656,2,FALSE),""))</x:f>
        <x:v>Sacred Geography &amp; World Anchors</x:v>
      </x:c>
      <x:c r="F1431" s="120" t="n">
        <x:v>3</x:v>
      </x:c>
      <x:c r="G1431" s="120" t="str">
        <x:v>A city, continent, island, palace, or domain suspended in the sky or accessible principally through aerial movement.</x:v>
      </x:c>
      <x:c r="H1431" s="120" t="str">
        <x:v>Physical altitude and divine heaven are not automatically the same.</x:v>
      </x:c>
      <x:c r="I1431" s="120" t="str">
        <x:v>floating island; cloud kingdom; sky city</x:v>
      </x:c>
      <x:c r="J1431" s="120" t="str">
        <x:v>exploration, isolation, technological or magical wonder</x:v>
      </x:c>
      <x:c r="K1431" s="120" t="str">
        <x:v>sky realm; floating world</x:v>
      </x:c>
      <x:c r="L1431" s="120" t="str">
        <x:v>Preserve source-specific terminology, metaphysics, ritual context, and cultural ownership; use this family for comparison, not as a claim of historical equivalence.</x:v>
      </x:c>
      <x:c r="M1431" s="120" t="str">
        <x:v>Framework core</x:v>
      </x:c>
    </x:row>
    <x:row r="1432" ht="44" customHeight="1">
      <x:c r="A1432" s="119" t="str">
        <x:v>COS-520</x:v>
      </x:c>
      <x:c r="B1432" s="120" t="str">
        <x:v>Subterranean Realm</x:v>
      </x:c>
      <x:c r="C1432" s="120" t="str">
        <x:v>Cosmologies, Realms &amp; Sacred Geography</x:v>
      </x:c>
      <x:c r="D1432" s="120" t="str">
        <x:v>COS-500</x:v>
      </x:c>
      <x:c r="E1432" s="120" t="str">
        <x:f>IF(D1432="","",IFERROR(VLOOKUP(D1432,$A$2:$B$1656,2,FALSE),""))</x:f>
        <x:v>Sacred Geography &amp; World Anchors</x:v>
      </x:c>
      <x:c r="F1432" s="120" t="n">
        <x:v>3</x:v>
      </x:c>
      <x:c r="G1432" s="120" t="str">
        <x:v>A large inhabited domain beneath the surface with its own cultures, ecologies, histories, or cosmology.</x:v>
      </x:c>
      <x:c r="H1432" s="120" t="str">
        <x:v>It is not automatically an underworld of the dead.</x:v>
      </x:c>
      <x:c r="I1432" s="120" t="str">
        <x:v>deep kingdom; hollow world; cave civilization</x:v>
      </x:c>
      <x:c r="J1432" s="120" t="str">
        <x:v>hidden society, resource, threat, refuge</x:v>
      </x:c>
      <x:c r="K1432" s="120" t="str">
        <x:v>subterranean realm; deep world</x:v>
      </x:c>
      <x:c r="L1432" s="120" t="str">
        <x:v>Preserve source-specific terminology, metaphysics, ritual context, and cultural ownership; use this family for comparison, not as a claim of historical equivalence.</x:v>
      </x:c>
      <x:c r="M1432" s="120" t="str">
        <x:v>Framework core</x:v>
      </x:c>
    </x:row>
    <x:row r="1433" ht="44" customHeight="1">
      <x:c r="A1433" s="119" t="str">
        <x:v>COS-521</x:v>
      </x:c>
      <x:c r="B1433" s="120" t="str">
        <x:v>Ruined Precursor Realm</x:v>
      </x:c>
      <x:c r="C1433" s="120" t="str">
        <x:v>Cosmologies, Realms &amp; Sacred Geography</x:v>
      </x:c>
      <x:c r="D1433" s="120" t="str">
        <x:v>COS-500</x:v>
      </x:c>
      <x:c r="E1433" s="120" t="str">
        <x:f>IF(D1433="","",IFERROR(VLOOKUP(D1433,$A$2:$B$1656,2,FALSE),""))</x:f>
        <x:v>Sacred Geography &amp; World Anchors</x:v>
      </x:c>
      <x:c r="F1433" s="120" t="n">
        <x:v>3</x:v>
      </x:c>
      <x:c r="G1433" s="120" t="str">
        <x:v>A lost or devastated region whose remains preserve older civilizations, technologies, gods, curses, or world structures.</x:v>
      </x:c>
      <x:c r="H1433" s="120" t="str">
        <x:v>Its significance lies in temporal stratification and surviving systems.</x:v>
      </x:c>
      <x:c r="I1433" s="120" t="str">
        <x:v>ancient ruins; fallen continent; dead empire</x:v>
      </x:c>
      <x:c r="J1433" s="120" t="str">
        <x:v>archaeology, warning, resource, awakening threat</x:v>
      </x:c>
      <x:c r="K1433" s="120" t="str">
        <x:v>precursor realm; lost civilization</x:v>
      </x:c>
      <x:c r="L1433" s="120" t="str">
        <x:v>Preserve source-specific terminology, metaphysics, ritual context, and cultural ownership; use this family for comparison, not as a claim of historical equivalence.</x:v>
      </x:c>
      <x:c r="M1433" s="120" t="str">
        <x:v>Framework core</x:v>
      </x:c>
    </x:row>
    <x:row r="1434" ht="44" customHeight="1">
      <x:c r="A1434" s="119" t="str">
        <x:v>COS-522</x:v>
      </x:c>
      <x:c r="B1434" s="120" t="str">
        <x:v>Sacred Battlefield</x:v>
      </x:c>
      <x:c r="C1434" s="120" t="str">
        <x:v>Cosmologies, Realms &amp; Sacred Geography</x:v>
      </x:c>
      <x:c r="D1434" s="120" t="str">
        <x:v>COS-500</x:v>
      </x:c>
      <x:c r="E1434" s="120" t="str">
        <x:f>IF(D1434="","",IFERROR(VLOOKUP(D1434,$A$2:$B$1656,2,FALSE),""))</x:f>
        <x:v>Sacred Geography &amp; World Anchors</x:v>
      </x:c>
      <x:c r="F1434" s="120" t="n">
        <x:v>3</x:v>
      </x:c>
      <x:c r="G1434" s="120" t="str">
        <x:v>A battle site made ritually, morally, politically, or cosmologically significant through revelation, sacrifice, ancestors, vows, or continued remembrance.</x:v>
      </x:c>
      <x:c r="H1434" s="120" t="str">
        <x:v>This narrower family covers sacred war geography without requiring world-scale conflict.</x:v>
      </x:c>
      <x:c r="I1434" s="120" t="str">
        <x:v>field of vows; martyr ground; ancestral war site</x:v>
      </x:c>
      <x:c r="J1434" s="120" t="str">
        <x:v>pilgrimage, legitimacy, trauma, memorial</x:v>
      </x:c>
      <x:c r="K1434" s="120" t="str">
        <x:v>sacred battlefield; holy war ground</x:v>
      </x:c>
      <x:c r="L1434" s="120" t="str">
        <x:v>Preserve source-specific terminology, metaphysics, ritual context, and cultural ownership; use this family for comparison, not as a claim of historical equivalence.</x:v>
      </x:c>
      <x:c r="M1434" s="120" t="str">
        <x:v>Framework core</x:v>
      </x:c>
    </x:row>
    <x:row r="1435" ht="44" customHeight="1">
      <x:c r="A1435" s="119" t="str">
        <x:v>COS-601</x:v>
      </x:c>
      <x:c r="B1435" s="120" t="str">
        <x:v>Portal Network</x:v>
      </x:c>
      <x:c r="C1435" s="120" t="str">
        <x:v>Cosmologies, Realms &amp; Sacred Geography</x:v>
      </x:c>
      <x:c r="D1435" s="120" t="str">
        <x:v>COS-600</x:v>
      </x:c>
      <x:c r="E1435" s="120" t="str">
        <x:f>IF(D1435="","",IFERROR(VLOOKUP(D1435,$A$2:$B$1656,2,FALSE),""))</x:f>
        <x:v>Cosmological Boundaries &amp; Travel</x:v>
      </x:c>
      <x:c r="F1435" s="120" t="n">
        <x:v>3</x:v>
      </x:c>
      <x:c r="G1435" s="120" t="str">
        <x:v>A repeatable infrastructure of gates, stones, roads, circles, or nodes linking distant locations or realms.</x:v>
      </x:c>
      <x:c r="H1435" s="120" t="str">
        <x:v>A network implies multiple connected endpoints and rules of use.</x:v>
      </x:c>
      <x:c r="I1435" s="120" t="str">
        <x:v>gate system; waystone network; world roads</x:v>
      </x:c>
      <x:c r="J1435" s="120" t="str">
        <x:v>travel, trade, empire, invasion</x:v>
      </x:c>
      <x:c r="K1435" s="120" t="str">
        <x:v>portal network; gate web</x:v>
      </x:c>
      <x:c r="L1435" s="120" t="str">
        <x:v>Preserve source-specific terminology, metaphysics, ritual context, and cultural ownership; use this family for comparison, not as a claim of historical equivalence.</x:v>
      </x:c>
      <x:c r="M1435" s="120" t="str">
        <x:v>Framework core</x:v>
      </x:c>
    </x:row>
    <x:row r="1436" ht="44" customHeight="1">
      <x:c r="A1436" s="119" t="str">
        <x:v>COS-602</x:v>
      </x:c>
      <x:c r="B1436" s="120" t="str">
        <x:v>Summoned Threshold</x:v>
      </x:c>
      <x:c r="C1436" s="120" t="str">
        <x:v>Cosmologies, Realms &amp; Sacred Geography</x:v>
      </x:c>
      <x:c r="D1436" s="120" t="str">
        <x:v>COS-600</x:v>
      </x:c>
      <x:c r="E1436" s="120" t="str">
        <x:f>IF(D1436="","",IFERROR(VLOOKUP(D1436,$A$2:$B$1656,2,FALSE),""))</x:f>
        <x:v>Cosmological Boundaries &amp; Travel</x:v>
      </x:c>
      <x:c r="F1436" s="120" t="n">
        <x:v>3</x:v>
      </x:c>
      <x:c r="G1436" s="120" t="str">
        <x:v>A temporary doorway or boundary created by ritual, spell, object, music, sacrifice, or invitation.</x:v>
      </x:c>
      <x:c r="H1436" s="120" t="str">
        <x:v>The threshold exists only under specified conditions.</x:v>
      </x:c>
      <x:c r="I1436" s="120" t="str">
        <x:v>ritual gate; summoned door; temporary rift</x:v>
      </x:c>
      <x:c r="J1436" s="120" t="str">
        <x:v>travel, summoning, escape, risk</x:v>
      </x:c>
      <x:c r="K1436" s="120" t="str">
        <x:v>summoned portal; ritual threshold</x:v>
      </x:c>
      <x:c r="L1436" s="120" t="str">
        <x:v>Preserve source-specific terminology, metaphysics, ritual context, and cultural ownership; use this family for comparison, not as a claim of historical equivalence.</x:v>
      </x:c>
      <x:c r="M1436" s="120" t="str">
        <x:v>Framework core</x:v>
      </x:c>
    </x:row>
    <x:row r="1437" ht="44" customHeight="1">
      <x:c r="A1437" s="119" t="str">
        <x:v>COS-603</x:v>
      </x:c>
      <x:c r="B1437" s="120" t="str">
        <x:v>One-Way Passage</x:v>
      </x:c>
      <x:c r="C1437" s="120" t="str">
        <x:v>Cosmologies, Realms &amp; Sacred Geography</x:v>
      </x:c>
      <x:c r="D1437" s="120" t="str">
        <x:v>COS-600</x:v>
      </x:c>
      <x:c r="E1437" s="120" t="str">
        <x:f>IF(D1437="","",IFERROR(VLOOKUP(D1437,$A$2:$B$1656,2,FALSE),""))</x:f>
        <x:v>Cosmological Boundaries &amp; Travel</x:v>
      </x:c>
      <x:c r="F1437" s="120" t="n">
        <x:v>3</x:v>
      </x:c>
      <x:c r="G1437" s="120" t="str">
        <x:v>A route that permits movement in only one direction or makes return categorically harder than entry.</x:v>
      </x:c>
      <x:c r="H1437" s="120" t="str">
        <x:v>Asymmetry is a cosmological rule, not merely a blocked door.</x:v>
      </x:c>
      <x:c r="I1437" s="120" t="str">
        <x:v>death gate; falling portal; irreversible crossing</x:v>
      </x:c>
      <x:c r="J1437" s="120" t="str">
        <x:v>stakes, exile, sacrifice, uncertainty</x:v>
      </x:c>
      <x:c r="K1437" s="120" t="str">
        <x:v>one-way gate; no-return path</x:v>
      </x:c>
      <x:c r="L1437" s="120" t="str">
        <x:v>Preserve source-specific terminology, metaphysics, ritual context, and cultural ownership; use this family for comparison, not as a claim of historical equivalence.</x:v>
      </x:c>
      <x:c r="M1437" s="120" t="str">
        <x:v>Framework core</x:v>
      </x:c>
    </x:row>
    <x:row r="1438" ht="44" customHeight="1">
      <x:c r="A1438" s="119" t="str">
        <x:v>COS-604</x:v>
      </x:c>
      <x:c r="B1438" s="120" t="str">
        <x:v>Seasonal or Time-Gated Passage</x:v>
      </x:c>
      <x:c r="C1438" s="120" t="str">
        <x:v>Cosmologies, Realms &amp; Sacred Geography</x:v>
      </x:c>
      <x:c r="D1438" s="120" t="str">
        <x:v>COS-600</x:v>
      </x:c>
      <x:c r="E1438" s="120" t="str">
        <x:f>IF(D1438="","",IFERROR(VLOOKUP(D1438,$A$2:$B$1656,2,FALSE),""))</x:f>
        <x:v>Cosmological Boundaries &amp; Travel</x:v>
      </x:c>
      <x:c r="F1438" s="120" t="n">
        <x:v>3</x:v>
      </x:c>
      <x:c r="G1438" s="120" t="str">
        <x:v>A boundary that opens only at a season, celestial alignment, anniversary, hour, age, or cyclical condition.</x:v>
      </x:c>
      <x:c r="H1438" s="120" t="str">
        <x:v>Timing is constitutive of access.</x:v>
      </x:c>
      <x:c r="I1438" s="120" t="str">
        <x:v>solstice gate; eclipse door; once-a-century bridge</x:v>
      </x:c>
      <x:c r="J1438" s="120" t="str">
        <x:v>ritual calendar, urgency, recurrence</x:v>
      </x:c>
      <x:c r="K1438" s="120" t="str">
        <x:v>seasonal gate; time portal</x:v>
      </x:c>
      <x:c r="L1438" s="120" t="str">
        <x:v>Preserve source-specific terminology, metaphysics, ritual context, and cultural ownership; use this family for comparison, not as a claim of historical equivalence.</x:v>
      </x:c>
      <x:c r="M1438" s="120" t="str">
        <x:v>Framework core</x:v>
      </x:c>
    </x:row>
    <x:row r="1439" ht="44" customHeight="1">
      <x:c r="A1439" s="119" t="str">
        <x:v>COS-605</x:v>
      </x:c>
      <x:c r="B1439" s="120" t="str">
        <x:v>Death Gate</x:v>
      </x:c>
      <x:c r="C1439" s="120" t="str">
        <x:v>Cosmologies, Realms &amp; Sacred Geography</x:v>
      </x:c>
      <x:c r="D1439" s="120" t="str">
        <x:v>COS-600</x:v>
      </x:c>
      <x:c r="E1439" s="120" t="str">
        <x:f>IF(D1439="","",IFERROR(VLOOKUP(D1439,$A$2:$B$1656,2,FALSE),""))</x:f>
        <x:v>Cosmological Boundaries &amp; Travel</x:v>
      </x:c>
      <x:c r="F1439" s="120" t="n">
        <x:v>3</x:v>
      </x:c>
      <x:c r="G1439" s="120" t="str">
        <x:v>A boundary normally crossed through dying, near-death, funerary status, or acceptance by powers of death.</x:v>
      </x:c>
      <x:c r="H1439" s="120" t="str">
        <x:v>It may admit living heroes under exceptional conditions.</x:v>
      </x:c>
      <x:c r="I1439" s="120" t="str">
        <x:v>gate of dead; corpse door; last threshold</x:v>
      </x:c>
      <x:c r="J1439" s="120" t="str">
        <x:v>underworld journey, resurrection, taboo</x:v>
      </x:c>
      <x:c r="K1439" s="120" t="str">
        <x:v>death gate; final door</x:v>
      </x:c>
      <x:c r="L1439" s="120" t="str">
        <x:v>Preserve source-specific terminology, metaphysics, ritual context, and cultural ownership; use this family for comparison, not as a claim of historical equivalence.</x:v>
      </x:c>
      <x:c r="M1439" s="120" t="str">
        <x:v>Framework core</x:v>
      </x:c>
    </x:row>
    <x:row r="1440" ht="44" customHeight="1">
      <x:c r="A1440" s="119" t="str">
        <x:v>COS-606</x:v>
      </x:c>
      <x:c r="B1440" s="120" t="str">
        <x:v>Pilgrimage as Realm Passage</x:v>
      </x:c>
      <x:c r="C1440" s="120" t="str">
        <x:v>Cosmologies, Realms &amp; Sacred Geography</x:v>
      </x:c>
      <x:c r="D1440" s="120" t="str">
        <x:v>COS-600</x:v>
      </x:c>
      <x:c r="E1440" s="120" t="str">
        <x:f>IF(D1440="","",IFERROR(VLOOKUP(D1440,$A$2:$B$1656,2,FALSE),""))</x:f>
        <x:v>Cosmological Boundaries &amp; Travel</x:v>
      </x:c>
      <x:c r="F1440" s="120" t="n">
        <x:v>3</x:v>
      </x:c>
      <x:c r="G1440" s="120" t="str">
        <x:v>A journey in which disciplined movement through sacred geography changes ontological, moral, ritual, or social status and may culminate in another realm.</x:v>
      </x:c>
      <x:c r="H1440" s="120" t="str">
        <x:v>The passage is enacted through practice rather than instantaneous transport.</x:v>
      </x:c>
      <x:c r="I1440" s="120" t="str">
        <x:v>holy ascent; circumambulation; sacred circuit</x:v>
      </x:c>
      <x:c r="J1440" s="120" t="str">
        <x:v>transformation, merit, encounter</x:v>
      </x:c>
      <x:c r="K1440" s="120" t="str">
        <x:v>pilgrimage passage; sacred journey</x:v>
      </x:c>
      <x:c r="L1440" s="120" t="str">
        <x:v>Preserve source-specific terminology, metaphysics, ritual context, and cultural ownership; use this family for comparison, not as a claim of historical equivalence.</x:v>
      </x:c>
      <x:c r="M1440" s="120" t="str">
        <x:v>Framework core</x:v>
      </x:c>
    </x:row>
    <x:row r="1441" ht="44" customHeight="1">
      <x:c r="A1441" s="119" t="str">
        <x:v>COS-607</x:v>
      </x:c>
      <x:c r="B1441" s="120" t="str">
        <x:v>Dream Entry</x:v>
      </x:c>
      <x:c r="C1441" s="120" t="str">
        <x:v>Cosmologies, Realms &amp; Sacred Geography</x:v>
      </x:c>
      <x:c r="D1441" s="120" t="str">
        <x:v>COS-600</x:v>
      </x:c>
      <x:c r="E1441" s="120" t="str">
        <x:f>IF(D1441="","",IFERROR(VLOOKUP(D1441,$A$2:$B$1656,2,FALSE),""))</x:f>
        <x:v>Cosmological Boundaries &amp; Travel</x:v>
      </x:c>
      <x:c r="F1441" s="120" t="n">
        <x:v>3</x:v>
      </x:c>
      <x:c r="G1441" s="120" t="str">
        <x:v>Travel into another realm through sleep, trance, induced vision, shared dreaming, or dream ritual.</x:v>
      </x:c>
      <x:c r="H1441" s="120" t="str">
        <x:v>The traveler may enter bodily, mentally, spiritually, or symbolically; preserve the mode.</x:v>
      </x:c>
      <x:c r="I1441" s="120" t="str">
        <x:v>dreamwalk; sleep gate; nightmare passage</x:v>
      </x:c>
      <x:c r="J1441" s="120" t="str">
        <x:v>divination, healing, invasion, quest</x:v>
      </x:c>
      <x:c r="K1441" s="120" t="str">
        <x:v>dream entry; oneiric travel</x:v>
      </x:c>
      <x:c r="L1441" s="120" t="str">
        <x:v>Preserve source-specific terminology, metaphysics, ritual context, and cultural ownership; use this family for comparison, not as a claim of historical equivalence.</x:v>
      </x:c>
      <x:c r="M1441" s="120" t="str">
        <x:v>Framework core</x:v>
      </x:c>
    </x:row>
    <x:row r="1442" ht="44" customHeight="1">
      <x:c r="A1442" s="119" t="str">
        <x:v>COS-608</x:v>
      </x:c>
      <x:c r="B1442" s="120" t="str">
        <x:v>World-Walking</x:v>
      </x:c>
      <x:c r="C1442" s="120" t="str">
        <x:v>Cosmologies, Realms &amp; Sacred Geography</x:v>
      </x:c>
      <x:c r="D1442" s="120" t="str">
        <x:v>COS-600</x:v>
      </x:c>
      <x:c r="E1442" s="120" t="str">
        <x:f>IF(D1442="","",IFERROR(VLOOKUP(D1442,$A$2:$B$1656,2,FALSE),""))</x:f>
        <x:v>Cosmological Boundaries &amp; Travel</x:v>
      </x:c>
      <x:c r="F1442" s="120" t="n">
        <x:v>3</x:v>
      </x:c>
      <x:c r="G1442" s="120" t="str">
        <x:v>An innate, trained, or artifact-assisted capacity to step, wander, or navigate directly among worlds without fixed portals.</x:v>
      </x:c>
      <x:c r="H1442" s="120" t="str">
        <x:v>It differs from teleportation within one world.</x:v>
      </x:c>
      <x:c r="I1442" s="120" t="str">
        <x:v>plane walking; realm stepping; sideway travel</x:v>
      </x:c>
      <x:c r="J1442" s="120" t="str">
        <x:v>exploration, escape, mediation</x:v>
      </x:c>
      <x:c r="K1442" s="120" t="str">
        <x:v>world-walking; realm travel</x:v>
      </x:c>
      <x:c r="L1442" s="120" t="str">
        <x:v>Preserve source-specific terminology, metaphysics, ritual context, and cultural ownership; use this family for comparison, not as a claim of historical equivalence.</x:v>
      </x:c>
      <x:c r="M1442" s="120" t="str">
        <x:v>Framework core</x:v>
      </x:c>
    </x:row>
    <x:row r="1443" ht="44" customHeight="1">
      <x:c r="A1443" s="119" t="str">
        <x:v>COS-609</x:v>
      </x:c>
      <x:c r="B1443" s="120" t="str">
        <x:v>Astral Projection or Soul Travel</x:v>
      </x:c>
      <x:c r="C1443" s="120" t="str">
        <x:v>Cosmologies, Realms &amp; Sacred Geography</x:v>
      </x:c>
      <x:c r="D1443" s="120" t="str">
        <x:v>COS-600</x:v>
      </x:c>
      <x:c r="E1443" s="120" t="str">
        <x:f>IF(D1443="","",IFERROR(VLOOKUP(D1443,$A$2:$B$1656,2,FALSE),""))</x:f>
        <x:v>Cosmological Boundaries &amp; Travel</x:v>
      </x:c>
      <x:c r="F1443" s="120" t="n">
        <x:v>3</x:v>
      </x:c>
      <x:c r="G1443" s="120" t="str">
        <x:v>A journey in which consciousness, soul, dream-body, double, or subtle form leaves the physical body to travel elsewhere.</x:v>
      </x:c>
      <x:c r="H1443" s="120" t="str">
        <x:v>Body condition, tether, risk, and ontology vary by source.</x:v>
      </x:c>
      <x:c r="I1443" s="120" t="str">
        <x:v>spirit flight; soul journey; astral body</x:v>
      </x:c>
      <x:c r="J1443" s="120" t="str">
        <x:v>divination, travel, vulnerability</x:v>
      </x:c>
      <x:c r="K1443" s="120" t="str">
        <x:v>astral projection; soul travel</x:v>
      </x:c>
      <x:c r="L1443" s="120" t="str">
        <x:v>Preserve source-specific terminology, metaphysics, ritual context, and cultural ownership; use this family for comparison, not as a claim of historical equivalence.</x:v>
      </x:c>
      <x:c r="M1443" s="120" t="str">
        <x:v>Framework core</x:v>
      </x:c>
    </x:row>
    <x:row r="1444" ht="44" customHeight="1">
      <x:c r="A1444" s="119" t="str">
        <x:v>COS-610</x:v>
      </x:c>
      <x:c r="B1444" s="120" t="str">
        <x:v>Divine Ascent</x:v>
      </x:c>
      <x:c r="C1444" s="120" t="str">
        <x:v>Cosmologies, Realms &amp; Sacred Geography</x:v>
      </x:c>
      <x:c r="D1444" s="120" t="str">
        <x:v>COS-600</x:v>
      </x:c>
      <x:c r="E1444" s="120" t="str">
        <x:f>IF(D1444="","",IFERROR(VLOOKUP(D1444,$A$2:$B$1656,2,FALSE),""))</x:f>
        <x:v>Cosmological Boundaries &amp; Travel</x:v>
      </x:c>
      <x:c r="F1444" s="120" t="n">
        <x:v>3</x:v>
      </x:c>
      <x:c r="G1444" s="120" t="str">
        <x:v>A journey upward or beyond ordinary existence into divine presence, heaven, immortality, revelation, or transformed status.</x:v>
      </x:c>
      <x:c r="H1444" s="120" t="str">
        <x:v>Ascent may be bodily, visionary, postmortem, ritual, or metaphorical.</x:v>
      </x:c>
      <x:c r="I1444" s="120" t="str">
        <x:v>heavenly ascent; apotheosis journey; mountain ascent</x:v>
      </x:c>
      <x:c r="J1444" s="120" t="str">
        <x:v>revelation, authorization, liberation</x:v>
      </x:c>
      <x:c r="K1444" s="120" t="str">
        <x:v>divine ascent; heavenly journey</x:v>
      </x:c>
      <x:c r="L1444" s="120" t="str">
        <x:v>Preserve source-specific terminology, metaphysics, ritual context, and cultural ownership; use this family for comparison, not as a claim of historical equivalence.</x:v>
      </x:c>
      <x:c r="M1444" s="120" t="str">
        <x:v>Framework core</x:v>
      </x:c>
    </x:row>
    <x:row r="1445" ht="44" customHeight="1">
      <x:c r="A1445" s="119" t="str">
        <x:v>COS-611</x:v>
      </x:c>
      <x:c r="B1445" s="120" t="str">
        <x:v>Underworld Descent</x:v>
      </x:c>
      <x:c r="C1445" s="120" t="str">
        <x:v>Cosmologies, Realms &amp; Sacred Geography</x:v>
      </x:c>
      <x:c r="D1445" s="120" t="str">
        <x:v>COS-600</x:v>
      </x:c>
      <x:c r="E1445" s="120" t="str">
        <x:f>IF(D1445="","",IFERROR(VLOOKUP(D1445,$A$2:$B$1656,2,FALSE),""))</x:f>
        <x:v>Cosmological Boundaries &amp; Travel</x:v>
      </x:c>
      <x:c r="F1445" s="120" t="n">
        <x:v>3</x:v>
      </x:c>
      <x:c r="G1445" s="120" t="str">
        <x:v>A living or exceptional traveler's journey into the realm of death, often involving rescue, knowledge, trial, loss, or altered return.</x:v>
      </x:c>
      <x:c r="H1445" s="120" t="str">
        <x:v>This is a cross-domain journey pattern and should link to narrative archetypes without being reduced to them.</x:v>
      </x:c>
      <x:c r="I1445" s="120" t="str">
        <x:v>katabasis-like descent; rescue from dead</x:v>
      </x:c>
      <x:c r="J1445" s="120" t="str">
        <x:v>trial, grief, knowledge, transformation</x:v>
      </x:c>
      <x:c r="K1445" s="120" t="str">
        <x:v>underworld descent; journey below</x:v>
      </x:c>
      <x:c r="L1445" s="120" t="str">
        <x:v>Preserve source-specific terminology, metaphysics, ritual context, and cultural ownership; use this family for comparison, not as a claim of historical equivalence.</x:v>
      </x:c>
      <x:c r="M1445" s="120" t="str">
        <x:v>Framework core</x:v>
      </x:c>
    </x:row>
    <x:row r="1446" ht="44" customHeight="1">
      <x:c r="A1446" s="119" t="str">
        <x:v>COS-612</x:v>
      </x:c>
      <x:c r="B1446" s="120" t="str">
        <x:v>Realm Barrier or Veil</x:v>
      </x:c>
      <x:c r="C1446" s="120" t="str">
        <x:v>Cosmologies, Realms &amp; Sacred Geography</x:v>
      </x:c>
      <x:c r="D1446" s="120" t="str">
        <x:v>COS-600</x:v>
      </x:c>
      <x:c r="E1446" s="120" t="str">
        <x:f>IF(D1446="","",IFERROR(VLOOKUP(D1446,$A$2:$B$1656,2,FALSE),""))</x:f>
        <x:v>Cosmological Boundaries &amp; Travel</x:v>
      </x:c>
      <x:c r="F1446" s="120" t="n">
        <x:v>3</x:v>
      </x:c>
      <x:c r="G1446" s="120" t="str">
        <x:v>A persistent separation that limits perception, travel, influence, or embodiment between domains.</x:v>
      </x:c>
      <x:c r="H1446" s="120" t="str">
        <x:v>The barrier may be natural law, divine treaty, technology, ritual, or damageable seal.</x:v>
      </x:c>
      <x:c r="I1446" s="120" t="str">
        <x:v>veil; firmament; world wall</x:v>
      </x:c>
      <x:c r="J1446" s="120" t="str">
        <x:v>containment, secrecy, cosmological stability</x:v>
      </x:c>
      <x:c r="K1446" s="120" t="str">
        <x:v>realm barrier; veil</x:v>
      </x:c>
      <x:c r="L1446" s="120" t="str">
        <x:v>Preserve source-specific terminology, metaphysics, ritual context, and cultural ownership; use this family for comparison, not as a claim of historical equivalence.</x:v>
      </x:c>
      <x:c r="M1446" s="120" t="str">
        <x:v>Framework core</x:v>
      </x:c>
    </x:row>
    <x:row r="1447" ht="44" customHeight="1">
      <x:c r="A1447" s="119" t="str">
        <x:v>COS-613</x:v>
      </x:c>
      <x:c r="B1447" s="120" t="str">
        <x:v>Seal Between Worlds</x:v>
      </x:c>
      <x:c r="C1447" s="120" t="str">
        <x:v>Cosmologies, Realms &amp; Sacred Geography</x:v>
      </x:c>
      <x:c r="D1447" s="120" t="str">
        <x:v>COS-600</x:v>
      </x:c>
      <x:c r="E1447" s="120" t="str">
        <x:f>IF(D1447="","",IFERROR(VLOOKUP(D1447,$A$2:$B$1656,2,FALSE),""))</x:f>
        <x:v>Cosmological Boundaries &amp; Travel</x:v>
      </x:c>
      <x:c r="F1447" s="120" t="n">
        <x:v>3</x:v>
      </x:c>
      <x:c r="G1447" s="120" t="str">
        <x:v>A deliberate closure preventing realms or populations from interpenetrating, invading, escaping, or reuniting.</x:v>
      </x:c>
      <x:c r="H1447" s="120" t="str">
        <x:v>Unlike a general barrier, it is an imposed and potentially breakable act.</x:v>
      </x:c>
      <x:c r="I1447" s="120" t="str">
        <x:v>world seal; closed gate; dimensional lock</x:v>
      </x:c>
      <x:c r="J1447" s="120" t="str">
        <x:v>deferred threat, protection, restoration choice</x:v>
      </x:c>
      <x:c r="K1447" s="120" t="str">
        <x:v>world seal; planar lock</x:v>
      </x:c>
      <x:c r="L1447" s="120" t="str">
        <x:v>Preserve source-specific terminology, metaphysics, ritual context, and cultural ownership; use this family for comparison, not as a claim of historical equivalence.</x:v>
      </x:c>
      <x:c r="M1447" s="120" t="str">
        <x:v>Framework core</x:v>
      </x:c>
    </x:row>
    <x:row r="1448" ht="44" customHeight="1">
      <x:c r="A1448" s="119" t="str">
        <x:v>COS-614</x:v>
      </x:c>
      <x:c r="B1448" s="120" t="str">
        <x:v>Teleportation Network</x:v>
      </x:c>
      <x:c r="C1448" s="120" t="str">
        <x:v>Cosmologies, Realms &amp; Sacred Geography</x:v>
      </x:c>
      <x:c r="D1448" s="120" t="str">
        <x:v>COS-600</x:v>
      </x:c>
      <x:c r="E1448" s="120" t="str">
        <x:f>IF(D1448="","",IFERROR(VLOOKUP(D1448,$A$2:$B$1656,2,FALSE),""))</x:f>
        <x:v>Cosmological Boundaries &amp; Travel</x:v>
      </x:c>
      <x:c r="F1448" s="120" t="n">
        <x:v>3</x:v>
      </x:c>
      <x:c r="G1448" s="120" t="str">
        <x:v>A system enabling rapid relocation within or across worlds through fixed destinations, symbols, coordinates, or infrastructure.</x:v>
      </x:c>
      <x:c r="H1448" s="120" t="str">
        <x:v>It differs from portal networks when movement is direct rather than through a traversable gate.</x:v>
      </x:c>
      <x:c r="I1448" s="120" t="str">
        <x:v>teleport circles; beacon jumps; rune travel</x:v>
      </x:c>
      <x:c r="J1448" s="120" t="str">
        <x:v>logistics, empire, fast travel</x:v>
      </x:c>
      <x:c r="K1448" s="120" t="str">
        <x:v>teleport network; transit circles</x:v>
      </x:c>
      <x:c r="L1448" s="120" t="str">
        <x:v>Preserve source-specific terminology, metaphysics, ritual context, and cultural ownership; use this family for comparison, not as a claim of historical equivalence.</x:v>
      </x:c>
      <x:c r="M1448" s="120" t="str">
        <x:v>Framework core</x:v>
      </x:c>
    </x:row>
    <x:row r="1449" ht="44" customHeight="1">
      <x:c r="A1449" s="119" t="str">
        <x:v>COS-615</x:v>
      </x:c>
      <x:c r="B1449" s="120" t="str">
        <x:v>Changing or Mapless Realm</x:v>
      </x:c>
      <x:c r="C1449" s="120" t="str">
        <x:v>Cosmologies, Realms &amp; Sacred Geography</x:v>
      </x:c>
      <x:c r="D1449" s="120" t="str">
        <x:v>COS-600</x:v>
      </x:c>
      <x:c r="E1449" s="120" t="str">
        <x:f>IF(D1449="","",IFERROR(VLOOKUP(D1449,$A$2:$B$1656,2,FALSE),""))</x:f>
        <x:v>Cosmological Boundaries &amp; Travel</x:v>
      </x:c>
      <x:c r="F1449" s="120" t="n">
        <x:v>3</x:v>
      </x:c>
      <x:c r="G1449" s="120" t="str">
        <x:v>A domain whose geography resists stable maps because it shifts, responds, reorders, forgets, or depends on traveler state.</x:v>
      </x:c>
      <x:c r="H1449" s="120" t="str">
        <x:v>Navigation may require story, ritual, relationship, memory, or nonspatial logic.</x:v>
      </x:c>
      <x:c r="I1449" s="120" t="str">
        <x:v>moving forest; endless desert; dream maze</x:v>
      </x:c>
      <x:c r="J1449" s="120" t="str">
        <x:v>ordeal, disorientation, procedural exploration</x:v>
      </x:c>
      <x:c r="K1449" s="120" t="str">
        <x:v>shifting realm; mapless world</x:v>
      </x:c>
      <x:c r="L1449" s="120" t="str">
        <x:v>Preserve source-specific terminology, metaphysics, ritual context, and cultural ownership; use this family for comparison, not as a claim of historical equivalence.</x:v>
      </x:c>
      <x:c r="M1449" s="120" t="str">
        <x:v>Framework core</x:v>
      </x:c>
    </x:row>
    <x:row r="1450" ht="44" customHeight="1">
      <x:c r="A1450" s="119" t="str">
        <x:v>COS-616</x:v>
      </x:c>
      <x:c r="B1450" s="120" t="str">
        <x:v>Invitation or Permission Threshold</x:v>
      </x:c>
      <x:c r="C1450" s="120" t="str">
        <x:v>Cosmologies, Realms &amp; Sacred Geography</x:v>
      </x:c>
      <x:c r="D1450" s="120" t="str">
        <x:v>COS-600</x:v>
      </x:c>
      <x:c r="E1450" s="120" t="str">
        <x:f>IF(D1450="","",IFERROR(VLOOKUP(D1450,$A$2:$B$1656,2,FALSE),""))</x:f>
        <x:v>Cosmological Boundaries &amp; Travel</x:v>
      </x:c>
      <x:c r="F1450" s="120" t="n">
        <x:v>3</x:v>
      </x:c>
      <x:c r="G1450" s="120" t="str">
        <x:v>A boundary that can be crossed only through invitation, recognition, consent, kinship, offering, or lawful authorization.</x:v>
      </x:c>
      <x:c r="H1450" s="120" t="str">
        <x:v>It is governed by relational law rather than physical capability alone.</x:v>
      </x:c>
      <x:c r="I1450" s="120" t="str">
        <x:v>guest gate; named doorway; sanctuary entry</x:v>
      </x:c>
      <x:c r="J1450" s="120" t="str">
        <x:v>hospitality, social power, protection</x:v>
      </x:c>
      <x:c r="K1450" s="120" t="str">
        <x:v>invitation threshold; permission gate</x:v>
      </x:c>
      <x:c r="L1450" s="120" t="str">
        <x:v>Preserve source-specific terminology, metaphysics, ritual context, and cultural ownership; use this family for comparison, not as a claim of historical equivalence.</x:v>
      </x:c>
      <x:c r="M1450" s="120" t="str">
        <x:v>Framework core</x:v>
      </x:c>
    </x:row>
    <x:row r="1451" ht="44" customHeight="1">
      <x:c r="A1451" s="119" t="str">
        <x:v>COS-701</x:v>
      </x:c>
      <x:c r="B1451" s="120" t="str">
        <x:v>Apocalypse</x:v>
      </x:c>
      <x:c r="C1451" s="120" t="str">
        <x:v>Cosmologies, Realms &amp; Sacred Geography</x:v>
      </x:c>
      <x:c r="D1451" s="120" t="str">
        <x:v>COS-700</x:v>
      </x:c>
      <x:c r="E1451" s="120" t="str">
        <x:f>IF(D1451="","",IFERROR(VLOOKUP(D1451,$A$2:$B$1656,2,FALSE),""))</x:f>
        <x:v>Eschatology, Cycles &amp; World Change</x:v>
      </x:c>
      <x:c r="F1451" s="120" t="n">
        <x:v>3</x:v>
      </x:c>
      <x:c r="G1451" s="120" t="str">
        <x:v>A catastrophic ending or irreversible transformation of the present world order through destruction, revelation, judgment, collapse, or cosmic event.</x:v>
      </x:c>
      <x:c r="H1451" s="120" t="str">
        <x:v>Not every large disaster is apocalyptic; the existing order itself must end or fundamentally change.</x:v>
      </x:c>
      <x:c r="I1451" s="120" t="str">
        <x:v>end times; world destruction; final catastrophe</x:v>
      </x:c>
      <x:c r="J1451" s="120" t="str">
        <x:v>climax, warning, renewal, judgment</x:v>
      </x:c>
      <x:c r="K1451" s="120" t="str">
        <x:v>apocalypse; end of world</x:v>
      </x:c>
      <x:c r="L1451" s="120" t="str">
        <x:v>Preserve source-specific terminology, metaphysics, ritual context, and cultural ownership; use this family for comparison, not as a claim of historical equivalence.</x:v>
      </x:c>
      <x:c r="M1451" s="120" t="str">
        <x:v>Framework core</x:v>
      </x:c>
    </x:row>
    <x:row r="1452" ht="44" customHeight="1">
      <x:c r="A1452" s="119" t="str">
        <x:v>COS-702</x:v>
      </x:c>
      <x:c r="B1452" s="120" t="str">
        <x:v>Cyclical Apocalypse and Renewal</x:v>
      </x:c>
      <x:c r="C1452" s="120" t="str">
        <x:v>Cosmologies, Realms &amp; Sacred Geography</x:v>
      </x:c>
      <x:c r="D1452" s="120" t="str">
        <x:v>COS-700</x:v>
      </x:c>
      <x:c r="E1452" s="120" t="str">
        <x:f>IF(D1452="","",IFERROR(VLOOKUP(D1452,$A$2:$B$1656,2,FALSE),""))</x:f>
        <x:v>Eschatology, Cycles &amp; World Change</x:v>
      </x:c>
      <x:c r="F1452" s="120" t="n">
        <x:v>3</x:v>
      </x:c>
      <x:c r="G1452" s="120" t="str">
        <x:v>A recurring destruction that clears, purifies, transforms, or recreates the world as part of a larger cycle.</x:v>
      </x:c>
      <x:c r="H1452" s="120" t="str">
        <x:v>The cycle may be inevitable, delayable, ritualized, or altered by agents.</x:v>
      </x:c>
      <x:c r="I1452" s="120" t="str">
        <x:v>world fire and rebirth; flood cycle; age reset</x:v>
      </x:c>
      <x:c r="J1452" s="120" t="str">
        <x:v>cosmic rhythm, fatalism, hope</x:v>
      </x:c>
      <x:c r="K1452" s="120" t="str">
        <x:v>cyclical apocalypse; world renewal</x:v>
      </x:c>
      <x:c r="L1452" s="120" t="str">
        <x:v>Preserve source-specific terminology, metaphysics, ritual context, and cultural ownership; use this family for comparison, not as a claim of historical equivalence.</x:v>
      </x:c>
      <x:c r="M1452" s="120" t="str">
        <x:v>Framework core</x:v>
      </x:c>
    </x:row>
    <x:row r="1453" ht="44" customHeight="1">
      <x:c r="A1453" s="119" t="str">
        <x:v>COS-703</x:v>
      </x:c>
      <x:c r="B1453" s="120" t="str">
        <x:v>Final Battle</x:v>
      </x:c>
      <x:c r="C1453" s="120" t="str">
        <x:v>Cosmologies, Realms &amp; Sacred Geography</x:v>
      </x:c>
      <x:c r="D1453" s="120" t="str">
        <x:v>COS-700</x:v>
      </x:c>
      <x:c r="E1453" s="120" t="str">
        <x:f>IF(D1453="","",IFERROR(VLOOKUP(D1453,$A$2:$B$1656,2,FALSE),""))</x:f>
        <x:v>Eschatology, Cycles &amp; World Change</x:v>
      </x:c>
      <x:c r="F1453" s="120" t="n">
        <x:v>3</x:v>
      </x:c>
      <x:c r="G1453" s="120" t="str">
        <x:v>A prophesied or cosmically decisive conflict that ends an age, resolves divine opposition, or determines the world's future order.</x:v>
      </x:c>
      <x:c r="H1453" s="120" t="str">
        <x:v>The battle may fail to be morally simple even when cosmically decisive.</x:v>
      </x:c>
      <x:c r="I1453" s="120" t="str">
        <x:v>war of gods; last battle; twilight of powers</x:v>
      </x:c>
      <x:c r="J1453" s="120" t="str">
        <x:v>eschatology, heroic assembly, sacrifice</x:v>
      </x:c>
      <x:c r="K1453" s="120" t="str">
        <x:v>final battle; last war</x:v>
      </x:c>
      <x:c r="L1453" s="120" t="str">
        <x:v>Preserve source-specific terminology, metaphysics, ritual context, and cultural ownership; use this family for comparison, not as a claim of historical equivalence.</x:v>
      </x:c>
      <x:c r="M1453" s="120" t="str">
        <x:v>Framework core</x:v>
      </x:c>
    </x:row>
    <x:row r="1454" ht="44" customHeight="1">
      <x:c r="A1454" s="119" t="str">
        <x:v>COS-704</x:v>
      </x:c>
      <x:c r="B1454" s="120" t="str">
        <x:v>Flood Reset</x:v>
      </x:c>
      <x:c r="C1454" s="120" t="str">
        <x:v>Cosmologies, Realms &amp; Sacred Geography</x:v>
      </x:c>
      <x:c r="D1454" s="120" t="str">
        <x:v>COS-700</x:v>
      </x:c>
      <x:c r="E1454" s="120" t="str">
        <x:f>IF(D1454="","",IFERROR(VLOOKUP(D1454,$A$2:$B$1656,2,FALSE),""))</x:f>
        <x:v>Eschatology, Cycles &amp; World Change</x:v>
      </x:c>
      <x:c r="F1454" s="120" t="n">
        <x:v>3</x:v>
      </x:c>
      <x:c r="G1454" s="120" t="str">
        <x:v>A world-changing inundation that destroys, purifies, separates, or restarts populations and cosmic order.</x:v>
      </x:c>
      <x:c r="H1454" s="120" t="str">
        <x:v>Flood narratives are culturally specific; use the family for structural comparison only.</x:v>
      </x:c>
      <x:c r="I1454" s="120" t="str">
        <x:v>deluge; world flood; cleansing waters</x:v>
      </x:c>
      <x:c r="J1454" s="120" t="str">
        <x:v>destruction, survival, covenant, repopulation</x:v>
      </x:c>
      <x:c r="K1454" s="120" t="str">
        <x:v>great flood; deluge</x:v>
      </x:c>
      <x:c r="L1454" s="120" t="str">
        <x:v>Preserve source-specific terminology, metaphysics, ritual context, and cultural ownership; use this family for comparison, not as a claim of historical equivalence.</x:v>
      </x:c>
      <x:c r="M1454" s="120" t="str">
        <x:v>Framework core</x:v>
      </x:c>
    </x:row>
    <x:row r="1455" ht="44" customHeight="1">
      <x:c r="A1455" s="119" t="str">
        <x:v>COS-705</x:v>
      </x:c>
      <x:c r="B1455" s="120" t="str">
        <x:v>Age of Decline</x:v>
      </x:c>
      <x:c r="C1455" s="120" t="str">
        <x:v>Cosmologies, Realms &amp; Sacred Geography</x:v>
      </x:c>
      <x:c r="D1455" s="120" t="str">
        <x:v>COS-700</x:v>
      </x:c>
      <x:c r="E1455" s="120" t="str">
        <x:f>IF(D1455="","",IFERROR(VLOOKUP(D1455,$A$2:$B$1656,2,FALSE),""))</x:f>
        <x:v>Eschatology, Cycles &amp; World Change</x:v>
      </x:c>
      <x:c r="F1455" s="120" t="n">
        <x:v>3</x:v>
      </x:c>
      <x:c r="G1455" s="120" t="str">
        <x:v>A cosmological or historical period characterized by diminished virtue, lifespan, magic, divine presence, social order, or world vitality.</x:v>
      </x:c>
      <x:c r="H1455" s="120" t="str">
        <x:v>Decline may be contested ideology rather than objective law.</x:v>
      </x:c>
      <x:c r="I1455" s="120" t="str">
        <x:v>dark age; latter days; iron age</x:v>
      </x:c>
      <x:c r="J1455" s="120" t="str">
        <x:v>nostalgia, urgency, cyclical time</x:v>
      </x:c>
      <x:c r="K1455" s="120" t="str">
        <x:v>declining age; fallen era</x:v>
      </x:c>
      <x:c r="L1455" s="120" t="str">
        <x:v>Preserve source-specific terminology, metaphysics, ritual context, and cultural ownership; use this family for comparison, not as a claim of historical equivalence.</x:v>
      </x:c>
      <x:c r="M1455" s="120" t="str">
        <x:v>Framework core</x:v>
      </x:c>
    </x:row>
    <x:row r="1456" ht="44" customHeight="1">
      <x:c r="A1456" s="119" t="str">
        <x:v>COS-706</x:v>
      </x:c>
      <x:c r="B1456" s="120" t="str">
        <x:v>Prophesied Golden Age</x:v>
      </x:c>
      <x:c r="C1456" s="120" t="str">
        <x:v>Cosmologies, Realms &amp; Sacred Geography</x:v>
      </x:c>
      <x:c r="D1456" s="120" t="str">
        <x:v>COS-700</x:v>
      </x:c>
      <x:c r="E1456" s="120" t="str">
        <x:f>IF(D1456="","",IFERROR(VLOOKUP(D1456,$A$2:$B$1656,2,FALSE),""))</x:f>
        <x:v>Eschatology, Cycles &amp; World Change</x:v>
      </x:c>
      <x:c r="F1456" s="120" t="n">
        <x:v>3</x:v>
      </x:c>
      <x:c r="G1456" s="120" t="str">
        <x:v>A future or returning era of justice, abundance, restored sovereignty, divine presence, or cosmic harmony.</x:v>
      </x:c>
      <x:c r="H1456" s="120" t="str">
        <x:v>The promise may motivate reform, rebellion, waiting, or manipulation.</x:v>
      </x:c>
      <x:c r="I1456" s="120" t="str">
        <x:v>restored kingdom; age of peace; returning spring</x:v>
      </x:c>
      <x:c r="J1456" s="120" t="str">
        <x:v>hope, legitimacy, prophecy, utopia</x:v>
      </x:c>
      <x:c r="K1456" s="120" t="str">
        <x:v>golden age; restored era</x:v>
      </x:c>
      <x:c r="L1456" s="120" t="str">
        <x:v>Preserve source-specific terminology, metaphysics, ritual context, and cultural ownership; use this family for comparison, not as a claim of historical equivalence.</x:v>
      </x:c>
      <x:c r="M1456" s="120" t="str">
        <x:v>Framework core</x:v>
      </x:c>
    </x:row>
    <x:row r="1457" ht="44" customHeight="1">
      <x:c r="A1457" s="119" t="str">
        <x:v>COS-707</x:v>
      </x:c>
      <x:c r="B1457" s="120" t="str">
        <x:v>World Convergence</x:v>
      </x:c>
      <x:c r="C1457" s="120" t="str">
        <x:v>Cosmologies, Realms &amp; Sacred Geography</x:v>
      </x:c>
      <x:c r="D1457" s="120" t="str">
        <x:v>COS-700</x:v>
      </x:c>
      <x:c r="E1457" s="120" t="str">
        <x:f>IF(D1457="","",IFERROR(VLOOKUP(D1457,$A$2:$B$1656,2,FALSE),""))</x:f>
        <x:v>Eschatology, Cycles &amp; World Change</x:v>
      </x:c>
      <x:c r="F1457" s="120" t="n">
        <x:v>3</x:v>
      </x:c>
      <x:c r="G1457" s="120" t="str">
        <x:v>Separate realms, timelines, dimensions, cultures, or cosmological layers merge, overlap, or collide.</x:v>
      </x:c>
      <x:c r="H1457" s="120" t="str">
        <x:v>Convergence can enable exchange, invasion, hybridization, or collapse.</x:v>
      </x:c>
      <x:c r="I1457" s="120" t="str">
        <x:v>planar conjunction; realm merger; worlds collide</x:v>
      </x:c>
      <x:c r="J1457" s="120" t="str">
        <x:v>crossover, catastrophe, new ecology</x:v>
      </x:c>
      <x:c r="K1457" s="120" t="str">
        <x:v>world convergence; realm collision</x:v>
      </x:c>
      <x:c r="L1457" s="120" t="str">
        <x:v>Preserve source-specific terminology, metaphysics, ritual context, and cultural ownership; use this family for comparison, not as a claim of historical equivalence.</x:v>
      </x:c>
      <x:c r="M1457" s="120" t="str">
        <x:v>Framework core</x:v>
      </x:c>
    </x:row>
    <x:row r="1458" ht="44" customHeight="1">
      <x:c r="A1458" s="119" t="str">
        <x:v>COS-708</x:v>
      </x:c>
      <x:c r="B1458" s="120" t="str">
        <x:v>Realm Collapse</x:v>
      </x:c>
      <x:c r="C1458" s="120" t="str">
        <x:v>Cosmologies, Realms &amp; Sacred Geography</x:v>
      </x:c>
      <x:c r="D1458" s="120" t="str">
        <x:v>COS-700</x:v>
      </x:c>
      <x:c r="E1458" s="120" t="str">
        <x:f>IF(D1458="","",IFERROR(VLOOKUP(D1458,$A$2:$B$1656,2,FALSE),""))</x:f>
        <x:v>Eschatology, Cycles &amp; World Change</x:v>
      </x:c>
      <x:c r="F1458" s="120" t="n">
        <x:v>3</x:v>
      </x:c>
      <x:c r="G1458" s="120" t="str">
        <x:v>A world or plane loses coherence, law, inhabitants, boundaries, or sustaining power and becomes inaccessible, absorbed, or destroyed.</x:v>
      </x:c>
      <x:c r="H1458" s="120" t="str">
        <x:v>It may be local rather than universal apocalypse.</x:v>
      </x:c>
      <x:c r="I1458" s="120" t="str">
        <x:v>fading world; broken plane; collapsing dream</x:v>
      </x:c>
      <x:c r="J1458" s="120" t="str">
        <x:v>refugee crisis, urgency, loss</x:v>
      </x:c>
      <x:c r="K1458" s="120" t="str">
        <x:v>realm collapse; dying world</x:v>
      </x:c>
      <x:c r="L1458" s="120" t="str">
        <x:v>Preserve source-specific terminology, metaphysics, ritual context, and cultural ownership; use this family for comparison, not as a claim of historical equivalence.</x:v>
      </x:c>
      <x:c r="M1458" s="120" t="str">
        <x:v>Framework core</x:v>
      </x:c>
    </x:row>
    <x:row r="1459" ht="44" customHeight="1">
      <x:c r="A1459" s="119" t="str">
        <x:v>COS-709</x:v>
      </x:c>
      <x:c r="B1459" s="120" t="str">
        <x:v>Divine Withdrawal</x:v>
      </x:c>
      <x:c r="C1459" s="120" t="str">
        <x:v>Cosmologies, Realms &amp; Sacred Geography</x:v>
      </x:c>
      <x:c r="D1459" s="120" t="str">
        <x:v>COS-700</x:v>
      </x:c>
      <x:c r="E1459" s="120" t="str">
        <x:f>IF(D1459="","",IFERROR(VLOOKUP(D1459,$A$2:$B$1656,2,FALSE),""))</x:f>
        <x:v>Eschatology, Cycles &amp; World Change</x:v>
      </x:c>
      <x:c r="F1459" s="120" t="n">
        <x:v>3</x:v>
      </x:c>
      <x:c r="G1459" s="120" t="str">
        <x:v>Gods or transcendent powers retreat, become silent, lose access, die, or cease direct involvement, changing the world's institutions and magic.</x:v>
      </x:c>
      <x:c r="H1459" s="120" t="str">
        <x:v>Absence may be historical, covenantal, strategic, or epistemic.</x:v>
      </x:c>
      <x:c r="I1459" s="120" t="str">
        <x:v>silence of gods; closing heaven; lost patrons</x:v>
      </x:c>
      <x:c r="J1459" s="120" t="str">
        <x:v>secularization, crisis, autonomy, longing</x:v>
      </x:c>
      <x:c r="K1459" s="120" t="str">
        <x:v>divine withdrawal; absent gods</x:v>
      </x:c>
      <x:c r="L1459" s="120" t="str">
        <x:v>Preserve source-specific terminology, metaphysics, ritual context, and cultural ownership; use this family for comparison, not as a claim of historical equivalence.</x:v>
      </x:c>
      <x:c r="M1459" s="120" t="str">
        <x:v>Framework core</x:v>
      </x:c>
    </x:row>
    <x:row r="1460" ht="44" customHeight="1">
      <x:c r="A1460" s="119" t="str">
        <x:v>COS-710</x:v>
      </x:c>
      <x:c r="B1460" s="120" t="str">
        <x:v>Return of the Gods</x:v>
      </x:c>
      <x:c r="C1460" s="120" t="str">
        <x:v>Cosmologies, Realms &amp; Sacred Geography</x:v>
      </x:c>
      <x:c r="D1460" s="120" t="str">
        <x:v>COS-700</x:v>
      </x:c>
      <x:c r="E1460" s="120" t="str">
        <x:f>IF(D1460="","",IFERROR(VLOOKUP(D1460,$A$2:$B$1656,2,FALSE),""))</x:f>
        <x:v>Eschatology, Cycles &amp; World Change</x:v>
      </x:c>
      <x:c r="F1460" s="120" t="n">
        <x:v>3</x:v>
      </x:c>
      <x:c r="G1460" s="120" t="str">
        <x:v>Divine beings, primordial powers, or sacred orders re-enter direct worldly presence after absence or concealment.</x:v>
      </x:c>
      <x:c r="H1460" s="120" t="str">
        <x:v>Return may be salvation, invasion, judgment, or destabilization.</x:v>
      </x:c>
      <x:c r="I1460" s="120" t="str">
        <x:v>awakening gods; reopened heaven; restored pantheon</x:v>
      </x:c>
      <x:c r="J1460" s="120" t="str">
        <x:v>eschatology, political upheaval, renewed magic</x:v>
      </x:c>
      <x:c r="K1460" s="120" t="str">
        <x:v>returning gods; divine return</x:v>
      </x:c>
      <x:c r="L1460" s="120" t="str">
        <x:v>Preserve source-specific terminology, metaphysics, ritual context, and cultural ownership; use this family for comparison, not as a claim of historical equivalence.</x:v>
      </x:c>
      <x:c r="M1460" s="120" t="str">
        <x:v>Framework core</x:v>
      </x:c>
    </x:row>
    <x:row r="1461" ht="44" customHeight="1">
      <x:c r="A1461" s="119" t="str">
        <x:v>COS-711</x:v>
      </x:c>
      <x:c r="B1461" s="120" t="str">
        <x:v>New Creation</x:v>
      </x:c>
      <x:c r="C1461" s="120" t="str">
        <x:v>Cosmologies, Realms &amp; Sacred Geography</x:v>
      </x:c>
      <x:c r="D1461" s="120" t="str">
        <x:v>COS-700</x:v>
      </x:c>
      <x:c r="E1461" s="120" t="str">
        <x:f>IF(D1461="","",IFERROR(VLOOKUP(D1461,$A$2:$B$1656,2,FALSE),""))</x:f>
        <x:v>Eschatology, Cycles &amp; World Change</x:v>
      </x:c>
      <x:c r="F1461" s="120" t="n">
        <x:v>3</x:v>
      </x:c>
      <x:c r="G1461" s="120" t="str">
        <x:v>A successor world, age, body, society, or cosmic order established after destruction, judgment, liberation, or transcendence.</x:v>
      </x:c>
      <x:c r="H1461" s="120" t="str">
        <x:v>A repaired old world and a genuinely new creation should be distinguished.</x:v>
      </x:c>
      <x:c r="I1461" s="120" t="str">
        <x:v>second world; recreated earth; new heaven</x:v>
      </x:c>
      <x:c r="J1461" s="120" t="str">
        <x:v>renewal, succession, transformed law</x:v>
      </x:c>
      <x:c r="K1461" s="120" t="str">
        <x:v>new creation; renewed world</x:v>
      </x:c>
      <x:c r="L1461" s="120" t="str">
        <x:v>Preserve source-specific terminology, metaphysics, ritual context, and cultural ownership; use this family for comparison, not as a claim of historical equivalence.</x:v>
      </x:c>
      <x:c r="M1461" s="120" t="str">
        <x:v>Framework core</x:v>
      </x:c>
    </x:row>
    <x:row r="1462" ht="44" customHeight="1">
      <x:c r="A1462" s="119" t="str">
        <x:v>COS-712</x:v>
      </x:c>
      <x:c r="B1462" s="120" t="str">
        <x:v>Restoration of Cosmic Balance</x:v>
      </x:c>
      <x:c r="C1462" s="120" t="str">
        <x:v>Cosmologies, Realms &amp; Sacred Geography</x:v>
      </x:c>
      <x:c r="D1462" s="120" t="str">
        <x:v>COS-700</x:v>
      </x:c>
      <x:c r="E1462" s="120" t="str">
        <x:f>IF(D1462="","",IFERROR(VLOOKUP(D1462,$A$2:$B$1656,2,FALSE),""))</x:f>
        <x:v>Eschatology, Cycles &amp; World Change</x:v>
      </x:c>
      <x:c r="F1462" s="120" t="n">
        <x:v>3</x:v>
      </x:c>
      <x:c r="G1462" s="120" t="str">
        <x:v>A damaged or skewed world order is rebalanced through ritual, sacrifice, reconciliation, defeat of excess, return of an object, or renewal of rightful relationships.</x:v>
      </x:c>
      <x:c r="H1462" s="120" t="str">
        <x:v>Balance is source-specific and must not be assumed to mean moral centrism or equal forces.</x:v>
      </x:c>
      <x:c r="I1462" s="120" t="str">
        <x:v>restored seasons; mended world; renewed covenant</x:v>
      </x:c>
      <x:c r="J1462" s="120" t="str">
        <x:v>quest resolution, ecology, governance</x:v>
      </x:c>
      <x:c r="K1462" s="120" t="str">
        <x:v>cosmic restoration; balance restored</x:v>
      </x:c>
      <x:c r="L1462" s="120" t="str">
        <x:v>Preserve source-specific terminology, metaphysics, ritual context, and cultural ownership; use this family for comparison, not as a claim of historical equivalence.</x:v>
      </x:c>
      <x:c r="M1462" s="120" t="str">
        <x:v>Framework core</x:v>
      </x:c>
    </x:row>
    <x:row r="1463" ht="44" customHeight="1">
      <x:c r="A1463" s="119" t="str">
        <x:v>COS-713</x:v>
      </x:c>
      <x:c r="B1463" s="120" t="str">
        <x:v>Eternal Recurrence</x:v>
      </x:c>
      <x:c r="C1463" s="120" t="str">
        <x:v>Cosmologies, Realms &amp; Sacred Geography</x:v>
      </x:c>
      <x:c r="D1463" s="120" t="str">
        <x:v>COS-700</x:v>
      </x:c>
      <x:c r="E1463" s="120" t="str">
        <x:f>IF(D1463="","",IFERROR(VLOOKUP(D1463,$A$2:$B$1656,2,FALSE),""))</x:f>
        <x:v>Eschatology, Cycles &amp; World Change</x:v>
      </x:c>
      <x:c r="F1463" s="120" t="n">
        <x:v>3</x:v>
      </x:c>
      <x:c r="G1463" s="120" t="str">
        <x:v>Events, identities, worlds, or conflicts recur indefinitely in the same or closely patterned sequence.</x:v>
      </x:c>
      <x:c r="H1463" s="120" t="str">
        <x:v>It differs from broad cyclical time when recurrence is exact or traps agency.</x:v>
      </x:c>
      <x:c r="I1463" s="120" t="str">
        <x:v>time loop cosmos; repeating age; recurring hero</x:v>
      </x:c>
      <x:c r="J1463" s="120" t="str">
        <x:v>fatalism, escape quest, memory, variation</x:v>
      </x:c>
      <x:c r="K1463" s="120" t="str">
        <x:v>eternal recurrence; cosmic loop</x:v>
      </x:c>
      <x:c r="L1463" s="120" t="str">
        <x:v>Preserve source-specific terminology, metaphysics, ritual context, and cultural ownership; use this family for comparison, not as a claim of historical equivalence.</x:v>
      </x:c>
      <x:c r="M1463" s="120" t="str">
        <x:v>Framework core</x:v>
      </x:c>
    </x:row>
    <x:row r="1464" ht="44" customHeight="1">
      <x:c r="A1464" s="119" t="str">
        <x:v>COS-714</x:v>
      </x:c>
      <x:c r="B1464" s="120" t="str">
        <x:v>End of Magic</x:v>
      </x:c>
      <x:c r="C1464" s="120" t="str">
        <x:v>Cosmologies, Realms &amp; Sacred Geography</x:v>
      </x:c>
      <x:c r="D1464" s="120" t="str">
        <x:v>COS-700</x:v>
      </x:c>
      <x:c r="E1464" s="120" t="str">
        <x:f>IF(D1464="","",IFERROR(VLOOKUP(D1464,$A$2:$B$1656,2,FALSE),""))</x:f>
        <x:v>Eschatology, Cycles &amp; World Change</x:v>
      </x:c>
      <x:c r="F1464" s="120" t="n">
        <x:v>3</x:v>
      </x:c>
      <x:c r="G1464" s="120" t="str">
        <x:v>Magic, divine access, spirits, wonder, or supernatural capability fades, is sealed, exhausted, forbidden, or leaves the world.</x:v>
      </x:c>
      <x:c r="H1464" s="120" t="str">
        <x:v>The ending may be loss, liberation, modernization, or cyclical transition.</x:v>
      </x:c>
      <x:c r="I1464" s="120" t="str">
        <x:v>fading enchantment; broken source; closed gates</x:v>
      </x:c>
      <x:c r="J1464" s="120" t="str">
        <x:v>melancholy, historical transition, sacrifice</x:v>
      </x:c>
      <x:c r="K1464" s="120" t="str">
        <x:v>end of magic; fading world</x:v>
      </x:c>
      <x:c r="L1464" s="120" t="str">
        <x:v>Preserve source-specific terminology, metaphysics, ritual context, and cultural ownership; use this family for comparison, not as a claim of historical equivalence.</x:v>
      </x:c>
      <x:c r="M1464" s="120" t="str">
        <x:v>Framework core</x:v>
      </x:c>
    </x:row>
    <x:row r="1465" ht="44" customHeight="1">
      <x:c r="A1465" s="119" t="str">
        <x:v>COS-715</x:v>
      </x:c>
      <x:c r="B1465" s="120" t="str">
        <x:v>Broken Cosmos</x:v>
      </x:c>
      <x:c r="C1465" s="120" t="str">
        <x:v>Cosmologies, Realms &amp; Sacred Geography</x:v>
      </x:c>
      <x:c r="D1465" s="120" t="str">
        <x:v>COS-700</x:v>
      </x:c>
      <x:c r="E1465" s="120" t="str">
        <x:f>IF(D1465="","",IFERROR(VLOOKUP(D1465,$A$2:$B$1656,2,FALSE),""))</x:f>
        <x:v>Eschatology, Cycles &amp; World Change</x:v>
      </x:c>
      <x:c r="F1465" s="120" t="n">
        <x:v>3</x:v>
      </x:c>
      <x:c r="G1465" s="120" t="str">
        <x:v>Reality's fundamental laws, boundaries, time, realms, or causal order are damaged but not wholly destroyed.</x:v>
      </x:c>
      <x:c r="H1465" s="120" t="str">
        <x:v>Brokenness creates persistent anomalies rather than one terminal catastrophe.</x:v>
      </x:c>
      <x:c r="I1465" s="120" t="str">
        <x:v>shattered world; fractured planes; wounded time</x:v>
      </x:c>
      <x:c r="J1465" s="120" t="str">
        <x:v>setting premise, repair, instability</x:v>
      </x:c>
      <x:c r="K1465" s="120" t="str">
        <x:v>broken cosmos; fractured reality</x:v>
      </x:c>
      <x:c r="L1465" s="120" t="str">
        <x:v>Preserve source-specific terminology, metaphysics, ritual context, and cultural ownership; use this family for comparison, not as a claim of historical equivalence.</x:v>
      </x:c>
      <x:c r="M1465" s="120" t="str">
        <x:v>Framework core</x:v>
      </x:c>
    </x:row>
    <x:row r="1466" ht="44" customHeight="1">
      <x:c r="A1466" s="119" t="str">
        <x:v>COS-716</x:v>
      </x:c>
      <x:c r="B1466" s="120" t="str">
        <x:v>Apotheosis of the World</x:v>
      </x:c>
      <x:c r="C1466" s="120" t="str">
        <x:v>Cosmologies, Realms &amp; Sacred Geography</x:v>
      </x:c>
      <x:c r="D1466" s="120" t="str">
        <x:v>COS-700</x:v>
      </x:c>
      <x:c r="E1466" s="120" t="str">
        <x:f>IF(D1466="","",IFERROR(VLOOKUP(D1466,$A$2:$B$1656,2,FALSE),""))</x:f>
        <x:v>Eschatology, Cycles &amp; World Change</x:v>
      </x:c>
      <x:c r="F1466" s="120" t="n">
        <x:v>3</x:v>
      </x:c>
      <x:c r="G1466" s="120" t="str">
        <x:v>The world, a people, or all beings transform into a higher, divine, spiritual, informational, or otherwise postordinary state.</x:v>
      </x:c>
      <x:c r="H1466" s="120" t="str">
        <x:v>This is collective cosmological transformation, not one character's apotheosis.</x:v>
      </x:c>
      <x:c r="I1466" s="120" t="str">
        <x:v>world ascension; collective transcendence</x:v>
      </x:c>
      <x:c r="J1466" s="120" t="str">
        <x:v>final transformation, utopia, ambiguity</x:v>
      </x:c>
      <x:c r="K1466" s="120" t="str">
        <x:v>world apotheosis; cosmic ascension</x:v>
      </x:c>
      <x:c r="L1466" s="120" t="str">
        <x:v>Preserve source-specific terminology, metaphysics, ritual context, and cultural ownership; use this family for comparison, not as a claim of historical equivalence.</x:v>
      </x:c>
      <x:c r="M1466" s="120" t="str">
        <x:v>Framework core</x:v>
      </x:c>
    </x:row>
    <x:row r="1467" ht="44" customHeight="1">
      <x:c r="A1467" s="119" t="str">
        <x:v>LAW-000</x:v>
      </x:c>
      <x:c r="B1467" s="120" t="str">
        <x:v>Metaphysical Laws, Rituals &amp; Exchanges</x:v>
      </x:c>
      <x:c r="C1467" s="120" t="str">
        <x:v>Metaphysical Laws, Rituals &amp; Exchanges</x:v>
      </x:c>
      <x:c r="D1467" s="120"/>
      <x:c r="E1467" s="120" t="str">
        <x:f>IF(D1467="","",IFERROR(VLOOKUP(D1467,$A$2:$B$1656,2,FALSE),""))</x:f>
      </x:c>
      <x:c r="F1467" s="120" t="n">
        <x:v>1</x:v>
      </x:c>
      <x:c r="G1467" s="120" t="str">
        <x:v>Binding rules, obligations, rites, exchanges, conditions, causal principles, and threshold logics through which fantasy worlds regulate power, identity, society, death, and relations with nonhuman beings.</x:v>
      </x:c>
      <x:c r="H1467" s="120" t="str">
        <x:v>A top-level analytical domain. Source records may link to several domains without being reduced to any one of them.</x:v>
      </x:c>
      <x:c r="I1467" s="120"/>
      <x:c r="J1467" s="120" t="str">
        <x:v>Provides a primary comparison axis for the database.</x:v>
      </x:c>
      <x:c r="K1467" s="120" t="str">
        <x:v>Metaphysical Laws, Rituals &amp; Exchanges</x:v>
      </x:c>
      <x:c r="L1467" s="120" t="str">
        <x:v>Preserve the source's own categories and avoid treating a comparative family as an indigenous or canonical taxonomy.</x:v>
      </x:c>
      <x:c r="M1467" s="120" t="str">
        <x:v>Domain Root</x:v>
      </x:c>
    </x:row>
    <x:row r="1468" ht="44" customHeight="1">
      <x:c r="A1468" s="119" t="str">
        <x:v>LAW-100</x:v>
      </x:c>
      <x:c r="B1468" s="120" t="str">
        <x:v>Oaths, Vows &amp; Prohibitions</x:v>
      </x:c>
      <x:c r="C1468" s="120" t="str">
        <x:v>Metaphysical Laws, Rituals &amp; Exchanges</x:v>
      </x:c>
      <x:c r="D1468" s="120" t="str">
        <x:v>LAW-000</x:v>
      </x:c>
      <x:c r="E1468" s="120" t="str">
        <x:f>IF(D1468="","",IFERROR(VLOOKUP(D1468,$A$2:$B$1656,2,FALSE),""))</x:f>
        <x:v>Metaphysical Laws, Rituals &amp; Exchanges</x:v>
      </x:c>
      <x:c r="F1468" s="120" t="n">
        <x:v>2</x:v>
      </x:c>
      <x:c r="G1468" s="120" t="str">
        <x:v>Self-binding promises, imposed obligations, taboos, renunciations, and prohibitions whose force exceeds ordinary preference.</x:v>
      </x:c>
      <x:c r="H1468" s="120" t="str">
        <x:v>An organizing family rather than a source-native universal; classify a source concept at the narrowest defensible level.</x:v>
      </x:c>
      <x:c r="I1468" s="120"/>
      <x:c r="J1468" s="120" t="str">
        <x:v>Organizes source-specific records and normalized subfamilies.</x:v>
      </x:c>
      <x:c r="K1468" s="120" t="str">
        <x:v>Oaths, Vows &amp; Prohibitions</x:v>
      </x:c>
      <x:c r="L1468" s="120" t="str">
        <x:v>Preserve source-specific terminology, metaphysics, ritual context, and cultural ownership; use this family for comparison, not as a claim of historical equivalence.</x:v>
      </x:c>
      <x:c r="M1468" s="120" t="str">
        <x:v>Category</x:v>
      </x:c>
    </x:row>
    <x:row r="1469" ht="44" customHeight="1">
      <x:c r="A1469" s="119" t="str">
        <x:v>LAW-200</x:v>
      </x:c>
      <x:c r="B1469" s="120" t="str">
        <x:v>Gifts, Boons, Curses &amp; Contracts</x:v>
      </x:c>
      <x:c r="C1469" s="120" t="str">
        <x:v>Metaphysical Laws, Rituals &amp; Exchanges</x:v>
      </x:c>
      <x:c r="D1469" s="120" t="str">
        <x:v>LAW-000</x:v>
      </x:c>
      <x:c r="E1469" s="120" t="str">
        <x:f>IF(D1469="","",IFERROR(VLOOKUP(D1469,$A$2:$B$1656,2,FALSE),""))</x:f>
        <x:v>Metaphysical Laws, Rituals &amp; Exchanges</x:v>
      </x:c>
      <x:c r="F1469" s="120" t="n">
        <x:v>2</x:v>
      </x:c>
      <x:c r="G1469" s="120" t="str">
        <x:v>Relational grants and burdens that create power, debt, obligation, conditions, loopholes, or enduring supernatural consequences.</x:v>
      </x:c>
      <x:c r="H1469" s="120" t="str">
        <x:v>An organizing family rather than a source-native universal; classify a source concept at the narrowest defensible level.</x:v>
      </x:c>
      <x:c r="I1469" s="120"/>
      <x:c r="J1469" s="120" t="str">
        <x:v>Organizes source-specific records and normalized subfamilies.</x:v>
      </x:c>
      <x:c r="K1469" s="120" t="str">
        <x:v>Gifts, Boons, Curses &amp; Contracts</x:v>
      </x:c>
      <x:c r="L1469" s="120" t="str">
        <x:v>Preserve source-specific terminology, metaphysics, ritual context, and cultural ownership; use this family for comparison, not as a claim of historical equivalence.</x:v>
      </x:c>
      <x:c r="M1469" s="120" t="str">
        <x:v>Category</x:v>
      </x:c>
    </x:row>
    <x:row r="1470" ht="44" customHeight="1">
      <x:c r="A1470" s="119" t="str">
        <x:v>LAW-300</x:v>
      </x:c>
      <x:c r="B1470" s="120" t="str">
        <x:v>Sacrifice, Offerings &amp; Ritual Economy</x:v>
      </x:c>
      <x:c r="C1470" s="120" t="str">
        <x:v>Metaphysical Laws, Rituals &amp; Exchanges</x:v>
      </x:c>
      <x:c r="D1470" s="120" t="str">
        <x:v>LAW-000</x:v>
      </x:c>
      <x:c r="E1470" s="120" t="str">
        <x:f>IF(D1470="","",IFERROR(VLOOKUP(D1470,$A$2:$B$1656,2,FALSE),""))</x:f>
        <x:v>Metaphysical Laws, Rituals &amp; Exchanges</x:v>
      </x:c>
      <x:c r="F1470" s="120" t="n">
        <x:v>2</x:v>
      </x:c>
      <x:c r="G1470" s="120" t="str">
        <x:v>Exchanges in which value, life, labor, memory, substance, praise, or relationship is offered, consumed, transferred, or reciprocated.</x:v>
      </x:c>
      <x:c r="H1470" s="120" t="str">
        <x:v>An organizing family rather than a source-native universal; classify a source concept at the narrowest defensible level.</x:v>
      </x:c>
      <x:c r="I1470" s="120"/>
      <x:c r="J1470" s="120" t="str">
        <x:v>Organizes source-specific records and normalized subfamilies.</x:v>
      </x:c>
      <x:c r="K1470" s="120" t="str">
        <x:v>Sacrifice, Offerings &amp; Ritual Economy</x:v>
      </x:c>
      <x:c r="L1470" s="120" t="str">
        <x:v>Preserve source-specific terminology, metaphysics, ritual context, and cultural ownership; use this family for comparison, not as a claim of historical equivalence.</x:v>
      </x:c>
      <x:c r="M1470" s="120" t="str">
        <x:v>Category</x:v>
      </x:c>
    </x:row>
    <x:row r="1471" ht="44" customHeight="1">
      <x:c r="A1471" s="119" t="str">
        <x:v>LAW-400</x:v>
      </x:c>
      <x:c r="B1471" s="120" t="str">
        <x:v>Purity, Pollution &amp; Sacred Boundaries</x:v>
      </x:c>
      <x:c r="C1471" s="120" t="str">
        <x:v>Metaphysical Laws, Rituals &amp; Exchanges</x:v>
      </x:c>
      <x:c r="D1471" s="120" t="str">
        <x:v>LAW-000</x:v>
      </x:c>
      <x:c r="E1471" s="120" t="str">
        <x:f>IF(D1471="","",IFERROR(VLOOKUP(D1471,$A$2:$B$1656,2,FALSE),""))</x:f>
        <x:v>Metaphysical Laws, Rituals &amp; Exchanges</x:v>
      </x:c>
      <x:c r="F1471" s="120" t="n">
        <x:v>2</x:v>
      </x:c>
      <x:c r="G1471" s="120" t="str">
        <x:v>Rules governing consecration, contamination, taboo contact, cleansing, sanctuary, and the maintenance or violation of sacred distinctions.</x:v>
      </x:c>
      <x:c r="H1471" s="120" t="str">
        <x:v>An organizing family rather than a source-native universal; classify a source concept at the narrowest defensible level.</x:v>
      </x:c>
      <x:c r="I1471" s="120"/>
      <x:c r="J1471" s="120" t="str">
        <x:v>Organizes source-specific records and normalized subfamilies.</x:v>
      </x:c>
      <x:c r="K1471" s="120" t="str">
        <x:v>Purity, Pollution &amp; Sacred Boundaries</x:v>
      </x:c>
      <x:c r="L1471" s="120" t="str">
        <x:v>Preserve source-specific terminology, metaphysics, ritual context, and cultural ownership; use this family for comparison, not as a claim of historical equivalence.</x:v>
      </x:c>
      <x:c r="M1471" s="120" t="str">
        <x:v>Category</x:v>
      </x:c>
    </x:row>
    <x:row r="1472" ht="44" customHeight="1">
      <x:c r="A1472" s="119" t="str">
        <x:v>LAW-500</x:v>
      </x:c>
      <x:c r="B1472" s="120" t="str">
        <x:v>Fate, Causation &amp; Cosmic Order</x:v>
      </x:c>
      <x:c r="C1472" s="120" t="str">
        <x:v>Metaphysical Laws, Rituals &amp; Exchanges</x:v>
      </x:c>
      <x:c r="D1472" s="120" t="str">
        <x:v>LAW-000</x:v>
      </x:c>
      <x:c r="E1472" s="120" t="str">
        <x:f>IF(D1472="","",IFERROR(VLOOKUP(D1472,$A$2:$B$1656,2,FALSE),""))</x:f>
        <x:v>Metaphysical Laws, Rituals &amp; Exchanges</x:v>
      </x:c>
      <x:c r="F1472" s="120" t="n">
        <x:v>2</x:v>
      </x:c>
      <x:c r="G1472" s="120" t="str">
        <x:v>Principles that bind events, consequences, destiny, balance, hierarchy, correspondence, magic, and the overall order of the world.</x:v>
      </x:c>
      <x:c r="H1472" s="120" t="str">
        <x:v>An organizing family rather than a source-native universal; classify a source concept at the narrowest defensible level.</x:v>
      </x:c>
      <x:c r="I1472" s="120"/>
      <x:c r="J1472" s="120" t="str">
        <x:v>Organizes source-specific records and normalized subfamilies.</x:v>
      </x:c>
      <x:c r="K1472" s="120" t="str">
        <x:v>Fate, Causation &amp; Cosmic Order</x:v>
      </x:c>
      <x:c r="L1472" s="120" t="str">
        <x:v>Preserve source-specific terminology, metaphysics, ritual context, and cultural ownership; use this family for comparison, not as a claim of historical equivalence.</x:v>
      </x:c>
      <x:c r="M1472" s="120" t="str">
        <x:v>Category</x:v>
      </x:c>
    </x:row>
    <x:row r="1473" ht="44" customHeight="1">
      <x:c r="A1473" s="119" t="str">
        <x:v>LAW-600</x:v>
      </x:c>
      <x:c r="B1473" s="120" t="str">
        <x:v>Names, Words, Symbols &amp; Recognition</x:v>
      </x:c>
      <x:c r="C1473" s="120" t="str">
        <x:v>Metaphysical Laws, Rituals &amp; Exchanges</x:v>
      </x:c>
      <x:c r="D1473" s="120" t="str">
        <x:v>LAW-000</x:v>
      </x:c>
      <x:c r="E1473" s="120" t="str">
        <x:f>IF(D1473="","",IFERROR(VLOOKUP(D1473,$A$2:$B$1656,2,FALSE),""))</x:f>
        <x:v>Metaphysical Laws, Rituals &amp; Exchanges</x:v>
      </x:c>
      <x:c r="F1473" s="120" t="n">
        <x:v>2</x:v>
      </x:c>
      <x:c r="G1473" s="120" t="str">
        <x:v>Rules under which speech, names, writing, music, invitation, identity, representation, or belief produces binding effects.</x:v>
      </x:c>
      <x:c r="H1473" s="120" t="str">
        <x:v>An organizing family rather than a source-native universal; classify a source concept at the narrowest defensible level.</x:v>
      </x:c>
      <x:c r="I1473" s="120"/>
      <x:c r="J1473" s="120" t="str">
        <x:v>Organizes source-specific records and normalized subfamilies.</x:v>
      </x:c>
      <x:c r="K1473" s="120" t="str">
        <x:v>Names, Words, Symbols &amp; Recognition</x:v>
      </x:c>
      <x:c r="L1473" s="120" t="str">
        <x:v>Preserve source-specific terminology, metaphysics, ritual context, and cultural ownership; use this family for comparison, not as a claim of historical equivalence.</x:v>
      </x:c>
      <x:c r="M1473" s="120" t="str">
        <x:v>Category</x:v>
      </x:c>
    </x:row>
    <x:row r="1474" ht="44" customHeight="1">
      <x:c r="A1474" s="119" t="str">
        <x:v>LAW-700</x:v>
      </x:c>
      <x:c r="B1474" s="120" t="str">
        <x:v>Death, Rebirth &amp; Immortality Rules</x:v>
      </x:c>
      <x:c r="C1474" s="120" t="str">
        <x:v>Metaphysical Laws, Rituals &amp; Exchanges</x:v>
      </x:c>
      <x:c r="D1474" s="120" t="str">
        <x:v>LAW-000</x:v>
      </x:c>
      <x:c r="E1474" s="120" t="str">
        <x:f>IF(D1474="","",IFERROR(VLOOKUP(D1474,$A$2:$B$1656,2,FALSE),""))</x:f>
        <x:v>Metaphysical Laws, Rituals &amp; Exchanges</x:v>
      </x:c>
      <x:c r="F1474" s="120" t="n">
        <x:v>2</x:v>
      </x:c>
      <x:c r="G1474" s="120" t="str">
        <x:v>Conditions governing dying, judgment, burial, return, resurrection, soul continuity, feeding, reincarnation, and escape from mortality.</x:v>
      </x:c>
      <x:c r="H1474" s="120" t="str">
        <x:v>An organizing family rather than a source-native universal; classify a source concept at the narrowest defensible level.</x:v>
      </x:c>
      <x:c r="I1474" s="120"/>
      <x:c r="J1474" s="120" t="str">
        <x:v>Organizes source-specific records and normalized subfamilies.</x:v>
      </x:c>
      <x:c r="K1474" s="120" t="str">
        <x:v>Death, Rebirth &amp; Immortality Rules</x:v>
      </x:c>
      <x:c r="L1474" s="120" t="str">
        <x:v>Preserve source-specific terminology, metaphysics, ritual context, and cultural ownership; use this family for comparison, not as a claim of historical equivalence.</x:v>
      </x:c>
      <x:c r="M1474" s="120" t="str">
        <x:v>Category</x:v>
      </x:c>
    </x:row>
    <x:row r="1475" ht="44" customHeight="1">
      <x:c r="A1475" s="119" t="str">
        <x:v>LAW-800</x:v>
      </x:c>
      <x:c r="B1475" s="120" t="str">
        <x:v>Hospitality, Kinship &amp; Social Metaphysics</x:v>
      </x:c>
      <x:c r="C1475" s="120" t="str">
        <x:v>Metaphysical Laws, Rituals &amp; Exchanges</x:v>
      </x:c>
      <x:c r="D1475" s="120" t="str">
        <x:v>LAW-000</x:v>
      </x:c>
      <x:c r="E1475" s="120" t="str">
        <x:f>IF(D1475="","",IFERROR(VLOOKUP(D1475,$A$2:$B$1656,2,FALSE),""))</x:f>
        <x:v>Metaphysical Laws, Rituals &amp; Exchanges</x:v>
      </x:c>
      <x:c r="F1475" s="120" t="n">
        <x:v>2</x:v>
      </x:c>
      <x:c r="G1475" s="120" t="str">
        <x:v>Social relationships whose obligations are cosmologically, ritually, magically, or narratively enforceable.</x:v>
      </x:c>
      <x:c r="H1475" s="120" t="str">
        <x:v>An organizing family rather than a source-native universal; classify a source concept at the narrowest defensible level.</x:v>
      </x:c>
      <x:c r="I1475" s="120"/>
      <x:c r="J1475" s="120" t="str">
        <x:v>Organizes source-specific records and normalized subfamilies.</x:v>
      </x:c>
      <x:c r="K1475" s="120" t="str">
        <x:v>Hospitality, Kinship &amp; Social Metaphysics</x:v>
      </x:c>
      <x:c r="L1475" s="120" t="str">
        <x:v>Preserve source-specific terminology, metaphysics, ritual context, and cultural ownership; use this family for comparison, not as a claim of historical equivalence.</x:v>
      </x:c>
      <x:c r="M1475" s="120" t="str">
        <x:v>Category</x:v>
      </x:c>
    </x:row>
    <x:row r="1476" ht="44" customHeight="1">
      <x:c r="A1476" s="119" t="str">
        <x:v>LAW-101</x:v>
      </x:c>
      <x:c r="B1476" s="120" t="str">
        <x:v>Sacred Oath</x:v>
      </x:c>
      <x:c r="C1476" s="120" t="str">
        <x:v>Metaphysical Laws, Rituals &amp; Exchanges</x:v>
      </x:c>
      <x:c r="D1476" s="120" t="str">
        <x:v>LAW-100</x:v>
      </x:c>
      <x:c r="E1476" s="120" t="str">
        <x:f>IF(D1476="","",IFERROR(VLOOKUP(D1476,$A$2:$B$1656,2,FALSE),""))</x:f>
        <x:v>Oaths, Vows &amp; Prohibitions</x:v>
      </x:c>
      <x:c r="F1476" s="120" t="n">
        <x:v>3</x:v>
      </x:c>
      <x:c r="G1476" s="120" t="str">
        <x:v>A solemn promise whose violation triggers divine, magical, legal-cosmic, ancestral, or identity-level consequences.</x:v>
      </x:c>
      <x:c r="H1476" s="120" t="str">
        <x:v>Not every strong promise is metaphysical; the world or recognized powers must enforce or materially authorize it.</x:v>
      </x:c>
      <x:c r="I1476" s="120" t="str">
        <x:v>sworn covenant; binding promise; oath before gods</x:v>
      </x:c>
      <x:c r="J1476" s="120" t="str">
        <x:v>trust, legitimacy, conflict, consequence</x:v>
      </x:c>
      <x:c r="K1476" s="120" t="str">
        <x:v>sacred oath; binding oath</x:v>
      </x:c>
      <x:c r="L1476" s="120" t="str">
        <x:v>Preserve source-specific terminology, metaphysics, ritual context, and cultural ownership; use this family for comparison, not as a claim of historical equivalence.</x:v>
      </x:c>
      <x:c r="M1476" s="120" t="str">
        <x:v>Framework core</x:v>
      </x:c>
    </x:row>
    <x:row r="1477" ht="44" customHeight="1">
      <x:c r="A1477" s="119" t="str">
        <x:v>LAW-102</x:v>
      </x:c>
      <x:c r="B1477" s="120" t="str">
        <x:v>Renunciation Vow</x:v>
      </x:c>
      <x:c r="C1477" s="120" t="str">
        <x:v>Metaphysical Laws, Rituals &amp; Exchanges</x:v>
      </x:c>
      <x:c r="D1477" s="120" t="str">
        <x:v>LAW-100</x:v>
      </x:c>
      <x:c r="E1477" s="120" t="str">
        <x:f>IF(D1477="","",IFERROR(VLOOKUP(D1477,$A$2:$B$1656,2,FALSE),""))</x:f>
        <x:v>Oaths, Vows &amp; Prohibitions</x:v>
      </x:c>
      <x:c r="F1477" s="120" t="n">
        <x:v>3</x:v>
      </x:c>
      <x:c r="G1477" s="120" t="str">
        <x:v>A vow to surrender pleasure, possession, status, violence, speech, family, food, identity, or another valued capacity in pursuit of power, purity, liberation, or duty.</x:v>
      </x:c>
      <x:c r="H1477" s="120" t="str">
        <x:v>The power or authority comes from disciplined renunciation, not merely deprivation.</x:v>
      </x:c>
      <x:c r="I1477" s="120" t="str">
        <x:v>ascetic vow; vow of silence; celibate vow</x:v>
      </x:c>
      <x:c r="J1477" s="120" t="str">
        <x:v>discipline, spiritual power, social distinction</x:v>
      </x:c>
      <x:c r="K1477" s="120" t="str">
        <x:v>renunciation; ascetic vow</x:v>
      </x:c>
      <x:c r="L1477" s="120" t="str">
        <x:v>Preserve source-specific terminology, metaphysics, ritual context, and cultural ownership; use this family for comparison, not as a claim of historical equivalence.</x:v>
      </x:c>
      <x:c r="M1477" s="120" t="str">
        <x:v>Framework core</x:v>
      </x:c>
    </x:row>
    <x:row r="1478" ht="44" customHeight="1">
      <x:c r="A1478" s="119" t="str">
        <x:v>LAW-103</x:v>
      </x:c>
      <x:c r="B1478" s="120" t="str">
        <x:v>Quest Vow</x:v>
      </x:c>
      <x:c r="C1478" s="120" t="str">
        <x:v>Metaphysical Laws, Rituals &amp; Exchanges</x:v>
      </x:c>
      <x:c r="D1478" s="120" t="str">
        <x:v>LAW-100</x:v>
      </x:c>
      <x:c r="E1478" s="120" t="str">
        <x:f>IF(D1478="","",IFERROR(VLOOKUP(D1478,$A$2:$B$1656,2,FALSE),""))</x:f>
        <x:v>Oaths, Vows &amp; Prohibitions</x:v>
      </x:c>
      <x:c r="F1478" s="120" t="n">
        <x:v>3</x:v>
      </x:c>
      <x:c r="G1478" s="120" t="str">
        <x:v>A vow binding a person or group to complete, avoid, avenge, recover, protect, or reveal a specific task.</x:v>
      </x:c>
      <x:c r="H1478" s="120" t="str">
        <x:v>The obligation persists beyond ordinary motivation and may structure identity or fate.</x:v>
      </x:c>
      <x:c r="I1478" s="120" t="str">
        <x:v>vengeance oath; rescue vow; grail-like pledge</x:v>
      </x:c>
      <x:c r="J1478" s="120" t="str">
        <x:v>plot commitment, party cohesion, tragic rigidity</x:v>
      </x:c>
      <x:c r="K1478" s="120" t="str">
        <x:v>quest oath; sworn mission</x:v>
      </x:c>
      <x:c r="L1478" s="120" t="str">
        <x:v>Preserve source-specific terminology, metaphysics, ritual context, and cultural ownership; use this family for comparison, not as a claim of historical equivalence.</x:v>
      </x:c>
      <x:c r="M1478" s="120" t="str">
        <x:v>Framework core</x:v>
      </x:c>
    </x:row>
    <x:row r="1479" ht="44" customHeight="1">
      <x:c r="A1479" s="119" t="str">
        <x:v>LAW-104</x:v>
      </x:c>
      <x:c r="B1479" s="120" t="str">
        <x:v>Blood Oath</x:v>
      </x:c>
      <x:c r="C1479" s="120" t="str">
        <x:v>Metaphysical Laws, Rituals &amp; Exchanges</x:v>
      </x:c>
      <x:c r="D1479" s="120" t="str">
        <x:v>LAW-100</x:v>
      </x:c>
      <x:c r="E1479" s="120" t="str">
        <x:f>IF(D1479="","",IFERROR(VLOOKUP(D1479,$A$2:$B$1656,2,FALSE),""))</x:f>
        <x:v>Oaths, Vows &amp; Prohibitions</x:v>
      </x:c>
      <x:c r="F1479" s="120" t="n">
        <x:v>3</x:v>
      </x:c>
      <x:c r="G1479" s="120" t="str">
        <x:v>An oath sealed through blood, kinship symbolism, shared wound, sacrifice, or bodily substance.</x:v>
      </x:c>
      <x:c r="H1479" s="120" t="str">
        <x:v>Blood can signify life, descent, consent, or coercion; source meanings must be preserved.</x:v>
      </x:c>
      <x:c r="I1479" s="120" t="str">
        <x:v>blood pact; cut-palm oath; shared blood</x:v>
      </x:c>
      <x:c r="J1479" s="120" t="str">
        <x:v>brotherhood, alliance, curse, identity</x:v>
      </x:c>
      <x:c r="K1479" s="120" t="str">
        <x:v>blood oath; blood pact</x:v>
      </x:c>
      <x:c r="L1479" s="120" t="str">
        <x:v>Preserve source-specific terminology, metaphysics, ritual context, and cultural ownership; use this family for comparison, not as a claim of historical equivalence.</x:v>
      </x:c>
      <x:c r="M1479" s="120" t="str">
        <x:v>Framework core</x:v>
      </x:c>
    </x:row>
    <x:row r="1480" ht="44" customHeight="1">
      <x:c r="A1480" s="119" t="str">
        <x:v>LAW-105</x:v>
      </x:c>
      <x:c r="B1480" s="120" t="str">
        <x:v>Fealty Oath</x:v>
      </x:c>
      <x:c r="C1480" s="120" t="str">
        <x:v>Metaphysical Laws, Rituals &amp; Exchanges</x:v>
      </x:c>
      <x:c r="D1480" s="120" t="str">
        <x:v>LAW-100</x:v>
      </x:c>
      <x:c r="E1480" s="120" t="str">
        <x:f>IF(D1480="","",IFERROR(VLOOKUP(D1480,$A$2:$B$1656,2,FALSE),""))</x:f>
        <x:v>Oaths, Vows &amp; Prohibitions</x:v>
      </x:c>
      <x:c r="F1480" s="120" t="n">
        <x:v>3</x:v>
      </x:c>
      <x:c r="G1480" s="120" t="str">
        <x:v>A binding pledge of service, loyalty, protection, tribute, or obedience between follower and lord, institution, ruler, or cause.</x:v>
      </x:c>
      <x:c r="H1480" s="120" t="str">
        <x:v>Its reciprocal duties distinguish it from simple domination.</x:v>
      </x:c>
      <x:c r="I1480" s="120" t="str">
        <x:v>vassal oath; sworn sword; liege bond</x:v>
      </x:c>
      <x:c r="J1480" s="120" t="str">
        <x:v>political order, military service, betrayal</x:v>
      </x:c>
      <x:c r="K1480" s="120" t="str">
        <x:v>fealty; allegiance oath</x:v>
      </x:c>
      <x:c r="L1480" s="120" t="str">
        <x:v>Preserve source-specific terminology, metaphysics, ritual context, and cultural ownership; use this family for comparison, not as a claim of historical equivalence.</x:v>
      </x:c>
      <x:c r="M1480" s="120" t="str">
        <x:v>Framework core</x:v>
      </x:c>
    </x:row>
    <x:row r="1481" ht="44" customHeight="1">
      <x:c r="A1481" s="119" t="str">
        <x:v>LAW-106</x:v>
      </x:c>
      <x:c r="B1481" s="120" t="str">
        <x:v>Marriage or Union Vow</x:v>
      </x:c>
      <x:c r="C1481" s="120" t="str">
        <x:v>Metaphysical Laws, Rituals &amp; Exchanges</x:v>
      </x:c>
      <x:c r="D1481" s="120" t="str">
        <x:v>LAW-100</x:v>
      </x:c>
      <x:c r="E1481" s="120" t="str">
        <x:f>IF(D1481="","",IFERROR(VLOOKUP(D1481,$A$2:$B$1656,2,FALSE),""))</x:f>
        <x:v>Oaths, Vows &amp; Prohibitions</x:v>
      </x:c>
      <x:c r="F1481" s="120" t="n">
        <x:v>3</x:v>
      </x:c>
      <x:c r="G1481" s="120" t="str">
        <x:v>A vow that creates a recognized union with social, magical, dynastic, ritual, or cosmological consequences.</x:v>
      </x:c>
      <x:c r="H1481" s="120" t="str">
        <x:v>Do not assume all unions use modern individual consent models; record coercion and institution carefully.</x:v>
      </x:c>
      <x:c r="I1481" s="120" t="str">
        <x:v>marriage covenant; bonded pair; sacred union</x:v>
      </x:c>
      <x:c r="J1481" s="120" t="str">
        <x:v>kinship, succession, alliance, transformation</x:v>
      </x:c>
      <x:c r="K1481" s="120" t="str">
        <x:v>marriage vow; union covenant</x:v>
      </x:c>
      <x:c r="L1481" s="120" t="str">
        <x:v>Preserve source-specific terminology, metaphysics, ritual context, and cultural ownership; use this family for comparison, not as a claim of historical equivalence.</x:v>
      </x:c>
      <x:c r="M1481" s="120" t="str">
        <x:v>Framework core</x:v>
      </x:c>
    </x:row>
    <x:row r="1482" ht="44" customHeight="1">
      <x:c r="A1482" s="119" t="str">
        <x:v>LAW-107</x:v>
      </x:c>
      <x:c r="B1482" s="120" t="str">
        <x:v>Vow-Powered Ability</x:v>
      </x:c>
      <x:c r="C1482" s="120" t="str">
        <x:v>Metaphysical Laws, Rituals &amp; Exchanges</x:v>
      </x:c>
      <x:c r="D1482" s="120" t="str">
        <x:v>LAW-100</x:v>
      </x:c>
      <x:c r="E1482" s="120" t="str">
        <x:f>IF(D1482="","",IFERROR(VLOOKUP(D1482,$A$2:$B$1656,2,FALSE),""))</x:f>
        <x:v>Oaths, Vows &amp; Prohibitions</x:v>
      </x:c>
      <x:c r="F1482" s="120" t="n">
        <x:v>3</x:v>
      </x:c>
      <x:c r="G1482" s="120" t="str">
        <x:v>A capability that increases, activates, or becomes legitimate because the user accepts a binding restriction or obligation.</x:v>
      </x:c>
      <x:c r="H1482" s="120" t="str">
        <x:v>The limitation is constitutive of power, not a balance patch or personal preference.</x:v>
      </x:c>
      <x:c r="I1482" s="120" t="str">
        <x:v>restriction-for-power; oath magic; self-binding technique</x:v>
      </x:c>
      <x:c r="J1482" s="120" t="str">
        <x:v>power scaling, characterization, tactical tradeoff</x:v>
      </x:c>
      <x:c r="K1482" s="120" t="str">
        <x:v>vow power; binding restriction</x:v>
      </x:c>
      <x:c r="L1482" s="120" t="str">
        <x:v>Preserve source-specific terminology, metaphysics, ritual context, and cultural ownership; use this family for comparison, not as a claim of historical equivalence.</x:v>
      </x:c>
      <x:c r="M1482" s="120" t="str">
        <x:v>Framework core</x:v>
      </x:c>
    </x:row>
    <x:row r="1483" ht="44" customHeight="1">
      <x:c r="A1483" s="119" t="str">
        <x:v>LAW-108</x:v>
      </x:c>
      <x:c r="B1483" s="120" t="str">
        <x:v>Oath-Breaking Curse</x:v>
      </x:c>
      <x:c r="C1483" s="120" t="str">
        <x:v>Metaphysical Laws, Rituals &amp; Exchanges</x:v>
      </x:c>
      <x:c r="D1483" s="120" t="str">
        <x:v>LAW-100</x:v>
      </x:c>
      <x:c r="E1483" s="120" t="str">
        <x:f>IF(D1483="","",IFERROR(VLOOKUP(D1483,$A$2:$B$1656,2,FALSE),""))</x:f>
        <x:v>Oaths, Vows &amp; Prohibitions</x:v>
      </x:c>
      <x:c r="F1483" s="120" t="n">
        <x:v>3</x:v>
      </x:c>
      <x:c r="G1483" s="120" t="str">
        <x:v>A curse, loss, transformation, exile, or inherited consequence activated specifically by violating a vow or covenant.</x:v>
      </x:c>
      <x:c r="H1483" s="120" t="str">
        <x:v>The curse is relational and conditional rather than arbitrary misfortune.</x:v>
      </x:c>
      <x:c r="I1483" s="120" t="str">
        <x:v>perjurer's doom; broken-covenant blight</x:v>
      </x:c>
      <x:c r="J1483" s="120" t="str">
        <x:v>accountability, tragedy, deterrence</x:v>
      </x:c>
      <x:c r="K1483" s="120" t="str">
        <x:v>oath curse; perjury doom</x:v>
      </x:c>
      <x:c r="L1483" s="120" t="str">
        <x:v>Preserve source-specific terminology, metaphysics, ritual context, and cultural ownership; use this family for comparison, not as a claim of historical equivalence.</x:v>
      </x:c>
      <x:c r="M1483" s="120" t="str">
        <x:v>Framework core</x:v>
      </x:c>
    </x:row>
    <x:row r="1484" ht="44" customHeight="1">
      <x:c r="A1484" s="119" t="str">
        <x:v>LAW-109</x:v>
      </x:c>
      <x:c r="B1484" s="120" t="str">
        <x:v>Geas-Type Compulsory Obligation</x:v>
      </x:c>
      <x:c r="C1484" s="120" t="str">
        <x:v>Metaphysical Laws, Rituals &amp; Exchanges</x:v>
      </x:c>
      <x:c r="D1484" s="120" t="str">
        <x:v>LAW-100</x:v>
      </x:c>
      <x:c r="E1484" s="120" t="str">
        <x:f>IF(D1484="","",IFERROR(VLOOKUP(D1484,$A$2:$B$1656,2,FALSE),""))</x:f>
        <x:v>Oaths, Vows &amp; Prohibitions</x:v>
      </x:c>
      <x:c r="F1484" s="120" t="n">
        <x:v>3</x:v>
      </x:c>
      <x:c r="G1484" s="120" t="str">
        <x:v>A source-specific or analogous obligation combining command, taboo, destiny, and conditional consequence.</x:v>
      </x:c>
      <x:c r="H1484" s="120" t="str">
        <x:v>Use 'geis/geas' only for Irish material or explicit adaptations; other traditions require their own terms.</x:v>
      </x:c>
      <x:c r="I1484" s="120" t="str">
        <x:v>heroic injunction; conditional command; fated prohibition</x:v>
      </x:c>
      <x:c r="J1484" s="120" t="str">
        <x:v>plot constraint, identity, tragic conflict</x:v>
      </x:c>
      <x:c r="K1484" s="120" t="str">
        <x:v>geis; geas; compulsory taboo</x:v>
      </x:c>
      <x:c r="L1484" s="120" t="str">
        <x:v>Use the comparative label cautiously. Irish geis traditions are not a universal synonym for every magical command or taboo.</x:v>
      </x:c>
      <x:c r="M1484" s="120" t="str">
        <x:v>Framework core</x:v>
      </x:c>
    </x:row>
    <x:row r="1485" ht="44" customHeight="1">
      <x:c r="A1485" s="119" t="str">
        <x:v>LAW-110</x:v>
      </x:c>
      <x:c r="B1485" s="120" t="str">
        <x:v>Taboo or Prohibition</x:v>
      </x:c>
      <x:c r="C1485" s="120" t="str">
        <x:v>Metaphysical Laws, Rituals &amp; Exchanges</x:v>
      </x:c>
      <x:c r="D1485" s="120" t="str">
        <x:v>LAW-100</x:v>
      </x:c>
      <x:c r="E1485" s="120" t="str">
        <x:f>IF(D1485="","",IFERROR(VLOOKUP(D1485,$A$2:$B$1656,2,FALSE),""))</x:f>
        <x:v>Oaths, Vows &amp; Prohibitions</x:v>
      </x:c>
      <x:c r="F1485" s="120" t="n">
        <x:v>3</x:v>
      </x:c>
      <x:c r="G1485" s="120" t="str">
        <x:v>A rule forbidding contact, food, speech, place, time, action, relationship, or knowledge because violation threatens order, purity, identity, or safety.</x:v>
      </x:c>
      <x:c r="H1485" s="120" t="str">
        <x:v>A taboo may be social, ritual, cosmological, or political rather than morally self-evident.</x:v>
      </x:c>
      <x:c r="I1485" s="120" t="str">
        <x:v>food taboo; forbidden door; ritual prohibition</x:v>
      </x:c>
      <x:c r="J1485" s="120" t="str">
        <x:v>boundary maintenance, suspense, social identity</x:v>
      </x:c>
      <x:c r="K1485" s="120" t="str">
        <x:v>taboo; prohibition; forbidden act</x:v>
      </x:c>
      <x:c r="L1485" s="120" t="str">
        <x:v>Preserve source-specific terminology, metaphysics, ritual context, and cultural ownership; use this family for comparison, not as a claim of historical equivalence.</x:v>
      </x:c>
      <x:c r="M1485" s="120" t="str">
        <x:v>Framework core</x:v>
      </x:c>
    </x:row>
    <x:row r="1486" ht="44" customHeight="1">
      <x:c r="A1486" s="119" t="str">
        <x:v>LAW-111</x:v>
      </x:c>
      <x:c r="B1486" s="120" t="str">
        <x:v>Name or Identity Taboo</x:v>
      </x:c>
      <x:c r="C1486" s="120" t="str">
        <x:v>Metaphysical Laws, Rituals &amp; Exchanges</x:v>
      </x:c>
      <x:c r="D1486" s="120" t="str">
        <x:v>LAW-100</x:v>
      </x:c>
      <x:c r="E1486" s="120" t="str">
        <x:f>IF(D1486="","",IFERROR(VLOOKUP(D1486,$A$2:$B$1656,2,FALSE),""))</x:f>
        <x:v>Oaths, Vows &amp; Prohibitions</x:v>
      </x:c>
      <x:c r="F1486" s="120" t="n">
        <x:v>3</x:v>
      </x:c>
      <x:c r="G1486" s="120" t="str">
        <x:v>A prohibition on speaking, revealing, writing, seeing, impersonating, or directly addressing a name, face, title, or identity.</x:v>
      </x:c>
      <x:c r="H1486" s="120" t="str">
        <x:v>It may protect, control, honor, erase, or avoid attracting a being.</x:v>
      </x:c>
      <x:c r="I1486" s="120" t="str">
        <x:v>unspeakable name; masked identity; title-only address</x:v>
      </x:c>
      <x:c r="J1486" s="120" t="str">
        <x:v>protection, power, secrecy, reverence</x:v>
      </x:c>
      <x:c r="K1486" s="120" t="str">
        <x:v>name taboo; identity prohibition</x:v>
      </x:c>
      <x:c r="L1486" s="120" t="str">
        <x:v>Preserve source-specific terminology, metaphysics, ritual context, and cultural ownership; use this family for comparison, not as a claim of historical equivalence.</x:v>
      </x:c>
      <x:c r="M1486" s="120" t="str">
        <x:v>Framework core</x:v>
      </x:c>
    </x:row>
    <x:row r="1487" ht="44" customHeight="1">
      <x:c r="A1487" s="119" t="str">
        <x:v>LAW-112</x:v>
      </x:c>
      <x:c r="B1487" s="120" t="str">
        <x:v>Time-Limited Vow</x:v>
      </x:c>
      <x:c r="C1487" s="120" t="str">
        <x:v>Metaphysical Laws, Rituals &amp; Exchanges</x:v>
      </x:c>
      <x:c r="D1487" s="120" t="str">
        <x:v>LAW-100</x:v>
      </x:c>
      <x:c r="E1487" s="120" t="str">
        <x:f>IF(D1487="","",IFERROR(VLOOKUP(D1487,$A$2:$B$1656,2,FALSE),""))</x:f>
        <x:v>Oaths, Vows &amp; Prohibitions</x:v>
      </x:c>
      <x:c r="F1487" s="120" t="n">
        <x:v>3</x:v>
      </x:c>
      <x:c r="G1487" s="120" t="str">
        <x:v>A binding obligation lasting until a date, season, age, task, celestial event, or specified condition is fulfilled.</x:v>
      </x:c>
      <x:c r="H1487" s="120" t="str">
        <x:v>The duration is part of the metaphysical rule and often creates urgency.</x:v>
      </x:c>
      <x:c r="I1487" s="120" t="str">
        <x:v>year-and-a-day vow; exile term; vigil</x:v>
      </x:c>
      <x:c r="J1487" s="120" t="str">
        <x:v>countdown, endurance, ritual calendar</x:v>
      </x:c>
      <x:c r="K1487" s="120" t="str">
        <x:v>temporary vow; conditional term</x:v>
      </x:c>
      <x:c r="L1487" s="120" t="str">
        <x:v>Preserve source-specific terminology, metaphysics, ritual context, and cultural ownership; use this family for comparison, not as a claim of historical equivalence.</x:v>
      </x:c>
      <x:c r="M1487" s="120" t="str">
        <x:v>Framework core</x:v>
      </x:c>
    </x:row>
    <x:row r="1488" ht="44" customHeight="1">
      <x:c r="A1488" s="119" t="str">
        <x:v>LAW-113</x:v>
      </x:c>
      <x:c r="B1488" s="120" t="str">
        <x:v>Self-Binding Limitation</x:v>
      </x:c>
      <x:c r="C1488" s="120" t="str">
        <x:v>Metaphysical Laws, Rituals &amp; Exchanges</x:v>
      </x:c>
      <x:c r="D1488" s="120" t="str">
        <x:v>LAW-100</x:v>
      </x:c>
      <x:c r="E1488" s="120" t="str">
        <x:f>IF(D1488="","",IFERROR(VLOOKUP(D1488,$A$2:$B$1656,2,FALSE),""))</x:f>
        <x:v>Oaths, Vows &amp; Prohibitions</x:v>
      </x:c>
      <x:c r="F1488" s="120" t="n">
        <x:v>3</x:v>
      </x:c>
      <x:c r="G1488" s="120" t="str">
        <x:v>A voluntarily accepted constraint on method, target, time, speech, weapon, territory, or power used to gain reliability, authority, or greater capability.</x:v>
      </x:c>
      <x:c r="H1488" s="120" t="str">
        <x:v>Unlike a vow with social content, the primary logic is technical self-restriction.</x:v>
      </x:c>
      <x:c r="I1488" s="120" t="str">
        <x:v>no-kill rule; single-weapon limit; territory restriction</x:v>
      </x:c>
      <x:c r="J1488" s="120" t="str">
        <x:v>build identity, power tradeoff, discipline</x:v>
      </x:c>
      <x:c r="K1488" s="120" t="str">
        <x:v>binding limitation; restriction pact</x:v>
      </x:c>
      <x:c r="L1488" s="120" t="str">
        <x:v>Preserve source-specific terminology, metaphysics, ritual context, and cultural ownership; use this family for comparison, not as a claim of historical equivalence.</x:v>
      </x:c>
      <x:c r="M1488" s="120" t="str">
        <x:v>Framework core</x:v>
      </x:c>
    </x:row>
    <x:row r="1489" ht="44" customHeight="1">
      <x:c r="A1489" s="119" t="str">
        <x:v>LAW-114</x:v>
      </x:c>
      <x:c r="B1489" s="120" t="str">
        <x:v>Inherited Vow or Obligation</x:v>
      </x:c>
      <x:c r="C1489" s="120" t="str">
        <x:v>Metaphysical Laws, Rituals &amp; Exchanges</x:v>
      </x:c>
      <x:c r="D1489" s="120" t="str">
        <x:v>LAW-100</x:v>
      </x:c>
      <x:c r="E1489" s="120" t="str">
        <x:f>IF(D1489="","",IFERROR(VLOOKUP(D1489,$A$2:$B$1656,2,FALSE),""))</x:f>
        <x:v>Oaths, Vows &amp; Prohibitions</x:v>
      </x:c>
      <x:c r="F1489" s="120" t="n">
        <x:v>3</x:v>
      </x:c>
      <x:c r="G1489" s="120" t="str">
        <x:v>A promise, debt, service, guardianship, curse, or covenant passed to descendants, successors, officeholders, or community members.</x:v>
      </x:c>
      <x:c r="H1489" s="120" t="str">
        <x:v>Inheritance may be unjust, honored, disputed, or necessary; do not treat it as natural law without source support.</x:v>
      </x:c>
      <x:c r="I1489" s="120" t="str">
        <x:v>ancestral pledge; hereditary guardianship; dynastic duty</x:v>
      </x:c>
      <x:c r="J1489" s="120" t="str">
        <x:v>lineage, conflict, succession, memory</x:v>
      </x:c>
      <x:c r="K1489" s="120" t="str">
        <x:v>inherited oath; ancestral obligation</x:v>
      </x:c>
      <x:c r="L1489" s="120" t="str">
        <x:v>Preserve source-specific terminology, metaphysics, ritual context, and cultural ownership; use this family for comparison, not as a claim of historical equivalence.</x:v>
      </x:c>
      <x:c r="M1489" s="120" t="str">
        <x:v>Framework core</x:v>
      </x:c>
    </x:row>
    <x:row r="1490" ht="44" customHeight="1">
      <x:c r="A1490" s="119" t="str">
        <x:v>LAW-201</x:v>
      </x:c>
      <x:c r="B1490" s="120" t="str">
        <x:v>Divine Boon</x:v>
      </x:c>
      <x:c r="C1490" s="120" t="str">
        <x:v>Metaphysical Laws, Rituals &amp; Exchanges</x:v>
      </x:c>
      <x:c r="D1490" s="120" t="str">
        <x:v>LAW-200</x:v>
      </x:c>
      <x:c r="E1490" s="120" t="str">
        <x:f>IF(D1490="","",IFERROR(VLOOKUP(D1490,$A$2:$B$1656,2,FALSE),""))</x:f>
        <x:v>Gifts, Boons, Curses &amp; Contracts</x:v>
      </x:c>
      <x:c r="F1490" s="120" t="n">
        <x:v>3</x:v>
      </x:c>
      <x:c r="G1490" s="120" t="str">
        <x:v>A benefit, power, protection, object, status, fertility, victory, knowledge, or exception granted by a deity or sacred being.</x:v>
      </x:c>
      <x:c r="H1490" s="120" t="str">
        <x:v>A boon creates a relationship and may include conditions, debt, limits, or unintended consequences.</x:v>
      </x:c>
      <x:c r="I1490" s="120" t="str">
        <x:v>god-gift; blessing; heavenly grant</x:v>
      </x:c>
      <x:c r="J1490" s="120" t="str">
        <x:v>authorization, reward, testing, escalation</x:v>
      </x:c>
      <x:c r="K1490" s="120" t="str">
        <x:v>divine boon; sacred grant</x:v>
      </x:c>
      <x:c r="L1490" s="120" t="str">
        <x:v>Preserve source-specific terminology, metaphysics, ritual context, and cultural ownership; use this family for comparison, not as a claim of historical equivalence.</x:v>
      </x:c>
      <x:c r="M1490" s="120" t="str">
        <x:v>Framework core</x:v>
      </x:c>
    </x:row>
    <x:row r="1491" ht="44" customHeight="1">
      <x:c r="A1491" s="119" t="str">
        <x:v>LAW-202</x:v>
      </x:c>
      <x:c r="B1491" s="120" t="str">
        <x:v>Conditional Boon</x:v>
      </x:c>
      <x:c r="C1491" s="120" t="str">
        <x:v>Metaphysical Laws, Rituals &amp; Exchanges</x:v>
      </x:c>
      <x:c r="D1491" s="120" t="str">
        <x:v>LAW-200</x:v>
      </x:c>
      <x:c r="E1491" s="120" t="str">
        <x:f>IF(D1491="","",IFERROR(VLOOKUP(D1491,$A$2:$B$1656,2,FALSE),""))</x:f>
        <x:v>Gifts, Boons, Curses &amp; Contracts</x:v>
      </x:c>
      <x:c r="F1491" s="120" t="n">
        <x:v>3</x:v>
      </x:c>
      <x:c r="G1491" s="120" t="str">
        <x:v>A granted benefit that remains valid only while specified behavior, possession, secrecy, timing, location, or identity conditions hold.</x:v>
      </x:c>
      <x:c r="H1491" s="120" t="str">
        <x:v>The condition is part of the grant rather than a later curse.</x:v>
      </x:c>
      <x:c r="I1491" s="120" t="str">
        <x:v>invulnerability except; blessing while pure; gift until dawn</x:v>
      </x:c>
      <x:c r="J1491" s="120" t="str">
        <x:v>loophole, suspense, moral test</x:v>
      </x:c>
      <x:c r="K1491" s="120" t="str">
        <x:v>conditional boon; limited blessing</x:v>
      </x:c>
      <x:c r="L1491" s="120" t="str">
        <x:v>Preserve source-specific terminology, metaphysics, ritual context, and cultural ownership; use this family for comparison, not as a claim of historical equivalence.</x:v>
      </x:c>
      <x:c r="M1491" s="120" t="str">
        <x:v>Framework core</x:v>
      </x:c>
    </x:row>
    <x:row r="1492" ht="44" customHeight="1">
      <x:c r="A1492" s="119" t="str">
        <x:v>LAW-203</x:v>
      </x:c>
      <x:c r="B1492" s="120" t="str">
        <x:v>Wish with a Cost</x:v>
      </x:c>
      <x:c r="C1492" s="120" t="str">
        <x:v>Metaphysical Laws, Rituals &amp; Exchanges</x:v>
      </x:c>
      <x:c r="D1492" s="120" t="str">
        <x:v>LAW-200</x:v>
      </x:c>
      <x:c r="E1492" s="120" t="str">
        <x:f>IF(D1492="","",IFERROR(VLOOKUP(D1492,$A$2:$B$1656,2,FALSE),""))</x:f>
        <x:v>Gifts, Boons, Curses &amp; Contracts</x:v>
      </x:c>
      <x:c r="F1492" s="120" t="n">
        <x:v>3</x:v>
      </x:c>
      <x:c r="G1492" s="120" t="str">
        <x:v>A reality-altering request whose fulfillment exacts payment, distortion, equivalent loss, future debt, or literalized wording.</x:v>
      </x:c>
      <x:c r="H1492" s="120" t="str">
        <x:v>The cost may arise from contract, cosmic law, hostile interpretation, or conservation.</x:v>
      </x:c>
      <x:c r="I1492" s="120" t="str">
        <x:v>monkey's-paw wish; life-for-wish; twisted desire</x:v>
      </x:c>
      <x:c r="J1492" s="120" t="str">
        <x:v>temptation, irony, sacrifice</x:v>
      </x:c>
      <x:c r="K1492" s="120" t="str">
        <x:v>costly wish; wish bargain</x:v>
      </x:c>
      <x:c r="L1492" s="120" t="str">
        <x:v>Preserve source-specific terminology, metaphysics, ritual context, and cultural ownership; use this family for comparison, not as a claim of historical equivalence.</x:v>
      </x:c>
      <x:c r="M1492" s="120" t="str">
        <x:v>Framework core</x:v>
      </x:c>
    </x:row>
    <x:row r="1493" ht="44" customHeight="1">
      <x:c r="A1493" s="119" t="str">
        <x:v>LAW-204</x:v>
      </x:c>
      <x:c r="B1493" s="120" t="str">
        <x:v>Curse</x:v>
      </x:c>
      <x:c r="C1493" s="120" t="str">
        <x:v>Metaphysical Laws, Rituals &amp; Exchanges</x:v>
      </x:c>
      <x:c r="D1493" s="120" t="str">
        <x:v>LAW-200</x:v>
      </x:c>
      <x:c r="E1493" s="120" t="str">
        <x:f>IF(D1493="","",IFERROR(VLOOKUP(D1493,$A$2:$B$1656,2,FALSE),""))</x:f>
        <x:v>Gifts, Boons, Curses &amp; Contracts</x:v>
      </x:c>
      <x:c r="F1493" s="120" t="n">
        <x:v>3</x:v>
      </x:c>
      <x:c r="G1493" s="120" t="str">
        <x:v>A supernatural burden, prohibition, transformation, doom, misfortune, or hostile condition imposed through speech, ritual, object, divine action, or violated law.</x:v>
      </x:c>
      <x:c r="H1493" s="120" t="str">
        <x:v>Curse mechanisms and moral meanings vary; do not treat every disability, illness, or social stigma as a curse.</x:v>
      </x:c>
      <x:c r="I1493" s="120" t="str">
        <x:v>spoken curse; divine doom; inherited blight</x:v>
      </x:c>
      <x:c r="J1493" s="120" t="str">
        <x:v>punishment, conflict, transformation, quest</x:v>
      </x:c>
      <x:c r="K1493" s="120" t="str">
        <x:v>curse; malediction; doom</x:v>
      </x:c>
      <x:c r="L1493" s="120" t="str">
        <x:v>Preserve source-specific terminology, metaphysics, ritual context, and cultural ownership; use this family for comparison, not as a claim of historical equivalence.</x:v>
      </x:c>
      <x:c r="M1493" s="120" t="str">
        <x:v>Framework core</x:v>
      </x:c>
    </x:row>
    <x:row r="1494" ht="44" customHeight="1">
      <x:c r="A1494" s="119" t="str">
        <x:v>LAW-205</x:v>
      </x:c>
      <x:c r="B1494" s="120" t="str">
        <x:v>Generational Curse</x:v>
      </x:c>
      <x:c r="C1494" s="120" t="str">
        <x:v>Metaphysical Laws, Rituals &amp; Exchanges</x:v>
      </x:c>
      <x:c r="D1494" s="120" t="str">
        <x:v>LAW-200</x:v>
      </x:c>
      <x:c r="E1494" s="120" t="str">
        <x:f>IF(D1494="","",IFERROR(VLOOKUP(D1494,$A$2:$B$1656,2,FALSE),""))</x:f>
        <x:v>Gifts, Boons, Curses &amp; Contracts</x:v>
      </x:c>
      <x:c r="F1494" s="120" t="n">
        <x:v>3</x:v>
      </x:c>
      <x:c r="G1494" s="120" t="str">
        <x:v>A curse transmitted through descent, household, office, land, name, or collective history across multiple generations.</x:v>
      </x:c>
      <x:c r="H1494" s="120" t="str">
        <x:v>Inheritance may reflect social consequence as much as biology.</x:v>
      </x:c>
      <x:c r="I1494" s="120" t="str">
        <x:v>family doom; house curse; ancestral sin</x:v>
      </x:c>
      <x:c r="J1494" s="120" t="str">
        <x:v>dynastic tragedy, mystery, restitution</x:v>
      </x:c>
      <x:c r="K1494" s="120" t="str">
        <x:v>generational curse; hereditary doom</x:v>
      </x:c>
      <x:c r="L1494" s="120" t="str">
        <x:v>Preserve source-specific terminology, metaphysics, ritual context, and cultural ownership; use this family for comparison, not as a claim of historical equivalence.</x:v>
      </x:c>
      <x:c r="M1494" s="120" t="str">
        <x:v>Framework core</x:v>
      </x:c>
    </x:row>
    <x:row r="1495" ht="44" customHeight="1">
      <x:c r="A1495" s="119" t="str">
        <x:v>LAW-206</x:v>
      </x:c>
      <x:c r="B1495" s="120" t="str">
        <x:v>Transformative Curse</x:v>
      </x:c>
      <x:c r="C1495" s="120" t="str">
        <x:v>Metaphysical Laws, Rituals &amp; Exchanges</x:v>
      </x:c>
      <x:c r="D1495" s="120" t="str">
        <x:v>LAW-200</x:v>
      </x:c>
      <x:c r="E1495" s="120" t="str">
        <x:f>IF(D1495="","",IFERROR(VLOOKUP(D1495,$A$2:$B$1656,2,FALSE),""))</x:f>
        <x:v>Gifts, Boons, Curses &amp; Contracts</x:v>
      </x:c>
      <x:c r="F1495" s="120" t="n">
        <x:v>3</x:v>
      </x:c>
      <x:c r="G1495" s="120" t="str">
        <x:v>A curse that changes body, species, identity, perception, voice, age, gender presentation, social recognition, or mode of existence.</x:v>
      </x:c>
      <x:c r="H1495" s="120" t="str">
        <x:v>Transformation may be reversible, cyclical, conditional, or identity-complex; avoid treating difference itself as punishment.</x:v>
      </x:c>
      <x:c r="I1495" s="120" t="str">
        <x:v>animal form; stone form; monstrous transformation</x:v>
      </x:c>
      <x:c r="J1495" s="120" t="str">
        <x:v>quest, stigma, self-discovery, horror</x:v>
      </x:c>
      <x:c r="K1495" s="120" t="str">
        <x:v>transformation curse; cursed form</x:v>
      </x:c>
      <x:c r="L1495" s="120" t="str">
        <x:v>Preserve source-specific terminology, metaphysics, ritual context, and cultural ownership; use this family for comparison, not as a claim of historical equivalence.</x:v>
      </x:c>
      <x:c r="M1495" s="120" t="str">
        <x:v>Framework core</x:v>
      </x:c>
    </x:row>
    <x:row r="1496" ht="44" customHeight="1">
      <x:c r="A1496" s="119" t="str">
        <x:v>LAW-207</x:v>
      </x:c>
      <x:c r="B1496" s="120" t="str">
        <x:v>Prophetic Curse or Doom</x:v>
      </x:c>
      <x:c r="C1496" s="120" t="str">
        <x:v>Metaphysical Laws, Rituals &amp; Exchanges</x:v>
      </x:c>
      <x:c r="D1496" s="120" t="str">
        <x:v>LAW-200</x:v>
      </x:c>
      <x:c r="E1496" s="120" t="str">
        <x:f>IF(D1496="","",IFERROR(VLOOKUP(D1496,$A$2:$B$1656,2,FALSE),""))</x:f>
        <x:v>Gifts, Boons, Curses &amp; Contracts</x:v>
      </x:c>
      <x:c r="F1496" s="120" t="n">
        <x:v>3</x:v>
      </x:c>
      <x:c r="G1496" s="120" t="str">
        <x:v>A curse formulated as an inevitable or conditionally inevitable future outcome whose avoidance may help fulfill it.</x:v>
      </x:c>
      <x:c r="H1496" s="120" t="str">
        <x:v>It combines hostile pronouncement, fate, and narrative expectation.</x:v>
      </x:c>
      <x:c r="I1496" s="120" t="str">
        <x:v>doom prophecy; foretold death; house fall</x:v>
      </x:c>
      <x:c r="J1496" s="120" t="str">
        <x:v>foreshadowing, tragic irony, avoidance plot</x:v>
      </x:c>
      <x:c r="K1496" s="120" t="str">
        <x:v>prophetic doom; fated curse</x:v>
      </x:c>
      <x:c r="L1496" s="120" t="str">
        <x:v>Preserve source-specific terminology, metaphysics, ritual context, and cultural ownership; use this family for comparison, not as a claim of historical equivalence.</x:v>
      </x:c>
      <x:c r="M1496" s="120" t="str">
        <x:v>Framework core</x:v>
      </x:c>
    </x:row>
    <x:row r="1497" ht="44" customHeight="1">
      <x:c r="A1497" s="119" t="str">
        <x:v>LAW-208</x:v>
      </x:c>
      <x:c r="B1497" s="120" t="str">
        <x:v>Pact or Contract</x:v>
      </x:c>
      <x:c r="C1497" s="120" t="str">
        <x:v>Metaphysical Laws, Rituals &amp; Exchanges</x:v>
      </x:c>
      <x:c r="D1497" s="120" t="str">
        <x:v>LAW-200</x:v>
      </x:c>
      <x:c r="E1497" s="120" t="str">
        <x:f>IF(D1497="","",IFERROR(VLOOKUP(D1497,$A$2:$B$1656,2,FALSE),""))</x:f>
        <x:v>Gifts, Boons, Curses &amp; Contracts</x:v>
      </x:c>
      <x:c r="F1497" s="120" t="n">
        <x:v>3</x:v>
      </x:c>
      <x:c r="G1497" s="120" t="str">
        <x:v>A negotiated agreement whose terms are supernaturally, cosmically, institutionally, or personally binding.</x:v>
      </x:c>
      <x:c r="H1497" s="120" t="str">
        <x:v>The presence of exchange and consent distinguishes a pact from pure compulsion, though consent may be unequal or coerced.</x:v>
      </x:c>
      <x:c r="I1497" s="120" t="str">
        <x:v>spirit pact; demon contract; covenant</x:v>
      </x:c>
      <x:c r="J1497" s="120" t="str">
        <x:v>power, service, alliance, risk</x:v>
      </x:c>
      <x:c r="K1497" s="120" t="str">
        <x:v>pact; supernatural contract</x:v>
      </x:c>
      <x:c r="L1497" s="120" t="str">
        <x:v>Preserve source-specific terminology, metaphysics, ritual context, and cultural ownership; use this family for comparison, not as a claim of historical equivalence.</x:v>
      </x:c>
      <x:c r="M1497" s="120" t="str">
        <x:v>Framework core</x:v>
      </x:c>
    </x:row>
    <x:row r="1498" ht="44" customHeight="1">
      <x:c r="A1498" s="119" t="str">
        <x:v>LAW-209</x:v>
      </x:c>
      <x:c r="B1498" s="120" t="str">
        <x:v>Soul Bargain</x:v>
      </x:c>
      <x:c r="C1498" s="120" t="str">
        <x:v>Metaphysical Laws, Rituals &amp; Exchanges</x:v>
      </x:c>
      <x:c r="D1498" s="120" t="str">
        <x:v>LAW-200</x:v>
      </x:c>
      <x:c r="E1498" s="120" t="str">
        <x:f>IF(D1498="","",IFERROR(VLOOKUP(D1498,$A$2:$B$1656,2,FALSE),""))</x:f>
        <x:v>Gifts, Boons, Curses &amp; Contracts</x:v>
      </x:c>
      <x:c r="F1498" s="120" t="n">
        <x:v>3</x:v>
      </x:c>
      <x:c r="G1498" s="120" t="str">
        <x:v>A pact in which a soul, afterlife, identity, autonomy, memory, or ultimate allegiance is offered or pledged.</x:v>
      </x:c>
      <x:c r="H1498" s="120" t="str">
        <x:v>Do not assume a single theological meaning of 'soul' across settings.</x:v>
      </x:c>
      <x:c r="I1498" s="120" t="str">
        <x:v>deal for soul; afterlife contract; name sale</x:v>
      </x:c>
      <x:c r="J1498" s="120" t="str">
        <x:v>temptation, power cost, redemption</x:v>
      </x:c>
      <x:c r="K1498" s="120" t="str">
        <x:v>soul bargain; infernal deal</x:v>
      </x:c>
      <x:c r="L1498" s="120" t="str">
        <x:v>Preserve source-specific terminology, metaphysics, ritual context, and cultural ownership; use this family for comparison, not as a claim of historical equivalence.</x:v>
      </x:c>
      <x:c r="M1498" s="120" t="str">
        <x:v>Framework core</x:v>
      </x:c>
    </x:row>
    <x:row r="1499" ht="44" customHeight="1">
      <x:c r="A1499" s="119" t="str">
        <x:v>LAW-210</x:v>
      </x:c>
      <x:c r="B1499" s="120" t="str">
        <x:v>Spirit Contract</x:v>
      </x:c>
      <x:c r="C1499" s="120" t="str">
        <x:v>Metaphysical Laws, Rituals &amp; Exchanges</x:v>
      </x:c>
      <x:c r="D1499" s="120" t="str">
        <x:v>LAW-200</x:v>
      </x:c>
      <x:c r="E1499" s="120" t="str">
        <x:f>IF(D1499="","",IFERROR(VLOOKUP(D1499,$A$2:$B$1656,2,FALSE),""))</x:f>
        <x:v>Gifts, Boons, Curses &amp; Contracts</x:v>
      </x:c>
      <x:c r="F1499" s="120" t="n">
        <x:v>3</x:v>
      </x:c>
      <x:c r="G1499" s="120" t="str">
        <x:v>An agreement between humans or other beings and spirits establishing service, protection, offerings, residence, mutual aid, or summoning rights.</x:v>
      </x:c>
      <x:c r="H1499" s="120" t="str">
        <x:v>It may be reciprocal and relational rather than ownership or enslavement.</x:v>
      </x:c>
      <x:c r="I1499" s="120" t="str">
        <x:v>familiar pact; shrine covenant; guardian spirit bond</x:v>
      </x:c>
      <x:c r="J1499" s="120" t="str">
        <x:v>mediation, power, ecology, obligation</x:v>
      </x:c>
      <x:c r="K1499" s="120" t="str">
        <x:v>spirit contract; familiar pact</x:v>
      </x:c>
      <x:c r="L1499" s="120" t="str">
        <x:v>Preserve source-specific terminology, metaphysics, ritual context, and cultural ownership; use this family for comparison, not as a claim of historical equivalence.</x:v>
      </x:c>
      <x:c r="M1499" s="120" t="str">
        <x:v>Framework core</x:v>
      </x:c>
    </x:row>
    <x:row r="1500" ht="44" customHeight="1">
      <x:c r="A1500" s="119" t="str">
        <x:v>LAW-211</x:v>
      </x:c>
      <x:c r="B1500" s="120" t="str">
        <x:v>Divine Patronage or Favor</x:v>
      </x:c>
      <x:c r="C1500" s="120" t="str">
        <x:v>Metaphysical Laws, Rituals &amp; Exchanges</x:v>
      </x:c>
      <x:c r="D1500" s="120" t="str">
        <x:v>LAW-200</x:v>
      </x:c>
      <x:c r="E1500" s="120" t="str">
        <x:f>IF(D1500="","",IFERROR(VLOOKUP(D1500,$A$2:$B$1656,2,FALSE),""))</x:f>
        <x:v>Gifts, Boons, Curses &amp; Contracts</x:v>
      </x:c>
      <x:c r="F1500" s="120" t="n">
        <x:v>3</x:v>
      </x:c>
      <x:c r="G1500" s="120" t="str">
        <x:v>An ongoing relationship in which a deity supports, authorizes, empowers, protects, or recognizes a person, office, people, or polity.</x:v>
      </x:c>
      <x:c r="H1500" s="120" t="str">
        <x:v>Favor can fluctuate and is not identical to permanent blessing.</x:v>
      </x:c>
      <x:c r="I1500" s="120" t="str">
        <x:v>chosen champion; patron god; favored king</x:v>
      </x:c>
      <x:c r="J1500" s="120" t="str">
        <x:v>power, legitimacy, mission, political theology</x:v>
      </x:c>
      <x:c r="K1500" s="120" t="str">
        <x:v>divine favor; patronage</x:v>
      </x:c>
      <x:c r="L1500" s="120" t="str">
        <x:v>Preserve source-specific terminology, metaphysics, ritual context, and cultural ownership; use this family for comparison, not as a claim of historical equivalence.</x:v>
      </x:c>
      <x:c r="M1500" s="120" t="str">
        <x:v>Framework core</x:v>
      </x:c>
    </x:row>
    <x:row r="1501" ht="44" customHeight="1">
      <x:c r="A1501" s="119" t="str">
        <x:v>LAW-212</x:v>
      </x:c>
      <x:c r="B1501" s="120" t="str">
        <x:v>Otherworld Gift Exchange</x:v>
      </x:c>
      <x:c r="C1501" s="120" t="str">
        <x:v>Metaphysical Laws, Rituals &amp; Exchanges</x:v>
      </x:c>
      <x:c r="D1501" s="120" t="str">
        <x:v>LAW-200</x:v>
      </x:c>
      <x:c r="E1501" s="120" t="str">
        <x:f>IF(D1501="","",IFERROR(VLOOKUP(D1501,$A$2:$B$1656,2,FALSE),""))</x:f>
        <x:v>Gifts, Boons, Curses &amp; Contracts</x:v>
      </x:c>
      <x:c r="F1501" s="120" t="n">
        <x:v>3</x:v>
      </x:c>
      <x:c r="G1501" s="120" t="str">
        <x:v>A gift relationship with fae, spirits, dead, gods, ancestors, or otherworld beings in which acceptance creates reciprocity, transformation, danger, or obligation.</x:v>
      </x:c>
      <x:c r="H1501" s="120" t="str">
        <x:v>A gift may never be socially neutral; source etiquette controls its meaning.</x:v>
      </x:c>
      <x:c r="I1501" s="120" t="str">
        <x:v>fairy gift; ancestor gift; food of otherworld</x:v>
      </x:c>
      <x:c r="J1501" s="120" t="str">
        <x:v>hospitality, debt, temptation, alliance</x:v>
      </x:c>
      <x:c r="K1501" s="120" t="str">
        <x:v>otherworld gift; enchanted gift</x:v>
      </x:c>
      <x:c r="L1501" s="120" t="str">
        <x:v>Preserve source-specific terminology, metaphysics, ritual context, and cultural ownership; use this family for comparison, not as a claim of historical equivalence.</x:v>
      </x:c>
      <x:c r="M1501" s="120" t="str">
        <x:v>Framework core</x:v>
      </x:c>
    </x:row>
    <x:row r="1502" ht="44" customHeight="1">
      <x:c r="A1502" s="119" t="str">
        <x:v>LAW-213</x:v>
      </x:c>
      <x:c r="B1502" s="120" t="str">
        <x:v>Reciprocity and Debt</x:v>
      </x:c>
      <x:c r="C1502" s="120" t="str">
        <x:v>Metaphysical Laws, Rituals &amp; Exchanges</x:v>
      </x:c>
      <x:c r="D1502" s="120" t="str">
        <x:v>LAW-200</x:v>
      </x:c>
      <x:c r="E1502" s="120" t="str">
        <x:f>IF(D1502="","",IFERROR(VLOOKUP(D1502,$A$2:$B$1656,2,FALSE),""))</x:f>
        <x:v>Gifts, Boons, Curses &amp; Contracts</x:v>
      </x:c>
      <x:c r="F1502" s="120" t="n">
        <x:v>3</x:v>
      </x:c>
      <x:c r="G1502" s="120" t="str">
        <x:v>A rule that benefits, injuries, gifts, hospitality, services, or violations create obligations requiring return, compensation, vengeance, gratitude, or balance.</x:v>
      </x:c>
      <x:c r="H1502" s="120" t="str">
        <x:v>Reciprocity may be social, ritual, legal, magical, or cosmic and need not be numerically equal.</x:v>
      </x:c>
      <x:c r="I1502" s="120" t="str">
        <x:v>gift debt; blood price; favor owed</x:v>
      </x:c>
      <x:c r="J1502" s="120" t="str">
        <x:v>social cohesion, quest hooks, cosmic balance</x:v>
      </x:c>
      <x:c r="K1502" s="120" t="str">
        <x:v>reciprocity; obligation; debt</x:v>
      </x:c>
      <x:c r="L1502" s="120" t="str">
        <x:v>Preserve source-specific terminology, metaphysics, ritual context, and cultural ownership; use this family for comparison, not as a claim of historical equivalence.</x:v>
      </x:c>
      <x:c r="M1502" s="120" t="str">
        <x:v>Framework core</x:v>
      </x:c>
    </x:row>
    <x:row r="1503" ht="44" customHeight="1">
      <x:c r="A1503" s="119" t="str">
        <x:v>LAW-214</x:v>
      </x:c>
      <x:c r="B1503" s="120" t="str">
        <x:v>Trial for a Gift</x:v>
      </x:c>
      <x:c r="C1503" s="120" t="str">
        <x:v>Metaphysical Laws, Rituals &amp; Exchanges</x:v>
      </x:c>
      <x:c r="D1503" s="120" t="str">
        <x:v>LAW-200</x:v>
      </x:c>
      <x:c r="E1503" s="120" t="str">
        <x:f>IF(D1503="","",IFERROR(VLOOKUP(D1503,$A$2:$B$1656,2,FALSE),""))</x:f>
        <x:v>Gifts, Boons, Curses &amp; Contracts</x:v>
      </x:c>
      <x:c r="F1503" s="120" t="n">
        <x:v>3</x:v>
      </x:c>
      <x:c r="G1503" s="120" t="str">
        <x:v>A boon, artifact, marriage, office, teaching, or transformation granted only after an ordeal, service, riddle, sacrifice, or proof of character.</x:v>
      </x:c>
      <x:c r="H1503" s="120" t="str">
        <x:v>The trial authorizes the gift and often defines eligibility.</x:v>
      </x:c>
      <x:c r="I1503" s="120" t="str">
        <x:v>three tasks; initiation test; divine challenge</x:v>
      </x:c>
      <x:c r="J1503" s="120" t="str">
        <x:v>merit, transformation, succession</x:v>
      </x:c>
      <x:c r="K1503" s="120" t="str">
        <x:v>trial gift; ordeal reward</x:v>
      </x:c>
      <x:c r="L1503" s="120" t="str">
        <x:v>Preserve source-specific terminology, metaphysics, ritual context, and cultural ownership; use this family for comparison, not as a claim of historical equivalence.</x:v>
      </x:c>
      <x:c r="M1503" s="120" t="str">
        <x:v>Framework core</x:v>
      </x:c>
    </x:row>
    <x:row r="1504" ht="44" customHeight="1">
      <x:c r="A1504" s="119" t="str">
        <x:v>LAW-215</x:v>
      </x:c>
      <x:c r="B1504" s="120" t="str">
        <x:v>Boon Loophole</x:v>
      </x:c>
      <x:c r="C1504" s="120" t="str">
        <x:v>Metaphysical Laws, Rituals &amp; Exchanges</x:v>
      </x:c>
      <x:c r="D1504" s="120" t="str">
        <x:v>LAW-200</x:v>
      </x:c>
      <x:c r="E1504" s="120" t="str">
        <x:f>IF(D1504="","",IFERROR(VLOOKUP(D1504,$A$2:$B$1656,2,FALSE),""))</x:f>
        <x:v>Gifts, Boons, Curses &amp; Contracts</x:v>
      </x:c>
      <x:c r="F1504" s="120" t="n">
        <x:v>3</x:v>
      </x:c>
      <x:c r="G1504" s="120" t="str">
        <x:v>A grant framed with exclusions or exact conditions that permit an unexpected counter, exception, or path around apparent invulnerability.</x:v>
      </x:c>
      <x:c r="H1504" s="120" t="str">
        <x:v>This is not merely clever tactics; it exploits the formal logic of the boon.</x:v>
      </x:c>
      <x:c r="I1504" s="120" t="str">
        <x:v>not by man; neither day nor night; exception clause</x:v>
      </x:c>
      <x:c r="J1504" s="120" t="str">
        <x:v>plot resolution, interpretive contest</x:v>
      </x:c>
      <x:c r="K1504" s="120" t="str">
        <x:v>boon loophole; conditional exception</x:v>
      </x:c>
      <x:c r="L1504" s="120" t="str">
        <x:v>Preserve source-specific terminology, metaphysics, ritual context, and cultural ownership; use this family for comparison, not as a claim of historical equivalence.</x:v>
      </x:c>
      <x:c r="M1504" s="120" t="str">
        <x:v>Framework core</x:v>
      </x:c>
    </x:row>
    <x:row r="1505" ht="44" customHeight="1">
      <x:c r="A1505" s="119" t="str">
        <x:v>LAW-216</x:v>
      </x:c>
      <x:c r="B1505" s="120" t="str">
        <x:v>Exact-Wording Contract</x:v>
      </x:c>
      <x:c r="C1505" s="120" t="str">
        <x:v>Metaphysical Laws, Rituals &amp; Exchanges</x:v>
      </x:c>
      <x:c r="D1505" s="120" t="str">
        <x:v>LAW-200</x:v>
      </x:c>
      <x:c r="E1505" s="120" t="str">
        <x:f>IF(D1505="","",IFERROR(VLOOKUP(D1505,$A$2:$B$1656,2,FALSE),""))</x:f>
        <x:v>Gifts, Boons, Curses &amp; Contracts</x:v>
      </x:c>
      <x:c r="F1505" s="120" t="n">
        <x:v>3</x:v>
      </x:c>
      <x:c r="G1505" s="120" t="str">
        <x:v>A pact whose outcomes depend on literal phrasing, definitions, omissions, names, or interpretive precision.</x:v>
      </x:c>
      <x:c r="H1505" s="120" t="str">
        <x:v>The contract operates like language-law rather than broad intention.</x:v>
      </x:c>
      <x:c r="I1505" s="120" t="str">
        <x:v>fine print; literal wish; ambiguous covenant</x:v>
      </x:c>
      <x:c r="J1505" s="120" t="str">
        <x:v>riddle, legalism, trickster contest</x:v>
      </x:c>
      <x:c r="K1505" s="120" t="str">
        <x:v>literal contract; wording trap</x:v>
      </x:c>
      <x:c r="L1505" s="120" t="str">
        <x:v>Preserve source-specific terminology, metaphysics, ritual context, and cultural ownership; use this family for comparison, not as a claim of historical equivalence.</x:v>
      </x:c>
      <x:c r="M1505" s="120" t="str">
        <x:v>Framework core</x:v>
      </x:c>
    </x:row>
    <x:row r="1506" ht="44" customHeight="1">
      <x:c r="A1506" s="119" t="str">
        <x:v>LAW-217</x:v>
      </x:c>
      <x:c r="B1506" s="120" t="str">
        <x:v>Inherited Contract</x:v>
      </x:c>
      <x:c r="C1506" s="120" t="str">
        <x:v>Metaphysical Laws, Rituals &amp; Exchanges</x:v>
      </x:c>
      <x:c r="D1506" s="120" t="str">
        <x:v>LAW-200</x:v>
      </x:c>
      <x:c r="E1506" s="120" t="str">
        <x:f>IF(D1506="","",IFERROR(VLOOKUP(D1506,$A$2:$B$1656,2,FALSE),""))</x:f>
        <x:v>Gifts, Boons, Curses &amp; Contracts</x:v>
      </x:c>
      <x:c r="F1506" s="120" t="n">
        <x:v>3</x:v>
      </x:c>
      <x:c r="G1506" s="120" t="str">
        <x:v>A pact whose benefits or burdens pass to heirs, successors, a household, institution, territory, or office.</x:v>
      </x:c>
      <x:c r="H1506" s="120" t="str">
        <x:v>Successors may inherit without original consent, creating legitimacy and justice conflicts.</x:v>
      </x:c>
      <x:c r="I1506" s="120" t="str">
        <x:v>dynastic pact; ancestral bargain; office covenant</x:v>
      </x:c>
      <x:c r="J1506" s="120" t="str">
        <x:v>lineage, politics, curse, duty</x:v>
      </x:c>
      <x:c r="K1506" s="120" t="str">
        <x:v>inherited pact; ancestral contract</x:v>
      </x:c>
      <x:c r="L1506" s="120" t="str">
        <x:v>Preserve source-specific terminology, metaphysics, ritual context, and cultural ownership; use this family for comparison, not as a claim of historical equivalence.</x:v>
      </x:c>
      <x:c r="M1506" s="120" t="str">
        <x:v>Framework core</x:v>
      </x:c>
    </x:row>
    <x:row r="1507" ht="44" customHeight="1">
      <x:c r="A1507" s="119" t="str">
        <x:v>LAW-301</x:v>
      </x:c>
      <x:c r="B1507" s="120" t="str">
        <x:v>Sacrifice or Offering</x:v>
      </x:c>
      <x:c r="C1507" s="120" t="str">
        <x:v>Metaphysical Laws, Rituals &amp; Exchanges</x:v>
      </x:c>
      <x:c r="D1507" s="120" t="str">
        <x:v>LAW-300</x:v>
      </x:c>
      <x:c r="E1507" s="120" t="str">
        <x:f>IF(D1507="","",IFERROR(VLOOKUP(D1507,$A$2:$B$1656,2,FALSE),""))</x:f>
        <x:v>Sacrifice, Offerings &amp; Ritual Economy</x:v>
      </x:c>
      <x:c r="F1507" s="120" t="n">
        <x:v>3</x:v>
      </x:c>
      <x:c r="G1507" s="120" t="str">
        <x:v>A valued substance, being, action, time, possession, performance, or renunciation given to divine, ancestral, spiritual, communal, or cosmic recipients.</x:v>
      </x:c>
      <x:c r="H1507" s="120" t="str">
        <x:v>Use source-specific ritual vocabulary and do not equate all offerings with violent sacrifice.</x:v>
      </x:c>
      <x:c r="I1507" s="120" t="str">
        <x:v>offering; oblation; gift to gods; ritual giving</x:v>
      </x:c>
      <x:c r="J1507" s="120" t="str">
        <x:v>worship, reciprocity, consecration, petition</x:v>
      </x:c>
      <x:c r="K1507" s="120" t="str">
        <x:v>sacrifice; offering; oblation</x:v>
      </x:c>
      <x:c r="L1507" s="120" t="str">
        <x:v>Preserve source-specific terminology, metaphysics, ritual context, and cultural ownership; use this family for comparison, not as a claim of historical equivalence.</x:v>
      </x:c>
      <x:c r="M1507" s="120" t="str">
        <x:v>Framework core</x:v>
      </x:c>
    </x:row>
    <x:row r="1508" ht="44" customHeight="1">
      <x:c r="A1508" s="119" t="str">
        <x:v>LAW-302</x:v>
      </x:c>
      <x:c r="B1508" s="120" t="str">
        <x:v>Blood Sacrifice</x:v>
      </x:c>
      <x:c r="C1508" s="120" t="str">
        <x:v>Metaphysical Laws, Rituals &amp; Exchanges</x:v>
      </x:c>
      <x:c r="D1508" s="120" t="str">
        <x:v>LAW-300</x:v>
      </x:c>
      <x:c r="E1508" s="120" t="str">
        <x:f>IF(D1508="","",IFERROR(VLOOKUP(D1508,$A$2:$B$1656,2,FALSE),""))</x:f>
        <x:v>Sacrifice, Offerings &amp; Ritual Economy</x:v>
      </x:c>
      <x:c r="F1508" s="120" t="n">
        <x:v>3</x:v>
      </x:c>
      <x:c r="G1508" s="120" t="str">
        <x:v>An offering in which blood or life substance is presented, spilled, transferred, or used as a medium of exchange or consecration.</x:v>
      </x:c>
      <x:c r="H1508" s="120" t="str">
        <x:v>Do not sensationalize or universalize; distinguish symbolic blood use, animal sacrifice, self-wounding, and human sacrifice.</x:v>
      </x:c>
      <x:c r="I1508" s="120" t="str">
        <x:v>blood rite; life offering; sacrificial blood</x:v>
      </x:c>
      <x:c r="J1508" s="120" t="str">
        <x:v>propitiation, power, covenant, horror</x:v>
      </x:c>
      <x:c r="K1508" s="120" t="str">
        <x:v>blood sacrifice; blood offering</x:v>
      </x:c>
      <x:c r="L1508" s="120" t="str">
        <x:v>Preserve source-specific terminology, metaphysics, ritual context, and cultural ownership; use this family for comparison, not as a claim of historical equivalence.</x:v>
      </x:c>
      <x:c r="M1508" s="120" t="str">
        <x:v>Framework core</x:v>
      </x:c>
    </x:row>
    <x:row r="1509" ht="44" customHeight="1">
      <x:c r="A1509" s="119" t="str">
        <x:v>LAW-303</x:v>
      </x:c>
      <x:c r="B1509" s="120" t="str">
        <x:v>Self-Sacrifice</x:v>
      </x:c>
      <x:c r="C1509" s="120" t="str">
        <x:v>Metaphysical Laws, Rituals &amp; Exchanges</x:v>
      </x:c>
      <x:c r="D1509" s="120" t="str">
        <x:v>LAW-300</x:v>
      </x:c>
      <x:c r="E1509" s="120" t="str">
        <x:f>IF(D1509="","",IFERROR(VLOOKUP(D1509,$A$2:$B$1656,2,FALSE),""))</x:f>
        <x:v>Sacrifice, Offerings &amp; Ritual Economy</x:v>
      </x:c>
      <x:c r="F1509" s="120" t="n">
        <x:v>3</x:v>
      </x:c>
      <x:c r="G1509" s="120" t="str">
        <x:v>A voluntary surrender of life, body, power, status, memory, future, freedom, or relationship for another person, community, law, or world.</x:v>
      </x:c>
      <x:c r="H1509" s="120" t="str">
        <x:v>Not every heroic death is sacrificial; the intentional offered loss is central.</x:v>
      </x:c>
      <x:c r="I1509" s="120" t="str">
        <x:v>life offering; power surrender; chosen death</x:v>
      </x:c>
      <x:c r="J1509" s="120" t="str">
        <x:v>redemption, protection, transformation</x:v>
      </x:c>
      <x:c r="K1509" s="120" t="str">
        <x:v>self-sacrifice; voluntary offering</x:v>
      </x:c>
      <x:c r="L1509" s="120" t="str">
        <x:v>Preserve source-specific terminology, metaphysics, ritual context, and cultural ownership; use this family for comparison, not as a claim of historical equivalence.</x:v>
      </x:c>
      <x:c r="M1509" s="120" t="str">
        <x:v>Framework core</x:v>
      </x:c>
    </x:row>
    <x:row r="1510" ht="44" customHeight="1">
      <x:c r="A1510" s="119" t="str">
        <x:v>LAW-304</x:v>
      </x:c>
      <x:c r="B1510" s="120" t="str">
        <x:v>Substitute Sacrifice</x:v>
      </x:c>
      <x:c r="C1510" s="120" t="str">
        <x:v>Metaphysical Laws, Rituals &amp; Exchanges</x:v>
      </x:c>
      <x:c r="D1510" s="120" t="str">
        <x:v>LAW-300</x:v>
      </x:c>
      <x:c r="E1510" s="120" t="str">
        <x:f>IF(D1510="","",IFERROR(VLOOKUP(D1510,$A$2:$B$1656,2,FALSE),""))</x:f>
        <x:v>Sacrifice, Offerings &amp; Ritual Economy</x:v>
      </x:c>
      <x:c r="F1510" s="120" t="n">
        <x:v>3</x:v>
      </x:c>
      <x:c r="G1510" s="120" t="str">
        <x:v>A being or object accepted, imposed, or substituted in place of another intended victim, debt, punishment, or cosmic cost.</x:v>
      </x:c>
      <x:c r="H1510" s="120" t="str">
        <x:v>Substitution may be merciful, coercive, symbolic, legal, or morally troubling.</x:v>
      </x:c>
      <x:c r="I1510" s="120" t="str">
        <x:v>scapegoat; proxy victim; replacement offering</x:v>
      </x:c>
      <x:c r="J1510" s="120" t="str">
        <x:v>redemption, injustice, ritual transfer</x:v>
      </x:c>
      <x:c r="K1510" s="120" t="str">
        <x:v>substitute sacrifice; proxy offering</x:v>
      </x:c>
      <x:c r="L1510" s="120" t="str">
        <x:v>Preserve source-specific terminology, metaphysics, ritual context, and cultural ownership; use this family for comparison, not as a claim of historical equivalence.</x:v>
      </x:c>
      <x:c r="M1510" s="120" t="str">
        <x:v>Framework core</x:v>
      </x:c>
    </x:row>
    <x:row r="1511" ht="44" customHeight="1">
      <x:c r="A1511" s="119" t="str">
        <x:v>LAW-305</x:v>
      </x:c>
      <x:c r="B1511" s="120" t="str">
        <x:v>First-Fruits or First-Share Offering</x:v>
      </x:c>
      <x:c r="C1511" s="120" t="str">
        <x:v>Metaphysical Laws, Rituals &amp; Exchanges</x:v>
      </x:c>
      <x:c r="D1511" s="120" t="str">
        <x:v>LAW-300</x:v>
      </x:c>
      <x:c r="E1511" s="120" t="str">
        <x:f>IF(D1511="","",IFERROR(VLOOKUP(D1511,$A$2:$B$1656,2,FALSE),""))</x:f>
        <x:v>Sacrifice, Offerings &amp; Ritual Economy</x:v>
      </x:c>
      <x:c r="F1511" s="120" t="n">
        <x:v>3</x:v>
      </x:c>
      <x:c r="G1511" s="120" t="str">
        <x:v>The first or designated portion of harvest, hunt, craft, income, victory, offspring, or treasure offered before ordinary use.</x:v>
      </x:c>
      <x:c r="H1511" s="120" t="str">
        <x:v>Priority and acknowledgment distinguish it from general tribute.</x:v>
      </x:c>
      <x:c r="I1511" s="120" t="str">
        <x:v>first harvest; first catch; first coin</x:v>
      </x:c>
      <x:c r="J1511" s="120" t="str">
        <x:v>gratitude, fertility, legitimacy, reciprocity</x:v>
      </x:c>
      <x:c r="K1511" s="120" t="str">
        <x:v>first fruits; first share</x:v>
      </x:c>
      <x:c r="L1511" s="120" t="str">
        <x:v>Preserve source-specific terminology, metaphysics, ritual context, and cultural ownership; use this family for comparison, not as a claim of historical equivalence.</x:v>
      </x:c>
      <x:c r="M1511" s="120" t="str">
        <x:v>Framework core</x:v>
      </x:c>
    </x:row>
    <x:row r="1512" ht="44" customHeight="1">
      <x:c r="A1512" s="119" t="str">
        <x:v>LAW-306</x:v>
      </x:c>
      <x:c r="B1512" s="120" t="str">
        <x:v>Ancestor Offering</x:v>
      </x:c>
      <x:c r="C1512" s="120" t="str">
        <x:v>Metaphysical Laws, Rituals &amp; Exchanges</x:v>
      </x:c>
      <x:c r="D1512" s="120" t="str">
        <x:v>LAW-300</x:v>
      </x:c>
      <x:c r="E1512" s="120" t="str">
        <x:f>IF(D1512="","",IFERROR(VLOOKUP(D1512,$A$2:$B$1656,2,FALSE),""))</x:f>
        <x:v>Sacrifice, Offerings &amp; Ritual Economy</x:v>
      </x:c>
      <x:c r="F1512" s="120" t="n">
        <x:v>3</x:v>
      </x:c>
      <x:c r="G1512" s="120" t="str">
        <x:v>Food, drink, smoke, objects, names, performances, or care given to ancestors to sustain relationship, memory, protection, or proper afterlife status.</x:v>
      </x:c>
      <x:c r="H1512" s="120" t="str">
        <x:v>Do not reduce living ancestral rites to 'feeding ghosts' or a generic mana exchange.</x:v>
      </x:c>
      <x:c r="I1512" s="120" t="str">
        <x:v>funerary meal; ancestor table; memorial offering</x:v>
      </x:c>
      <x:c r="J1512" s="120" t="str">
        <x:v>kinship, continuity, protection, remembrance</x:v>
      </x:c>
      <x:c r="K1512" s="120" t="str">
        <x:v>ancestor offering; funerary gift</x:v>
      </x:c>
      <x:c r="L1512" s="120" t="str">
        <x:v>Preserve source-specific terminology, metaphysics, ritual context, and cultural ownership; use this family for comparison, not as a claim of historical equivalence.</x:v>
      </x:c>
      <x:c r="M1512" s="120" t="str">
        <x:v>Framework core</x:v>
      </x:c>
    </x:row>
    <x:row r="1513" ht="44" customHeight="1">
      <x:c r="A1513" s="119" t="str">
        <x:v>LAW-307</x:v>
      </x:c>
      <x:c r="B1513" s="120" t="str">
        <x:v>Food or Drink Offering</x:v>
      </x:c>
      <x:c r="C1513" s="120" t="str">
        <x:v>Metaphysical Laws, Rituals &amp; Exchanges</x:v>
      </x:c>
      <x:c r="D1513" s="120" t="str">
        <x:v>LAW-300</x:v>
      </x:c>
      <x:c r="E1513" s="120" t="str">
        <x:f>IF(D1513="","",IFERROR(VLOOKUP(D1513,$A$2:$B$1656,2,FALSE),""))</x:f>
        <x:v>Sacrifice, Offerings &amp; Ritual Economy</x:v>
      </x:c>
      <x:c r="F1513" s="120" t="n">
        <x:v>3</x:v>
      </x:c>
      <x:c r="G1513" s="120" t="str">
        <x:v>Edible or drinkable substances ritually given, shared, transformed, consumed, or withheld in relations with gods, spirits, guests, dead, or community.</x:v>
      </x:c>
      <x:c r="H1513" s="120" t="str">
        <x:v>The same material may function as gift, communion, hospitality, or taboo.</x:v>
      </x:c>
      <x:c r="I1513" s="120" t="str">
        <x:v>libation; feast portion; sacred meal</x:v>
      </x:c>
      <x:c r="J1513" s="120" t="str">
        <x:v>reciprocity, communion, welcome, purification</x:v>
      </x:c>
      <x:c r="K1513" s="120" t="str">
        <x:v>libation; food offering</x:v>
      </x:c>
      <x:c r="L1513" s="120" t="str">
        <x:v>Preserve source-specific terminology, metaphysics, ritual context, and cultural ownership; use this family for comparison, not as a claim of historical equivalence.</x:v>
      </x:c>
      <x:c r="M1513" s="120" t="str">
        <x:v>Framework core</x:v>
      </x:c>
    </x:row>
    <x:row r="1514" ht="44" customHeight="1">
      <x:c r="A1514" s="119" t="str">
        <x:v>LAW-308</x:v>
      </x:c>
      <x:c r="B1514" s="120" t="str">
        <x:v>Votive Offering</x:v>
      </x:c>
      <x:c r="C1514" s="120" t="str">
        <x:v>Metaphysical Laws, Rituals &amp; Exchanges</x:v>
      </x:c>
      <x:c r="D1514" s="120" t="str">
        <x:v>LAW-300</x:v>
      </x:c>
      <x:c r="E1514" s="120" t="str">
        <x:f>IF(D1514="","",IFERROR(VLOOKUP(D1514,$A$2:$B$1656,2,FALSE),""))</x:f>
        <x:v>Sacrifice, Offerings &amp; Ritual Economy</x:v>
      </x:c>
      <x:c r="F1514" s="120" t="n">
        <x:v>3</x:v>
      </x:c>
      <x:c r="G1514" s="120" t="str">
        <x:v>An object, image, inscription, model, treasure, or act dedicated in fulfillment of a vow, gratitude, petition, healing, or remembrance.</x:v>
      </x:c>
      <x:c r="H1514" s="120" t="str">
        <x:v>Its significance comes from dedication and relationship, not utility.</x:v>
      </x:c>
      <x:c r="I1514" s="120" t="str">
        <x:v>dedicated weapon; figurine; inscribed thanks</x:v>
      </x:c>
      <x:c r="J1514" s="120" t="str">
        <x:v>thanksgiving, petition, public memory</x:v>
      </x:c>
      <x:c r="K1514" s="120" t="str">
        <x:v>votive offering; dedication</x:v>
      </x:c>
      <x:c r="L1514" s="120" t="str">
        <x:v>Preserve source-specific terminology, metaphysics, ritual context, and cultural ownership; use this family for comparison, not as a claim of historical equivalence.</x:v>
      </x:c>
      <x:c r="M1514" s="120" t="str">
        <x:v>Framework core</x:v>
      </x:c>
    </x:row>
    <x:row r="1515" ht="44" customHeight="1">
      <x:c r="A1515" s="119" t="str">
        <x:v>LAW-309</x:v>
      </x:c>
      <x:c r="B1515" s="120" t="str">
        <x:v>Fire Sacrifice</x:v>
      </x:c>
      <x:c r="C1515" s="120" t="str">
        <x:v>Metaphysical Laws, Rituals &amp; Exchanges</x:v>
      </x:c>
      <x:c r="D1515" s="120" t="str">
        <x:v>LAW-300</x:v>
      </x:c>
      <x:c r="E1515" s="120" t="str">
        <x:f>IF(D1515="","",IFERROR(VLOOKUP(D1515,$A$2:$B$1656,2,FALSE),""))</x:f>
        <x:v>Sacrifice, Offerings &amp; Ritual Economy</x:v>
      </x:c>
      <x:c r="F1515" s="120" t="n">
        <x:v>3</x:v>
      </x:c>
      <x:c r="G1515" s="120" t="str">
        <x:v>An offering transformed or conveyed through sacred fire, smoke, heat, or a ritual hearth.</x:v>
      </x:c>
      <x:c r="H1515" s="120" t="str">
        <x:v>Fire may be messenger, deity, purifier, witness, or transformative medium; preserve source theology.</x:v>
      </x:c>
      <x:c r="I1515" s="120" t="str">
        <x:v>fire oblation; burnt offering; hearth rite</x:v>
      </x:c>
      <x:c r="J1515" s="120" t="str">
        <x:v>transmission, purification, covenant</x:v>
      </x:c>
      <x:c r="K1515" s="120" t="str">
        <x:v>fire sacrifice; burnt offering</x:v>
      </x:c>
      <x:c r="L1515" s="120" t="str">
        <x:v>Preserve source-specific terminology, metaphysics, ritual context, and cultural ownership; use this family for comparison, not as a claim of historical equivalence.</x:v>
      </x:c>
      <x:c r="M1515" s="120" t="str">
        <x:v>Framework core</x:v>
      </x:c>
    </x:row>
    <x:row r="1516" ht="44" customHeight="1">
      <x:c r="A1516" s="119" t="str">
        <x:v>LAW-310</x:v>
      </x:c>
      <x:c r="B1516" s="120" t="str">
        <x:v>Ritual Feast</x:v>
      </x:c>
      <x:c r="C1516" s="120" t="str">
        <x:v>Metaphysical Laws, Rituals &amp; Exchanges</x:v>
      </x:c>
      <x:c r="D1516" s="120" t="str">
        <x:v>LAW-300</x:v>
      </x:c>
      <x:c r="E1516" s="120" t="str">
        <x:f>IF(D1516="","",IFERROR(VLOOKUP(D1516,$A$2:$B$1656,2,FALSE),""))</x:f>
        <x:v>Sacrifice, Offerings &amp; Ritual Economy</x:v>
      </x:c>
      <x:c r="F1516" s="120" t="n">
        <x:v>3</x:v>
      </x:c>
      <x:c r="G1516" s="120" t="str">
        <x:v>A structured communal meal that creates or renews bonds among humans, ancestors, spirits, gods, rulers, or the dead.</x:v>
      </x:c>
      <x:c r="H1516" s="120" t="str">
        <x:v>It differs from ordinary celebration through formal distribution, invitation, taboo, or cosmological participation.</x:v>
      </x:c>
      <x:c r="I1516" s="120" t="str">
        <x:v>sacrificial meal; funeral feast; coronation banquet</x:v>
      </x:c>
      <x:c r="J1516" s="120" t="str">
        <x:v>community, hierarchy, reciprocity, remembrance</x:v>
      </x:c>
      <x:c r="K1516" s="120" t="str">
        <x:v>ritual feast; sacred meal</x:v>
      </x:c>
      <x:c r="L1516" s="120" t="str">
        <x:v>Preserve source-specific terminology, metaphysics, ritual context, and cultural ownership; use this family for comparison, not as a claim of historical equivalence.</x:v>
      </x:c>
      <x:c r="M1516" s="120" t="str">
        <x:v>Framework core</x:v>
      </x:c>
    </x:row>
    <x:row r="1517" ht="44" customHeight="1">
      <x:c r="A1517" s="119" t="str">
        <x:v>LAW-311</x:v>
      </x:c>
      <x:c r="B1517" s="120" t="str">
        <x:v>Sacrificial Kingship</x:v>
      </x:c>
      <x:c r="C1517" s="120" t="str">
        <x:v>Metaphysical Laws, Rituals &amp; Exchanges</x:v>
      </x:c>
      <x:c r="D1517" s="120" t="str">
        <x:v>LAW-300</x:v>
      </x:c>
      <x:c r="E1517" s="120" t="str">
        <x:f>IF(D1517="","",IFERROR(VLOOKUP(D1517,$A$2:$B$1656,2,FALSE),""))</x:f>
        <x:v>Sacrifice, Offerings &amp; Ritual Economy</x:v>
      </x:c>
      <x:c r="F1517" s="120" t="n">
        <x:v>3</x:v>
      </x:c>
      <x:c r="G1517" s="120" t="str">
        <x:v>A model in which the ruler's body, vitality, fertility, suffering, death, replacement, or ritual performance sustains land and social order.</x:v>
      </x:c>
      <x:c r="H1517" s="120" t="str">
        <x:v>Use cautiously; this comparative category has often been overgeneralized in older scholarship.</x:v>
      </x:c>
      <x:c r="I1517" s="120" t="str">
        <x:v>dying king; king as offering; royal renewal</x:v>
      </x:c>
      <x:c r="J1517" s="120" t="str">
        <x:v>fertility, legitimacy, crisis, succession</x:v>
      </x:c>
      <x:c r="K1517" s="120" t="str">
        <x:v>sacred king; sacrificial ruler</x:v>
      </x:c>
      <x:c r="L1517" s="120" t="str">
        <x:v>Treat as a contested comparative model. Verify each source independently rather than assuming a universal 'dying-and-rising king' pattern.</x:v>
      </x:c>
      <x:c r="M1517" s="120" t="str">
        <x:v>Framework core</x:v>
      </x:c>
    </x:row>
    <x:row r="1518" ht="44" customHeight="1">
      <x:c r="A1518" s="119" t="str">
        <x:v>LAW-312</x:v>
      </x:c>
      <x:c r="B1518" s="120" t="str">
        <x:v>Life-for-Life Exchange</x:v>
      </x:c>
      <x:c r="C1518" s="120" t="str">
        <x:v>Metaphysical Laws, Rituals &amp; Exchanges</x:v>
      </x:c>
      <x:c r="D1518" s="120" t="str">
        <x:v>LAW-300</x:v>
      </x:c>
      <x:c r="E1518" s="120" t="str">
        <x:f>IF(D1518="","",IFERROR(VLOOKUP(D1518,$A$2:$B$1656,2,FALSE),""))</x:f>
        <x:v>Sacrifice, Offerings &amp; Ritual Economy</x:v>
      </x:c>
      <x:c r="F1518" s="120" t="n">
        <x:v>3</x:v>
      </x:c>
      <x:c r="G1518" s="120" t="str">
        <x:v>A rule that restoring, saving, creating, or empowering one life requires another life or equivalent vital essence.</x:v>
      </x:c>
      <x:c r="H1518" s="120" t="str">
        <x:v>It may be ritual, contract, conservation, or hostile mechanism and is not necessarily moral justice.</x:v>
      </x:c>
      <x:c r="I1518" s="120" t="str">
        <x:v>equivalent life; soul exchange; death substitution</x:v>
      </x:c>
      <x:c r="J1518" s="120" t="str">
        <x:v>resurrection cost, tragedy, ethical dilemma</x:v>
      </x:c>
      <x:c r="K1518" s="120" t="str">
        <x:v>life exchange; soul price</x:v>
      </x:c>
      <x:c r="L1518" s="120" t="str">
        <x:v>Preserve source-specific terminology, metaphysics, ritual context, and cultural ownership; use this family for comparison, not as a claim of historical equivalence.</x:v>
      </x:c>
      <x:c r="M1518" s="120" t="str">
        <x:v>Framework core</x:v>
      </x:c>
    </x:row>
    <x:row r="1519" ht="44" customHeight="1">
      <x:c r="A1519" s="119" t="str">
        <x:v>LAW-313</x:v>
      </x:c>
      <x:c r="B1519" s="120" t="str">
        <x:v>Memory, Years, or Identity Cost</x:v>
      </x:c>
      <x:c r="C1519" s="120" t="str">
        <x:v>Metaphysical Laws, Rituals &amp; Exchanges</x:v>
      </x:c>
      <x:c r="D1519" s="120" t="str">
        <x:v>LAW-300</x:v>
      </x:c>
      <x:c r="E1519" s="120" t="str">
        <x:f>IF(D1519="","",IFERROR(VLOOKUP(D1519,$A$2:$B$1656,2,FALSE),""))</x:f>
        <x:v>Sacrifice, Offerings &amp; Ritual Economy</x:v>
      </x:c>
      <x:c r="F1519" s="120" t="n">
        <x:v>3</x:v>
      </x:c>
      <x:c r="G1519" s="120" t="str">
        <x:v>A transaction in which power, passage, healing, knowledge, or survival is purchased with memories, lifespan, name, emotions, identity, or personal history.</x:v>
      </x:c>
      <x:c r="H1519" s="120" t="str">
        <x:v>The cost changes personhood or temporal existence rather than ordinary resources.</x:v>
      </x:c>
      <x:c r="I1519" s="120" t="str">
        <x:v>lost years; name payment; memory sacrifice</x:v>
      </x:c>
      <x:c r="J1519" s="120" t="str">
        <x:v>power ethics, tragedy, transformation</x:v>
      </x:c>
      <x:c r="K1519" s="120" t="str">
        <x:v>memory cost; lifespan price</x:v>
      </x:c>
      <x:c r="L1519" s="120" t="str">
        <x:v>Preserve source-specific terminology, metaphysics, ritual context, and cultural ownership; use this family for comparison, not as a claim of historical equivalence.</x:v>
      </x:c>
      <x:c r="M1519" s="120" t="str">
        <x:v>Framework core</x:v>
      </x:c>
    </x:row>
    <x:row r="1520" ht="44" customHeight="1">
      <x:c r="A1520" s="119" t="str">
        <x:v>LAW-314</x:v>
      </x:c>
      <x:c r="B1520" s="120" t="str">
        <x:v>Worship or Favor Resource</x:v>
      </x:c>
      <x:c r="C1520" s="120" t="str">
        <x:v>Metaphysical Laws, Rituals &amp; Exchanges</x:v>
      </x:c>
      <x:c r="D1520" s="120" t="str">
        <x:v>LAW-300</x:v>
      </x:c>
      <x:c r="E1520" s="120" t="str">
        <x:f>IF(D1520="","",IFERROR(VLOOKUP(D1520,$A$2:$B$1656,2,FALSE),""))</x:f>
        <x:v>Sacrifice, Offerings &amp; Ritual Economy</x:v>
      </x:c>
      <x:c r="F1520" s="120" t="n">
        <x:v>3</x:v>
      </x:c>
      <x:c r="G1520" s="120" t="str">
        <x:v>A game-mechanical or fictional abstraction in which devotion, ritual attention, offerings, prestige, or divine relationship accumulates as spendable power.</x:v>
      </x:c>
      <x:c r="H1520" s="120" t="str">
        <x:v>Do not treat quantified favor as a faithful model of historical worship; it is an adaptation operation.</x:v>
      </x:c>
      <x:c r="I1520" s="120" t="str">
        <x:v>favor meter; faith points; devotion resource</x:v>
      </x:c>
      <x:c r="J1520" s="120" t="str">
        <x:v>casting economy, faction identity, god powers</x:v>
      </x:c>
      <x:c r="K1520" s="120" t="str">
        <x:v>favor resource; worship points</x:v>
      </x:c>
      <x:c r="L1520" s="120" t="str">
        <x:v>Preserve source-specific terminology, metaphysics, ritual context, and cultural ownership; use this family for comparison, not as a claim of historical equivalence.</x:v>
      </x:c>
      <x:c r="M1520" s="120" t="str">
        <x:v>Framework core</x:v>
      </x:c>
    </x:row>
    <x:row r="1521" ht="44" customHeight="1">
      <x:c r="A1521" s="119" t="str">
        <x:v>LAW-315</x:v>
      </x:c>
      <x:c r="B1521" s="120" t="str">
        <x:v>Ritual Economy</x:v>
      </x:c>
      <x:c r="C1521" s="120" t="str">
        <x:v>Metaphysical Laws, Rituals &amp; Exchanges</x:v>
      </x:c>
      <x:c r="D1521" s="120" t="str">
        <x:v>LAW-300</x:v>
      </x:c>
      <x:c r="E1521" s="120" t="str">
        <x:f>IF(D1521="","",IFERROR(VLOOKUP(D1521,$A$2:$B$1656,2,FALSE),""))</x:f>
        <x:v>Sacrifice, Offerings &amp; Ritual Economy</x:v>
      </x:c>
      <x:c r="F1521" s="120" t="n">
        <x:v>3</x:v>
      </x:c>
      <x:c r="G1521" s="120" t="str">
        <x:v>A system in which offerings, specialists, calendars, materials, temples, vows, festivals, or sacred labor form sustained institutions of exchange.</x:v>
      </x:c>
      <x:c r="H1521" s="120" t="str">
        <x:v>It includes social and material infrastructure, not simply magic fuel.</x:v>
      </x:c>
      <x:c r="I1521" s="120" t="str">
        <x:v>temple economy; offering cycle; festival obligations</x:v>
      </x:c>
      <x:c r="J1521" s="120" t="str">
        <x:v>institutional power, redistribution, legitimacy</x:v>
      </x:c>
      <x:c r="K1521" s="120" t="str">
        <x:v>ritual economy; sacred exchange</x:v>
      </x:c>
      <x:c r="L1521" s="120" t="str">
        <x:v>Preserve source-specific terminology, metaphysics, ritual context, and cultural ownership; use this family for comparison, not as a claim of historical equivalence.</x:v>
      </x:c>
      <x:c r="M1521" s="120" t="str">
        <x:v>Framework core</x:v>
      </x:c>
    </x:row>
    <x:row r="1522" ht="44" customHeight="1">
      <x:c r="A1522" s="119" t="str">
        <x:v>LAW-316</x:v>
      </x:c>
      <x:c r="B1522" s="120" t="str">
        <x:v>Propitiation</x:v>
      </x:c>
      <x:c r="C1522" s="120" t="str">
        <x:v>Metaphysical Laws, Rituals &amp; Exchanges</x:v>
      </x:c>
      <x:c r="D1522" s="120" t="str">
        <x:v>LAW-300</x:v>
      </x:c>
      <x:c r="E1522" s="120" t="str">
        <x:f>IF(D1522="","",IFERROR(VLOOKUP(D1522,$A$2:$B$1656,2,FALSE),""))</x:f>
        <x:v>Sacrifice, Offerings &amp; Ritual Economy</x:v>
      </x:c>
      <x:c r="F1522" s="120" t="n">
        <x:v>3</x:v>
      </x:c>
      <x:c r="G1522" s="120" t="str">
        <x:v>An offering, rite, apology, praise, avoidance, or compensation intended to calm, avert, reconcile, or satisfy a dangerous or offended power.</x:v>
      </x:c>
      <x:c r="H1522" s="120" t="str">
        <x:v>It differs from worship motivated primarily by devotion or gratitude.</x:v>
      </x:c>
      <x:c r="I1522" s="120" t="str">
        <x:v>appeasement rite; warding offering; atonement gift</x:v>
      </x:c>
      <x:c r="J1522" s="120" t="str">
        <x:v>risk management, reconciliation, boundary maintenance</x:v>
      </x:c>
      <x:c r="K1522" s="120" t="str">
        <x:v>propitiation; appeasement</x:v>
      </x:c>
      <x:c r="L1522" s="120" t="str">
        <x:v>Preserve source-specific terminology, metaphysics, ritual context, and cultural ownership; use this family for comparison, not as a claim of historical equivalence.</x:v>
      </x:c>
      <x:c r="M1522" s="120" t="str">
        <x:v>Framework core</x:v>
      </x:c>
    </x:row>
    <x:row r="1523" ht="44" customHeight="1">
      <x:c r="A1523" s="119" t="str">
        <x:v>LAW-317</x:v>
      </x:c>
      <x:c r="B1523" s="120" t="str">
        <x:v>Ritual Payment for Passage</x:v>
      </x:c>
      <x:c r="C1523" s="120" t="str">
        <x:v>Metaphysical Laws, Rituals &amp; Exchanges</x:v>
      </x:c>
      <x:c r="D1523" s="120" t="str">
        <x:v>LAW-300</x:v>
      </x:c>
      <x:c r="E1523" s="120" t="str">
        <x:f>IF(D1523="","",IFERROR(VLOOKUP(D1523,$A$2:$B$1656,2,FALSE),""))</x:f>
        <x:v>Sacrifice, Offerings &amp; Ritual Economy</x:v>
      </x:c>
      <x:c r="F1523" s="120" t="n">
        <x:v>3</x:v>
      </x:c>
      <x:c r="G1523" s="120" t="str">
        <x:v>A coin, token, object, service, song, answer, or offering required to cross a sacred, death, faerie, legal, or cosmological boundary.</x:v>
      </x:c>
      <x:c r="H1523" s="120" t="str">
        <x:v>Payment may prove status or reciprocity rather than purchase in a market sense.</x:v>
      </x:c>
      <x:c r="I1523" s="120" t="str">
        <x:v>ferryman's coin; gate offering; toll of dead</x:v>
      </x:c>
      <x:c r="J1523" s="120" t="str">
        <x:v>threshold, underworld journey, access</x:v>
      </x:c>
      <x:c r="K1523" s="120" t="str">
        <x:v>ritual toll; passage payment</x:v>
      </x:c>
      <x:c r="L1523" s="120" t="str">
        <x:v>Preserve source-specific terminology, metaphysics, ritual context, and cultural ownership; use this family for comparison, not as a claim of historical equivalence.</x:v>
      </x:c>
      <x:c r="M1523" s="120" t="str">
        <x:v>Framework core</x:v>
      </x:c>
    </x:row>
    <x:row r="1524" ht="44" customHeight="1">
      <x:c r="A1524" s="119" t="str">
        <x:v>LAW-401</x:v>
      </x:c>
      <x:c r="B1524" s="120" t="str">
        <x:v>Ritual Purity</x:v>
      </x:c>
      <x:c r="C1524" s="120" t="str">
        <x:v>Metaphysical Laws, Rituals &amp; Exchanges</x:v>
      </x:c>
      <x:c r="D1524" s="120" t="str">
        <x:v>LAW-400</x:v>
      </x:c>
      <x:c r="E1524" s="120" t="str">
        <x:f>IF(D1524="","",IFERROR(VLOOKUP(D1524,$A$2:$B$1656,2,FALSE),""))</x:f>
        <x:v>Purity, Pollution &amp; Sacred Boundaries</x:v>
      </x:c>
      <x:c r="F1524" s="120" t="n">
        <x:v>3</x:v>
      </x:c>
      <x:c r="G1524" s="120" t="str">
        <x:v>A condition of fitness, order, preparation, or separation required for ritual, sacred presence, office, contact, or power.</x:v>
      </x:c>
      <x:c r="H1524" s="120" t="str">
        <x:v>Ritual purity is not necessarily moral virtue, hygiene, or social worth; preserve source distinctions.</x:v>
      </x:c>
      <x:c r="I1524" s="120" t="str">
        <x:v>clean state; consecrated body; ritual fitness</x:v>
      </x:c>
      <x:c r="J1524" s="120" t="str">
        <x:v>eligibility, boundary, preparation</x:v>
      </x:c>
      <x:c r="K1524" s="120" t="str">
        <x:v>ritual purity; sacred cleanliness</x:v>
      </x:c>
      <x:c r="L1524" s="120" t="str">
        <x:v>Preserve source-specific terminology, metaphysics, ritual context, and cultural ownership; use this family for comparison, not as a claim of historical equivalence.</x:v>
      </x:c>
      <x:c r="M1524" s="120" t="str">
        <x:v>Framework core</x:v>
      </x:c>
    </x:row>
    <x:row r="1525" ht="44" customHeight="1">
      <x:c r="A1525" s="119" t="str">
        <x:v>LAW-402</x:v>
      </x:c>
      <x:c r="B1525" s="120" t="str">
        <x:v>Pollution or Defilement</x:v>
      </x:c>
      <x:c r="C1525" s="120" t="str">
        <x:v>Metaphysical Laws, Rituals &amp; Exchanges</x:v>
      </x:c>
      <x:c r="D1525" s="120" t="str">
        <x:v>LAW-400</x:v>
      </x:c>
      <x:c r="E1525" s="120" t="str">
        <x:f>IF(D1525="","",IFERROR(VLOOKUP(D1525,$A$2:$B$1656,2,FALSE),""))</x:f>
        <x:v>Purity, Pollution &amp; Sacred Boundaries</x:v>
      </x:c>
      <x:c r="F1525" s="120" t="n">
        <x:v>3</x:v>
      </x:c>
      <x:c r="G1525" s="120" t="str">
        <x:v>A condition arising from specified contact, action, death, blood, violation, disorder, or sacred offense that impairs ritual or cosmological fitness.</x:v>
      </x:c>
      <x:c r="H1525" s="120" t="str">
        <x:v>Do not stigmatize real people or conditions by treating them as naturally polluted; document the source's social implications critically.</x:v>
      </x:c>
      <x:c r="I1525" s="120" t="str">
        <x:v>miasma-like taint; ritual impurity; defilement</x:v>
      </x:c>
      <x:c r="J1525" s="120" t="str">
        <x:v>exclusion, cleansing, consequence, horror</x:v>
      </x:c>
      <x:c r="K1525" s="120" t="str">
        <x:v>pollution; defilement; impurity</x:v>
      </x:c>
      <x:c r="L1525" s="120" t="str">
        <x:v>Preserve source-specific terminology, metaphysics, ritual context, and cultural ownership; use this family for comparison, not as a claim of historical equivalence.</x:v>
      </x:c>
      <x:c r="M1525" s="120" t="str">
        <x:v>Framework core</x:v>
      </x:c>
    </x:row>
    <x:row r="1526" ht="44" customHeight="1">
      <x:c r="A1526" s="119" t="str">
        <x:v>LAW-403</x:v>
      </x:c>
      <x:c r="B1526" s="120" t="str">
        <x:v>Purification Rite</x:v>
      </x:c>
      <x:c r="C1526" s="120" t="str">
        <x:v>Metaphysical Laws, Rituals &amp; Exchanges</x:v>
      </x:c>
      <x:c r="D1526" s="120" t="str">
        <x:v>LAW-400</x:v>
      </x:c>
      <x:c r="E1526" s="120" t="str">
        <x:f>IF(D1526="","",IFERROR(VLOOKUP(D1526,$A$2:$B$1656,2,FALSE),""))</x:f>
        <x:v>Purity, Pollution &amp; Sacred Boundaries</x:v>
      </x:c>
      <x:c r="F1526" s="120" t="n">
        <x:v>3</x:v>
      </x:c>
      <x:c r="G1526" s="120" t="str">
        <x:v>A ritual process that removes, transfers, contains, transforms, or marks release from pollution, curse, possession, guilt, danger, or liminality.</x:v>
      </x:c>
      <x:c r="H1526" s="120" t="str">
        <x:v>Cleansing may be bodily, social, spatial, legal, or spiritual.</x:v>
      </x:c>
      <x:c r="I1526" s="120" t="str">
        <x:v>washing; smoke cleansing; confession; lustration</x:v>
      </x:c>
      <x:c r="J1526" s="120" t="str">
        <x:v>restoration, preparation, reintegration</x:v>
      </x:c>
      <x:c r="K1526" s="120" t="str">
        <x:v>purification; cleansing rite</x:v>
      </x:c>
      <x:c r="L1526" s="120" t="str">
        <x:v>Preserve source-specific terminology, metaphysics, ritual context, and cultural ownership; use this family for comparison, not as a claim of historical equivalence.</x:v>
      </x:c>
      <x:c r="M1526" s="120" t="str">
        <x:v>Framework core</x:v>
      </x:c>
    </x:row>
    <x:row r="1527" ht="44" customHeight="1">
      <x:c r="A1527" s="119" t="str">
        <x:v>LAW-404</x:v>
      </x:c>
      <x:c r="B1527" s="120" t="str">
        <x:v>Consecration</x:v>
      </x:c>
      <x:c r="C1527" s="120" t="str">
        <x:v>Metaphysical Laws, Rituals &amp; Exchanges</x:v>
      </x:c>
      <x:c r="D1527" s="120" t="str">
        <x:v>LAW-400</x:v>
      </x:c>
      <x:c r="E1527" s="120" t="str">
        <x:f>IF(D1527="","",IFERROR(VLOOKUP(D1527,$A$2:$B$1656,2,FALSE),""))</x:f>
        <x:v>Purity, Pollution &amp; Sacred Boundaries</x:v>
      </x:c>
      <x:c r="F1527" s="120" t="n">
        <x:v>3</x:v>
      </x:c>
      <x:c r="G1527" s="120" t="str">
        <x:v>A rite that dedicates a person, place, object, office, time, or boundary to sacred use or presence.</x:v>
      </x:c>
      <x:c r="H1527" s="120" t="str">
        <x:v>Consecration creates status and obligation, not merely a temporary buff.</x:v>
      </x:c>
      <x:c r="I1527" s="120" t="str">
        <x:v>blessing a temple; anointing; dedicating a weapon</x:v>
      </x:c>
      <x:c r="J1527" s="120" t="str">
        <x:v>authorization, protection, institutional identity</x:v>
      </x:c>
      <x:c r="K1527" s="120" t="str">
        <x:v>consecration; dedication</x:v>
      </x:c>
      <x:c r="L1527" s="120" t="str">
        <x:v>Preserve source-specific terminology, metaphysics, ritual context, and cultural ownership; use this family for comparison, not as a claim of historical equivalence.</x:v>
      </x:c>
      <x:c r="M1527" s="120" t="str">
        <x:v>Framework core</x:v>
      </x:c>
    </x:row>
    <x:row r="1528" ht="44" customHeight="1">
      <x:c r="A1528" s="119" t="str">
        <x:v>LAW-405</x:v>
      </x:c>
      <x:c r="B1528" s="120" t="str">
        <x:v>Exorcism or Expulsion Rite</x:v>
      </x:c>
      <x:c r="C1528" s="120" t="str">
        <x:v>Metaphysical Laws, Rituals &amp; Exchanges</x:v>
      </x:c>
      <x:c r="D1528" s="120" t="str">
        <x:v>LAW-400</x:v>
      </x:c>
      <x:c r="E1528" s="120" t="str">
        <x:f>IF(D1528="","",IFERROR(VLOOKUP(D1528,$A$2:$B$1656,2,FALSE),""))</x:f>
        <x:v>Purity, Pollution &amp; Sacred Boundaries</x:v>
      </x:c>
      <x:c r="F1528" s="120" t="n">
        <x:v>3</x:v>
      </x:c>
      <x:c r="G1528" s="120" t="str">
        <x:v>A ritual intended to remove, dismiss, bind, relocate, negotiate with, or separate an intrusive spirit, curse, demon, ghost, or force.</x:v>
      </x:c>
      <x:c r="H1528" s="120" t="str">
        <x:v>Not all spirit mediation assumes the entity is evil or the subject is merely a passive victim.</x:v>
      </x:c>
      <x:c r="I1528" s="120" t="str">
        <x:v>banishment; spirit release; dispossession rite</x:v>
      </x:c>
      <x:c r="J1528" s="120" t="str">
        <x:v>healing, protection, negotiation, conflict</x:v>
      </x:c>
      <x:c r="K1528" s="120" t="str">
        <x:v>exorcism; banishment rite</x:v>
      </x:c>
      <x:c r="L1528" s="120" t="str">
        <x:v>Preserve source-specific terminology, metaphysics, ritual context, and cultural ownership; use this family for comparison, not as a claim of historical equivalence.</x:v>
      </x:c>
      <x:c r="M1528" s="120" t="str">
        <x:v>Framework core</x:v>
      </x:c>
    </x:row>
    <x:row r="1529" ht="44" customHeight="1">
      <x:c r="A1529" s="119" t="str">
        <x:v>LAW-406</x:v>
      </x:c>
      <x:c r="B1529" s="120" t="str">
        <x:v>Sacred Boundary</x:v>
      </x:c>
      <x:c r="C1529" s="120" t="str">
        <x:v>Metaphysical Laws, Rituals &amp; Exchanges</x:v>
      </x:c>
      <x:c r="D1529" s="120" t="str">
        <x:v>LAW-400</x:v>
      </x:c>
      <x:c r="E1529" s="120" t="str">
        <x:f>IF(D1529="","",IFERROR(VLOOKUP(D1529,$A$2:$B$1656,2,FALSE),""))</x:f>
        <x:v>Purity, Pollution &amp; Sacred Boundaries</x:v>
      </x:c>
      <x:c r="F1529" s="120" t="n">
        <x:v>3</x:v>
      </x:c>
      <x:c r="G1529" s="120" t="str">
        <x:v>A marked, recognized, or ritually maintained line separating sacred and ordinary, protected and dangerous, invited and excluded, living and dead, or one jurisdiction from another.</x:v>
      </x:c>
      <x:c r="H1529" s="120" t="str">
        <x:v>Boundaries may protect both sides and are not simply barriers against monsters.</x:v>
      </x:c>
      <x:c r="I1529" s="120" t="str">
        <x:v>temple precinct; ward circle; taboo border</x:v>
      </x:c>
      <x:c r="J1529" s="120" t="str">
        <x:v>sanctuary, identity, realm stability</x:v>
      </x:c>
      <x:c r="K1529" s="120" t="str">
        <x:v>sacred boundary; consecrated border</x:v>
      </x:c>
      <x:c r="L1529" s="120" t="str">
        <x:v>Preserve source-specific terminology, metaphysics, ritual context, and cultural ownership; use this family for comparison, not as a claim of historical equivalence.</x:v>
      </x:c>
      <x:c r="M1529" s="120" t="str">
        <x:v>Framework core</x:v>
      </x:c>
    </x:row>
    <x:row r="1530" ht="44" customHeight="1">
      <x:c r="A1530" s="119" t="str">
        <x:v>LAW-407</x:v>
      </x:c>
      <x:c r="B1530" s="120" t="str">
        <x:v>Sanctuary or Asylum Rule</x:v>
      </x:c>
      <x:c r="C1530" s="120" t="str">
        <x:v>Metaphysical Laws, Rituals &amp; Exchanges</x:v>
      </x:c>
      <x:c r="D1530" s="120" t="str">
        <x:v>LAW-400</x:v>
      </x:c>
      <x:c r="E1530" s="120" t="str">
        <x:f>IF(D1530="","",IFERROR(VLOOKUP(D1530,$A$2:$B$1656,2,FALSE),""))</x:f>
        <x:v>Purity, Pollution &amp; Sacred Boundaries</x:v>
      </x:c>
      <x:c r="F1530" s="120" t="n">
        <x:v>3</x:v>
      </x:c>
      <x:c r="G1530" s="120" t="str">
        <x:v>A law under which a place, institution, altar, host, or sacred status protects a person from violence, arrest, revenge, or supernatural pursuit.</x:v>
      </x:c>
      <x:c r="H1530" s="120" t="str">
        <x:v>Protection may be conditional and violation may trigger special consequences.</x:v>
      </x:c>
      <x:c r="I1530" s="120" t="str">
        <x:v>temple asylum; guest right refuge; holy ground</x:v>
      </x:c>
      <x:c r="J1530" s="120" t="str">
        <x:v>protection, political conflict, moral test</x:v>
      </x:c>
      <x:c r="K1530" s="120" t="str">
        <x:v>sanctuary; asylum</x:v>
      </x:c>
      <x:c r="L1530" s="120" t="str">
        <x:v>Preserve source-specific terminology, metaphysics, ritual context, and cultural ownership; use this family for comparison, not as a claim of historical equivalence.</x:v>
      </x:c>
      <x:c r="M1530" s="120" t="str">
        <x:v>Framework core</x:v>
      </x:c>
    </x:row>
    <x:row r="1531" ht="44" customHeight="1">
      <x:c r="A1531" s="119" t="str">
        <x:v>LAW-408</x:v>
      </x:c>
      <x:c r="B1531" s="120" t="str">
        <x:v>Forbidden Contact</x:v>
      </x:c>
      <x:c r="C1531" s="120" t="str">
        <x:v>Metaphysical Laws, Rituals &amp; Exchanges</x:v>
      </x:c>
      <x:c r="D1531" s="120" t="str">
        <x:v>LAW-400</x:v>
      </x:c>
      <x:c r="E1531" s="120" t="str">
        <x:f>IF(D1531="","",IFERROR(VLOOKUP(D1531,$A$2:$B$1656,2,FALSE),""))</x:f>
        <x:v>Purity, Pollution &amp; Sacred Boundaries</x:v>
      </x:c>
      <x:c r="F1531" s="120" t="n">
        <x:v>3</x:v>
      </x:c>
      <x:c r="G1531" s="120" t="str">
        <x:v>A rule against touching, seeing, eating, marrying, entering, naming, or sharing with specified beings, objects, places, or states.</x:v>
      </x:c>
      <x:c r="H1531" s="120" t="str">
        <x:v>The basis may be purity, danger, hierarchy, protection, or identity; avoid endorsing discriminatory logic.</x:v>
      </x:c>
      <x:c r="I1531" s="120" t="str">
        <x:v>untouchable relic; forbidden food; barred gaze</x:v>
      </x:c>
      <x:c r="J1531" s="120" t="str">
        <x:v>boundary, suspense, social order</x:v>
      </x:c>
      <x:c r="K1531" s="120" t="str">
        <x:v>forbidden contact; contact taboo</x:v>
      </x:c>
      <x:c r="L1531" s="120" t="str">
        <x:v>Preserve source-specific terminology, metaphysics, ritual context, and cultural ownership; use this family for comparison, not as a claim of historical equivalence.</x:v>
      </x:c>
      <x:c r="M1531" s="120" t="str">
        <x:v>Framework core</x:v>
      </x:c>
    </x:row>
    <x:row r="1532" ht="44" customHeight="1">
      <x:c r="A1532" s="119" t="str">
        <x:v>LAW-409</x:v>
      </x:c>
      <x:c r="B1532" s="120" t="str">
        <x:v>Death or Corpse Pollution</x:v>
      </x:c>
      <x:c r="C1532" s="120" t="str">
        <x:v>Metaphysical Laws, Rituals &amp; Exchanges</x:v>
      </x:c>
      <x:c r="D1532" s="120" t="str">
        <x:v>LAW-400</x:v>
      </x:c>
      <x:c r="E1532" s="120" t="str">
        <x:f>IF(D1532="","",IFERROR(VLOOKUP(D1532,$A$2:$B$1656,2,FALSE),""))</x:f>
        <x:v>Purity, Pollution &amp; Sacred Boundaries</x:v>
      </x:c>
      <x:c r="F1532" s="120" t="n">
        <x:v>3</x:v>
      </x:c>
      <x:c r="G1532" s="120" t="str">
        <x:v>A source-specific rule under which contact with death, corpses, funerals, blood, or mourning creates temporary or lasting ritual consequences.</x:v>
      </x:c>
      <x:c r="H1532" s="120" t="str">
        <x:v>Do not universalize; death rites vary widely and may sacralize rather than pollute.</x:v>
      </x:c>
      <x:c r="I1532" s="120" t="str">
        <x:v>mourning impurity; corpse taint; funeral seclusion</x:v>
      </x:c>
      <x:c r="J1532" s="120" t="str">
        <x:v>burial, priestly eligibility, reintegration</x:v>
      </x:c>
      <x:c r="K1532" s="120" t="str">
        <x:v>death pollution; corpse impurity</x:v>
      </x:c>
      <x:c r="L1532" s="120" t="str">
        <x:v>Preserve source-specific terminology, metaphysics, ritual context, and cultural ownership; use this family for comparison, not as a claim of historical equivalence.</x:v>
      </x:c>
      <x:c r="M1532" s="120" t="str">
        <x:v>Framework core</x:v>
      </x:c>
    </x:row>
    <x:row r="1533" ht="44" customHeight="1">
      <x:c r="A1533" s="119" t="str">
        <x:v>LAW-410</x:v>
      </x:c>
      <x:c r="B1533" s="120" t="str">
        <x:v>Place or Temple Purity</x:v>
      </x:c>
      <x:c r="C1533" s="120" t="str">
        <x:v>Metaphysical Laws, Rituals &amp; Exchanges</x:v>
      </x:c>
      <x:c r="D1533" s="120" t="str">
        <x:v>LAW-400</x:v>
      </x:c>
      <x:c r="E1533" s="120" t="str">
        <x:f>IF(D1533="","",IFERROR(VLOOKUP(D1533,$A$2:$B$1656,2,FALSE),""))</x:f>
        <x:v>Purity, Pollution &amp; Sacred Boundaries</x:v>
      </x:c>
      <x:c r="F1533" s="120" t="n">
        <x:v>3</x:v>
      </x:c>
      <x:c r="G1533" s="120" t="str">
        <x:v>Rules preserving the ritual condition of a shrine, city, grove, river, battlefield, court, or other sacred place.</x:v>
      </x:c>
      <x:c r="H1533" s="120" t="str">
        <x:v>The place may require maintenance, restricted entry, offerings, or removal of violence and pollution.</x:v>
      </x:c>
      <x:c r="I1533" s="120" t="str">
        <x:v>temple cleansing; holy precinct rules; city rites</x:v>
      </x:c>
      <x:c r="J1533" s="120" t="str">
        <x:v>institutional continuity, pilgrimage, protection</x:v>
      </x:c>
      <x:c r="K1533" s="120" t="str">
        <x:v>place purity; sacred-site law</x:v>
      </x:c>
      <x:c r="L1533" s="120" t="str">
        <x:v>Preserve source-specific terminology, metaphysics, ritual context, and cultural ownership; use this family for comparison, not as a claim of historical equivalence.</x:v>
      </x:c>
      <x:c r="M1533" s="120" t="str">
        <x:v>Framework core</x:v>
      </x:c>
    </x:row>
    <x:row r="1534" ht="44" customHeight="1">
      <x:c r="A1534" s="119" t="str">
        <x:v>LAW-411</x:v>
      </x:c>
      <x:c r="B1534" s="120" t="str">
        <x:v>Initiatory Seclusion</x:v>
      </x:c>
      <x:c r="C1534" s="120" t="str">
        <x:v>Metaphysical Laws, Rituals &amp; Exchanges</x:v>
      </x:c>
      <x:c r="D1534" s="120" t="str">
        <x:v>LAW-400</x:v>
      </x:c>
      <x:c r="E1534" s="120" t="str">
        <x:f>IF(D1534="","",IFERROR(VLOOKUP(D1534,$A$2:$B$1656,2,FALSE),""))</x:f>
        <x:v>Purity, Pollution &amp; Sacred Boundaries</x:v>
      </x:c>
      <x:c r="F1534" s="120" t="n">
        <x:v>3</x:v>
      </x:c>
      <x:c r="G1534" s="120" t="str">
        <x:v>A period of withdrawal, fasting, silence, disguise, instruction, or liminality required before a new status, power, office, or identity is recognized.</x:v>
      </x:c>
      <x:c r="H1534" s="120" t="str">
        <x:v>Seclusion is transformative and socially regulated rather than mere solitude.</x:v>
      </x:c>
      <x:c r="I1534" s="120" t="str">
        <x:v>vision quest; novice retreat; bridal seclusion</x:v>
      </x:c>
      <x:c r="J1534" s="120" t="str">
        <x:v>initiation, transition, preparation</x:v>
      </x:c>
      <x:c r="K1534" s="120" t="str">
        <x:v>initiatory seclusion; ritual retreat</x:v>
      </x:c>
      <x:c r="L1534" s="120" t="str">
        <x:v>Preserve source-specific terminology, metaphysics, ritual context, and cultural ownership; use this family for comparison, not as a claim of historical equivalence.</x:v>
      </x:c>
      <x:c r="M1534" s="120" t="str">
        <x:v>Framework core</x:v>
      </x:c>
    </x:row>
    <x:row r="1535" ht="44" customHeight="1">
      <x:c r="A1535" s="119" t="str">
        <x:v>LAW-412</x:v>
      </x:c>
      <x:c r="B1535" s="120" t="str">
        <x:v>Desecration Consequence</x:v>
      </x:c>
      <x:c r="C1535" s="120" t="str">
        <x:v>Metaphysical Laws, Rituals &amp; Exchanges</x:v>
      </x:c>
      <x:c r="D1535" s="120" t="str">
        <x:v>LAW-400</x:v>
      </x:c>
      <x:c r="E1535" s="120" t="str">
        <x:f>IF(D1535="","",IFERROR(VLOOKUP(D1535,$A$2:$B$1656,2,FALSE),""))</x:f>
        <x:v>Purity, Pollution &amp; Sacred Boundaries</x:v>
      </x:c>
      <x:c r="F1535" s="120" t="n">
        <x:v>3</x:v>
      </x:c>
      <x:c r="G1535" s="120" t="str">
        <x:v>A curse, loss of protection, divine anger, social rupture, haunting, blight, or legal-cosmic penalty triggered by violating sacred persons, objects, places, or rites.</x:v>
      </x:c>
      <x:c r="H1535" s="120" t="str">
        <x:v>The consequence may be attributed by characters rather than objectively confirmed; record epistemic status.</x:v>
      </x:c>
      <x:c r="I1535" s="120" t="str">
        <x:v>temple profanation; broken shrine; grave violation</x:v>
      </x:c>
      <x:c r="J1535" s="120" t="str">
        <x:v>conflict, restoration quest, political theology</x:v>
      </x:c>
      <x:c r="K1535" s="120" t="str">
        <x:v>desecration; sacrilege consequence</x:v>
      </x:c>
      <x:c r="L1535" s="120" t="str">
        <x:v>Preserve source-specific terminology, metaphysics, ritual context, and cultural ownership; use this family for comparison, not as a claim of historical equivalence.</x:v>
      </x:c>
      <x:c r="M1535" s="120" t="str">
        <x:v>Framework core</x:v>
      </x:c>
    </x:row>
    <x:row r="1536" ht="44" customHeight="1">
      <x:c r="A1536" s="119" t="str">
        <x:v>LAW-413</x:v>
      </x:c>
      <x:c r="B1536" s="120" t="str">
        <x:v>Contagious Corruption</x:v>
      </x:c>
      <x:c r="C1536" s="120" t="str">
        <x:v>Metaphysical Laws, Rituals &amp; Exchanges</x:v>
      </x:c>
      <x:c r="D1536" s="120" t="str">
        <x:v>LAW-400</x:v>
      </x:c>
      <x:c r="E1536" s="120" t="str">
        <x:f>IF(D1536="","",IFERROR(VLOOKUP(D1536,$A$2:$B$1656,2,FALSE),""))</x:f>
        <x:v>Purity, Pollution &amp; Sacred Boundaries</x:v>
      </x:c>
      <x:c r="F1536" s="120" t="n">
        <x:v>3</x:v>
      </x:c>
      <x:c r="G1536" s="120" t="str">
        <x:v>A pollution, curse, blight, possession, or metaphysical disorder that spreads by contact, imitation, proximity, consumption, emotion, or shared environment.</x:v>
      </x:c>
      <x:c r="H1536" s="120" t="str">
        <x:v>Do not conflate fantasy contagion with real disease stereotypes or marginalized groups.</x:v>
      </x:c>
      <x:c r="I1536" s="120" t="str">
        <x:v>taint; madness spread; corruption spores</x:v>
      </x:c>
      <x:c r="J1536" s="120" t="str">
        <x:v>horror, quarantine, moral panic, cleansing</x:v>
      </x:c>
      <x:c r="K1536" s="120" t="str">
        <x:v>contagious corruption; spreading taint</x:v>
      </x:c>
      <x:c r="L1536" s="120" t="str">
        <x:v>Preserve source-specific terminology, metaphysics, ritual context, and cultural ownership; use this family for comparison, not as a claim of historical equivalence.</x:v>
      </x:c>
      <x:c r="M1536" s="120" t="str">
        <x:v>Framework core</x:v>
      </x:c>
    </x:row>
    <x:row r="1537" ht="44" customHeight="1">
      <x:c r="A1537" s="119" t="str">
        <x:v>LAW-414</x:v>
      </x:c>
      <x:c r="B1537" s="120" t="str">
        <x:v>Moral versus Ritual Purity Distinction</x:v>
      </x:c>
      <x:c r="C1537" s="120" t="str">
        <x:v>Metaphysical Laws, Rituals &amp; Exchanges</x:v>
      </x:c>
      <x:c r="D1537" s="120" t="str">
        <x:v>LAW-400</x:v>
      </x:c>
      <x:c r="E1537" s="120" t="str">
        <x:f>IF(D1537="","",IFERROR(VLOOKUP(D1537,$A$2:$B$1656,2,FALSE),""))</x:f>
        <x:v>Purity, Pollution &amp; Sacred Boundaries</x:v>
      </x:c>
      <x:c r="F1537" s="120" t="n">
        <x:v>3</x:v>
      </x:c>
      <x:c r="G1537" s="120" t="str">
        <x:v>An analytical rule separating ethical conduct from source-specific states of ritual fitness, pollution, consecration, or taboo.</x:v>
      </x:c>
      <x:c r="H1537" s="120" t="str">
        <x:v>The distinction is a framework safeguard rather than a universal source doctrine.</x:v>
      </x:c>
      <x:c r="I1537" s="120" t="str">
        <x:v>pure but immoral; impure without guilt</x:v>
      </x:c>
      <x:c r="J1537" s="120" t="str">
        <x:v>comparative analysis, cultural caution</x:v>
      </x:c>
      <x:c r="K1537" s="120" t="str">
        <x:v>ritual versus moral purity</x:v>
      </x:c>
      <x:c r="L1537" s="120" t="str">
        <x:v>Preserve source-specific terminology, metaphysics, ritual context, and cultural ownership; use this family for comparison, not as a claim of historical equivalence.</x:v>
      </x:c>
      <x:c r="M1537" s="120" t="str">
        <x:v>Framework core</x:v>
      </x:c>
    </x:row>
    <x:row r="1538" ht="44" customHeight="1">
      <x:c r="A1538" s="119" t="str">
        <x:v>LAW-415</x:v>
      </x:c>
      <x:c r="B1538" s="120" t="str">
        <x:v>Threshold Cleansing</x:v>
      </x:c>
      <x:c r="C1538" s="120" t="str">
        <x:v>Metaphysical Laws, Rituals &amp; Exchanges</x:v>
      </x:c>
      <x:c r="D1538" s="120" t="str">
        <x:v>LAW-400</x:v>
      </x:c>
      <x:c r="E1538" s="120" t="str">
        <x:f>IF(D1538="","",IFERROR(VLOOKUP(D1538,$A$2:$B$1656,2,FALSE),""))</x:f>
        <x:v>Purity, Pollution &amp; Sacred Boundaries</x:v>
      </x:c>
      <x:c r="F1538" s="120" t="n">
        <x:v>3</x:v>
      </x:c>
      <x:c r="G1538" s="120" t="str">
        <x:v>A purification or protective act required before or after crossing into a home, temple, city, battlefield, underworld, birth, death, or changed status.</x:v>
      </x:c>
      <x:c r="H1538" s="120" t="str">
        <x:v>Its timing at transition distinguishes it from general cleansing.</x:v>
      </x:c>
      <x:c r="I1538" s="120" t="str">
        <x:v>washing at gate; smoke at doorway; return rite</x:v>
      </x:c>
      <x:c r="J1538" s="120" t="str">
        <x:v>boundary maintenance, reintegration</x:v>
      </x:c>
      <x:c r="K1538" s="120" t="str">
        <x:v>threshold purification; entry rite</x:v>
      </x:c>
      <x:c r="L1538" s="120" t="str">
        <x:v>Preserve source-specific terminology, metaphysics, ritual context, and cultural ownership; use this family for comparison, not as a claim of historical equivalence.</x:v>
      </x:c>
      <x:c r="M1538" s="120" t="str">
        <x:v>Framework core</x:v>
      </x:c>
    </x:row>
    <x:row r="1539" ht="44" customHeight="1">
      <x:c r="A1539" s="119" t="str">
        <x:v>LAW-501</x:v>
      </x:c>
      <x:c r="B1539" s="120" t="str">
        <x:v>Fate or Destiny</x:v>
      </x:c>
      <x:c r="C1539" s="120" t="str">
        <x:v>Metaphysical Laws, Rituals &amp; Exchanges</x:v>
      </x:c>
      <x:c r="D1539" s="120" t="str">
        <x:v>LAW-500</x:v>
      </x:c>
      <x:c r="E1539" s="120" t="str">
        <x:f>IF(D1539="","",IFERROR(VLOOKUP(D1539,$A$2:$B$1656,2,FALSE),""))</x:f>
        <x:v>Fate, Causation &amp; Cosmic Order</x:v>
      </x:c>
      <x:c r="F1539" s="120" t="n">
        <x:v>3</x:v>
      </x:c>
      <x:c r="G1539" s="120" t="str">
        <x:v>A principle under which events, identities, deaths, roles, or outcomes are fixed, patterned, allotted, foretold, or strongly constrained.</x:v>
      </x:c>
      <x:c r="H1539" s="120" t="str">
        <x:v>Fate may coexist with agency, choice, interpretation, and multiple possible fulfillments.</x:v>
      </x:c>
      <x:c r="I1539" s="120" t="str">
        <x:v>doom; lot; destiny; appointed end</x:v>
      </x:c>
      <x:c r="J1539" s="120" t="str">
        <x:v>prophecy, tragedy, legitimacy, character conflict</x:v>
      </x:c>
      <x:c r="K1539" s="120" t="str">
        <x:v>fate; destiny; doom</x:v>
      </x:c>
      <x:c r="L1539" s="120" t="str">
        <x:v>Preserve source-specific terminology, metaphysics, ritual context, and cultural ownership; use this family for comparison, not as a claim of historical equivalence.</x:v>
      </x:c>
      <x:c r="M1539" s="120" t="str">
        <x:v>Framework core</x:v>
      </x:c>
    </x:row>
    <x:row r="1540" ht="44" customHeight="1">
      <x:c r="A1540" s="119" t="str">
        <x:v>LAW-502</x:v>
      </x:c>
      <x:c r="B1540" s="120" t="str">
        <x:v>Prophecy Fulfillment Rule</x:v>
      </x:c>
      <x:c r="C1540" s="120" t="str">
        <x:v>Metaphysical Laws, Rituals &amp; Exchanges</x:v>
      </x:c>
      <x:c r="D1540" s="120" t="str">
        <x:v>LAW-500</x:v>
      </x:c>
      <x:c r="E1540" s="120" t="str">
        <x:f>IF(D1540="","",IFERROR(VLOOKUP(D1540,$A$2:$B$1656,2,FALSE),""))</x:f>
        <x:v>Fate, Causation &amp; Cosmic Order</x:v>
      </x:c>
      <x:c r="F1540" s="120" t="n">
        <x:v>3</x:v>
      </x:c>
      <x:c r="G1540" s="120" t="str">
        <x:v>A pattern in which foretold events must, tend to, or appear to occur, often through unexpected interpretation or attempted prevention.</x:v>
      </x:c>
      <x:c r="H1540" s="120" t="str">
        <x:v>The prophecy's reliability, source, wording, and scope should be separately recorded.</x:v>
      </x:c>
      <x:c r="I1540" s="120" t="str">
        <x:v>inevitable prophecy; conditional oracle; hidden meaning</x:v>
      </x:c>
      <x:c r="J1540" s="120" t="str">
        <x:v>foreshadowing, irony, quest guidance</x:v>
      </x:c>
      <x:c r="K1540" s="120" t="str">
        <x:v>prophecy fulfillment; oracle rule</x:v>
      </x:c>
      <x:c r="L1540" s="120" t="str">
        <x:v>Preserve source-specific terminology, metaphysics, ritual context, and cultural ownership; use this family for comparison, not as a claim of historical equivalence.</x:v>
      </x:c>
      <x:c r="M1540" s="120" t="str">
        <x:v>Framework core</x:v>
      </x:c>
    </x:row>
    <x:row r="1541" ht="44" customHeight="1">
      <x:c r="A1541" s="119" t="str">
        <x:v>LAW-503</x:v>
      </x:c>
      <x:c r="B1541" s="120" t="str">
        <x:v>Self-Fulfilling Prophecy</x:v>
      </x:c>
      <x:c r="C1541" s="120" t="str">
        <x:v>Metaphysical Laws, Rituals &amp; Exchanges</x:v>
      </x:c>
      <x:c r="D1541" s="120" t="str">
        <x:v>LAW-500</x:v>
      </x:c>
      <x:c r="E1541" s="120" t="str">
        <x:f>IF(D1541="","",IFERROR(VLOOKUP(D1541,$A$2:$B$1656,2,FALSE),""))</x:f>
        <x:v>Fate, Causation &amp; Cosmic Order</x:v>
      </x:c>
      <x:c r="F1541" s="120" t="n">
        <x:v>3</x:v>
      </x:c>
      <x:c r="G1541" s="120" t="str">
        <x:v>A prophecy becomes true because belief, fear, policy, avoidance, or resistance causes the predicted outcome.</x:v>
      </x:c>
      <x:c r="H1541" s="120" t="str">
        <x:v>The mechanism is social or psychological rather than direct fate, though settings may combine both.</x:v>
      </x:c>
      <x:c r="I1541" s="120" t="str">
        <x:v>avoidance causes doom; ruler creates rebel</x:v>
      </x:c>
      <x:c r="J1541" s="120" t="str">
        <x:v>tragedy, political critique, ambiguity</x:v>
      </x:c>
      <x:c r="K1541" s="120" t="str">
        <x:v>self-fulfilling prophecy</x:v>
      </x:c>
      <x:c r="L1541" s="120" t="str">
        <x:v>Preserve source-specific terminology, metaphysics, ritual context, and cultural ownership; use this family for comparison, not as a claim of historical equivalence.</x:v>
      </x:c>
      <x:c r="M1541" s="120" t="str">
        <x:v>Framework core</x:v>
      </x:c>
    </x:row>
    <x:row r="1542" ht="44" customHeight="1">
      <x:c r="A1542" s="119" t="str">
        <x:v>LAW-504</x:v>
      </x:c>
      <x:c r="B1542" s="120" t="str">
        <x:v>Predestination with Agency</x:v>
      </x:c>
      <x:c r="C1542" s="120" t="str">
        <x:v>Metaphysical Laws, Rituals &amp; Exchanges</x:v>
      </x:c>
      <x:c r="D1542" s="120" t="str">
        <x:v>LAW-500</x:v>
      </x:c>
      <x:c r="E1542" s="120" t="str">
        <x:f>IF(D1542="","",IFERROR(VLOOKUP(D1542,$A$2:$B$1656,2,FALSE),""))</x:f>
        <x:v>Fate, Causation &amp; Cosmic Order</x:v>
      </x:c>
      <x:c r="F1542" s="120" t="n">
        <x:v>3</x:v>
      </x:c>
      <x:c r="G1542" s="120" t="str">
        <x:v>A cosmology in which a destined outcome, role, or boundary coexists with meaningful choices about method, interpretation, virtue, relationships, or local consequences.</x:v>
      </x:c>
      <x:c r="H1542" s="120" t="str">
        <x:v>It avoids the false binary that fate necessarily eliminates all agency.</x:v>
      </x:c>
      <x:c r="I1542" s="120" t="str">
        <x:v>chosen role with free decisions; fixed death, open life</x:v>
      </x:c>
      <x:c r="J1542" s="120" t="str">
        <x:v>ethical drama, prophecy, identity</x:v>
      </x:c>
      <x:c r="K1542" s="120" t="str">
        <x:v>bounded destiny; fate with agency</x:v>
      </x:c>
      <x:c r="L1542" s="120" t="str">
        <x:v>Preserve source-specific terminology, metaphysics, ritual context, and cultural ownership; use this family for comparison, not as a claim of historical equivalence.</x:v>
      </x:c>
      <x:c r="M1542" s="120" t="str">
        <x:v>Framework core</x:v>
      </x:c>
    </x:row>
    <x:row r="1543" ht="44" customHeight="1">
      <x:c r="A1543" s="119" t="str">
        <x:v>LAW-505</x:v>
      </x:c>
      <x:c r="B1543" s="120" t="str">
        <x:v>Cosmic or Social Order</x:v>
      </x:c>
      <x:c r="C1543" s="120" t="str">
        <x:v>Metaphysical Laws, Rituals &amp; Exchanges</x:v>
      </x:c>
      <x:c r="D1543" s="120" t="str">
        <x:v>LAW-500</x:v>
      </x:c>
      <x:c r="E1543" s="120" t="str">
        <x:f>IF(D1543="","",IFERROR(VLOOKUP(D1543,$A$2:$B$1656,2,FALSE),""))</x:f>
        <x:v>Fate, Causation &amp; Cosmic Order</x:v>
      </x:c>
      <x:c r="F1543" s="120" t="n">
        <x:v>3</x:v>
      </x:c>
      <x:c r="G1543" s="120" t="str">
        <x:v>A source-specific principle linking right relationship, role, law, ritual, society, nature, and cosmic stability.</x:v>
      </x:c>
      <x:c r="H1543" s="120" t="str">
        <x:v>Terms such as dharma, ma'at, dao, ṛta, and others are not interchangeable; record them separately and map only partial analogues.</x:v>
      </x:c>
      <x:c r="I1543" s="120" t="str">
        <x:v>right order; sacred law; world-maintaining duty</x:v>
      </x:c>
      <x:c r="J1543" s="120" t="str">
        <x:v>kingship, ethics, ritual, cosmology</x:v>
      </x:c>
      <x:c r="K1543" s="120" t="str">
        <x:v>cosmic order; sacred order</x:v>
      </x:c>
      <x:c r="L1543" s="120" t="str">
        <x:v>Never use this family as a synonym for dharma, ma'at, dao, ṛta, or any other source-specific concept. Preserve each term's history, debates, and internal plurality.</x:v>
      </x:c>
      <x:c r="M1543" s="120" t="str">
        <x:v>Framework core</x:v>
      </x:c>
    </x:row>
    <x:row r="1544" ht="44" customHeight="1">
      <x:c r="A1544" s="119" t="str">
        <x:v>LAW-506</x:v>
      </x:c>
      <x:c r="B1544" s="120" t="str">
        <x:v>Moral Causation or Karma-Like Rule</x:v>
      </x:c>
      <x:c r="C1544" s="120" t="str">
        <x:v>Metaphysical Laws, Rituals &amp; Exchanges</x:v>
      </x:c>
      <x:c r="D1544" s="120" t="str">
        <x:v>LAW-500</x:v>
      </x:c>
      <x:c r="E1544" s="120" t="str">
        <x:f>IF(D1544="","",IFERROR(VLOOKUP(D1544,$A$2:$B$1656,2,FALSE),""))</x:f>
        <x:v>Fate, Causation &amp; Cosmic Order</x:v>
      </x:c>
      <x:c r="F1544" s="120" t="n">
        <x:v>3</x:v>
      </x:c>
      <x:c r="G1544" s="120" t="str">
        <x:v>A principle under which intentional action, conduct, merit, vice, or relation produces consequences across time, lives, communities, or cosmological states.</x:v>
      </x:c>
      <x:c r="H1544" s="120" t="str">
        <x:v>Use 'karma' only for traditions and adaptations that actually invoke it; generic moral bookkeeping is not the same doctrine.</x:v>
      </x:c>
      <x:c r="I1544" s="120" t="str">
        <x:v>merit consequence; deed-return; karmic system</x:v>
      </x:c>
      <x:c r="J1544" s="120" t="str">
        <x:v>ethical causation, rebirth, social critique</x:v>
      </x:c>
      <x:c r="K1544" s="120" t="str">
        <x:v>moral causation; karma-like law</x:v>
      </x:c>
      <x:c r="L1544" s="120" t="str">
        <x:v>Karma is a family of source-specific South Asian religious and philosophical concepts, not a generic universe score. Use this normalized label only for structural comparison.</x:v>
      </x:c>
      <x:c r="M1544" s="120" t="str">
        <x:v>Framework core</x:v>
      </x:c>
    </x:row>
    <x:row r="1545" ht="44" customHeight="1">
      <x:c r="A1545" s="119" t="str">
        <x:v>LAW-507</x:v>
      </x:c>
      <x:c r="B1545" s="120" t="str">
        <x:v>Balance or Reciprocity Law</x:v>
      </x:c>
      <x:c r="C1545" s="120" t="str">
        <x:v>Metaphysical Laws, Rituals &amp; Exchanges</x:v>
      </x:c>
      <x:c r="D1545" s="120" t="str">
        <x:v>LAW-500</x:v>
      </x:c>
      <x:c r="E1545" s="120" t="str">
        <x:f>IF(D1545="","",IFERROR(VLOOKUP(D1545,$A$2:$B$1656,2,FALSE),""))</x:f>
        <x:v>Fate, Causation &amp; Cosmic Order</x:v>
      </x:c>
      <x:c r="F1545" s="120" t="n">
        <x:v>3</x:v>
      </x:c>
      <x:c r="G1545" s="120" t="str">
        <x:v>A rule that excess, injury, gift, power, elemental dominance, or cosmic disturbance generates compensating pressure, return, debt, or restoration.</x:v>
      </x:c>
      <x:c r="H1545" s="120" t="str">
        <x:v>Balance may be dynamic relationship rather than equal quantities or moral neutrality.</x:v>
      </x:c>
      <x:c r="I1545" s="120" t="str">
        <x:v>cosmic balance; return principle; equilibrium</x:v>
      </x:c>
      <x:c r="J1545" s="120" t="str">
        <x:v>magic limits, ecology, justice, quest resolution</x:v>
      </x:c>
      <x:c r="K1545" s="120" t="str">
        <x:v>balance law; reciprocity law</x:v>
      </x:c>
      <x:c r="L1545" s="120" t="str">
        <x:v>Preserve source-specific terminology, metaphysics, ritual context, and cultural ownership; use this family for comparison, not as a claim of historical equivalence.</x:v>
      </x:c>
      <x:c r="M1545" s="120" t="str">
        <x:v>Framework core</x:v>
      </x:c>
    </x:row>
    <x:row r="1546" ht="44" customHeight="1">
      <x:c r="A1546" s="119" t="str">
        <x:v>LAW-508</x:v>
      </x:c>
      <x:c r="B1546" s="120" t="str">
        <x:v>Divine Mandate</x:v>
      </x:c>
      <x:c r="C1546" s="120" t="str">
        <x:v>Metaphysical Laws, Rituals &amp; Exchanges</x:v>
      </x:c>
      <x:c r="D1546" s="120" t="str">
        <x:v>LAW-500</x:v>
      </x:c>
      <x:c r="E1546" s="120" t="str">
        <x:f>IF(D1546="","",IFERROR(VLOOKUP(D1546,$A$2:$B$1656,2,FALSE),""))</x:f>
        <x:v>Fate, Causation &amp; Cosmic Order</x:v>
      </x:c>
      <x:c r="F1546" s="120" t="n">
        <x:v>3</x:v>
      </x:c>
      <x:c r="G1546" s="120" t="str">
        <x:v>A principle under which rulership or office is authorized, withdrawn, tested, or recognized by divine, celestial, ancestral, or cosmic order.</x:v>
      </x:c>
      <x:c r="H1546" s="120" t="str">
        <x:v>Mandate can be contested and inferred through events rather than explicitly granted.</x:v>
      </x:c>
      <x:c r="I1546" s="120" t="str">
        <x:v>heavenly mandate; god-chosen king; sacred commission</x:v>
      </x:c>
      <x:c r="J1546" s="120" t="str">
        <x:v>legitimacy, rebellion, succession, disaster interpretation</x:v>
      </x:c>
      <x:c r="K1546" s="120" t="str">
        <x:v>divine mandate; sacred authorization</x:v>
      </x:c>
      <x:c r="L1546" s="120" t="str">
        <x:v>Preserve source-specific terminology, metaphysics, ritual context, and cultural ownership; use this family for comparison, not as a claim of historical equivalence.</x:v>
      </x:c>
      <x:c r="M1546" s="120" t="str">
        <x:v>Framework core</x:v>
      </x:c>
    </x:row>
    <x:row r="1547" ht="44" customHeight="1">
      <x:c r="A1547" s="119" t="str">
        <x:v>LAW-509</x:v>
      </x:c>
      <x:c r="B1547" s="120" t="str">
        <x:v>Sacred Kingship</x:v>
      </x:c>
      <x:c r="C1547" s="120" t="str">
        <x:v>Metaphysical Laws, Rituals &amp; Exchanges</x:v>
      </x:c>
      <x:c r="D1547" s="120" t="str">
        <x:v>LAW-500</x:v>
      </x:c>
      <x:c r="E1547" s="120" t="str">
        <x:f>IF(D1547="","",IFERROR(VLOOKUP(D1547,$A$2:$B$1656,2,FALSE),""))</x:f>
        <x:v>Fate, Causation &amp; Cosmic Order</x:v>
      </x:c>
      <x:c r="F1547" s="120" t="n">
        <x:v>3</x:v>
      </x:c>
      <x:c r="G1547" s="120" t="str">
        <x:v>A rule linking ruler, land, fertility, justice, ritual, divine favor, cosmic order, or collective well-being.</x:v>
      </x:c>
      <x:c r="H1547" s="120" t="str">
        <x:v>Sacred kingship takes many forms; do not infer sacrifice, divinity, or absolute power without source evidence.</x:v>
      </x:c>
      <x:c r="I1547" s="120" t="str">
        <x:v>king as mediator; ruler-land bond; divine king</x:v>
      </x:c>
      <x:c r="J1547" s="120" t="str">
        <x:v>governance, ritual, legitimacy, crisis</x:v>
      </x:c>
      <x:c r="K1547" s="120" t="str">
        <x:v>sacred kingship; sacral rule</x:v>
      </x:c>
      <x:c r="L1547" s="120" t="str">
        <x:v>Preserve source-specific terminology, metaphysics, ritual context, and cultural ownership; use this family for comparison, not as a claim of historical equivalence.</x:v>
      </x:c>
      <x:c r="M1547" s="120" t="str">
        <x:v>Framework core</x:v>
      </x:c>
    </x:row>
    <x:row r="1548" ht="44" customHeight="1">
      <x:c r="A1548" s="119" t="str">
        <x:v>LAW-510</x:v>
      </x:c>
      <x:c r="B1548" s="120" t="str">
        <x:v>Cyclical-Age Law</x:v>
      </x:c>
      <x:c r="C1548" s="120" t="str">
        <x:v>Metaphysical Laws, Rituals &amp; Exchanges</x:v>
      </x:c>
      <x:c r="D1548" s="120" t="str">
        <x:v>LAW-500</x:v>
      </x:c>
      <x:c r="E1548" s="120" t="str">
        <x:f>IF(D1548="","",IFERROR(VLOOKUP(D1548,$A$2:$B$1656,2,FALSE),""))</x:f>
        <x:v>Fate, Causation &amp; Cosmic Order</x:v>
      </x:c>
      <x:c r="F1548" s="120" t="n">
        <x:v>3</x:v>
      </x:c>
      <x:c r="G1548" s="120" t="str">
        <x:v>A principle that different cosmic or historical ages have predictable qualities, lifespans, morality, access to gods, magic, or social order.</x:v>
      </x:c>
      <x:c r="H1548" s="120" t="str">
        <x:v>Age schemes are source-specific and should not be flattened into generic tech tiers.</x:v>
      </x:c>
      <x:c r="I1548" s="120" t="str">
        <x:v>golden-to-dark ages; yuga-like cycle; world eras</x:v>
      </x:c>
      <x:c r="J1548" s="120" t="str">
        <x:v>decline, prophecy, periodic renewal</x:v>
      </x:c>
      <x:c r="K1548" s="120" t="str">
        <x:v>cosmic ages; age law</x:v>
      </x:c>
      <x:c r="L1548" s="120" t="str">
        <x:v>Preserve source-specific terminology, metaphysics, ritual context, and cultural ownership; use this family for comparison, not as a claim of historical equivalence.</x:v>
      </x:c>
      <x:c r="M1548" s="120" t="str">
        <x:v>Framework core</x:v>
      </x:c>
    </x:row>
    <x:row r="1549" ht="44" customHeight="1">
      <x:c r="A1549" s="119" t="str">
        <x:v>LAW-511</x:v>
      </x:c>
      <x:c r="B1549" s="120" t="str">
        <x:v>Equivalent Exchange</x:v>
      </x:c>
      <x:c r="C1549" s="120" t="str">
        <x:v>Metaphysical Laws, Rituals &amp; Exchanges</x:v>
      </x:c>
      <x:c r="D1549" s="120" t="str">
        <x:v>LAW-500</x:v>
      </x:c>
      <x:c r="E1549" s="120" t="str">
        <x:f>IF(D1549="","",IFERROR(VLOOKUP(D1549,$A$2:$B$1656,2,FALSE),""))</x:f>
        <x:v>Fate, Causation &amp; Cosmic Order</x:v>
      </x:c>
      <x:c r="F1549" s="120" t="n">
        <x:v>3</x:v>
      </x:c>
      <x:c r="G1549" s="120" t="str">
        <x:v>A rule that transformation, creation, healing, resurrection, or magical gain requires an equivalent or proportionate cost.</x:v>
      </x:c>
      <x:c r="H1549" s="120" t="str">
        <x:v>'Equivalent' may be physical, symbolic, moral, or institutionally defined; it is not always objectively fair.</x:v>
      </x:c>
      <x:c r="I1549" s="120" t="str">
        <x:v>equal value; conservation trade; exchange law</x:v>
      </x:c>
      <x:c r="J1549" s="120" t="str">
        <x:v>magic limits, ethical conflict, crafting</x:v>
      </x:c>
      <x:c r="K1549" s="120" t="str">
        <x:v>equivalent exchange; equal price</x:v>
      </x:c>
      <x:c r="L1549" s="120" t="str">
        <x:v>Preserve source-specific terminology, metaphysics, ritual context, and cultural ownership; use this family for comparison, not as a claim of historical equivalence.</x:v>
      </x:c>
      <x:c r="M1549" s="120" t="str">
        <x:v>Framework core</x:v>
      </x:c>
    </x:row>
    <x:row r="1550" ht="44" customHeight="1">
      <x:c r="A1550" s="119" t="str">
        <x:v>LAW-512</x:v>
      </x:c>
      <x:c r="B1550" s="120" t="str">
        <x:v>Conservation of Magic</x:v>
      </x:c>
      <x:c r="C1550" s="120" t="str">
        <x:v>Metaphysical Laws, Rituals &amp; Exchanges</x:v>
      </x:c>
      <x:c r="D1550" s="120" t="str">
        <x:v>LAW-500</x:v>
      </x:c>
      <x:c r="E1550" s="120" t="str">
        <x:f>IF(D1550="","",IFERROR(VLOOKUP(D1550,$A$2:$B$1656,2,FALSE),""))</x:f>
        <x:v>Fate, Causation &amp; Cosmic Order</x:v>
      </x:c>
      <x:c r="F1550" s="120" t="n">
        <x:v>3</x:v>
      </x:c>
      <x:c r="G1550" s="120" t="str">
        <x:v>A rule that magical energy, matter, souls, attention, probability, or power cannot be created without source, transfer, depletion, or transformation.</x:v>
      </x:c>
      <x:c r="H1550" s="120" t="str">
        <x:v>This is a setting physics model, not a universal feature of magic.</x:v>
      </x:c>
      <x:c r="I1550" s="120" t="str">
        <x:v>mana conservation; finite magic; source depletion</x:v>
      </x:c>
      <x:c r="J1550" s="120" t="str">
        <x:v>resource economy, ecological stakes, strategy</x:v>
      </x:c>
      <x:c r="K1550" s="120" t="str">
        <x:v>magic conservation; finite power</x:v>
      </x:c>
      <x:c r="L1550" s="120" t="str">
        <x:v>Preserve source-specific terminology, metaphysics, ritual context, and cultural ownership; use this family for comparison, not as a claim of historical equivalence.</x:v>
      </x:c>
      <x:c r="M1550" s="120" t="str">
        <x:v>Framework core</x:v>
      </x:c>
    </x:row>
    <x:row r="1551" ht="44" customHeight="1">
      <x:c r="A1551" s="119" t="str">
        <x:v>LAW-513</x:v>
      </x:c>
      <x:c r="B1551" s="120" t="str">
        <x:v>Price of Power</x:v>
      </x:c>
      <x:c r="C1551" s="120" t="str">
        <x:v>Metaphysical Laws, Rituals &amp; Exchanges</x:v>
      </x:c>
      <x:c r="D1551" s="120" t="str">
        <x:v>LAW-500</x:v>
      </x:c>
      <x:c r="E1551" s="120" t="str">
        <x:f>IF(D1551="","",IFERROR(VLOOKUP(D1551,$A$2:$B$1656,2,FALSE),""))</x:f>
        <x:v>Fate, Causation &amp; Cosmic Order</x:v>
      </x:c>
      <x:c r="F1551" s="120" t="n">
        <x:v>3</x:v>
      </x:c>
      <x:c r="G1551" s="120" t="str">
        <x:v>A general principle that extraordinary power imposes recurring or irreversible costs in body, mind, morality, relationships, environment, social standing, or future obligation.</x:v>
      </x:c>
      <x:c r="H1551" s="120" t="str">
        <x:v>A cost must be structurally linked to power, not merely coincidental suffering.</x:v>
      </x:c>
      <x:c r="I1551" s="120" t="str">
        <x:v>corruption; lifespan loss; taboo; debt</x:v>
      </x:c>
      <x:c r="J1551" s="120" t="str">
        <x:v>balancing, tragedy, identity, worldbuilding</x:v>
      </x:c>
      <x:c r="K1551" s="120" t="str">
        <x:v>power cost; magic price</x:v>
      </x:c>
      <x:c r="L1551" s="120" t="str">
        <x:v>Preserve source-specific terminology, metaphysics, ritual context, and cultural ownership; use this family for comparison, not as a claim of historical equivalence.</x:v>
      </x:c>
      <x:c r="M1551" s="120" t="str">
        <x:v>Framework core</x:v>
      </x:c>
    </x:row>
    <x:row r="1552" ht="44" customHeight="1">
      <x:c r="A1552" s="119" t="str">
        <x:v>LAW-514</x:v>
      </x:c>
      <x:c r="B1552" s="120" t="str">
        <x:v>Numerical or Pattern Rule</x:v>
      </x:c>
      <x:c r="C1552" s="120" t="str">
        <x:v>Metaphysical Laws, Rituals &amp; Exchanges</x:v>
      </x:c>
      <x:c r="D1552" s="120" t="str">
        <x:v>LAW-500</x:v>
      </x:c>
      <x:c r="E1552" s="120" t="str">
        <x:f>IF(D1552="","",IFERROR(VLOOKUP(D1552,$A$2:$B$1656,2,FALSE),""))</x:f>
        <x:v>Fate, Causation &amp; Cosmic Order</x:v>
      </x:c>
      <x:c r="F1552" s="120" t="n">
        <x:v>3</x:v>
      </x:c>
      <x:c r="G1552" s="120" t="str">
        <x:v>A world law privileging recurring numbers, repetitions, sequences, correspondences, or ritual counts.</x:v>
      </x:c>
      <x:c r="H1552" s="120" t="str">
        <x:v>The cultural meaning of three, seven, nine, twelve, and other numbers is source-specific.</x:v>
      </x:c>
      <x:c r="I1552" s="120" t="str">
        <x:v>rule of three; seven seals; nine trials</x:v>
      </x:c>
      <x:c r="J1552" s="120" t="str">
        <x:v>ritual structure, prophecy, puzzle, narrative rhythm</x:v>
      </x:c>
      <x:c r="K1552" s="120" t="str">
        <x:v>sacred number; pattern law</x:v>
      </x:c>
      <x:c r="L1552" s="120" t="str">
        <x:v>Preserve source-specific terminology, metaphysics, ritual context, and cultural ownership; use this family for comparison, not as a claim of historical equivalence.</x:v>
      </x:c>
      <x:c r="M1552" s="120" t="str">
        <x:v>Framework core</x:v>
      </x:c>
    </x:row>
    <x:row r="1553" ht="44" customHeight="1">
      <x:c r="A1553" s="119" t="str">
        <x:v>LAW-515</x:v>
      </x:c>
      <x:c r="B1553" s="120" t="str">
        <x:v>Sympathetic Correspondence</x:v>
      </x:c>
      <x:c r="C1553" s="120" t="str">
        <x:v>Metaphysical Laws, Rituals &amp; Exchanges</x:v>
      </x:c>
      <x:c r="D1553" s="120" t="str">
        <x:v>LAW-500</x:v>
      </x:c>
      <x:c r="E1553" s="120" t="str">
        <x:f>IF(D1553="","",IFERROR(VLOOKUP(D1553,$A$2:$B$1656,2,FALSE),""))</x:f>
        <x:v>Fate, Causation &amp; Cosmic Order</x:v>
      </x:c>
      <x:c r="F1553" s="120" t="n">
        <x:v>3</x:v>
      </x:c>
      <x:c r="G1553" s="120" t="str">
        <x:v>A rule that similarity in form, image, name, color, quality, or representation creates a channel of influence.</x:v>
      </x:c>
      <x:c r="H1553" s="120" t="str">
        <x:v>It differs from contact contagion; the link is resemblance or modeled identity.</x:v>
      </x:c>
      <x:c r="I1553" s="120" t="str">
        <x:v>like affects like; image magic; correspondence table</x:v>
      </x:c>
      <x:c r="J1553" s="120" t="str">
        <x:v>ritual, healing, curse, divination</x:v>
      </x:c>
      <x:c r="K1553" s="120" t="str">
        <x:v>sympathetic magic; correspondence</x:v>
      </x:c>
      <x:c r="L1553" s="120" t="str">
        <x:v>Preserve source-specific terminology, metaphysics, ritual context, and cultural ownership; use this family for comparison, not as a claim of historical equivalence.</x:v>
      </x:c>
      <x:c r="M1553" s="120" t="str">
        <x:v>Framework core</x:v>
      </x:c>
    </x:row>
    <x:row r="1554" ht="44" customHeight="1">
      <x:c r="A1554" s="119" t="str">
        <x:v>LAW-516</x:v>
      </x:c>
      <x:c r="B1554" s="120" t="str">
        <x:v>Contagion or Contact Correspondence</x:v>
      </x:c>
      <x:c r="C1554" s="120" t="str">
        <x:v>Metaphysical Laws, Rituals &amp; Exchanges</x:v>
      </x:c>
      <x:c r="D1554" s="120" t="str">
        <x:v>LAW-500</x:v>
      </x:c>
      <x:c r="E1554" s="120" t="str">
        <x:f>IF(D1554="","",IFERROR(VLOOKUP(D1554,$A$2:$B$1656,2,FALSE),""))</x:f>
        <x:v>Fate, Causation &amp; Cosmic Order</x:v>
      </x:c>
      <x:c r="F1554" s="120" t="n">
        <x:v>3</x:v>
      </x:c>
      <x:c r="G1554" s="120" t="str">
        <x:v>A rule that things once connected, bodily related, owned, touched, or sharing substance continue to affect one another at a distance.</x:v>
      </x:c>
      <x:c r="H1554" s="120" t="str">
        <x:v>This is an analytical family and should not be projected onto all traditions using relics, hair, blood, or names.</x:v>
      </x:c>
      <x:c r="I1554" s="120" t="str">
        <x:v>hair link; blood connection; true owner's object</x:v>
      </x:c>
      <x:c r="J1554" s="120" t="str">
        <x:v>tracking, healing, curse, identity</x:v>
      </x:c>
      <x:c r="K1554" s="120" t="str">
        <x:v>contagion magic; contact link</x:v>
      </x:c>
      <x:c r="L1554" s="120" t="str">
        <x:v>Preserve source-specific terminology, metaphysics, ritual context, and cultural ownership; use this family for comparison, not as a claim of historical equivalence.</x:v>
      </x:c>
      <x:c r="M1554" s="120" t="str">
        <x:v>Framework core</x:v>
      </x:c>
    </x:row>
    <x:row r="1555" ht="44" customHeight="1">
      <x:c r="A1555" s="119" t="str">
        <x:v>LAW-517</x:v>
      </x:c>
      <x:c r="B1555" s="120" t="str">
        <x:v>Elemental Opposition or Counter Law</x:v>
      </x:c>
      <x:c r="C1555" s="120" t="str">
        <x:v>Metaphysical Laws, Rituals &amp; Exchanges</x:v>
      </x:c>
      <x:c r="D1555" s="120" t="str">
        <x:v>LAW-500</x:v>
      </x:c>
      <x:c r="E1555" s="120" t="str">
        <x:f>IF(D1555="","",IFERROR(VLOOKUP(D1555,$A$2:$B$1656,2,FALSE),""))</x:f>
        <x:v>Fate, Causation &amp; Cosmic Order</x:v>
      </x:c>
      <x:c r="F1555" s="120" t="n">
        <x:v>3</x:v>
      </x:c>
      <x:c r="G1555" s="120" t="str">
        <x:v>A rule that elements, materials, creatures, symbols, or power domains have stable strengths, weaknesses, cancellations, or transformations relative to one another.</x:v>
      </x:c>
      <x:c r="H1555" s="120" t="str">
        <x:v>A game counter chart may simplify a richer cosmology; record both layers.</x:v>
      </x:c>
      <x:c r="I1555" s="120" t="str">
        <x:v>fire versus ice; holy versus undead; five-phase overcoming</x:v>
      </x:c>
      <x:c r="J1555" s="120" t="str">
        <x:v>combat balance, ritual selection, ecology</x:v>
      </x:c>
      <x:c r="K1555" s="120" t="str">
        <x:v>elemental counter; opposition cycle</x:v>
      </x:c>
      <x:c r="L1555" s="120" t="str">
        <x:v>Preserve source-specific terminology, metaphysics, ritual context, and cultural ownership; use this family for comparison, not as a claim of historical equivalence.</x:v>
      </x:c>
      <x:c r="M1555" s="120" t="str">
        <x:v>Framework core</x:v>
      </x:c>
    </x:row>
    <x:row r="1556" ht="44" customHeight="1">
      <x:c r="A1556" s="119" t="str">
        <x:v>LAW-518</x:v>
      </x:c>
      <x:c r="B1556" s="120" t="str">
        <x:v>Cosmic Bureaucratic Law</x:v>
      </x:c>
      <x:c r="C1556" s="120" t="str">
        <x:v>Metaphysical Laws, Rituals &amp; Exchanges</x:v>
      </x:c>
      <x:c r="D1556" s="120" t="str">
        <x:v>LAW-500</x:v>
      </x:c>
      <x:c r="E1556" s="120" t="str">
        <x:f>IF(D1556="","",IFERROR(VLOOKUP(D1556,$A$2:$B$1656,2,FALSE),""))</x:f>
        <x:v>Fate, Causation &amp; Cosmic Order</x:v>
      </x:c>
      <x:c r="F1556" s="120" t="n">
        <x:v>3</x:v>
      </x:c>
      <x:c r="G1556" s="120" t="str">
        <x:v>A system of petitions, registers, warrants, ranks, seals, jurisdictions, audits, and offices through which supernatural authority operates.</x:v>
      </x:c>
      <x:c r="H1556" s="120" t="str">
        <x:v>Do not treat bureaucratic religion as merely comic administration; it may model real ritual and political relations.</x:v>
      </x:c>
      <x:c r="I1556" s="120" t="str">
        <x:v>celestial registers; spirit warrants; underworld records</x:v>
      </x:c>
      <x:c r="J1556" s="120" t="str">
        <x:v>ritual petitions, judgment, office power</x:v>
      </x:c>
      <x:c r="K1556" s="120" t="str">
        <x:v>heavenly law; cosmic administration</x:v>
      </x:c>
      <x:c r="L1556" s="120" t="str">
        <x:v>Preserve source-specific terminology, metaphysics, ritual context, and cultural ownership; use this family for comparison, not as a claim of historical equivalence.</x:v>
      </x:c>
      <x:c r="M1556" s="120" t="str">
        <x:v>Framework core</x:v>
      </x:c>
    </x:row>
    <x:row r="1557" ht="44" customHeight="1">
      <x:c r="A1557" s="119" t="str">
        <x:v>LAW-519</x:v>
      </x:c>
      <x:c r="B1557" s="120" t="str">
        <x:v>Divine Nonintervention Rule</x:v>
      </x:c>
      <x:c r="C1557" s="120" t="str">
        <x:v>Metaphysical Laws, Rituals &amp; Exchanges</x:v>
      </x:c>
      <x:c r="D1557" s="120" t="str">
        <x:v>LAW-500</x:v>
      </x:c>
      <x:c r="E1557" s="120" t="str">
        <x:f>IF(D1557="","",IFERROR(VLOOKUP(D1557,$A$2:$B$1656,2,FALSE),""))</x:f>
        <x:v>Fate, Causation &amp; Cosmic Order</x:v>
      </x:c>
      <x:c r="F1557" s="120" t="n">
        <x:v>3</x:v>
      </x:c>
      <x:c r="G1557" s="120" t="str">
        <x:v>A law, covenant, barrier, balance, or political agreement limiting direct divine action in the mortal world.</x:v>
      </x:c>
      <x:c r="H1557" s="120" t="str">
        <x:v>The rule may be enforced by peers, cosmic mechanics, distance, consent, or fear of escalation.</x:v>
      </x:c>
      <x:c r="I1557" s="120" t="str">
        <x:v>gods cannot act directly; proxy champions; closed heaven</x:v>
      </x:c>
      <x:c r="J1557" s="120" t="str">
        <x:v>mortal agency, patron systems, plot constraints</x:v>
      </x:c>
      <x:c r="K1557" s="120" t="str">
        <x:v>divine nonintervention; god limit</x:v>
      </x:c>
      <x:c r="L1557" s="120" t="str">
        <x:v>Preserve source-specific terminology, metaphysics, ritual context, and cultural ownership; use this family for comparison, not as a claim of historical equivalence.</x:v>
      </x:c>
      <x:c r="M1557" s="120" t="str">
        <x:v>Framework core</x:v>
      </x:c>
    </x:row>
    <x:row r="1558" ht="44" customHeight="1">
      <x:c r="A1558" s="119" t="str">
        <x:v>LAW-520</x:v>
      </x:c>
      <x:c r="B1558" s="120" t="str">
        <x:v>Prophecy Loophole</x:v>
      </x:c>
      <x:c r="C1558" s="120" t="str">
        <x:v>Metaphysical Laws, Rituals &amp; Exchanges</x:v>
      </x:c>
      <x:c r="D1558" s="120" t="str">
        <x:v>LAW-500</x:v>
      </x:c>
      <x:c r="E1558" s="120" t="str">
        <x:f>IF(D1558="","",IFERROR(VLOOKUP(D1558,$A$2:$B$1656,2,FALSE),""))</x:f>
        <x:v>Fate, Causation &amp; Cosmic Order</x:v>
      </x:c>
      <x:c r="F1558" s="120" t="n">
        <x:v>3</x:v>
      </x:c>
      <x:c r="G1558" s="120" t="str">
        <x:v>A path through which a prophecy is fulfilled in an unexpected technical sense, avoided by a category exception, or reframed without being simply false.</x:v>
      </x:c>
      <x:c r="H1558" s="120" t="str">
        <x:v>The solution relies on wording or category logic, not arbitrary reversal.</x:v>
      </x:c>
      <x:c r="I1558" s="120" t="str">
        <x:v>neither man nor woman; not indoors or outdoors; symbolic fulfillment</x:v>
      </x:c>
      <x:c r="J1558" s="120" t="str">
        <x:v>resolution, riddle, agency within fate</x:v>
      </x:c>
      <x:c r="K1558" s="120" t="str">
        <x:v>prophecy loophole; oracle exception</x:v>
      </x:c>
      <x:c r="L1558" s="120" t="str">
        <x:v>Preserve source-specific terminology, metaphysics, ritual context, and cultural ownership; use this family for comparison, not as a claim of historical equivalence.</x:v>
      </x:c>
      <x:c r="M1558" s="120" t="str">
        <x:v>Framework core</x:v>
      </x:c>
    </x:row>
    <x:row r="1559" ht="44" customHeight="1">
      <x:c r="A1559" s="119" t="str">
        <x:v>LAW-521</x:v>
      </x:c>
      <x:c r="B1559" s="120" t="str">
        <x:v>Law of Invitation or Consent</x:v>
      </x:c>
      <x:c r="C1559" s="120" t="str">
        <x:v>Metaphysical Laws, Rituals &amp; Exchanges</x:v>
      </x:c>
      <x:c r="D1559" s="120" t="str">
        <x:v>LAW-500</x:v>
      </x:c>
      <x:c r="E1559" s="120" t="str">
        <x:f>IF(D1559="","",IFERROR(VLOOKUP(D1559,$A$2:$B$1656,2,FALSE),""))</x:f>
        <x:v>Fate, Causation &amp; Cosmic Order</x:v>
      </x:c>
      <x:c r="F1559" s="120" t="n">
        <x:v>3</x:v>
      </x:c>
      <x:c r="G1559" s="120" t="str">
        <x:v>A rule requiring invitation, permission, voluntary agreement, recognition, or open threshold before certain beings or powers can enter, bind, transform, feed, or act.</x:v>
      </x:c>
      <x:c r="H1559" s="120" t="str">
        <x:v>Consent may be manipulable or socially coerced; do not equate magical formality with ethical consent.</x:v>
      </x:c>
      <x:c r="I1559" s="120" t="str">
        <x:v>vampire invitation; pact consent; opened door</x:v>
      </x:c>
      <x:c r="J1559" s="120" t="str">
        <x:v>protection, trickery, social boundaries</x:v>
      </x:c>
      <x:c r="K1559" s="120" t="str">
        <x:v>invitation rule; consent law</x:v>
      </x:c>
      <x:c r="L1559" s="120" t="str">
        <x:v>Preserve source-specific terminology, metaphysics, ritual context, and cultural ownership; use this family for comparison, not as a claim of historical equivalence.</x:v>
      </x:c>
      <x:c r="M1559" s="120" t="str">
        <x:v>Framework core</x:v>
      </x:c>
    </x:row>
    <x:row r="1560" ht="44" customHeight="1">
      <x:c r="A1560" s="119" t="str">
        <x:v>LAW-522</x:v>
      </x:c>
      <x:c r="B1560" s="120" t="str">
        <x:v>Law of Belief or Attention</x:v>
      </x:c>
      <x:c r="C1560" s="120" t="str">
        <x:v>Metaphysical Laws, Rituals &amp; Exchanges</x:v>
      </x:c>
      <x:c r="D1560" s="120" t="str">
        <x:v>LAW-500</x:v>
      </x:c>
      <x:c r="E1560" s="120" t="str">
        <x:f>IF(D1560="","",IFERROR(VLOOKUP(D1560,$A$2:$B$1656,2,FALSE),""))</x:f>
        <x:v>Fate, Causation &amp; Cosmic Order</x:v>
      </x:c>
      <x:c r="F1560" s="120" t="n">
        <x:v>3</x:v>
      </x:c>
      <x:c r="G1560" s="120" t="str">
        <x:v>A rule under which worship, memory, story, fear, recognition, or collective attention sustains, creates, empowers, shapes, or destroys beings and worlds.</x:v>
      </x:c>
      <x:c r="H1560" s="120" t="str">
        <x:v>Belief may be one causal factor rather than total ontological truth.</x:v>
      </x:c>
      <x:c r="I1560" s="120" t="str">
        <x:v>gods need worship; stories make real; forgotten spirits fade</x:v>
      </x:c>
      <x:c r="J1560" s="120" t="str">
        <x:v>religion, fame, memetics, narrative power</x:v>
      </x:c>
      <x:c r="K1560" s="120" t="str">
        <x:v>belief power; attention law</x:v>
      </x:c>
      <x:c r="L1560" s="120" t="str">
        <x:v>Preserve source-specific terminology, metaphysics, ritual context, and cultural ownership; use this family for comparison, not as a claim of historical equivalence.</x:v>
      </x:c>
      <x:c r="M1560" s="120" t="str">
        <x:v>Framework core</x:v>
      </x:c>
    </x:row>
    <x:row r="1561" ht="44" customHeight="1">
      <x:c r="A1561" s="119" t="str">
        <x:v>LAW-523</x:v>
      </x:c>
      <x:c r="B1561" s="120" t="str">
        <x:v>Territorial Jurisdiction Law</x:v>
      </x:c>
      <x:c r="C1561" s="120" t="str">
        <x:v>Metaphysical Laws, Rituals &amp; Exchanges</x:v>
      </x:c>
      <x:c r="D1561" s="120" t="str">
        <x:v>LAW-500</x:v>
      </x:c>
      <x:c r="E1561" s="120" t="str">
        <x:f>IF(D1561="","",IFERROR(VLOOKUP(D1561,$A$2:$B$1656,2,FALSE),""))</x:f>
        <x:v>Fate, Causation &amp; Cosmic Order</x:v>
      </x:c>
      <x:c r="F1561" s="120" t="n">
        <x:v>3</x:v>
      </x:c>
      <x:c r="G1561" s="120" t="str">
        <x:v>A rule that beings, gods, spirits, magic, courts, or powers have authority limited or altered by place, border, shrine, household, domain, or invitation.</x:v>
      </x:c>
      <x:c r="H1561" s="120" t="str">
        <x:v>Jurisdiction is relational and institutional, not merely a range limit.</x:v>
      </x:c>
      <x:c r="I1561" s="120" t="str">
        <x:v>household spirit rights; god's territory; court boundary</x:v>
      </x:c>
      <x:c r="J1561" s="120" t="str">
        <x:v>politics, travel, conflict, sanctuary</x:v>
      </x:c>
      <x:c r="K1561" s="120" t="str">
        <x:v>territorial law; domain jurisdiction</x:v>
      </x:c>
      <x:c r="L1561" s="120" t="str">
        <x:v>Preserve source-specific terminology, metaphysics, ritual context, and cultural ownership; use this family for comparison, not as a claim of historical equivalence.</x:v>
      </x:c>
      <x:c r="M1561" s="120" t="str">
        <x:v>Framework core</x:v>
      </x:c>
    </x:row>
    <x:row r="1562" ht="44" customHeight="1">
      <x:c r="A1562" s="119" t="str">
        <x:v>LAW-601</x:v>
      </x:c>
      <x:c r="B1562" s="120" t="str">
        <x:v>True Name</x:v>
      </x:c>
      <x:c r="C1562" s="120" t="str">
        <x:v>Metaphysical Laws, Rituals &amp; Exchanges</x:v>
      </x:c>
      <x:c r="D1562" s="120" t="str">
        <x:v>LAW-600</x:v>
      </x:c>
      <x:c r="E1562" s="120" t="str">
        <x:f>IF(D1562="","",IFERROR(VLOOKUP(D1562,$A$2:$B$1656,2,FALSE),""))</x:f>
        <x:v>Names, Words, Symbols &amp; Recognition</x:v>
      </x:c>
      <x:c r="F1562" s="120" t="n">
        <x:v>3</x:v>
      </x:c>
      <x:c r="G1562" s="120" t="str">
        <x:v>A name that reveals or constitutes essential identity and grants recognition, summoning, protection, transformation, vulnerability, or control.</x:v>
      </x:c>
      <x:c r="H1562" s="120" t="str">
        <x:v>Not every secret personal name is a metaphysical true name.</x:v>
      </x:c>
      <x:c r="I1562" s="120" t="str">
        <x:v>birth name; soul name; hidden name</x:v>
      </x:c>
      <x:c r="J1562" s="120" t="str">
        <x:v>identity, power, control, self-knowledge</x:v>
      </x:c>
      <x:c r="K1562" s="120" t="str">
        <x:v>true name; secret name</x:v>
      </x:c>
      <x:c r="L1562" s="120" t="str">
        <x:v>Preserve source-specific terminology, metaphysics, ritual context, and cultural ownership; use this family for comparison, not as a claim of historical equivalence.</x:v>
      </x:c>
      <x:c r="M1562" s="120" t="str">
        <x:v>Framework core</x:v>
      </x:c>
    </x:row>
    <x:row r="1563" ht="44" customHeight="1">
      <x:c r="A1563" s="119" t="str">
        <x:v>LAW-602</x:v>
      </x:c>
      <x:c r="B1563" s="120" t="str">
        <x:v>Naming Creates or Transforms</x:v>
      </x:c>
      <x:c r="C1563" s="120" t="str">
        <x:v>Metaphysical Laws, Rituals &amp; Exchanges</x:v>
      </x:c>
      <x:c r="D1563" s="120" t="str">
        <x:v>LAW-600</x:v>
      </x:c>
      <x:c r="E1563" s="120" t="str">
        <x:f>IF(D1563="","",IFERROR(VLOOKUP(D1563,$A$2:$B$1656,2,FALSE),""))</x:f>
        <x:v>Names, Words, Symbols &amp; Recognition</x:v>
      </x:c>
      <x:c r="F1563" s="120" t="n">
        <x:v>3</x:v>
      </x:c>
      <x:c r="G1563" s="120" t="str">
        <x:v>A rule under which giving, changing, withholding, or discovering a name creates identity, status, relationship, form, or reality.</x:v>
      </x:c>
      <x:c r="H1563" s="120" t="str">
        <x:v>Naming may be divine, social, legal, magical, or narrative and should not be treated as one mechanism.</x:v>
      </x:c>
      <x:c r="I1563" s="120" t="str">
        <x:v>name-giving; renaming; title transformation</x:v>
      </x:c>
      <x:c r="J1563" s="120" t="str">
        <x:v>creation, initiation, domination, liberation</x:v>
      </x:c>
      <x:c r="K1563" s="120" t="str">
        <x:v>performative naming; name magic</x:v>
      </x:c>
      <x:c r="L1563" s="120" t="str">
        <x:v>Preserve source-specific terminology, metaphysics, ritual context, and cultural ownership; use this family for comparison, not as a claim of historical equivalence.</x:v>
      </x:c>
      <x:c r="M1563" s="120" t="str">
        <x:v>Framework core</x:v>
      </x:c>
    </x:row>
    <x:row r="1564" ht="44" customHeight="1">
      <x:c r="A1564" s="119" t="str">
        <x:v>LAW-603</x:v>
      </x:c>
      <x:c r="B1564" s="120" t="str">
        <x:v>Spoken Oath Binding</x:v>
      </x:c>
      <x:c r="C1564" s="120" t="str">
        <x:v>Metaphysical Laws, Rituals &amp; Exchanges</x:v>
      </x:c>
      <x:c r="D1564" s="120" t="str">
        <x:v>LAW-600</x:v>
      </x:c>
      <x:c r="E1564" s="120" t="str">
        <x:f>IF(D1564="","",IFERROR(VLOOKUP(D1564,$A$2:$B$1656,2,FALSE),""))</x:f>
        <x:v>Names, Words, Symbols &amp; Recognition</x:v>
      </x:c>
      <x:c r="F1564" s="120" t="n">
        <x:v>3</x:v>
      </x:c>
      <x:c r="G1564" s="120" t="str">
        <x:v>A rule that an oath becomes effective through formal utterance before witnesses, powers, objects, or places.</x:v>
      </x:c>
      <x:c r="H1564" s="120" t="str">
        <x:v>Speech is the activating medium; silent intention alone is insufficient.</x:v>
      </x:c>
      <x:c r="I1564" s="120" t="str">
        <x:v>sworn word; vow before fire; public promise</x:v>
      </x:c>
      <x:c r="J1564" s="120" t="str">
        <x:v>legitimacy, evidence, magical consequence</x:v>
      </x:c>
      <x:c r="K1564" s="120" t="str">
        <x:v>spoken oath; sworn word</x:v>
      </x:c>
      <x:c r="L1564" s="120" t="str">
        <x:v>Preserve source-specific terminology, metaphysics, ritual context, and cultural ownership; use this family for comparison, not as a claim of historical equivalence.</x:v>
      </x:c>
      <x:c r="M1564" s="120" t="str">
        <x:v>Framework core</x:v>
      </x:c>
    </x:row>
    <x:row r="1565" ht="44" customHeight="1">
      <x:c r="A1565" s="119" t="str">
        <x:v>LAW-604</x:v>
      </x:c>
      <x:c r="B1565" s="120" t="str">
        <x:v>Mantra or Invocatory Formula</x:v>
      </x:c>
      <x:c r="C1565" s="120" t="str">
        <x:v>Metaphysical Laws, Rituals &amp; Exchanges</x:v>
      </x:c>
      <x:c r="D1565" s="120" t="str">
        <x:v>LAW-600</x:v>
      </x:c>
      <x:c r="E1565" s="120" t="str">
        <x:f>IF(D1565="","",IFERROR(VLOOKUP(D1565,$A$2:$B$1656,2,FALSE),""))</x:f>
        <x:v>Names, Words, Symbols &amp; Recognition</x:v>
      </x:c>
      <x:c r="F1565" s="120" t="n">
        <x:v>3</x:v>
      </x:c>
      <x:c r="G1565" s="120" t="str">
        <x:v>A source-specific sacred or operative utterance whose sound, repetition, meaning, authority, transmission, or realization produces effect.</x:v>
      </x:c>
      <x:c r="H1565" s="120" t="str">
        <x:v>Do not translate mantra as generic 'magic word' or 'spell' without contextual evidence.</x:v>
      </x:c>
      <x:c r="I1565" s="120" t="str">
        <x:v>sacred syllable; invocation; formula recitation</x:v>
      </x:c>
      <x:c r="J1565" s="120" t="str">
        <x:v>ritual, meditation, weapon invocation, protection</x:v>
      </x:c>
      <x:c r="K1565" s="120" t="str">
        <x:v>mantra; invocation formula</x:v>
      </x:c>
      <x:c r="L1565" s="120" t="str">
        <x:v>Preserve linguistic, initiatory, devotional, philosophical, and ritual context. 'Mantra' is not a universal synonym for an incantation.</x:v>
      </x:c>
      <x:c r="M1565" s="120" t="str">
        <x:v>Framework core</x:v>
      </x:c>
    </x:row>
    <x:row r="1566" ht="44" customHeight="1">
      <x:c r="A1566" s="119" t="str">
        <x:v>LAW-605</x:v>
      </x:c>
      <x:c r="B1566" s="120" t="str">
        <x:v>Rune or Operative Inscription</x:v>
      </x:c>
      <x:c r="C1566" s="120" t="str">
        <x:v>Metaphysical Laws, Rituals &amp; Exchanges</x:v>
      </x:c>
      <x:c r="D1566" s="120" t="str">
        <x:v>LAW-600</x:v>
      </x:c>
      <x:c r="E1566" s="120" t="str">
        <x:f>IF(D1566="","",IFERROR(VLOOKUP(D1566,$A$2:$B$1656,2,FALSE),""))</x:f>
        <x:v>Names, Words, Symbols &amp; Recognition</x:v>
      </x:c>
      <x:c r="F1566" s="120" t="n">
        <x:v>3</x:v>
      </x:c>
      <x:c r="G1566" s="120" t="str">
        <x:v>A written, carved, painted, woven, or encoded sign that creates, stores, directs, seals, names, or authorizes an effect.</x:v>
      </x:c>
      <x:c r="H1566" s="120" t="str">
        <x:v>Do not call every magical script 'runes'; use source-native terminology when available.</x:v>
      </x:c>
      <x:c r="I1566" s="120" t="str">
        <x:v>sigil; glyph; seal script; enchanted writing</x:v>
      </x:c>
      <x:c r="J1566" s="120" t="str">
        <x:v>warding, crafting, communication, spell storage</x:v>
      </x:c>
      <x:c r="K1566" s="120" t="str">
        <x:v>rune; glyph; sigil</x:v>
      </x:c>
      <x:c r="L1566" s="120" t="str">
        <x:v>Preserve source-specific terminology, metaphysics, ritual context, and cultural ownership; use this family for comparison, not as a claim of historical equivalence.</x:v>
      </x:c>
      <x:c r="M1566" s="120" t="str">
        <x:v>Framework core</x:v>
      </x:c>
    </x:row>
    <x:row r="1567" ht="44" customHeight="1">
      <x:c r="A1567" s="119" t="str">
        <x:v>LAW-606</x:v>
      </x:c>
      <x:c r="B1567" s="120" t="str">
        <x:v>Secret Language of Power</x:v>
      </x:c>
      <x:c r="C1567" s="120" t="str">
        <x:v>Metaphysical Laws, Rituals &amp; Exchanges</x:v>
      </x:c>
      <x:c r="D1567" s="120" t="str">
        <x:v>LAW-600</x:v>
      </x:c>
      <x:c r="E1567" s="120" t="str">
        <x:f>IF(D1567="","",IFERROR(VLOOKUP(D1567,$A$2:$B$1656,2,FALSE),""))</x:f>
        <x:v>Names, Words, Symbols &amp; Recognition</x:v>
      </x:c>
      <x:c r="F1567" s="120" t="n">
        <x:v>3</x:v>
      </x:c>
      <x:c r="G1567" s="120" t="str">
        <x:v>A language, grammar, script, tone, or vocabulary whose correct use directly affects reality, beings, or divine order.</x:v>
      </x:c>
      <x:c r="H1567" s="120" t="str">
        <x:v>It may require lineage, initiation, understanding, or exact pronunciation.</x:v>
      </x:c>
      <x:c r="I1567" s="120" t="str">
        <x:v>language of creation; dragon speech; divine tongue</x:v>
      </x:c>
      <x:c r="J1567" s="120" t="str">
        <x:v>casting, authority, scholarship, identity</x:v>
      </x:c>
      <x:c r="K1567" s="120" t="str">
        <x:v>language of power; sacred language</x:v>
      </x:c>
      <x:c r="L1567" s="120" t="str">
        <x:v>Preserve source-specific terminology, metaphysics, ritual context, and cultural ownership; use this family for comparison, not as a claim of historical equivalence.</x:v>
      </x:c>
      <x:c r="M1567" s="120" t="str">
        <x:v>Framework core</x:v>
      </x:c>
    </x:row>
    <x:row r="1568" ht="44" customHeight="1">
      <x:c r="A1568" s="119" t="str">
        <x:v>LAW-607</x:v>
      </x:c>
      <x:c r="B1568" s="120" t="str">
        <x:v>Taboo Name</x:v>
      </x:c>
      <x:c r="C1568" s="120" t="str">
        <x:v>Metaphysical Laws, Rituals &amp; Exchanges</x:v>
      </x:c>
      <x:c r="D1568" s="120" t="str">
        <x:v>LAW-600</x:v>
      </x:c>
      <x:c r="E1568" s="120" t="str">
        <x:f>IF(D1568="","",IFERROR(VLOOKUP(D1568,$A$2:$B$1656,2,FALSE),""))</x:f>
        <x:v>Names, Words, Symbols &amp; Recognition</x:v>
      </x:c>
      <x:c r="F1568" s="120" t="n">
        <x:v>3</x:v>
      </x:c>
      <x:c r="G1568" s="120" t="str">
        <x:v>A name that must not be spoken, written, remembered, or revealed because doing so summons, empowers, dishonors, exposes, or violates.</x:v>
      </x:c>
      <x:c r="H1568" s="120" t="str">
        <x:v>The prohibition and consequences matter more than mere secrecy.</x:v>
      </x:c>
      <x:c r="I1568" s="120" t="str">
        <x:v>unspeakable god; forbidden title; erased name</x:v>
      </x:c>
      <x:c r="J1568" s="120" t="str">
        <x:v>horror, protection, reverence, control</x:v>
      </x:c>
      <x:c r="K1568" s="120" t="str">
        <x:v>taboo name; forbidden name</x:v>
      </x:c>
      <x:c r="L1568" s="120" t="str">
        <x:v>Preserve source-specific terminology, metaphysics, ritual context, and cultural ownership; use this family for comparison, not as a claim of historical equivalence.</x:v>
      </x:c>
      <x:c r="M1568" s="120" t="str">
        <x:v>Framework core</x:v>
      </x:c>
    </x:row>
    <x:row r="1569" ht="44" customHeight="1">
      <x:c r="A1569" s="119" t="str">
        <x:v>LAW-608</x:v>
      </x:c>
      <x:c r="B1569" s="120" t="str">
        <x:v>Recognition or Identity Test</x:v>
      </x:c>
      <x:c r="C1569" s="120" t="str">
        <x:v>Metaphysical Laws, Rituals &amp; Exchanges</x:v>
      </x:c>
      <x:c r="D1569" s="120" t="str">
        <x:v>LAW-600</x:v>
      </x:c>
      <x:c r="E1569" s="120" t="str">
        <x:f>IF(D1569="","",IFERROR(VLOOKUP(D1569,$A$2:$B$1656,2,FALSE),""))</x:f>
        <x:v>Names, Words, Symbols &amp; Recognition</x:v>
      </x:c>
      <x:c r="F1569" s="120" t="n">
        <x:v>3</x:v>
      </x:c>
      <x:c r="G1569" s="120" t="str">
        <x:v>A rule or ordeal that reveals rightful identity, lineage, office, humanity, loyalty, or hidden transformation.</x:v>
      </x:c>
      <x:c r="H1569" s="120" t="str">
        <x:v>Recognition can depend on artifact, password, memory, mark, behavior, or witness.</x:v>
      </x:c>
      <x:c r="I1569" s="120" t="str">
        <x:v>sword test; secret sign; true-form trial</x:v>
      </x:c>
      <x:c r="J1569" s="120" t="str">
        <x:v>succession, infiltration, revelation</x:v>
      </x:c>
      <x:c r="K1569" s="120" t="str">
        <x:v>identity test; recognition trial</x:v>
      </x:c>
      <x:c r="L1569" s="120" t="str">
        <x:v>Preserve source-specific terminology, metaphysics, ritual context, and cultural ownership; use this family for comparison, not as a claim of historical equivalence.</x:v>
      </x:c>
      <x:c r="M1569" s="120" t="str">
        <x:v>Framework core</x:v>
      </x:c>
    </x:row>
    <x:row r="1570" ht="44" customHeight="1">
      <x:c r="A1570" s="119" t="str">
        <x:v>LAW-609</x:v>
      </x:c>
      <x:c r="B1570" s="120" t="str">
        <x:v>Invitation Threshold</x:v>
      </x:c>
      <x:c r="C1570" s="120" t="str">
        <x:v>Metaphysical Laws, Rituals &amp; Exchanges</x:v>
      </x:c>
      <x:c r="D1570" s="120" t="str">
        <x:v>LAW-600</x:v>
      </x:c>
      <x:c r="E1570" s="120" t="str">
        <x:f>IF(D1570="","",IFERROR(VLOOKUP(D1570,$A$2:$B$1656,2,FALSE),""))</x:f>
        <x:v>Names, Words, Symbols &amp; Recognition</x:v>
      </x:c>
      <x:c r="F1570" s="120" t="n">
        <x:v>3</x:v>
      </x:c>
      <x:c r="G1570" s="120" t="str">
        <x:v>A rule under which words, gestures, opening, hospitality, or consent allow a being or power to cross a boundary.</x:v>
      </x:c>
      <x:c r="H1570" s="120" t="str">
        <x:v>This is the linguistic or social mechanism of access; pair with cosmological threshold entries as needed.</x:v>
      </x:c>
      <x:c r="I1570" s="120" t="str">
        <x:v>come in; named guest; opened gate</x:v>
      </x:c>
      <x:c r="J1570" s="120" t="str">
        <x:v>protection, trickery, pact formation</x:v>
      </x:c>
      <x:c r="K1570" s="120" t="str">
        <x:v>invitation threshold; spoken entry</x:v>
      </x:c>
      <x:c r="L1570" s="120" t="str">
        <x:v>Preserve source-specific terminology, metaphysics, ritual context, and cultural ownership; use this family for comparison, not as a claim of historical equivalence.</x:v>
      </x:c>
      <x:c r="M1570" s="120" t="str">
        <x:v>Framework core</x:v>
      </x:c>
    </x:row>
    <x:row r="1571" ht="44" customHeight="1">
      <x:c r="A1571" s="119" t="str">
        <x:v>LAW-610</x:v>
      </x:c>
      <x:c r="B1571" s="120" t="str">
        <x:v>Symbolic Correspondence</x:v>
      </x:c>
      <x:c r="C1571" s="120" t="str">
        <x:v>Metaphysical Laws, Rituals &amp; Exchanges</x:v>
      </x:c>
      <x:c r="D1571" s="120" t="str">
        <x:v>LAW-600</x:v>
      </x:c>
      <x:c r="E1571" s="120" t="str">
        <x:f>IF(D1571="","",IFERROR(VLOOKUP(D1571,$A$2:$B$1656,2,FALSE),""))</x:f>
        <x:v>Names, Words, Symbols &amp; Recognition</x:v>
      </x:c>
      <x:c r="F1571" s="120" t="n">
        <x:v>3</x:v>
      </x:c>
      <x:c r="G1571" s="120" t="str">
        <x:v>A rule that colors, animals, metals, directions, planets, gestures, diagrams, or images participate in broader networks of meaning and power.</x:v>
      </x:c>
      <x:c r="H1571" s="120" t="str">
        <x:v>Correspondence systems are historically and culturally specific; avoid inventing universal charts.</x:v>
      </x:c>
      <x:c r="I1571" s="120" t="str">
        <x:v>planetary metal; color-direction link; ritual diagram</x:v>
      </x:c>
      <x:c r="J1571" s="120" t="str">
        <x:v>ritual design, divination, crafting</x:v>
      </x:c>
      <x:c r="K1571" s="120" t="str">
        <x:v>symbolic correspondence; occult table</x:v>
      </x:c>
      <x:c r="L1571" s="120" t="str">
        <x:v>Preserve source-specific terminology, metaphysics, ritual context, and cultural ownership; use this family for comparison, not as a claim of historical equivalence.</x:v>
      </x:c>
      <x:c r="M1571" s="120" t="str">
        <x:v>Framework core</x:v>
      </x:c>
    </x:row>
    <x:row r="1572" ht="44" customHeight="1">
      <x:c r="A1572" s="119" t="str">
        <x:v>LAW-611</x:v>
      </x:c>
      <x:c r="B1572" s="120" t="str">
        <x:v>Story or Belief Makes Real</x:v>
      </x:c>
      <x:c r="C1572" s="120" t="str">
        <x:v>Metaphysical Laws, Rituals &amp; Exchanges</x:v>
      </x:c>
      <x:c r="D1572" s="120" t="str">
        <x:v>LAW-600</x:v>
      </x:c>
      <x:c r="E1572" s="120" t="str">
        <x:f>IF(D1572="","",IFERROR(VLOOKUP(D1572,$A$2:$B$1656,2,FALSE),""))</x:f>
        <x:v>Names, Words, Symbols &amp; Recognition</x:v>
      </x:c>
      <x:c r="F1572" s="120" t="n">
        <x:v>3</x:v>
      </x:c>
      <x:c r="G1572" s="120" t="str">
        <x:v>A rule under which repeated narratives, collective belief, names, roles, or expectations materially generate or transform reality.</x:v>
      </x:c>
      <x:c r="H1572" s="120" t="str">
        <x:v>This can be metaphysical, psychological, social, or game-systemic; identify the mechanism.</x:v>
      </x:c>
      <x:c r="I1572" s="120" t="str">
        <x:v>legend creates hero; fear creates monster; trope becomes law</x:v>
      </x:c>
      <x:c r="J1572" s="120" t="str">
        <x:v>metafiction, religion, memetic beings</x:v>
      </x:c>
      <x:c r="K1572" s="120" t="str">
        <x:v>narrative reality; belief-made form</x:v>
      </x:c>
      <x:c r="L1572" s="120" t="str">
        <x:v>Preserve source-specific terminology, metaphysics, ritual context, and cultural ownership; use this family for comparison, not as a claim of historical equivalence.</x:v>
      </x:c>
      <x:c r="M1572" s="120" t="str">
        <x:v>Framework core</x:v>
      </x:c>
    </x:row>
    <x:row r="1573" ht="44" customHeight="1">
      <x:c r="A1573" s="119" t="str">
        <x:v>LAW-612</x:v>
      </x:c>
      <x:c r="B1573" s="120" t="str">
        <x:v>Music or Song as Operative Law</x:v>
      </x:c>
      <x:c r="C1573" s="120" t="str">
        <x:v>Metaphysical Laws, Rituals &amp; Exchanges</x:v>
      </x:c>
      <x:c r="D1573" s="120" t="str">
        <x:v>LAW-600</x:v>
      </x:c>
      <x:c r="E1573" s="120" t="str">
        <x:f>IF(D1573="","",IFERROR(VLOOKUP(D1573,$A$2:$B$1656,2,FALSE),""))</x:f>
        <x:v>Names, Words, Symbols &amp; Recognition</x:v>
      </x:c>
      <x:c r="F1573" s="120" t="n">
        <x:v>3</x:v>
      </x:c>
      <x:c r="G1573" s="120" t="str">
        <x:v>A rule under which melody, rhythm, harmony, performance, or cosmic music structures reality or reliably produces supernatural effects.</x:v>
      </x:c>
      <x:c r="H1573" s="120" t="str">
        <x:v>Not all bardic performance is cosmological song-law.</x:v>
      </x:c>
      <x:c r="I1573" s="120" t="str">
        <x:v>creation music; song magic; command melody</x:v>
      </x:c>
      <x:c r="J1573" s="120" t="str">
        <x:v>creation, healing, enchantment, memory</x:v>
      </x:c>
      <x:c r="K1573" s="120" t="str">
        <x:v>song law; music magic</x:v>
      </x:c>
      <x:c r="L1573" s="120" t="str">
        <x:v>Preserve source-specific terminology, metaphysics, ritual context, and cultural ownership; use this family for comparison, not as a claim of historical equivalence.</x:v>
      </x:c>
      <x:c r="M1573" s="120" t="str">
        <x:v>Framework core</x:v>
      </x:c>
    </x:row>
    <x:row r="1574" ht="44" customHeight="1">
      <x:c r="A1574" s="119" t="str">
        <x:v>LAW-613</x:v>
      </x:c>
      <x:c r="B1574" s="120" t="str">
        <x:v>Written Contract Enforcement</x:v>
      </x:c>
      <x:c r="C1574" s="120" t="str">
        <x:v>Metaphysical Laws, Rituals &amp; Exchanges</x:v>
      </x:c>
      <x:c r="D1574" s="120" t="str">
        <x:v>LAW-600</x:v>
      </x:c>
      <x:c r="E1574" s="120" t="str">
        <x:f>IF(D1574="","",IFERROR(VLOOKUP(D1574,$A$2:$B$1656,2,FALSE),""))</x:f>
        <x:v>Names, Words, Symbols &amp; Recognition</x:v>
      </x:c>
      <x:c r="F1574" s="120" t="n">
        <x:v>3</x:v>
      </x:c>
      <x:c r="G1574" s="120" t="str">
        <x:v>A rule under which written terms, signatures, seals, marks, or recorded names produce automatic or supernatural enforcement.</x:v>
      </x:c>
      <x:c r="H1574" s="120" t="str">
        <x:v>The writing itself must be operative, not just evidence of an oral pact.</x:v>
      </x:c>
      <x:c r="I1574" s="120" t="str">
        <x:v>signed soul contract; magic charter; sealed warrant</x:v>
      </x:c>
      <x:c r="J1574" s="120" t="str">
        <x:v>legalism, bureaucracy, bargains</x:v>
      </x:c>
      <x:c r="K1574" s="120" t="str">
        <x:v>binding document; enchanted contract</x:v>
      </x:c>
      <x:c r="L1574" s="120" t="str">
        <x:v>Preserve source-specific terminology, metaphysics, ritual context, and cultural ownership; use this family for comparison, not as a claim of historical equivalence.</x:v>
      </x:c>
      <x:c r="M1574" s="120" t="str">
        <x:v>Framework core</x:v>
      </x:c>
    </x:row>
    <x:row r="1575" ht="44" customHeight="1">
      <x:c r="A1575" s="119" t="str">
        <x:v>LAW-614</x:v>
      </x:c>
      <x:c r="B1575" s="120" t="str">
        <x:v>Word of Command</x:v>
      </x:c>
      <x:c r="C1575" s="120" t="str">
        <x:v>Metaphysical Laws, Rituals &amp; Exchanges</x:v>
      </x:c>
      <x:c r="D1575" s="120" t="str">
        <x:v>LAW-600</x:v>
      </x:c>
      <x:c r="E1575" s="120" t="str">
        <x:f>IF(D1575="","",IFERROR(VLOOKUP(D1575,$A$2:$B$1656,2,FALSE),""))</x:f>
        <x:v>Names, Words, Symbols &amp; Recognition</x:v>
      </x:c>
      <x:c r="F1575" s="120" t="n">
        <x:v>3</x:v>
      </x:c>
      <x:c r="G1575" s="120" t="str">
        <x:v>A privileged utterance that compels beings, activates artifacts, opens seals, halts action, or imposes temporary order.</x:v>
      </x:c>
      <x:c r="H1575" s="120" t="str">
        <x:v>It may derive from office, true name, divine authority, or technical access.</x:v>
      </x:c>
      <x:c r="I1575" s="120" t="str">
        <x:v>command word; activation phrase; royal order</x:v>
      </x:c>
      <x:c r="J1575" s="120" t="str">
        <x:v>control, authentication, artifact use</x:v>
      </x:c>
      <x:c r="K1575" s="120" t="str">
        <x:v>word of command; command phrase</x:v>
      </x:c>
      <x:c r="L1575" s="120" t="str">
        <x:v>Preserve source-specific terminology, metaphysics, ritual context, and cultural ownership; use this family for comparison, not as a claim of historical equivalence.</x:v>
      </x:c>
      <x:c r="M1575" s="120" t="str">
        <x:v>Framework core</x:v>
      </x:c>
    </x:row>
    <x:row r="1576" ht="44" customHeight="1">
      <x:c r="A1576" s="119" t="str">
        <x:v>LAW-615</x:v>
      </x:c>
      <x:c r="B1576" s="120" t="str">
        <x:v>Silence as Power or Protection</x:v>
      </x:c>
      <x:c r="C1576" s="120" t="str">
        <x:v>Metaphysical Laws, Rituals &amp; Exchanges</x:v>
      </x:c>
      <x:c r="D1576" s="120" t="str">
        <x:v>LAW-600</x:v>
      </x:c>
      <x:c r="E1576" s="120" t="str">
        <x:f>IF(D1576="","",IFERROR(VLOOKUP(D1576,$A$2:$B$1656,2,FALSE),""))</x:f>
        <x:v>Names, Words, Symbols &amp; Recognition</x:v>
      </x:c>
      <x:c r="F1576" s="120" t="n">
        <x:v>3</x:v>
      </x:c>
      <x:c r="G1576" s="120" t="str">
        <x:v>A rule under which withholding speech, names, music, or acknowledgment preserves power, prevents summoning, resists control, or fulfills a vow.</x:v>
      </x:c>
      <x:c r="H1576" s="120" t="str">
        <x:v>Silence is operative rather than merely absence of dialogue.</x:v>
      </x:c>
      <x:c r="I1576" s="120" t="str">
        <x:v>vow of silence; unsaid name; anti-song ward</x:v>
      </x:c>
      <x:c r="J1576" s="120" t="str">
        <x:v>protection, discipline, secrecy, resistance</x:v>
      </x:c>
      <x:c r="K1576" s="120" t="str">
        <x:v>sacred silence; silent ward</x:v>
      </x:c>
      <x:c r="L1576" s="120" t="str">
        <x:v>Preserve source-specific terminology, metaphysics, ritual context, and cultural ownership; use this family for comparison, not as a claim of historical equivalence.</x:v>
      </x:c>
      <x:c r="M1576" s="120" t="str">
        <x:v>Framework core</x:v>
      </x:c>
    </x:row>
    <x:row r="1577" ht="44" customHeight="1">
      <x:c r="A1577" s="119" t="str">
        <x:v>LAW-616</x:v>
      </x:c>
      <x:c r="B1577" s="120" t="str">
        <x:v>Witness and Public Recognition</x:v>
      </x:c>
      <x:c r="C1577" s="120" t="str">
        <x:v>Metaphysical Laws, Rituals &amp; Exchanges</x:v>
      </x:c>
      <x:c r="D1577" s="120" t="str">
        <x:v>LAW-600</x:v>
      </x:c>
      <x:c r="E1577" s="120" t="str">
        <x:f>IF(D1577="","",IFERROR(VLOOKUP(D1577,$A$2:$B$1656,2,FALSE),""))</x:f>
        <x:v>Names, Words, Symbols &amp; Recognition</x:v>
      </x:c>
      <x:c r="F1577" s="120" t="n">
        <x:v>3</x:v>
      </x:c>
      <x:c r="G1577" s="120" t="str">
        <x:v>A rule that an act, oath, succession, marriage, crime, gift, or transformation gains force only through recognized witnesses or communal acknowledgment.</x:v>
      </x:c>
      <x:c r="H1577" s="120" t="str">
        <x:v>Witness can be divine, ancestral, legal, social, or magical.</x:v>
      </x:c>
      <x:c r="I1577" s="120" t="str">
        <x:v>witnessed vow; acclaimed king; named adoption</x:v>
      </x:c>
      <x:c r="J1577" s="120" t="str">
        <x:v>legitimacy, memory, enforceability</x:v>
      </x:c>
      <x:c r="K1577" s="120" t="str">
        <x:v>witness rule; public recognition</x:v>
      </x:c>
      <x:c r="L1577" s="120" t="str">
        <x:v>Preserve source-specific terminology, metaphysics, ritual context, and cultural ownership; use this family for comparison, not as a claim of historical equivalence.</x:v>
      </x:c>
      <x:c r="M1577" s="120" t="str">
        <x:v>Framework core</x:v>
      </x:c>
    </x:row>
    <x:row r="1578" ht="44" customHeight="1">
      <x:c r="A1578" s="119" t="str">
        <x:v>LAW-701</x:v>
      </x:c>
      <x:c r="B1578" s="120" t="str">
        <x:v>Reincarnation Rule</x:v>
      </x:c>
      <x:c r="C1578" s="120" t="str">
        <x:v>Metaphysical Laws, Rituals &amp; Exchanges</x:v>
      </x:c>
      <x:c r="D1578" s="120" t="str">
        <x:v>LAW-700</x:v>
      </x:c>
      <x:c r="E1578" s="120" t="str">
        <x:f>IF(D1578="","",IFERROR(VLOOKUP(D1578,$A$2:$B$1656,2,FALSE),""))</x:f>
        <x:v>Death, Rebirth &amp; Immortality Rules</x:v>
      </x:c>
      <x:c r="F1578" s="120" t="n">
        <x:v>3</x:v>
      </x:c>
      <x:c r="G1578" s="120" t="str">
        <x:v>A rule governing whether, how, when, and into what beings or worlds a consciousness, soul, lineage, identity, or karmic stream is reborn.</x:v>
      </x:c>
      <x:c r="H1578" s="120" t="str">
        <x:v>Do not assume a permanent soul, moral ranking, or memory continuity; doctrines vary substantially.</x:v>
      </x:c>
      <x:c r="I1578" s="120" t="str">
        <x:v>rebirth; transmigration; return cycle</x:v>
      </x:c>
      <x:c r="J1578" s="120" t="str">
        <x:v>afterlife, progression, moral causation</x:v>
      </x:c>
      <x:c r="K1578" s="120" t="str">
        <x:v>reincarnation; rebirth law</x:v>
      </x:c>
      <x:c r="L1578" s="120" t="str">
        <x:v>Preserve source-specific terminology, metaphysics, ritual context, and cultural ownership; use this family for comparison, not as a claim of historical equivalence.</x:v>
      </x:c>
      <x:c r="M1578" s="120" t="str">
        <x:v>Framework core</x:v>
      </x:c>
    </x:row>
    <x:row r="1579" ht="44" customHeight="1">
      <x:c r="A1579" s="119" t="str">
        <x:v>LAW-702</x:v>
      </x:c>
      <x:c r="B1579" s="120" t="str">
        <x:v>Resurrection Cost</x:v>
      </x:c>
      <x:c r="C1579" s="120" t="str">
        <x:v>Metaphysical Laws, Rituals &amp; Exchanges</x:v>
      </x:c>
      <x:c r="D1579" s="120" t="str">
        <x:v>LAW-700</x:v>
      </x:c>
      <x:c r="E1579" s="120" t="str">
        <x:f>IF(D1579="","",IFERROR(VLOOKUP(D1579,$A$2:$B$1656,2,FALSE),""))</x:f>
        <x:v>Death, Rebirth &amp; Immortality Rules</x:v>
      </x:c>
      <x:c r="F1579" s="120" t="n">
        <x:v>3</x:v>
      </x:c>
      <x:c r="G1579" s="120" t="str">
        <x:v>A requirement, payment, loss, danger, ritual, exchange, or limitation attached to returning a dead being to embodied life.</x:v>
      </x:c>
      <x:c r="H1579" s="120" t="str">
        <x:v>The cost may fall on the returned person, resurrector, substitute, community, or world.</x:v>
      </x:c>
      <x:c r="I1579" s="120" t="str">
        <x:v>life exchange; rare relic; memory loss; soul debt</x:v>
      </x:c>
      <x:c r="J1579" s="120" t="str">
        <x:v>stakes, resource economy, ethical conflict</x:v>
      </x:c>
      <x:c r="K1579" s="120" t="str">
        <x:v>resurrection cost; price of return</x:v>
      </x:c>
      <x:c r="L1579" s="120" t="str">
        <x:v>Preserve source-specific terminology, metaphysics, ritual context, and cultural ownership; use this family for comparison, not as a claim of historical equivalence.</x:v>
      </x:c>
      <x:c r="M1579" s="120" t="str">
        <x:v>Framework core</x:v>
      </x:c>
    </x:row>
    <x:row r="1580" ht="44" customHeight="1">
      <x:c r="A1580" s="119" t="str">
        <x:v>LAW-703</x:v>
      </x:c>
      <x:c r="B1580" s="120" t="str">
        <x:v>Limited Returns from Death</x:v>
      </x:c>
      <x:c r="C1580" s="120" t="str">
        <x:v>Metaphysical Laws, Rituals &amp; Exchanges</x:v>
      </x:c>
      <x:c r="D1580" s="120" t="str">
        <x:v>LAW-700</x:v>
      </x:c>
      <x:c r="E1580" s="120" t="str">
        <x:f>IF(D1580="","",IFERROR(VLOOKUP(D1580,$A$2:$B$1656,2,FALSE),""))</x:f>
        <x:v>Death, Rebirth &amp; Immortality Rules</x:v>
      </x:c>
      <x:c r="F1580" s="120" t="n">
        <x:v>3</x:v>
      </x:c>
      <x:c r="G1580" s="120" t="str">
        <x:v>A rule restricting resurrection by number, time, manner of death, body integrity, consent, soul location, divine permission, or cosmic balance.</x:v>
      </x:c>
      <x:c r="H1580" s="120" t="str">
        <x:v>The restriction preserves death's consequence and defines exceptions.</x:v>
      </x:c>
      <x:c r="I1580" s="120" t="str">
        <x:v>one return; time window; no return after judgment</x:v>
      </x:c>
      <x:c r="J1580" s="120" t="str">
        <x:v>stakes, quest urgency, worldbuilding</x:v>
      </x:c>
      <x:c r="K1580" s="120" t="str">
        <x:v>limited resurrection; return limit</x:v>
      </x:c>
      <x:c r="L1580" s="120" t="str">
        <x:v>Preserve source-specific terminology, metaphysics, ritual context, and cultural ownership; use this family for comparison, not as a claim of historical equivalence.</x:v>
      </x:c>
      <x:c r="M1580" s="120" t="str">
        <x:v>Framework core</x:v>
      </x:c>
    </x:row>
    <x:row r="1581" ht="44" customHeight="1">
      <x:c r="A1581" s="119" t="str">
        <x:v>LAW-704</x:v>
      </x:c>
      <x:c r="B1581" s="120" t="str">
        <x:v>Soul Judgment</x:v>
      </x:c>
      <x:c r="C1581" s="120" t="str">
        <x:v>Metaphysical Laws, Rituals &amp; Exchanges</x:v>
      </x:c>
      <x:c r="D1581" s="120" t="str">
        <x:v>LAW-700</x:v>
      </x:c>
      <x:c r="E1581" s="120" t="str">
        <x:f>IF(D1581="","",IFERROR(VLOOKUP(D1581,$A$2:$B$1656,2,FALSE),""))</x:f>
        <x:v>Death, Rebirth &amp; Immortality Rules</x:v>
      </x:c>
      <x:c r="F1581" s="120" t="n">
        <x:v>3</x:v>
      </x:c>
      <x:c r="G1581" s="120" t="str">
        <x:v>A rule under which the dead are evaluated and assigned consequences, realms, rebirths, purification, service, or dissolution.</x:v>
      </x:c>
      <x:c r="H1581" s="120" t="str">
        <x:v>Criteria may include deeds, ritual condition, identity, truth, affiliation, or divine decision.</x:v>
      </x:c>
      <x:c r="I1581" s="120" t="str">
        <x:v>weighing soul; book of deeds; underworld trial</x:v>
      </x:c>
      <x:c r="J1581" s="120" t="str">
        <x:v>afterlife sorting, accountability</x:v>
      </x:c>
      <x:c r="K1581" s="120" t="str">
        <x:v>judgment of dead; soul trial</x:v>
      </x:c>
      <x:c r="L1581" s="120" t="str">
        <x:v>Preserve source-specific terminology, metaphysics, ritual context, and cultural ownership; use this family for comparison, not as a claim of historical equivalence.</x:v>
      </x:c>
      <x:c r="M1581" s="120" t="str">
        <x:v>Framework core</x:v>
      </x:c>
    </x:row>
    <x:row r="1582" ht="44" customHeight="1">
      <x:c r="A1582" s="119" t="str">
        <x:v>LAW-705</x:v>
      </x:c>
      <x:c r="B1582" s="120" t="str">
        <x:v>Psychopomp Passage Rule</x:v>
      </x:c>
      <x:c r="C1582" s="120" t="str">
        <x:v>Metaphysical Laws, Rituals &amp; Exchanges</x:v>
      </x:c>
      <x:c r="D1582" s="120" t="str">
        <x:v>LAW-700</x:v>
      </x:c>
      <x:c r="E1582" s="120" t="str">
        <x:f>IF(D1582="","",IFERROR(VLOOKUP(D1582,$A$2:$B$1656,2,FALSE),""))</x:f>
        <x:v>Death, Rebirth &amp; Immortality Rules</x:v>
      </x:c>
      <x:c r="F1582" s="120" t="n">
        <x:v>3</x:v>
      </x:c>
      <x:c r="G1582" s="120" t="str">
        <x:v>A rule requiring a guide, ferryman, animal, deity, ancestor, ritual specialist, or route for safe transition after death.</x:v>
      </x:c>
      <x:c r="H1582" s="120" t="str">
        <x:v>The guide may assist, compel, judge, or protect rather than merely transport.</x:v>
      </x:c>
      <x:c r="I1582" s="120" t="str">
        <x:v>ferryman; death guide; ancestral escort</x:v>
      </x:c>
      <x:c r="J1582" s="120" t="str">
        <x:v>funeral rites, afterlife journey, rescue</x:v>
      </x:c>
      <x:c r="K1582" s="120" t="str">
        <x:v>psychopomp rule; guided passage</x:v>
      </x:c>
      <x:c r="L1582" s="120" t="str">
        <x:v>Preserve source-specific terminology, metaphysics, ritual context, and cultural ownership; use this family for comparison, not as a claim of historical equivalence.</x:v>
      </x:c>
      <x:c r="M1582" s="120" t="str">
        <x:v>Framework core</x:v>
      </x:c>
    </x:row>
    <x:row r="1583" ht="44" customHeight="1">
      <x:c r="A1583" s="119" t="str">
        <x:v>LAW-706</x:v>
      </x:c>
      <x:c r="B1583" s="120" t="str">
        <x:v>Burial or Funeral Requirement</x:v>
      </x:c>
      <x:c r="C1583" s="120" t="str">
        <x:v>Metaphysical Laws, Rituals &amp; Exchanges</x:v>
      </x:c>
      <x:c r="D1583" s="120" t="str">
        <x:v>LAW-700</x:v>
      </x:c>
      <x:c r="E1583" s="120" t="str">
        <x:f>IF(D1583="","",IFERROR(VLOOKUP(D1583,$A$2:$B$1656,2,FALSE),""))</x:f>
        <x:v>Death, Rebirth &amp; Immortality Rules</x:v>
      </x:c>
      <x:c r="F1583" s="120" t="n">
        <x:v>3</x:v>
      </x:c>
      <x:c r="G1583" s="120" t="str">
        <x:v>A rule under which proper burial, cremation, exposure, mourning, naming, offerings, or funerary rites affect rest, identity, passage, return, or haunting.</x:v>
      </x:c>
      <x:c r="H1583" s="120" t="str">
        <x:v>Do not universalize one funeral form or depict unburied dead as morally culpable.</x:v>
      </x:c>
      <x:c r="I1583" s="120" t="str">
        <x:v>burial coin; funeral fire; named grave</x:v>
      </x:c>
      <x:c r="J1583" s="120" t="str">
        <x:v>kinship duty, ghost prevention, social memory</x:v>
      </x:c>
      <x:c r="K1583" s="120" t="str">
        <x:v>funeral requirement; burial law</x:v>
      </x:c>
      <x:c r="L1583" s="120" t="str">
        <x:v>Preserve source-specific terminology, metaphysics, ritual context, and cultural ownership; use this family for comparison, not as a claim of historical equivalence.</x:v>
      </x:c>
      <x:c r="M1583" s="120" t="str">
        <x:v>Framework core</x:v>
      </x:c>
    </x:row>
    <x:row r="1584" ht="44" customHeight="1">
      <x:c r="A1584" s="119" t="str">
        <x:v>LAW-707</x:v>
      </x:c>
      <x:c r="B1584" s="120" t="str">
        <x:v>Unfinished Business Rule</x:v>
      </x:c>
      <x:c r="C1584" s="120" t="str">
        <x:v>Metaphysical Laws, Rituals &amp; Exchanges</x:v>
      </x:c>
      <x:c r="D1584" s="120" t="str">
        <x:v>LAW-700</x:v>
      </x:c>
      <x:c r="E1584" s="120" t="str">
        <x:f>IF(D1584="","",IFERROR(VLOOKUP(D1584,$A$2:$B$1656,2,FALSE),""))</x:f>
        <x:v>Death, Rebirth &amp; Immortality Rules</x:v>
      </x:c>
      <x:c r="F1584" s="120" t="n">
        <x:v>3</x:v>
      </x:c>
      <x:c r="G1584" s="120" t="str">
        <x:v>A rule under which attachment, oath, trauma, duty, injustice, love, debt, or uncompleted task prevents the dead from passing on.</x:v>
      </x:c>
      <x:c r="H1584" s="120" t="str">
        <x:v>This may be an in-world belief rather than an objective law; record evidence status.</x:v>
      </x:c>
      <x:c r="I1584" s="120" t="str">
        <x:v>vengeful ghost; guardian ancestor; oathbound dead</x:v>
      </x:c>
      <x:c r="J1584" s="120" t="str">
        <x:v>haunting, closure quest, testimony</x:v>
      </x:c>
      <x:c r="K1584" s="120" t="str">
        <x:v>unfinished business; lingering obligation</x:v>
      </x:c>
      <x:c r="L1584" s="120" t="str">
        <x:v>Preserve source-specific terminology, metaphysics, ritual context, and cultural ownership; use this family for comparison, not as a claim of historical equivalence.</x:v>
      </x:c>
      <x:c r="M1584" s="120" t="str">
        <x:v>Framework core</x:v>
      </x:c>
    </x:row>
    <x:row r="1585" ht="44" customHeight="1">
      <x:c r="A1585" s="119" t="str">
        <x:v>LAW-708</x:v>
      </x:c>
      <x:c r="B1585" s="120" t="str">
        <x:v>Name or Memory Sustains the Dead</x:v>
      </x:c>
      <x:c r="C1585" s="120" t="str">
        <x:v>Metaphysical Laws, Rituals &amp; Exchanges</x:v>
      </x:c>
      <x:c r="D1585" s="120" t="str">
        <x:v>LAW-700</x:v>
      </x:c>
      <x:c r="E1585" s="120" t="str">
        <x:f>IF(D1585="","",IFERROR(VLOOKUP(D1585,$A$2:$B$1656,2,FALSE),""))</x:f>
        <x:v>Death, Rebirth &amp; Immortality Rules</x:v>
      </x:c>
      <x:c r="F1585" s="120" t="n">
        <x:v>3</x:v>
      </x:c>
      <x:c r="G1585" s="120" t="str">
        <x:v>A rule under which remembrance, spoken names, stories, offerings, images, descendants, or records preserve a dead being's identity or power.</x:v>
      </x:c>
      <x:c r="H1585" s="120" t="str">
        <x:v>Memory may sustain social presence, literal spirit existence, or divine status; distinguish the mechanism.</x:v>
      </x:c>
      <x:c r="I1585" s="120" t="str">
        <x:v>ancestor remembrance; forgotten god; true-name memorial</x:v>
      </x:c>
      <x:c r="J1585" s="120" t="str">
        <x:v>ritual, grief, fame, extinction</x:v>
      </x:c>
      <x:c r="K1585" s="120" t="str">
        <x:v>memory sustains; name remembrance</x:v>
      </x:c>
      <x:c r="L1585" s="120" t="str">
        <x:v>Preserve source-specific terminology, metaphysics, ritual context, and cultural ownership; use this family for comparison, not as a claim of historical equivalence.</x:v>
      </x:c>
      <x:c r="M1585" s="120" t="str">
        <x:v>Framework core</x:v>
      </x:c>
    </x:row>
    <x:row r="1586" ht="44" customHeight="1">
      <x:c r="A1586" s="119" t="str">
        <x:v>LAW-709</x:v>
      </x:c>
      <x:c r="B1586" s="120" t="str">
        <x:v>Soul-Partition Rule</x:v>
      </x:c>
      <x:c r="C1586" s="120" t="str">
        <x:v>Metaphysical Laws, Rituals &amp; Exchanges</x:v>
      </x:c>
      <x:c r="D1586" s="120" t="str">
        <x:v>LAW-700</x:v>
      </x:c>
      <x:c r="E1586" s="120" t="str">
        <x:f>IF(D1586="","",IFERROR(VLOOKUP(D1586,$A$2:$B$1656,2,FALSE),""))</x:f>
        <x:v>Death, Rebirth &amp; Immortality Rules</x:v>
      </x:c>
      <x:c r="F1586" s="120" t="n">
        <x:v>3</x:v>
      </x:c>
      <x:c r="G1586" s="120" t="str">
        <x:v>A rule in which a person's soul, identity, life, memory, shadow, breath, or consciousness can divide into components with separate fates.</x:v>
      </x:c>
      <x:c r="H1586" s="120" t="str">
        <x:v>Do not impose a unitary Western soul model on traditions with multiple person-components.</x:v>
      </x:c>
      <x:c r="I1586" s="120" t="str">
        <x:v>split soul; lost shadow; divided spirit</x:v>
      </x:c>
      <x:c r="J1586" s="120" t="str">
        <x:v>healing, vulnerability, afterlife complexity</x:v>
      </x:c>
      <x:c r="K1586" s="120" t="str">
        <x:v>soul parts; partitioned spirit</x:v>
      </x:c>
      <x:c r="L1586" s="120" t="str">
        <x:v>Preserve source-specific terminology, metaphysics, ritual context, and cultural ownership; use this family for comparison, not as a claim of historical equivalence.</x:v>
      </x:c>
      <x:c r="M1586" s="120" t="str">
        <x:v>Framework core</x:v>
      </x:c>
    </x:row>
    <x:row r="1587" ht="44" customHeight="1">
      <x:c r="A1587" s="119" t="str">
        <x:v>LAW-710</x:v>
      </x:c>
      <x:c r="B1587" s="120" t="str">
        <x:v>External-Life Rule</x:v>
      </x:c>
      <x:c r="C1587" s="120" t="str">
        <x:v>Metaphysical Laws, Rituals &amp; Exchanges</x:v>
      </x:c>
      <x:c r="D1587" s="120" t="str">
        <x:v>LAW-700</x:v>
      </x:c>
      <x:c r="E1587" s="120" t="str">
        <x:f>IF(D1587="","",IFERROR(VLOOKUP(D1587,$A$2:$B$1656,2,FALSE),""))</x:f>
        <x:v>Death, Rebirth &amp; Immortality Rules</x:v>
      </x:c>
      <x:c r="F1587" s="120" t="n">
        <x:v>3</x:v>
      </x:c>
      <x:c r="G1587" s="120" t="str">
        <x:v>A being's life or death is located outside its ordinary body in an object, animal, place, name, sequence, or nested container.</x:v>
      </x:c>
      <x:c r="H1587" s="120" t="str">
        <x:v>This can create conditional immortality without implying a lich or deliberate soul magic.</x:v>
      </x:c>
      <x:c r="I1587" s="120" t="str">
        <x:v>life in egg; death in needle; hidden heart</x:v>
      </x:c>
      <x:c r="J1587" s="120" t="str">
        <x:v>quest puzzle, invulnerability, vulnerability</x:v>
      </x:c>
      <x:c r="K1587" s="120" t="str">
        <x:v>external soul; life outside body</x:v>
      </x:c>
      <x:c r="L1587" s="120" t="str">
        <x:v>Preserve source-specific terminology, metaphysics, ritual context, and cultural ownership; use this family for comparison, not as a claim of historical equivalence.</x:v>
      </x:c>
      <x:c r="M1587" s="120" t="str">
        <x:v>Framework core</x:v>
      </x:c>
    </x:row>
    <x:row r="1588" ht="44" customHeight="1">
      <x:c r="A1588" s="119" t="str">
        <x:v>LAW-711</x:v>
      </x:c>
      <x:c r="B1588" s="120" t="str">
        <x:v>Feeding Requirement for Undeath or Immortality</x:v>
      </x:c>
      <x:c r="C1588" s="120" t="str">
        <x:v>Metaphysical Laws, Rituals &amp; Exchanges</x:v>
      </x:c>
      <x:c r="D1588" s="120" t="str">
        <x:v>LAW-700</x:v>
      </x:c>
      <x:c r="E1588" s="120" t="str">
        <x:f>IF(D1588="","",IFERROR(VLOOKUP(D1588,$A$2:$B$1656,2,FALSE),""))</x:f>
        <x:v>Death, Rebirth &amp; Immortality Rules</x:v>
      </x:c>
      <x:c r="F1588" s="120" t="n">
        <x:v>3</x:v>
      </x:c>
      <x:c r="G1588" s="120" t="str">
        <x:v>A rule that continued supernatural existence requires recurring consumption of blood, life, breath, memory, emotion, souls, worship, or another resource.</x:v>
      </x:c>
      <x:c r="H1588" s="120" t="str">
        <x:v>Feeding may be biological, magical, social, or symbolic and should not be moralized automatically.</x:v>
      </x:c>
      <x:c r="I1588" s="120" t="str">
        <x:v>blood hunger; soul consumption; worship dependence</x:v>
      </x:c>
      <x:c r="J1588" s="120" t="str">
        <x:v>resource pressure, horror, ethics</x:v>
      </x:c>
      <x:c r="K1588" s="120" t="str">
        <x:v>feeding requirement; hunger law</x:v>
      </x:c>
      <x:c r="L1588" s="120" t="str">
        <x:v>Preserve source-specific terminology, metaphysics, ritual context, and cultural ownership; use this family for comparison, not as a claim of historical equivalence.</x:v>
      </x:c>
      <x:c r="M1588" s="120" t="str">
        <x:v>Framework core</x:v>
      </x:c>
    </x:row>
    <x:row r="1589" ht="44" customHeight="1">
      <x:c r="A1589" s="119" t="str">
        <x:v>LAW-712</x:v>
      </x:c>
      <x:c r="B1589" s="120" t="str">
        <x:v>Conditional Immortality</x:v>
      </x:c>
      <x:c r="C1589" s="120" t="str">
        <x:v>Metaphysical Laws, Rituals &amp; Exchanges</x:v>
      </x:c>
      <x:c r="D1589" s="120" t="str">
        <x:v>LAW-700</x:v>
      </x:c>
      <x:c r="E1589" s="120" t="str">
        <x:f>IF(D1589="","",IFERROR(VLOOKUP(D1589,$A$2:$B$1656,2,FALSE),""))</x:f>
        <x:v>Death, Rebirth &amp; Immortality Rules</x:v>
      </x:c>
      <x:c r="F1589" s="120" t="n">
        <x:v>3</x:v>
      </x:c>
      <x:c r="G1589" s="120" t="str">
        <x:v>A rule granting freedom from aging or ordinary death only while a location, object, vow, body, secret, element, relationship, or prohibition remains intact.</x:v>
      </x:c>
      <x:c r="H1589" s="120" t="str">
        <x:v>It differs from absolute immortality and often creates a hidden vulnerability.</x:v>
      </x:c>
      <x:c r="I1589" s="120" t="str">
        <x:v>immortal while flame burns; no death on land; unaging until oath breaks</x:v>
      </x:c>
      <x:c r="J1589" s="120" t="str">
        <x:v>mystery, invulnerability puzzle, tragic bargain</x:v>
      </x:c>
      <x:c r="K1589" s="120" t="str">
        <x:v>conditional immortality; death exception</x:v>
      </x:c>
      <x:c r="L1589" s="120" t="str">
        <x:v>Preserve source-specific terminology, metaphysics, ritual context, and cultural ownership; use this family for comparison, not as a claim of historical equivalence.</x:v>
      </x:c>
      <x:c r="M1589" s="120" t="str">
        <x:v>Framework core</x:v>
      </x:c>
    </x:row>
    <x:row r="1590" ht="44" customHeight="1">
      <x:c r="A1590" s="119" t="str">
        <x:v>LAW-713</x:v>
      </x:c>
      <x:c r="B1590" s="120" t="str">
        <x:v>Death Substitute</x:v>
      </x:c>
      <x:c r="C1590" s="120" t="str">
        <x:v>Metaphysical Laws, Rituals &amp; Exchanges</x:v>
      </x:c>
      <x:c r="D1590" s="120" t="str">
        <x:v>LAW-700</x:v>
      </x:c>
      <x:c r="E1590" s="120" t="str">
        <x:f>IF(D1590="","",IFERROR(VLOOKUP(D1590,$A$2:$B$1656,2,FALSE),""))</x:f>
        <x:v>Death, Rebirth &amp; Immortality Rules</x:v>
      </x:c>
      <x:c r="F1590" s="120" t="n">
        <x:v>3</x:v>
      </x:c>
      <x:c r="G1590" s="120" t="str">
        <x:v>A rule allowing another being, object, animal, duplicate, future self, or portion of life to die in place of the intended person.</x:v>
      </x:c>
      <x:c r="H1590" s="120" t="str">
        <x:v>Substitution can be voluntary, coerced, ritualized, or automatic.</x:v>
      </x:c>
      <x:c r="I1590" s="120" t="str">
        <x:v>scapegoat death; proxy life; clone sacrifice</x:v>
      </x:c>
      <x:c r="J1590" s="120" t="str">
        <x:v>rescue, injustice, immortality cost</x:v>
      </x:c>
      <x:c r="K1590" s="120" t="str">
        <x:v>death substitute; proxy mortality</x:v>
      </x:c>
      <x:c r="L1590" s="120" t="str">
        <x:v>Preserve source-specific terminology, metaphysics, ritual context, and cultural ownership; use this family for comparison, not as a claim of historical equivalence.</x:v>
      </x:c>
      <x:c r="M1590" s="120" t="str">
        <x:v>Framework core</x:v>
      </x:c>
    </x:row>
    <x:row r="1591" ht="44" customHeight="1">
      <x:c r="A1591" s="119" t="str">
        <x:v>LAW-714</x:v>
      </x:c>
      <x:c r="B1591" s="120" t="str">
        <x:v>Ancestral Return</x:v>
      </x:c>
      <x:c r="C1591" s="120" t="str">
        <x:v>Metaphysical Laws, Rituals &amp; Exchanges</x:v>
      </x:c>
      <x:c r="D1591" s="120" t="str">
        <x:v>LAW-700</x:v>
      </x:c>
      <x:c r="E1591" s="120" t="str">
        <x:f>IF(D1591="","",IFERROR(VLOOKUP(D1591,$A$2:$B$1656,2,FALSE),""))</x:f>
        <x:v>Death, Rebirth &amp; Immortality Rules</x:v>
      </x:c>
      <x:c r="F1591" s="120" t="n">
        <x:v>3</x:v>
      </x:c>
      <x:c r="G1591" s="120" t="str">
        <x:v>A rule under which ancestors return through reincarnation, possession, naming, dreams, office succession, bloodline manifestation, or recurring social role.</x:v>
      </x:c>
      <x:c r="H1591" s="120" t="str">
        <x:v>Not every resemblance or inherited trait is literal reincarnation.</x:v>
      </x:c>
      <x:c r="I1591" s="120" t="str">
        <x:v>ancestor reborn; returning founder; lineage spirit</x:v>
      </x:c>
      <x:c r="J1591" s="120" t="str">
        <x:v>kinship, legitimacy, memory</x:v>
      </x:c>
      <x:c r="K1591" s="120" t="str">
        <x:v>ancestral return; ancestor rebirth</x:v>
      </x:c>
      <x:c r="L1591" s="120" t="str">
        <x:v>Preserve source-specific terminology, metaphysics, ritual context, and cultural ownership; use this family for comparison, not as a claim of historical equivalence.</x:v>
      </x:c>
      <x:c r="M1591" s="120" t="str">
        <x:v>Framework core</x:v>
      </x:c>
    </x:row>
    <x:row r="1592" ht="44" customHeight="1">
      <x:c r="A1592" s="119" t="str">
        <x:v>LAW-715</x:v>
      </x:c>
      <x:c r="B1592" s="120" t="str">
        <x:v>Escape from the Cycle or Liberation</x:v>
      </x:c>
      <x:c r="C1592" s="120" t="str">
        <x:v>Metaphysical Laws, Rituals &amp; Exchanges</x:v>
      </x:c>
      <x:c r="D1592" s="120" t="str">
        <x:v>LAW-700</x:v>
      </x:c>
      <x:c r="E1592" s="120" t="str">
        <x:f>IF(D1592="","",IFERROR(VLOOKUP(D1592,$A$2:$B$1656,2,FALSE),""))</x:f>
        <x:v>Death, Rebirth &amp; Immortality Rules</x:v>
      </x:c>
      <x:c r="F1592" s="120" t="n">
        <x:v>3</x:v>
      </x:c>
      <x:c r="G1592" s="120" t="str">
        <x:v>A rule or goal by which beings cease compulsory rebirth, death, attachment, ignorance, bondage, or cosmological repetition.</x:v>
      </x:c>
      <x:c r="H1592" s="120" t="str">
        <x:v>Do not flatten mokṣa, nirvāṇa, immortality, apotheosis, and game ascension into one concept.</x:v>
      </x:c>
      <x:c r="I1592" s="120" t="str">
        <x:v>liberation; cycle escape; release</x:v>
      </x:c>
      <x:c r="J1592" s="120" t="str">
        <x:v>spiritual goal, final transformation, renunciation</x:v>
      </x:c>
      <x:c r="K1592" s="120" t="str">
        <x:v>liberation; release from cycle</x:v>
      </x:c>
      <x:c r="L1592" s="120" t="str">
        <x:v>Use source-native terms and doctrinal distinctions. South Asian concepts such as mokṣa and nirvāṇa are not interchangeable with each other or with generic fantasy transcendence.</x:v>
      </x:c>
      <x:c r="M1592" s="120" t="str">
        <x:v>Framework core</x:v>
      </x:c>
    </x:row>
    <x:row r="1593" ht="44" customHeight="1">
      <x:c r="A1593" s="119" t="str">
        <x:v>LAW-716</x:v>
      </x:c>
      <x:c r="B1593" s="120" t="str">
        <x:v>Ghost-Making Condition</x:v>
      </x:c>
      <x:c r="C1593" s="120" t="str">
        <x:v>Metaphysical Laws, Rituals &amp; Exchanges</x:v>
      </x:c>
      <x:c r="D1593" s="120" t="str">
        <x:v>LAW-700</x:v>
      </x:c>
      <x:c r="E1593" s="120" t="str">
        <x:f>IF(D1593="","",IFERROR(VLOOKUP(D1593,$A$2:$B$1656,2,FALSE),""))</x:f>
        <x:v>Death, Rebirth &amp; Immortality Rules</x:v>
      </x:c>
      <x:c r="F1593" s="120" t="n">
        <x:v>3</x:v>
      </x:c>
      <x:c r="G1593" s="120" t="str">
        <x:v>A rule specifying which deaths, emotions, rites, injustices, places, identities, or violations generate ghosts or revenants.</x:v>
      </x:c>
      <x:c r="H1593" s="120" t="str">
        <x:v>The condition may be a cultural belief, narrative pattern, or objective setting law.</x:v>
      </x:c>
      <x:c r="I1593" s="120" t="str">
        <x:v>violent death; improper burial; betrayal; curse</x:v>
      </x:c>
      <x:c r="J1593" s="120" t="str">
        <x:v>horror ecology, funeral duty, investigation</x:v>
      </x:c>
      <x:c r="K1593" s="120" t="str">
        <x:v>ghost condition; revenant rule</x:v>
      </x:c>
      <x:c r="L1593" s="120" t="str">
        <x:v>Preserve source-specific terminology, metaphysics, ritual context, and cultural ownership; use this family for comparison, not as a claim of historical equivalence.</x:v>
      </x:c>
      <x:c r="M1593" s="120" t="str">
        <x:v>Framework core</x:v>
      </x:c>
    </x:row>
    <x:row r="1594" ht="44" customHeight="1">
      <x:c r="A1594" s="119" t="str">
        <x:v>LAW-717</x:v>
      </x:c>
      <x:c r="B1594" s="120" t="str">
        <x:v>Final Death or Soul Destruction</x:v>
      </x:c>
      <x:c r="C1594" s="120" t="str">
        <x:v>Metaphysical Laws, Rituals &amp; Exchanges</x:v>
      </x:c>
      <x:c r="D1594" s="120" t="str">
        <x:v>LAW-700</x:v>
      </x:c>
      <x:c r="E1594" s="120" t="str">
        <x:f>IF(D1594="","",IFERROR(VLOOKUP(D1594,$A$2:$B$1656,2,FALSE),""))</x:f>
        <x:v>Death, Rebirth &amp; Immortality Rules</x:v>
      </x:c>
      <x:c r="F1594" s="120" t="n">
        <x:v>3</x:v>
      </x:c>
      <x:c r="G1594" s="120" t="str">
        <x:v>A rule under which an otherwise resurrectable, immortal, divine, undead, or spiritual being can be permanently ended.</x:v>
      </x:c>
      <x:c r="H1594" s="120" t="str">
        <x:v>The method may involve true name, soul vessel, special weapon, judgment, forgetting, or realm destruction.</x:v>
      </x:c>
      <x:c r="I1594" s="120" t="str">
        <x:v>second death; unmaking; soul erasure</x:v>
      </x:c>
      <x:c r="J1594" s="120" t="str">
        <x:v>ultimate stakes, taboo, release</x:v>
      </x:c>
      <x:c r="K1594" s="120" t="str">
        <x:v>final death; true death</x:v>
      </x:c>
      <x:c r="L1594" s="120" t="str">
        <x:v>Preserve source-specific terminology, metaphysics, ritual context, and cultural ownership; use this family for comparison, not as a claim of historical equivalence.</x:v>
      </x:c>
      <x:c r="M1594" s="120" t="str">
        <x:v>Framework core</x:v>
      </x:c>
    </x:row>
    <x:row r="1595" ht="44" customHeight="1">
      <x:c r="A1595" s="119" t="str">
        <x:v>LAW-718</x:v>
      </x:c>
      <x:c r="B1595" s="120" t="str">
        <x:v>Consent of the Dead</x:v>
      </x:c>
      <x:c r="C1595" s="120" t="str">
        <x:v>Metaphysical Laws, Rituals &amp; Exchanges</x:v>
      </x:c>
      <x:c r="D1595" s="120" t="str">
        <x:v>LAW-700</x:v>
      </x:c>
      <x:c r="E1595" s="120" t="str">
        <x:f>IF(D1595="","",IFERROR(VLOOKUP(D1595,$A$2:$B$1656,2,FALSE),""))</x:f>
        <x:v>Death, Rebirth &amp; Immortality Rules</x:v>
      </x:c>
      <x:c r="F1595" s="120" t="n">
        <x:v>3</x:v>
      </x:c>
      <x:c r="G1595" s="120" t="str">
        <x:v>A rule requiring a dead being's willingness, identity, or continuing attachment for resurrection, summoning, possession, communion, or release.</x:v>
      </x:c>
      <x:c r="H1595" s="120" t="str">
        <x:v>Consent may be unknown or manipulated; distinguish ethical from merely technical permission.</x:v>
      </x:c>
      <x:c r="I1595" s="120" t="str">
        <x:v>soul refuses return; ancestor answers; willing possession</x:v>
      </x:c>
      <x:c r="J1595" s="120" t="str">
        <x:v>resurrection ethics, necromancy limits</x:v>
      </x:c>
      <x:c r="K1595" s="120" t="str">
        <x:v>consent of dead; willing return</x:v>
      </x:c>
      <x:c r="L1595" s="120" t="str">
        <x:v>Preserve source-specific terminology, metaphysics, ritual context, and cultural ownership; use this family for comparison, not as a claim of historical equivalence.</x:v>
      </x:c>
      <x:c r="M1595" s="120" t="str">
        <x:v>Framework core</x:v>
      </x:c>
    </x:row>
    <x:row r="1596" ht="44" customHeight="1">
      <x:c r="A1596" s="119" t="str">
        <x:v>LAW-801</x:v>
      </x:c>
      <x:c r="B1596" s="120" t="str">
        <x:v>Sacred Hospitality</x:v>
      </x:c>
      <x:c r="C1596" s="120" t="str">
        <x:v>Metaphysical Laws, Rituals &amp; Exchanges</x:v>
      </x:c>
      <x:c r="D1596" s="120" t="str">
        <x:v>LAW-800</x:v>
      </x:c>
      <x:c r="E1596" s="120" t="str">
        <x:f>IF(D1596="","",IFERROR(VLOOKUP(D1596,$A$2:$B$1656,2,FALSE),""))</x:f>
        <x:v>Hospitality, Kinship &amp; Social Metaphysics</x:v>
      </x:c>
      <x:c r="F1596" s="120" t="n">
        <x:v>3</x:v>
      </x:c>
      <x:c r="G1596" s="120" t="str">
        <x:v>A rule binding hosts and guests to protection, food, truth, restraint, reciprocity, gift, and proper departure under divine or supernatural sanction.</x:v>
      </x:c>
      <x:c r="H1596" s="120" t="str">
        <x:v>Hospitality traditions are culturally specific; do not reduce them to a generic inn buff or simple politeness.</x:v>
      </x:c>
      <x:c r="I1596" s="120" t="str">
        <x:v>guest-right; xenia-like rule; protected visitor</x:v>
      </x:c>
      <x:c r="J1596" s="120" t="str">
        <x:v>diplomacy, disguise, moral test, sanctuary</x:v>
      </x:c>
      <x:c r="K1596" s="120" t="str">
        <x:v>sacred hospitality; guest right</x:v>
      </x:c>
      <x:c r="L1596" s="120" t="str">
        <x:v>Use source-native hospitality concepts where available. Greek xenia, South Asian atithi-dharma, and other traditions have distinct institutions and meanings.</x:v>
      </x:c>
      <x:c r="M1596" s="120" t="str">
        <x:v>Framework core</x:v>
      </x:c>
    </x:row>
    <x:row r="1597" ht="44" customHeight="1">
      <x:c r="A1597" s="119" t="str">
        <x:v>LAW-802</x:v>
      </x:c>
      <x:c r="B1597" s="120" t="str">
        <x:v>Guest–Host Reciprocity</x:v>
      </x:c>
      <x:c r="C1597" s="120" t="str">
        <x:v>Metaphysical Laws, Rituals &amp; Exchanges</x:v>
      </x:c>
      <x:c r="D1597" s="120" t="str">
        <x:v>LAW-800</x:v>
      </x:c>
      <x:c r="E1597" s="120" t="str">
        <x:f>IF(D1597="","",IFERROR(VLOOKUP(D1597,$A$2:$B$1656,2,FALSE),""))</x:f>
        <x:v>Hospitality, Kinship &amp; Social Metaphysics</x:v>
      </x:c>
      <x:c r="F1597" s="120" t="n">
        <x:v>3</x:v>
      </x:c>
      <x:c r="G1597" s="120" t="str">
        <x:v>A continuing exchange of gifts, obligations, protection, information, remembrance, or future welcome created by hosting.</x:v>
      </x:c>
      <x:c r="H1597" s="120" t="str">
        <x:v>The relationship may outlast the visit and bind descendants or polities.</x:v>
      </x:c>
      <x:c r="I1597" s="120" t="str">
        <x:v>guest gift; return hospitality; host debt</x:v>
      </x:c>
      <x:c r="J1597" s="120" t="str">
        <x:v>alliance, travel safety, social network</x:v>
      </x:c>
      <x:c r="K1597" s="120" t="str">
        <x:v>guest-host bond; hospitality debt</x:v>
      </x:c>
      <x:c r="L1597" s="120" t="str">
        <x:v>Preserve source-specific terminology, metaphysics, ritual context, and cultural ownership; use this family for comparison, not as a claim of historical equivalence.</x:v>
      </x:c>
      <x:c r="M1597" s="120" t="str">
        <x:v>Framework core</x:v>
      </x:c>
    </x:row>
    <x:row r="1598" ht="44" customHeight="1">
      <x:c r="A1598" s="119" t="str">
        <x:v>LAW-803</x:v>
      </x:c>
      <x:c r="B1598" s="120" t="str">
        <x:v>Kinship Blessing or Curse</x:v>
      </x:c>
      <x:c r="C1598" s="120" t="str">
        <x:v>Metaphysical Laws, Rituals &amp; Exchanges</x:v>
      </x:c>
      <x:c r="D1598" s="120" t="str">
        <x:v>LAW-800</x:v>
      </x:c>
      <x:c r="E1598" s="120" t="str">
        <x:f>IF(D1598="","",IFERROR(VLOOKUP(D1598,$A$2:$B$1656,2,FALSE),""))</x:f>
        <x:v>Hospitality, Kinship &amp; Social Metaphysics</x:v>
      </x:c>
      <x:c r="F1598" s="120" t="n">
        <x:v>3</x:v>
      </x:c>
      <x:c r="G1598" s="120" t="str">
        <x:v>A rule under which actions toward parents, children, siblings, spouses, elders, dependents, or lineage trigger special blessings, curses, duties, or collective effects.</x:v>
      </x:c>
      <x:c r="H1598" s="120" t="str">
        <x:v>Kinship obligations vary; record conflict, hierarchy, and exclusion critically.</x:v>
      </x:c>
      <x:c r="I1598" s="120" t="str">
        <x:v>parental blessing; mother's curse; sibling oath</x:v>
      </x:c>
      <x:c r="J1598" s="120" t="str">
        <x:v>family drama, legitimacy, consequence</x:v>
      </x:c>
      <x:c r="K1598" s="120" t="str">
        <x:v>kinship blessing; family curse</x:v>
      </x:c>
      <x:c r="L1598" s="120" t="str">
        <x:v>Preserve source-specific terminology, metaphysics, ritual context, and cultural ownership; use this family for comparison, not as a claim of historical equivalence.</x:v>
      </x:c>
      <x:c r="M1598" s="120" t="str">
        <x:v>Framework core</x:v>
      </x:c>
    </x:row>
    <x:row r="1599" ht="44" customHeight="1">
      <x:c r="A1599" s="119" t="str">
        <x:v>LAW-804</x:v>
      </x:c>
      <x:c r="B1599" s="120" t="str">
        <x:v>Blood Feud or Vengeance Obligation</x:v>
      </x:c>
      <x:c r="C1599" s="120" t="str">
        <x:v>Metaphysical Laws, Rituals &amp; Exchanges</x:v>
      </x:c>
      <x:c r="D1599" s="120" t="str">
        <x:v>LAW-800</x:v>
      </x:c>
      <x:c r="E1599" s="120" t="str">
        <x:f>IF(D1599="","",IFERROR(VLOOKUP(D1599,$A$2:$B$1656,2,FALSE),""))</x:f>
        <x:v>Hospitality, Kinship &amp; Social Metaphysics</x:v>
      </x:c>
      <x:c r="F1599" s="120" t="n">
        <x:v>3</x:v>
      </x:c>
      <x:c r="G1599" s="120" t="str">
        <x:v>A rule requiring kin, household, clan, sworn group, or office to avenge injury, death, dishonor, or broken settlement.</x:v>
      </x:c>
      <x:c r="H1599" s="120" t="str">
        <x:v>It may be limited by compensation, sanctuary, truce, marriage, or law rather than endless violence.</x:v>
      </x:c>
      <x:c r="I1599" s="120" t="str">
        <x:v>vendetta; revenge duty; wergild-like settlement</x:v>
      </x:c>
      <x:c r="J1599" s="120" t="str">
        <x:v>conflict propagation, diplomacy, tragedy</x:v>
      </x:c>
      <x:c r="K1599" s="120" t="str">
        <x:v>blood feud; vengeance duty</x:v>
      </x:c>
      <x:c r="L1599" s="120" t="str">
        <x:v>Preserve source-specific terminology, metaphysics, ritual context, and cultural ownership; use this family for comparison, not as a claim of historical equivalence.</x:v>
      </x:c>
      <x:c r="M1599" s="120" t="str">
        <x:v>Framework core</x:v>
      </x:c>
    </x:row>
    <x:row r="1600" ht="44" customHeight="1">
      <x:c r="A1600" s="119" t="str">
        <x:v>LAW-805</x:v>
      </x:c>
      <x:c r="B1600" s="120" t="str">
        <x:v>Fosterage or Adoption Bond</x:v>
      </x:c>
      <x:c r="C1600" s="120" t="str">
        <x:v>Metaphysical Laws, Rituals &amp; Exchanges</x:v>
      </x:c>
      <x:c r="D1600" s="120" t="str">
        <x:v>LAW-800</x:v>
      </x:c>
      <x:c r="E1600" s="120" t="str">
        <x:f>IF(D1600="","",IFERROR(VLOOKUP(D1600,$A$2:$B$1656,2,FALSE),""))</x:f>
        <x:v>Hospitality, Kinship &amp; Social Metaphysics</x:v>
      </x:c>
      <x:c r="F1600" s="120" t="n">
        <x:v>3</x:v>
      </x:c>
      <x:c r="G1600" s="120" t="str">
        <x:v>A socially, ritually, legally, or magically recognized kinship created through raising, naming, feeding, teaching, oath, or formal adoption.</x:v>
      </x:c>
      <x:c r="H1600" s="120" t="str">
        <x:v>It can equal or supersede descent and should not be treated as lesser 'found family' by default.</x:v>
      </x:c>
      <x:c r="I1600" s="120" t="str">
        <x:v>foster brother; ritual child; adopted heir</x:v>
      </x:c>
      <x:c r="J1600" s="120" t="str">
        <x:v>alliance, succession, identity, loyalty</x:v>
      </x:c>
      <x:c r="K1600" s="120" t="str">
        <x:v>fosterage; adoption bond</x:v>
      </x:c>
      <x:c r="L1600" s="120" t="str">
        <x:v>Preserve source-specific terminology, metaphysics, ritual context, and cultural ownership; use this family for comparison, not as a claim of historical equivalence.</x:v>
      </x:c>
      <x:c r="M1600" s="120" t="str">
        <x:v>Framework core</x:v>
      </x:c>
    </x:row>
    <x:row r="1601" ht="44" customHeight="1">
      <x:c r="A1601" s="119" t="str">
        <x:v>LAW-806</x:v>
      </x:c>
      <x:c r="B1601" s="120" t="str">
        <x:v>Teacher–Disciple Debt</x:v>
      </x:c>
      <x:c r="C1601" s="120" t="str">
        <x:v>Metaphysical Laws, Rituals &amp; Exchanges</x:v>
      </x:c>
      <x:c r="D1601" s="120" t="str">
        <x:v>LAW-800</x:v>
      </x:c>
      <x:c r="E1601" s="120" t="str">
        <x:f>IF(D1601="","",IFERROR(VLOOKUP(D1601,$A$2:$B$1656,2,FALSE),""))</x:f>
        <x:v>Hospitality, Kinship &amp; Social Metaphysics</x:v>
      </x:c>
      <x:c r="F1601" s="120" t="n">
        <x:v>3</x:v>
      </x:c>
      <x:c r="G1601" s="120" t="str">
        <x:v>A relationship in which instruction, initiation, lineage transmission, protection, service, fee, obedience, or succession creates enduring reciprocal duties.</x:v>
      </x:c>
      <x:c r="H1601" s="120" t="str">
        <x:v>It is not reducible to a classroom or generic mentor role.</x:v>
      </x:c>
      <x:c r="I1601" s="120" t="str">
        <x:v>guru-disciple bond; master-apprentice oath; transmission debt</x:v>
      </x:c>
      <x:c r="J1601" s="120" t="str">
        <x:v>training, institution, betrayal, inheritance</x:v>
      </x:c>
      <x:c r="K1601" s="120" t="str">
        <x:v>teacher-disciple obligation; lineage debt</x:v>
      </x:c>
      <x:c r="L1601" s="120" t="str">
        <x:v>Preserve source-specific terminology, metaphysics, ritual context, and cultural ownership; use this family for comparison, not as a claim of historical equivalence.</x:v>
      </x:c>
      <x:c r="M1601" s="120" t="str">
        <x:v>Framework core</x:v>
      </x:c>
    </x:row>
    <x:row r="1602" ht="44" customHeight="1">
      <x:c r="A1602" s="119" t="str">
        <x:v>LAW-807</x:v>
      </x:c>
      <x:c r="B1602" s="120" t="str">
        <x:v>Gift-Debt</x:v>
      </x:c>
      <x:c r="C1602" s="120" t="str">
        <x:v>Metaphysical Laws, Rituals &amp; Exchanges</x:v>
      </x:c>
      <x:c r="D1602" s="120" t="str">
        <x:v>LAW-800</x:v>
      </x:c>
      <x:c r="E1602" s="120" t="str">
        <x:f>IF(D1602="","",IFERROR(VLOOKUP(D1602,$A$2:$B$1656,2,FALSE),""))</x:f>
        <x:v>Hospitality, Kinship &amp; Social Metaphysics</x:v>
      </x:c>
      <x:c r="F1602" s="120" t="n">
        <x:v>3</x:v>
      </x:c>
      <x:c r="G1602" s="120" t="str">
        <x:v>A rule under which accepting a gift creates obligation, vulnerability, alliance, identity, or requirement of return.</x:v>
      </x:c>
      <x:c r="H1602" s="120" t="str">
        <x:v>A gift may be coercive or impossible to refuse; reciprocity need not be equal.</x:v>
      </x:c>
      <x:c r="I1602" s="120" t="str">
        <x:v>faerie gift; royal gift; binding present</x:v>
      </x:c>
      <x:c r="J1602" s="120" t="str">
        <x:v>social power, bargain, temptation</x:v>
      </x:c>
      <x:c r="K1602" s="120" t="str">
        <x:v>gift debt; obligation of acceptance</x:v>
      </x:c>
      <x:c r="L1602" s="120" t="str">
        <x:v>Preserve source-specific terminology, metaphysics, ritual context, and cultural ownership; use this family for comparison, not as a claim of historical equivalence.</x:v>
      </x:c>
      <x:c r="M1602" s="120" t="str">
        <x:v>Framework core</x:v>
      </x:c>
    </x:row>
    <x:row r="1603" ht="44" customHeight="1">
      <x:c r="A1603" s="119" t="str">
        <x:v>LAW-808</x:v>
      </x:c>
      <x:c r="B1603" s="120" t="str">
        <x:v>Marriage Trial or Bridegroom/Bride Test</x:v>
      </x:c>
      <x:c r="C1603" s="120" t="str">
        <x:v>Metaphysical Laws, Rituals &amp; Exchanges</x:v>
      </x:c>
      <x:c r="D1603" s="120" t="str">
        <x:v>LAW-800</x:v>
      </x:c>
      <x:c r="E1603" s="120" t="str">
        <x:f>IF(D1603="","",IFERROR(VLOOKUP(D1603,$A$2:$B$1656,2,FALSE),""))</x:f>
        <x:v>Hospitality, Kinship &amp; Social Metaphysics</x:v>
      </x:c>
      <x:c r="F1603" s="120" t="n">
        <x:v>3</x:v>
      </x:c>
      <x:c r="G1603" s="120" t="str">
        <x:v>A formal ordeal, contest, task, lineage test, riddle, payment, choice, or recognition process governing marriage or union.</x:v>
      </x:c>
      <x:c r="H1603" s="120" t="str">
        <x:v>Record agency, coercion, and social structure rather than treating the person as a prize.</x:v>
      </x:c>
      <x:c r="I1603" s="120" t="str">
        <x:v>archery contest; impossible tasks; identity test</x:v>
      </x:c>
      <x:c r="J1603" s="120" t="str">
        <x:v>alliance, succession, heroic proof</x:v>
      </x:c>
      <x:c r="K1603" s="120" t="str">
        <x:v>marriage trial; suitor test</x:v>
      </x:c>
      <x:c r="L1603" s="120" t="str">
        <x:v>Preserve source-specific terminology, metaphysics, ritual context, and cultural ownership; use this family for comparison, not as a claim of historical equivalence.</x:v>
      </x:c>
      <x:c r="M1603" s="120" t="str">
        <x:v>Framework core</x:v>
      </x:c>
    </x:row>
    <x:row r="1604" ht="44" customHeight="1">
      <x:c r="A1604" s="119" t="str">
        <x:v>LAW-809</x:v>
      </x:c>
      <x:c r="B1604" s="120" t="str">
        <x:v>Succession by Sign or Relic</x:v>
      </x:c>
      <x:c r="C1604" s="120" t="str">
        <x:v>Metaphysical Laws, Rituals &amp; Exchanges</x:v>
      </x:c>
      <x:c r="D1604" s="120" t="str">
        <x:v>LAW-800</x:v>
      </x:c>
      <x:c r="E1604" s="120" t="str">
        <x:f>IF(D1604="","",IFERROR(VLOOKUP(D1604,$A$2:$B$1656,2,FALSE),""))</x:f>
        <x:v>Hospitality, Kinship &amp; Social Metaphysics</x:v>
      </x:c>
      <x:c r="F1604" s="120" t="n">
        <x:v>3</x:v>
      </x:c>
      <x:c r="G1604" s="120" t="str">
        <x:v>A rule determining legitimate succession through recognition by an artifact, omen, mark, divine choice, public acclamation, ancestry, or ordeal.</x:v>
      </x:c>
      <x:c r="H1604" s="120" t="str">
        <x:v>This family concerns the rule of transition, not the artifact alone.</x:v>
      </x:c>
      <x:c r="I1604" s="120" t="str">
        <x:v>sword chooses king; sacred mark; throne test</x:v>
      </x:c>
      <x:c r="J1604" s="120" t="str">
        <x:v>legitimacy, civil war, revelation</x:v>
      </x:c>
      <x:c r="K1604" s="120" t="str">
        <x:v>succession sign; chosen heir rule</x:v>
      </x:c>
      <x:c r="L1604" s="120" t="str">
        <x:v>Preserve source-specific terminology, metaphysics, ritual context, and cultural ownership; use this family for comparison, not as a claim of historical equivalence.</x:v>
      </x:c>
      <x:c r="M1604" s="120" t="str">
        <x:v>Framework core</x:v>
      </x:c>
    </x:row>
    <x:row r="1605" ht="44" customHeight="1">
      <x:c r="A1605" s="119" t="str">
        <x:v>LAW-810</x:v>
      </x:c>
      <x:c r="B1605" s="120" t="str">
        <x:v>Oath Brotherhood or Chosen Kinship</x:v>
      </x:c>
      <x:c r="C1605" s="120" t="str">
        <x:v>Metaphysical Laws, Rituals &amp; Exchanges</x:v>
      </x:c>
      <x:c r="D1605" s="120" t="str">
        <x:v>LAW-800</x:v>
      </x:c>
      <x:c r="E1605" s="120" t="str">
        <x:f>IF(D1605="","",IFERROR(VLOOKUP(D1605,$A$2:$B$1656,2,FALSE),""))</x:f>
        <x:v>Hospitality, Kinship &amp; Social Metaphysics</x:v>
      </x:c>
      <x:c r="F1605" s="120" t="n">
        <x:v>3</x:v>
      </x:c>
      <x:c r="G1605" s="120" t="str">
        <x:v>A formally created kinship among unrelated persons through oath, ritual, blood, shared meal, adoption, or common cause.</x:v>
      </x:c>
      <x:c r="H1605" s="120" t="str">
        <x:v>The bond may carry duties equal to or greater than descent.</x:v>
      </x:c>
      <x:c r="I1605" s="120" t="str">
        <x:v>sworn brothers; shield siblings; ritual kin</x:v>
      </x:c>
      <x:c r="J1605" s="120" t="str">
        <x:v>party cohesion, alliance, tragedy</x:v>
      </x:c>
      <x:c r="K1605" s="120" t="str">
        <x:v>oath kinship; sworn siblings</x:v>
      </x:c>
      <x:c r="L1605" s="120" t="str">
        <x:v>Preserve source-specific terminology, metaphysics, ritual context, and cultural ownership; use this family for comparison, not as a claim of historical equivalence.</x:v>
      </x:c>
      <x:c r="M1605" s="120" t="str">
        <x:v>Framework core</x:v>
      </x:c>
    </x:row>
    <x:row r="1606" ht="44" customHeight="1">
      <x:c r="A1606" s="119" t="str">
        <x:v>LAW-811</x:v>
      </x:c>
      <x:c r="B1606" s="120" t="str">
        <x:v>Collective Consequence</x:v>
      </x:c>
      <x:c r="C1606" s="120" t="str">
        <x:v>Metaphysical Laws, Rituals &amp; Exchanges</x:v>
      </x:c>
      <x:c r="D1606" s="120" t="str">
        <x:v>LAW-800</x:v>
      </x:c>
      <x:c r="E1606" s="120" t="str">
        <x:f>IF(D1606="","",IFERROR(VLOOKUP(D1606,$A$2:$B$1656,2,FALSE),""))</x:f>
        <x:v>Hospitality, Kinship &amp; Social Metaphysics</x:v>
      </x:c>
      <x:c r="F1606" s="120" t="n">
        <x:v>3</x:v>
      </x:c>
      <x:c r="G1606" s="120" t="str">
        <x:v>A rule under which an individual's act affects household, lineage, city, land, army, species, or future generations through curse, honor, pollution, debt, or cosmic solidarity.</x:v>
      </x:c>
      <x:c r="H1606" s="120" t="str">
        <x:v>This may reflect source ideology and should be critically distinguished from ethical endorsement.</x:v>
      </x:c>
      <x:c r="I1606" s="120" t="str">
        <x:v>family curse; city punished; inherited guilt</x:v>
      </x:c>
      <x:c r="J1606" s="120" t="str">
        <x:v>political theology, tragedy, restitution</x:v>
      </x:c>
      <x:c r="K1606" s="120" t="str">
        <x:v>collective consequence; corporate guilt</x:v>
      </x:c>
      <x:c r="L1606" s="120" t="str">
        <x:v>Preserve source-specific terminology, metaphysics, ritual context, and cultural ownership; use this family for comparison, not as a claim of historical equivalence.</x:v>
      </x:c>
      <x:c r="M1606" s="120" t="str">
        <x:v>Framework core</x:v>
      </x:c>
    </x:row>
    <x:row r="1607" ht="44" customHeight="1">
      <x:c r="A1607" s="119" t="str">
        <x:v>LAW-812</x:v>
      </x:c>
      <x:c r="B1607" s="120" t="str">
        <x:v>Ancestor Obligation</x:v>
      </x:c>
      <x:c r="C1607" s="120" t="str">
        <x:v>Metaphysical Laws, Rituals &amp; Exchanges</x:v>
      </x:c>
      <x:c r="D1607" s="120" t="str">
        <x:v>LAW-800</x:v>
      </x:c>
      <x:c r="E1607" s="120" t="str">
        <x:f>IF(D1607="","",IFERROR(VLOOKUP(D1607,$A$2:$B$1656,2,FALSE),""))</x:f>
        <x:v>Hospitality, Kinship &amp; Social Metaphysics</x:v>
      </x:c>
      <x:c r="F1607" s="120" t="n">
        <x:v>3</x:v>
      </x:c>
      <x:c r="G1607" s="120" t="str">
        <x:v>Duties owed to ancestors through remembrance, ritual, burial, name, land, behavior, office, or continuation of lineage and tradition.</x:v>
      </x:c>
      <x:c r="H1607" s="120" t="str">
        <x:v>Do not treat ancestor relations as superstition or generic necromancy.</x:v>
      </x:c>
      <x:c r="I1607" s="120" t="str">
        <x:v>funeral duty; lineage rites; ancestral law</x:v>
      </x:c>
      <x:c r="J1607" s="120" t="str">
        <x:v>identity, legitimacy, protection, social continuity</x:v>
      </x:c>
      <x:c r="K1607" s="120" t="str">
        <x:v>ancestor duty; ancestral obligation</x:v>
      </x:c>
      <x:c r="L1607" s="120" t="str">
        <x:v>Preserve source-specific terminology, metaphysics, ritual context, and cultural ownership; use this family for comparison, not as a claim of historical equivalence.</x:v>
      </x:c>
      <x:c r="M1607" s="120" t="str">
        <x:v>Framework core</x:v>
      </x:c>
    </x:row>
    <x:row r="1608" ht="44" customHeight="1">
      <x:c r="A1608" s="119" t="str">
        <x:v>LAW-813</x:v>
      </x:c>
      <x:c r="B1608" s="120" t="str">
        <x:v>Exile as Ritual or Social State</x:v>
      </x:c>
      <x:c r="C1608" s="120" t="str">
        <x:v>Metaphysical Laws, Rituals &amp; Exchanges</x:v>
      </x:c>
      <x:c r="D1608" s="120" t="str">
        <x:v>LAW-800</x:v>
      </x:c>
      <x:c r="E1608" s="120" t="str">
        <x:f>IF(D1608="","",IFERROR(VLOOKUP(D1608,$A$2:$B$1656,2,FALSE),""))</x:f>
        <x:v>Hospitality, Kinship &amp; Social Metaphysics</x:v>
      </x:c>
      <x:c r="F1608" s="120" t="n">
        <x:v>3</x:v>
      </x:c>
      <x:c r="G1608" s="120" t="str">
        <x:v>A condition of removal from land, kin, office, protection, purity, or legal identity with defined terms and transformative consequences.</x:v>
      </x:c>
      <x:c r="H1608" s="120" t="str">
        <x:v>Exile is not merely travel; it suspends or changes social belonging and rights.</x:v>
      </x:c>
      <x:c r="I1608" s="120" t="str">
        <x:v>banishment; forest exile; outlawry; pilgrimage exile</x:v>
      </x:c>
      <x:c r="J1608" s="120" t="str">
        <x:v>identity, ordeal, succession, return</x:v>
      </x:c>
      <x:c r="K1608" s="120" t="str">
        <x:v>exile state; banishment law</x:v>
      </x:c>
      <x:c r="L1608" s="120" t="str">
        <x:v>Preserve source-specific terminology, metaphysics, ritual context, and cultural ownership; use this family for comparison, not as a claim of historical equivalence.</x:v>
      </x:c>
      <x:c r="M1608" s="120" t="str">
        <x:v>Framework core</x:v>
      </x:c>
    </x:row>
    <x:row r="1609" ht="44" customHeight="1">
      <x:c r="A1609" s="119" t="str">
        <x:v>LAW-814</x:v>
      </x:c>
      <x:c r="B1609" s="120" t="str">
        <x:v>Pilgrimage Merit or Transformation</x:v>
      </x:c>
      <x:c r="C1609" s="120" t="str">
        <x:v>Metaphysical Laws, Rituals &amp; Exchanges</x:v>
      </x:c>
      <x:c r="D1609" s="120" t="str">
        <x:v>LAW-800</x:v>
      </x:c>
      <x:c r="E1609" s="120" t="str">
        <x:f>IF(D1609="","",IFERROR(VLOOKUP(D1609,$A$2:$B$1656,2,FALSE),""))</x:f>
        <x:v>Hospitality, Kinship &amp; Social Metaphysics</x:v>
      </x:c>
      <x:c r="F1609" s="120" t="n">
        <x:v>3</x:v>
      </x:c>
      <x:c r="G1609" s="120" t="str">
        <x:v>A rule under which visiting, circling, bathing, climbing, remembering, serving, or enduring along sacred geography creates merit, healing, status, knowledge, or transformed identity.</x:v>
      </x:c>
      <x:c r="H1609" s="120" t="str">
        <x:v>Do not reduce pilgrimage to a quest checklist or travel bonus.</x:v>
      </x:c>
      <x:c r="I1609" s="120" t="str">
        <x:v>holy circuit; sacred bath; mountain ascent</x:v>
      </x:c>
      <x:c r="J1609" s="120" t="str">
        <x:v>ritual practice, social exchange, transformation</x:v>
      </x:c>
      <x:c r="K1609" s="120" t="str">
        <x:v>pilgrimage merit; sacred journey effect</x:v>
      </x:c>
      <x:c r="L1609" s="120" t="str">
        <x:v>Preserve source-specific terminology, metaphysics, ritual context, and cultural ownership; use this family for comparison, not as a claim of historical equivalence.</x:v>
      </x:c>
      <x:c r="M1609" s="120" t="str">
        <x:v>Framework core</x:v>
      </x:c>
    </x:row>
    <x:row r="1610" ht="44" customHeight="1">
      <x:c r="A1610" s="119" t="str">
        <x:v>LAW-815</x:v>
      </x:c>
      <x:c r="B1610" s="120" t="str">
        <x:v>Trial by Ordeal</x:v>
      </x:c>
      <x:c r="C1610" s="120" t="str">
        <x:v>Metaphysical Laws, Rituals &amp; Exchanges</x:v>
      </x:c>
      <x:c r="D1610" s="120" t="str">
        <x:v>LAW-800</x:v>
      </x:c>
      <x:c r="E1610" s="120" t="str">
        <x:f>IF(D1610="","",IFERROR(VLOOKUP(D1610,$A$2:$B$1656,2,FALSE),""))</x:f>
        <x:v>Hospitality, Kinship &amp; Social Metaphysics</x:v>
      </x:c>
      <x:c r="F1610" s="120" t="n">
        <x:v>3</x:v>
      </x:c>
      <x:c r="G1610" s="120" t="str">
        <x:v>A formal test using danger, combat, elements, poison, sacred object, oath, dream, or divine sign to determine truth, innocence, eligibility, or favor.</x:v>
      </x:c>
      <x:c r="H1610" s="120" t="str">
        <x:v>The ordeal's social authority matters even where its empirical reliability is contested.</x:v>
      </x:c>
      <x:c r="I1610" s="120" t="str">
        <x:v>fire ordeal; water test; weapon trial</x:v>
      </x:c>
      <x:c r="J1610" s="120" t="str">
        <x:v>judgment, initiation, succession, conflict</x:v>
      </x:c>
      <x:c r="K1610" s="120" t="str">
        <x:v>ordeal; divine test</x:v>
      </x:c>
      <x:c r="L1610" s="120" t="str">
        <x:v>Preserve source-specific terminology, metaphysics, ritual context, and cultural ownership; use this family for comparison, not as a claim of historical equivalence.</x:v>
      </x:c>
      <x:c r="M1610" s="120" t="str">
        <x:v>Framework core</x:v>
      </x:c>
    </x:row>
    <x:row r="1611" ht="44" customHeight="1">
      <x:c r="A1611" s="119" t="str">
        <x:v>LAW-816</x:v>
      </x:c>
      <x:c r="B1611" s="120" t="str">
        <x:v>Sanctuary Violation</x:v>
      </x:c>
      <x:c r="C1611" s="120" t="str">
        <x:v>Metaphysical Laws, Rituals &amp; Exchanges</x:v>
      </x:c>
      <x:c r="D1611" s="120" t="str">
        <x:v>LAW-800</x:v>
      </x:c>
      <x:c r="E1611" s="120" t="str">
        <x:f>IF(D1611="","",IFERROR(VLOOKUP(D1611,$A$2:$B$1656,2,FALSE),""))</x:f>
        <x:v>Hospitality, Kinship &amp; Social Metaphysics</x:v>
      </x:c>
      <x:c r="F1611" s="120" t="n">
        <x:v>3</x:v>
      </x:c>
      <x:c r="G1611" s="120" t="str">
        <x:v>A special offense committed by harming a guest, supplicant, refugee, priest, messenger, enemy under truce, or protected person within sanctuary.</x:v>
      </x:c>
      <x:c r="H1611" s="120" t="str">
        <x:v>The violation threatens social trust and sacred order beyond the immediate harm.</x:v>
      </x:c>
      <x:c r="I1611" s="120" t="str">
        <x:v>guest murder; altar violence; broken truce</x:v>
      </x:c>
      <x:c r="J1611" s="120" t="str">
        <x:v>curse, war, legitimacy crisis</x:v>
      </x:c>
      <x:c r="K1611" s="120" t="str">
        <x:v>sanctuary violation; guest-right breach</x:v>
      </x:c>
      <x:c r="L1611" s="120" t="str">
        <x:v>Preserve source-specific terminology, metaphysics, ritual context, and cultural ownership; use this family for comparison, not as a claim of historical equivalence.</x:v>
      </x:c>
      <x:c r="M1611" s="120" t="str">
        <x:v>Framework core</x:v>
      </x:c>
    </x:row>
    <x:row r="1612" ht="44" customHeight="1">
      <x:c r="A1612" s="119" t="str">
        <x:v>LAW-817</x:v>
      </x:c>
      <x:c r="B1612" s="120" t="str">
        <x:v>Messenger or Envoy Immunity</x:v>
      </x:c>
      <x:c r="C1612" s="120" t="str">
        <x:v>Metaphysical Laws, Rituals &amp; Exchanges</x:v>
      </x:c>
      <x:c r="D1612" s="120" t="str">
        <x:v>LAW-800</x:v>
      </x:c>
      <x:c r="E1612" s="120" t="str">
        <x:f>IF(D1612="","",IFERROR(VLOOKUP(D1612,$A$2:$B$1656,2,FALSE),""))</x:f>
        <x:v>Hospitality, Kinship &amp; Social Metaphysics</x:v>
      </x:c>
      <x:c r="F1612" s="120" t="n">
        <x:v>3</x:v>
      </x:c>
      <x:c r="G1612" s="120" t="str">
        <x:v>A rule protecting heralds, envoys, messengers, negotiators, or ritual intermediaries from harm while performing recognized duties.</x:v>
      </x:c>
      <x:c r="H1612" s="120" t="str">
        <x:v>Protection may be sacred, customary, legal, or strategically reciprocal.</x:v>
      </x:c>
      <x:c r="I1612" s="120" t="str">
        <x:v>herald's peace; envoy law; truce bearer</x:v>
      </x:c>
      <x:c r="J1612" s="120" t="str">
        <x:v>diplomacy, war ethics, betrayal</x:v>
      </x:c>
      <x:c r="K1612" s="120" t="str">
        <x:v>envoy immunity; messenger law</x:v>
      </x:c>
      <x:c r="L1612" s="120" t="str">
        <x:v>Preserve source-specific terminology, metaphysics, ritual context, and cultural ownership; use this family for comparison, not as a claim of historical equivalence.</x:v>
      </x:c>
      <x:c r="M1612" s="120" t="str">
        <x:v>Framework core</x:v>
      </x:c>
    </x:row>
    <x:row r="1613" ht="44" customHeight="1">
      <x:c r="A1613" s="119" t="str">
        <x:v>LAW-818</x:v>
      </x:c>
      <x:c r="B1613" s="120" t="str">
        <x:v>Food-Sharing Bond</x:v>
      </x:c>
      <x:c r="C1613" s="120" t="str">
        <x:v>Metaphysical Laws, Rituals &amp; Exchanges</x:v>
      </x:c>
      <x:c r="D1613" s="120" t="str">
        <x:v>LAW-800</x:v>
      </x:c>
      <x:c r="E1613" s="120" t="str">
        <x:f>IF(D1613="","",IFERROR(VLOOKUP(D1613,$A$2:$B$1656,2,FALSE),""))</x:f>
        <x:v>Hospitality, Kinship &amp; Social Metaphysics</x:v>
      </x:c>
      <x:c r="F1613" s="120" t="n">
        <x:v>3</x:v>
      </x:c>
      <x:c r="G1613" s="120" t="str">
        <x:v>A rule under which eating or drinking together establishes kinship, truce, hospitality, pact, protection, or contamination.</x:v>
      </x:c>
      <x:c r="H1613" s="120" t="str">
        <x:v>Shared food may bind across species or realms; details are source-specific.</x:v>
      </x:c>
      <x:c r="I1613" s="120" t="str">
        <x:v>bread and salt; shared cup; otherworld food</x:v>
      </x:c>
      <x:c r="J1613" s="120" t="str">
        <x:v>alliance, taboo, transformation, belonging</x:v>
      </x:c>
      <x:c r="K1613" s="120" t="str">
        <x:v>commensality; food bond</x:v>
      </x:c>
      <x:c r="L1613" s="120" t="str">
        <x:v>Preserve source-specific terminology, metaphysics, ritual context, and cultural ownership; use this family for comparison, not as a claim of historical equivalence.</x:v>
      </x:c>
      <x:c r="M1613" s="120" t="str">
        <x:v>Framework core</x:v>
      </x:c>
    </x:row>
    <x:row r="1614" ht="44" customHeight="1">
      <x:c r="A1614" s="119" t="str">
        <x:v>LAW-819</x:v>
      </x:c>
      <x:c r="B1614" s="120" t="str">
        <x:v>Right of Return or Homecoming</x:v>
      </x:c>
      <x:c r="C1614" s="120" t="str">
        <x:v>Metaphysical Laws, Rituals &amp; Exchanges</x:v>
      </x:c>
      <x:c r="D1614" s="120" t="str">
        <x:v>LAW-800</x:v>
      </x:c>
      <x:c r="E1614" s="120" t="str">
        <x:f>IF(D1614="","",IFERROR(VLOOKUP(D1614,$A$2:$B$1656,2,FALSE),""))</x:f>
        <x:v>Hospitality, Kinship &amp; Social Metaphysics</x:v>
      </x:c>
      <x:c r="F1614" s="120" t="n">
        <x:v>3</x:v>
      </x:c>
      <x:c r="G1614" s="120" t="str">
        <x:v>A recognized social, dynastic, sacred, or cosmological claim to return from exile, displacement, death, pilgrimage, or hidden identity.</x:v>
      </x:c>
      <x:c r="H1614" s="120" t="str">
        <x:v>The right may conflict with current authority and require recognition or restoration.</x:v>
      </x:c>
      <x:c r="I1614" s="120" t="str">
        <x:v>returning king; restored heir; homecoming covenant</x:v>
      </x:c>
      <x:c r="J1614" s="120" t="str">
        <x:v>succession, restitution, identity</x:v>
      </x:c>
      <x:c r="K1614" s="120" t="str">
        <x:v>right of return; homecoming claim</x:v>
      </x:c>
      <x:c r="L1614" s="120" t="str">
        <x:v>Preserve source-specific terminology, metaphysics, ritual context, and cultural ownership; use this family for comparison, not as a claim of historical equivalence.</x:v>
      </x:c>
      <x:c r="M1614" s="120" t="str">
        <x:v>Framework core</x:v>
      </x:c>
    </x:row>
    <x:row r="1615" ht="44" customHeight="1">
      <x:c r="A1615" s="119" t="str">
        <x:v>MEC-431</x:v>
      </x:c>
      <x:c r="B1615" s="120" t="str">
        <x:v>Stress Resource Track</x:v>
      </x:c>
      <x:c r="C1615" s="120" t="str">
        <x:v>Game-Mechanical Archetypes</x:v>
      </x:c>
      <x:c r="D1615" s="120" t="str">
        <x:v>MEC-200</x:v>
      </x:c>
      <x:c r="E1615" s="120" t="str">
        <x:f>IF(D1615="","",IFERROR(VLOOKUP(D1615,$A$2:$B$1656,2,FALSE),""))</x:f>
        <x:v>Resource and Casting Models</x:v>
      </x:c>
      <x:c r="F1615" s="120" t="n">
        <x:v>3</x:v>
      </x:c>
      <x:c r="G1615" s="120" t="str">
        <x:v>A persistent nonphysical resource representing fear, strain, morale, sanity pressure, or psychological overload.</x:v>
      </x:c>
      <x:c r="H1615" s="120" t="str">
        <x:v>It is distinct from health and must materially alter decisions or outcomes rather than serving as flavor.</x:v>
      </x:c>
      <x:c r="I1615" s="120" t="str">
        <x:v>stress meter; sanity pressure; morale strain</x:v>
      </x:c>
      <x:c r="J1615" s="120" t="str">
        <x:v>risk escalation, retreat decisions, long-term management</x:v>
      </x:c>
      <x:c r="K1615" s="120" t="str">
        <x:v>stress; resolve; sanity track</x:v>
      </x:c>
      <x:c r="L1615" s="120" t="str">
        <x:v>Preserve source-specific terminology, metaphysics, ritual context, and cultural ownership; use this family for comparison, not as a claim of historical equivalence.</x:v>
      </x:c>
      <x:c r="M1615" s="120" t="str">
        <x:v>Framework core</x:v>
      </x:c>
    </x:row>
    <x:row r="1616" ht="44" customHeight="1">
      <x:c r="A1616" s="119" t="str">
        <x:v>MEC-432</x:v>
      </x:c>
      <x:c r="B1616" s="120" t="str">
        <x:v>Crisis Threshold or Resolve Check</x:v>
      </x:c>
      <x:c r="C1616" s="120" t="str">
        <x:v>Game-Mechanical Archetypes</x:v>
      </x:c>
      <x:c r="D1616" s="120" t="str">
        <x:v>MEC-200</x:v>
      </x:c>
      <x:c r="E1616" s="120" t="str">
        <x:f>IF(D1616="","",IFERROR(VLOOKUP(D1616,$A$2:$B$1656,2,FALSE),""))</x:f>
        <x:v>Resource and Casting Models</x:v>
      </x:c>
      <x:c r="F1616" s="120" t="n">
        <x:v>3</x:v>
      </x:c>
      <x:c r="G1616" s="120" t="str">
        <x:v>A threshold event where accumulated stress or danger triggers a test that branches into breakdown, resilience, transformation, or another state.</x:v>
      </x:c>
      <x:c r="H1616" s="120" t="str">
        <x:v>The threshold produces a discrete state change, not merely a linear penalty.</x:v>
      </x:c>
      <x:c r="I1616" s="120" t="str">
        <x:v>resolve test; panic check; breaking point</x:v>
      </x:c>
      <x:c r="J1616" s="120" t="str">
        <x:v>dramatic crisis, variance, character differentiation</x:v>
      </x:c>
      <x:c r="K1616" s="120" t="str">
        <x:v>crisis check; resolve threshold</x:v>
      </x:c>
      <x:c r="L1616" s="120" t="str">
        <x:v>Preserve source-specific terminology, metaphysics, ritual context, and cultural ownership; use this family for comparison, not as a claim of historical equivalence.</x:v>
      </x:c>
      <x:c r="M1616" s="120" t="str">
        <x:v>Framework core</x:v>
      </x:c>
    </x:row>
    <x:row r="1617" ht="44" customHeight="1">
      <x:c r="A1617" s="119" t="str">
        <x:v>MEC-433</x:v>
      </x:c>
      <x:c r="B1617" s="120" t="str">
        <x:v>Affliction-or-Virtue Branch</x:v>
      </x:c>
      <x:c r="C1617" s="120" t="str">
        <x:v>Game-Mechanical Archetypes</x:v>
      </x:c>
      <x:c r="D1617" s="120" t="str">
        <x:v>MEC-300</x:v>
      </x:c>
      <x:c r="E1617" s="120" t="str">
        <x:f>IF(D1617="","",IFERROR(VLOOKUP(D1617,$A$2:$B$1656,2,FALSE),""))</x:f>
        <x:v>Progression and Build Models</x:v>
      </x:c>
      <x:c r="F1617" s="120" t="n">
        <x:v>3</x:v>
      </x:c>
      <x:c r="G1617" s="120" t="str">
        <x:v>A branching crisis mechanic in which the same pressure can produce a harmful affliction or a beneficial resilient state.</x:v>
      </x:c>
      <x:c r="H1617" s="120" t="str">
        <x:v>The positive and negative outcomes are paired responses to crisis, not ordinary buffs and debuffs.</x:v>
      </x:c>
      <x:c r="I1617" s="120" t="str">
        <x:v>breakdown versus heroism; vice/virtue crisis</x:v>
      </x:c>
      <x:c r="J1617" s="120" t="str">
        <x:v>emergent narrative, comeback, collapse</x:v>
      </x:c>
      <x:c r="K1617" s="120" t="str">
        <x:v>affliction/virtue; crisis branch</x:v>
      </x:c>
      <x:c r="L1617" s="120" t="str">
        <x:v>Preserve source-specific terminology, metaphysics, ritual context, and cultural ownership; use this family for comparison, not as a claim of historical equivalence.</x:v>
      </x:c>
      <x:c r="M1617" s="120" t="str">
        <x:v>Framework core</x:v>
      </x:c>
    </x:row>
    <x:row r="1618" ht="44" customHeight="1">
      <x:c r="A1618" s="119" t="str">
        <x:v>MEC-434</x:v>
      </x:c>
      <x:c r="B1618" s="120" t="str">
        <x:v>Quirk Trait System</x:v>
      </x:c>
      <x:c r="C1618" s="120" t="str">
        <x:v>Game-Mechanical Archetypes</x:v>
      </x:c>
      <x:c r="D1618" s="120" t="str">
        <x:v>MEC-300</x:v>
      </x:c>
      <x:c r="E1618" s="120" t="str">
        <x:f>IF(D1618="","",IFERROR(VLOOKUP(D1618,$A$2:$B$1656,2,FALSE),""))</x:f>
        <x:v>Progression and Build Models</x:v>
      </x:c>
      <x:c r="F1618" s="120" t="n">
        <x:v>3</x:v>
      </x:c>
      <x:c r="G1618" s="120" t="str">
        <x:v>A system of persistent positive and negative traits acquired through play, events, environment, or recovery.</x:v>
      </x:c>
      <x:c r="H1618" s="120" t="str">
        <x:v>Quirks are individualized and durable rather than a temporary status-effect list.</x:v>
      </x:c>
      <x:c r="I1618" s="120" t="str">
        <x:v>positive quirks; negative quirks; locked traits</x:v>
      </x:c>
      <x:c r="J1618" s="120" t="str">
        <x:v>roster differentiation, emergent biography, build friction</x:v>
      </x:c>
      <x:c r="K1618" s="120" t="str">
        <x:v>quirks; persistent traits</x:v>
      </x:c>
      <x:c r="L1618" s="120" t="str">
        <x:v>Preserve source-specific terminology, metaphysics, ritual context, and cultural ownership; use this family for comparison, not as a claim of historical equivalence.</x:v>
      </x:c>
      <x:c r="M1618" s="120" t="str">
        <x:v>Framework core</x:v>
      </x:c>
    </x:row>
    <x:row r="1619" ht="44" customHeight="1">
      <x:c r="A1619" s="119" t="str">
        <x:v>MEC-435</x:v>
      </x:c>
      <x:c r="B1619" s="120" t="str">
        <x:v>Light–Risk Meter</x:v>
      </x:c>
      <x:c r="C1619" s="120" t="str">
        <x:v>Game-Mechanical Archetypes</x:v>
      </x:c>
      <x:c r="D1619" s="120" t="str">
        <x:v>MEC-200</x:v>
      </x:c>
      <x:c r="E1619" s="120" t="str">
        <x:f>IF(D1619="","",IFERROR(VLOOKUP(D1619,$A$2:$B$1656,2,FALSE),""))</x:f>
        <x:v>Resource and Casting Models</x:v>
      </x:c>
      <x:c r="F1619" s="120" t="n">
        <x:v>3</x:v>
      </x:c>
      <x:c r="G1619" s="120" t="str">
        <x:v>A resource or state where illumination, darkness, visibility, or safety can be traded against reward, danger, surprise, or stress.</x:v>
      </x:c>
      <x:c r="H1619" s="120" t="str">
        <x:v>It is a bidirectional risk/reward system, not simply a brightness setting.</x:v>
      </x:c>
      <x:c r="I1619" s="120" t="str">
        <x:v>torch meter; darkness bonus; visibility risk</x:v>
      </x:c>
      <x:c r="J1619" s="120" t="str">
        <x:v>expedition planning, atmosphere, difficulty control</x:v>
      </x:c>
      <x:c r="K1619" s="120" t="str">
        <x:v>torchlight; light meter; darkness risk</x:v>
      </x:c>
      <x:c r="L1619" s="120" t="str">
        <x:v>Preserve source-specific terminology, metaphysics, ritual context, and cultural ownership; use this family for comparison, not as a claim of historical equivalence.</x:v>
      </x:c>
      <x:c r="M1619" s="120" t="str">
        <x:v>Framework core</x:v>
      </x:c>
    </x:row>
    <x:row r="1620" ht="44" customHeight="1">
      <x:c r="A1620" s="119" t="str">
        <x:v>MEC-436</x:v>
      </x:c>
      <x:c r="B1620" s="120" t="str">
        <x:v>Expedition Attrition Loop</x:v>
      </x:c>
      <x:c r="C1620" s="120" t="str">
        <x:v>Game-Mechanical Archetypes</x:v>
      </x:c>
      <x:c r="D1620" s="120" t="str">
        <x:v>MEC-400</x:v>
      </x:c>
      <x:c r="E1620" s="120" t="str">
        <x:f>IF(D1620="","",IFERROR(VLOOKUP(D1620,$A$2:$B$1656,2,FALSE),""))</x:f>
        <x:v>Unit and Encounter Models</x:v>
      </x:c>
      <x:c r="F1620" s="120" t="n">
        <x:v>3</x:v>
      </x:c>
      <x:c r="G1620" s="120" t="str">
        <x:v>An encounter structure where health, stress, supplies, light, disease, and other losses accumulate across a multi-room or multi-stage expedition.</x:v>
      </x:c>
      <x:c r="H1620" s="120" t="str">
        <x:v>The design centers on cumulative depletion and retreat judgment rather than isolated fights.</x:v>
      </x:c>
      <x:c r="I1620" s="120" t="str">
        <x:v>dungeon expedition; delve attrition; supply run</x:v>
      </x:c>
      <x:c r="J1620" s="120" t="str">
        <x:v>resource planning, retreat, long-term consequences</x:v>
      </x:c>
      <x:c r="K1620" s="120" t="str">
        <x:v>expedition loop; attrition crawl</x:v>
      </x:c>
      <x:c r="L1620" s="120" t="str">
        <x:v>Preserve source-specific terminology, metaphysics, ritual context, and cultural ownership; use this family for comparison, not as a claim of historical equivalence.</x:v>
      </x:c>
      <x:c r="M1620" s="120" t="str">
        <x:v>Framework core</x:v>
      </x:c>
    </x:row>
    <x:row r="1621" ht="44" customHeight="1">
      <x:c r="A1621" s="119" t="str">
        <x:v>MEC-437</x:v>
      </x:c>
      <x:c r="B1621" s="120" t="str">
        <x:v>Roster-Based Campaign</x:v>
      </x:c>
      <x:c r="C1621" s="120" t="str">
        <x:v>Game-Mechanical Archetypes</x:v>
      </x:c>
      <x:c r="D1621" s="120" t="str">
        <x:v>MEC-300</x:v>
      </x:c>
      <x:c r="E1621" s="120" t="str">
        <x:f>IF(D1621="","",IFERROR(VLOOKUP(D1621,$A$2:$B$1656,2,FALSE),""))</x:f>
        <x:v>Progression and Build Models</x:v>
      </x:c>
      <x:c r="F1621" s="120" t="n">
        <x:v>3</x:v>
      </x:c>
      <x:c r="G1621" s="120" t="str">
        <x:v>A campaign centered on managing a replaceable or evolving roster rather than protecting one fixed protagonist party.</x:v>
      </x:c>
      <x:c r="H1621" s="120" t="str">
        <x:v>Individual characters can be lost, benched, treated, specialized, or replaced while the campaign persists.</x:v>
      </x:c>
      <x:c r="I1621" s="120" t="str">
        <x:v>hero roster; company management; guild roster</x:v>
      </x:c>
      <x:c r="J1621" s="120" t="str">
        <x:v>long-term strategy, permadeath, emergent stories</x:v>
      </x:c>
      <x:c r="K1621" s="120" t="str">
        <x:v>roster campaign; company management</x:v>
      </x:c>
      <x:c r="L1621" s="120" t="str">
        <x:v>Preserve source-specific terminology, metaphysics, ritual context, and cultural ownership; use this family for comparison, not as a claim of historical equivalence.</x:v>
      </x:c>
      <x:c r="M1621" s="120" t="str">
        <x:v>Framework core</x:v>
      </x:c>
    </x:row>
    <x:row r="1622" ht="44" customHeight="1">
      <x:c r="A1622" s="119" t="str">
        <x:v>MEC-438</x:v>
      </x:c>
      <x:c r="B1622" s="120" t="str">
        <x:v>Town Recovery Loop</x:v>
      </x:c>
      <x:c r="C1622" s="120" t="str">
        <x:v>Game-Mechanical Archetypes</x:v>
      </x:c>
      <x:c r="D1622" s="120" t="str">
        <x:v>MEC-300</x:v>
      </x:c>
      <x:c r="E1622" s="120" t="str">
        <x:f>IF(D1622="","",IFERROR(VLOOKUP(D1622,$A$2:$B$1656,2,FALSE),""))</x:f>
        <x:v>Progression and Build Models</x:v>
      </x:c>
      <x:c r="F1622" s="120" t="n">
        <x:v>3</x:v>
      </x:c>
      <x:c r="G1622" s="120" t="str">
        <x:v>A between-expedition phase where characters recover, train, remove conditions, gain quirks, use institutions, or become unavailable.</x:v>
      </x:c>
      <x:c r="H1622" s="120" t="str">
        <x:v>Recovery consumes time or resources and changes roster availability rather than resetting automatically.</x:v>
      </x:c>
      <x:c r="I1622" s="120" t="str">
        <x:v>downtime treatment; hub recovery; abbey/tavern loop</x:v>
      </x:c>
      <x:c r="J1622" s="120" t="str">
        <x:v>campaign pacing, resource sink, character rotation</x:v>
      </x:c>
      <x:c r="K1622" s="120" t="str">
        <x:v>recovery loop; downtime phase</x:v>
      </x:c>
      <x:c r="L1622" s="120" t="str">
        <x:v>Preserve source-specific terminology, metaphysics, ritual context, and cultural ownership; use this family for comparison, not as a claim of historical equivalence.</x:v>
      </x:c>
      <x:c r="M1622" s="120" t="str">
        <x:v>Framework core</x:v>
      </x:c>
    </x:row>
    <x:row r="1623" ht="44" customHeight="1">
      <x:c r="A1623" s="119" t="str">
        <x:v>MEC-439</x:v>
      </x:c>
      <x:c r="B1623" s="120" t="str">
        <x:v>Position-Restricted Skill Kit</x:v>
      </x:c>
      <x:c r="C1623" s="120" t="str">
        <x:v>Game-Mechanical Archetypes</x:v>
      </x:c>
      <x:c r="D1623" s="120" t="str">
        <x:v>MEC-100</x:v>
      </x:c>
      <x:c r="E1623" s="120" t="str">
        <x:f>IF(D1623="","",IFERROR(VLOOKUP(D1623,$A$2:$B$1656,2,FALSE),""))</x:f>
        <x:v>Combat Function Archetypes</x:v>
      </x:c>
      <x:c r="F1623" s="120" t="n">
        <x:v>3</x:v>
      </x:c>
      <x:c r="G1623" s="120" t="str">
        <x:v>A combat kit whose abilities depend on the user's current rank and may target only specified enemy ranks.</x:v>
      </x:c>
      <x:c r="H1623" s="120" t="str">
        <x:v>This is stricter than a generic positional bonus because position determines skill availability and target geometry.</x:v>
      </x:c>
      <x:c r="I1623" s="120" t="str">
        <x:v>rank skills; row targeting; formation attacks</x:v>
      </x:c>
      <x:c r="J1623" s="120" t="str">
        <x:v>formation tactics, movement value, party composition</x:v>
      </x:c>
      <x:c r="K1623" s="120" t="str">
        <x:v>position skills; rank-restricted abilities</x:v>
      </x:c>
      <x:c r="L1623" s="120" t="str">
        <x:v>Preserve source-specific terminology, metaphysics, ritual context, and cultural ownership; use this family for comparison, not as a claim of historical equivalence.</x:v>
      </x:c>
      <x:c r="M1623" s="120" t="str">
        <x:v>Framework core</x:v>
      </x:c>
    </x:row>
    <x:row r="1624" ht="44" customHeight="1">
      <x:c r="A1624" s="119" t="str">
        <x:v>MEC-440</x:v>
      </x:c>
      <x:c r="B1624" s="120" t="str">
        <x:v>Pantheon or Patron Choice</x:v>
      </x:c>
      <x:c r="C1624" s="120" t="str">
        <x:v>Game-Mechanical Archetypes</x:v>
      </x:c>
      <x:c r="D1624" s="120" t="str">
        <x:v>MEC-300</x:v>
      </x:c>
      <x:c r="E1624" s="120" t="str">
        <x:f>IF(D1624="","",IFERROR(VLOOKUP(D1624,$A$2:$B$1656,2,FALSE),""))</x:f>
        <x:v>Progression and Build Models</x:v>
      </x:c>
      <x:c r="F1624" s="120" t="n">
        <x:v>3</x:v>
      </x:c>
      <x:c r="G1624" s="120" t="str">
        <x:v>A faction or build choice in which a major deity, pantheon, patron, or divine portfolio determines units, powers, technologies, and later branches.</x:v>
      </x:c>
      <x:c r="H1624" s="120" t="str">
        <x:v>It mechanizes religious affiliation and should not be mistaken for a neutral summary of a living tradition.</x:v>
      </x:c>
      <x:c r="I1624" s="120" t="str">
        <x:v>major-god choice; patron deity tree; pantheon faction</x:v>
      </x:c>
      <x:c r="J1624" s="120" t="str">
        <x:v>asymmetric faction identity, build planning</x:v>
      </x:c>
      <x:c r="K1624" s="120" t="str">
        <x:v>pantheon choice; major god</x:v>
      </x:c>
      <x:c r="L1624" s="120" t="str">
        <x:v>Preserve source-specific terminology, metaphysics, ritual context, and cultural ownership; use this family for comparison, not as a claim of historical equivalence.</x:v>
      </x:c>
      <x:c r="M1624" s="120" t="str">
        <x:v>Framework core</x:v>
      </x:c>
    </x:row>
    <x:row r="1625" ht="44" customHeight="1">
      <x:c r="A1625" s="119" t="str">
        <x:v>MEC-441</x:v>
      </x:c>
      <x:c r="B1625" s="120" t="str">
        <x:v>Branching Age-Up Choice</x:v>
      </x:c>
      <x:c r="C1625" s="120" t="str">
        <x:v>Game-Mechanical Archetypes</x:v>
      </x:c>
      <x:c r="D1625" s="120" t="str">
        <x:v>MEC-300</x:v>
      </x:c>
      <x:c r="E1625" s="120" t="str">
        <x:f>IF(D1625="","",IFERROR(VLOOKUP(D1625,$A$2:$B$1656,2,FALSE),""))</x:f>
        <x:v>Progression and Build Models</x:v>
      </x:c>
      <x:c r="F1625" s="120" t="n">
        <x:v>3</x:v>
      </x:c>
      <x:c r="G1625" s="120" t="str">
        <x:v>A progression step that advances an era or tier while requiring a choice among patrons, technologies, subfactions, or power packages.</x:v>
      </x:c>
      <x:c r="H1625" s="120" t="str">
        <x:v>Unlike a simple level-up, the branch permanently shapes the strategic roster or economy.</x:v>
      </x:c>
      <x:c r="I1625" s="120" t="str">
        <x:v>minor-god age-up; era branch; tech-age choice</x:v>
      </x:c>
      <x:c r="J1625" s="120" t="str">
        <x:v>strategic commitment, replayability</x:v>
      </x:c>
      <x:c r="K1625" s="120" t="str">
        <x:v>age-up branch; era choice</x:v>
      </x:c>
      <x:c r="L1625" s="120" t="str">
        <x:v>Preserve source-specific terminology, metaphysics, ritual context, and cultural ownership; use this family for comparison, not as a claim of historical equivalence.</x:v>
      </x:c>
      <x:c r="M1625" s="120" t="str">
        <x:v>Framework core</x:v>
      </x:c>
    </x:row>
    <x:row r="1626" ht="44" customHeight="1">
      <x:c r="A1626" s="119" t="str">
        <x:v>MEC-442</x:v>
      </x:c>
      <x:c r="B1626" s="120" t="str">
        <x:v>God-Power Ability Slot</x:v>
      </x:c>
      <x:c r="C1626" s="120" t="str">
        <x:v>Game-Mechanical Archetypes</x:v>
      </x:c>
      <x:c r="D1626" s="120" t="str">
        <x:v>MEC-200</x:v>
      </x:c>
      <x:c r="E1626" s="120" t="str">
        <x:f>IF(D1626="","",IFERROR(VLOOKUP(D1626,$A$2:$B$1656,2,FALSE),""))</x:f>
        <x:v>Resource and Casting Models</x:v>
      </x:c>
      <x:c r="F1626" s="120" t="n">
        <x:v>3</x:v>
      </x:c>
      <x:c r="G1626" s="120" t="str">
        <x:v>A discrete, highly visible divine intervention represented as an activated strategic ability with charges, cooldowns, targeting, or recast conditions.</x:v>
      </x:c>
      <x:c r="H1626" s="120" t="str">
        <x:v>This is a game abstraction of divine agency rather than a source-faithful theological category.</x:v>
      </x:c>
      <x:c r="I1626" s="120" t="str">
        <x:v>one-use god power; recastable divine ability; global miracle</x:v>
      </x:c>
      <x:c r="J1626" s="120" t="str">
        <x:v>strategic swing, faction identity, spectacle</x:v>
      </x:c>
      <x:c r="K1626" s="120" t="str">
        <x:v>god power; divine ability</x:v>
      </x:c>
      <x:c r="L1626" s="120" t="str">
        <x:v>Preserve source-specific terminology, metaphysics, ritual context, and cultural ownership; use this family for comparison, not as a claim of historical equivalence.</x:v>
      </x:c>
      <x:c r="M1626" s="120" t="str">
        <x:v>Framework core</x:v>
      </x:c>
    </x:row>
    <x:row r="1627" ht="44" customHeight="1">
      <x:c r="A1627" s="119" t="str">
        <x:v>MEC-443</x:v>
      </x:c>
      <x:c r="B1627" s="120" t="str">
        <x:v>Myth-Unit and Hero Counter Triangle</x:v>
      </x:c>
      <x:c r="C1627" s="120" t="str">
        <x:v>Game-Mechanical Archetypes</x:v>
      </x:c>
      <x:c r="D1627" s="120" t="str">
        <x:v>MEC-100</x:v>
      </x:c>
      <x:c r="E1627" s="120" t="str">
        <x:f>IF(D1627="","",IFERROR(VLOOKUP(D1627,$A$2:$B$1656,2,FALSE),""))</x:f>
        <x:v>Combat Function Archetypes</x:v>
      </x:c>
      <x:c r="F1627" s="120" t="n">
        <x:v>3</x:v>
      </x:c>
      <x:c r="G1627" s="120" t="str">
        <x:v>A counter structure in which mythic units defeat ordinary units, heroes specialize against mythic units, and ordinary military units efficiently oppose heroes or fulfill other counter roles.</x:v>
      </x:c>
      <x:c r="H1627" s="120" t="str">
        <x:v>The triangle is a designed tactical ecology, not a claim about mythology.</x:v>
      </x:c>
      <x:c r="I1627" s="120" t="str">
        <x:v>hero versus myth; myth versus human; counter triangle</x:v>
      </x:c>
      <x:c r="J1627" s="120" t="str">
        <x:v>unit composition, tactical readability</x:v>
      </x:c>
      <x:c r="K1627" s="120" t="str">
        <x:v>myth counter; hero counter</x:v>
      </x:c>
      <x:c r="L1627" s="120" t="str">
        <x:v>Preserve source-specific terminology, metaphysics, ritual context, and cultural ownership; use this family for comparison, not as a claim of historical equivalence.</x:v>
      </x:c>
      <x:c r="M1627" s="120" t="str">
        <x:v>Framework core</x:v>
      </x:c>
    </x:row>
    <x:row r="1628" ht="44" customHeight="1">
      <x:c r="A1628" s="119" t="str">
        <x:v>MEC-444</x:v>
      </x:c>
      <x:c r="B1628" s="120" t="str">
        <x:v>Favor Generation Model</x:v>
      </x:c>
      <x:c r="C1628" s="120" t="str">
        <x:v>Game-Mechanical Archetypes</x:v>
      </x:c>
      <x:c r="D1628" s="120" t="str">
        <x:v>MEC-200</x:v>
      </x:c>
      <x:c r="E1628" s="120" t="str">
        <x:f>IF(D1628="","",IFERROR(VLOOKUP(D1628,$A$2:$B$1656,2,FALSE),""))</x:f>
        <x:v>Resource and Casting Models</x:v>
      </x:c>
      <x:c r="F1628" s="120" t="n">
        <x:v>3</x:v>
      </x:c>
      <x:c r="G1628" s="120" t="str">
        <x:v>A faction-specific method for producing a divine or religious resource through worship, combat, monuments, heroes, rituals, or other culturally themed actions.</x:v>
      </x:c>
      <x:c r="H1628" s="120" t="str">
        <x:v>The resource model is an adaptation and may simplify religious life into economic throughput.</x:v>
      </x:c>
      <x:c r="I1628" s="120" t="str">
        <x:v>temple worship; combat favor; monument favor</x:v>
      </x:c>
      <x:c r="J1628" s="120" t="str">
        <x:v>asymmetric economy, god-power access, myth-unit production</x:v>
      </x:c>
      <x:c r="K1628" s="120" t="str">
        <x:v>favor generation; worship economy</x:v>
      </x:c>
      <x:c r="L1628" s="120" t="str">
        <x:v>Preserve source-specific terminology, metaphysics, ritual context, and cultural ownership; use this family for comparison, not as a claim of historical equivalence.</x:v>
      </x:c>
      <x:c r="M1628" s="120" t="str">
        <x:v>Framework core</x:v>
      </x:c>
    </x:row>
    <x:row r="1629" ht="44" customHeight="1">
      <x:c r="A1629" s="119" t="str">
        <x:v>MEC-445</x:v>
      </x:c>
      <x:c r="B1629" s="120" t="str">
        <x:v>Wonder Age or Overflow Phase</x:v>
      </x:c>
      <x:c r="C1629" s="120" t="str">
        <x:v>Game-Mechanical Archetypes</x:v>
      </x:c>
      <x:c r="D1629" s="120" t="str">
        <x:v>MEC-300</x:v>
      </x:c>
      <x:c r="E1629" s="120" t="str">
        <x:f>IF(D1629="","",IFERROR(VLOOKUP(D1629,$A$2:$B$1656,2,FALSE),""))</x:f>
        <x:v>Progression and Build Models</x:v>
      </x:c>
      <x:c r="F1629" s="120" t="n">
        <x:v>3</x:v>
      </x:c>
      <x:c r="G1629" s="120" t="str">
        <x:v>A late-game progression state unlocked through a monumental project that accelerates high-tier powers, recasts, or superunit access beyond normal advancement.</x:v>
      </x:c>
      <x:c r="H1629" s="120" t="str">
        <x:v>It is an overflow or endgame phase rather than a conventional historical era.</x:v>
      </x:c>
      <x:c r="I1629" s="120" t="str">
        <x:v>wonder age; mythic age; endgame phase</x:v>
      </x:c>
      <x:c r="J1629" s="120" t="str">
        <x:v>late-game escalation, victory pressure</x:v>
      </x:c>
      <x:c r="K1629" s="120" t="str">
        <x:v>wonder age; overflow tier</x:v>
      </x:c>
      <x:c r="L1629" s="120" t="str">
        <x:v>Preserve source-specific terminology, metaphysics, ritual context, and cultural ownership; use this family for comparison, not as a claim of historical equivalence.</x:v>
      </x:c>
      <x:c r="M1629" s="120" t="str">
        <x:v>Framework core</x:v>
      </x:c>
    </x:row>
    <x:row r="1630" ht="44" customHeight="1">
      <x:c r="A1630" s="119" t="str">
        <x:v>MEC-446</x:v>
      </x:c>
      <x:c r="B1630" s="120" t="str">
        <x:v>Relic Capture Bonus</x:v>
      </x:c>
      <x:c r="C1630" s="120" t="str">
        <x:v>Game-Mechanical Archetypes</x:v>
      </x:c>
      <x:c r="D1630" s="120" t="str">
        <x:v>MEC-400</x:v>
      </x:c>
      <x:c r="E1630" s="120" t="str">
        <x:f>IF(D1630="","",IFERROR(VLOOKUP(D1630,$A$2:$B$1656,2,FALSE),""))</x:f>
        <x:v>Unit and Encounter Models</x:v>
      </x:c>
      <x:c r="F1630" s="120" t="n">
        <x:v>3</x:v>
      </x:c>
      <x:c r="G1630" s="120" t="str">
        <x:v>A mechanic where discoverable relic objects are carried, installed, guarded, or contested to grant persistent strategic bonuses.</x:v>
      </x:c>
      <x:c r="H1630" s="120" t="str">
        <x:v>It itemizes sacred or legendary objects as map objectives and economic modifiers.</x:v>
      </x:c>
      <x:c r="I1630" s="120" t="str">
        <x:v>temple relic; carried artifact; map treasure</x:v>
      </x:c>
      <x:c r="J1630" s="120" t="str">
        <x:v>exploration, map control, snowballing</x:v>
      </x:c>
      <x:c r="K1630" s="120" t="str">
        <x:v>relic capture; artifact bonus</x:v>
      </x:c>
      <x:c r="L1630" s="120" t="str">
        <x:v>Preserve source-specific terminology, metaphysics, ritual context, and cultural ownership; use this family for comparison, not as a claim of historical equivalence.</x:v>
      </x:c>
      <x:c r="M1630" s="120" t="str">
        <x:v>Framework core</x:v>
      </x:c>
    </x:row>
    <x:row r="1631" ht="44" customHeight="1">
      <x:c r="A1631" s="119" t="str">
        <x:v>MEC-447</x:v>
      </x:c>
      <x:c r="B1631" s="120" t="str">
        <x:v>Titan or Superunit Escalation</x:v>
      </x:c>
      <x:c r="C1631" s="120" t="str">
        <x:v>Game-Mechanical Archetypes</x:v>
      </x:c>
      <x:c r="D1631" s="120" t="str">
        <x:v>MEC-400</x:v>
      </x:c>
      <x:c r="E1631" s="120" t="str">
        <x:f>IF(D1631="","",IFERROR(VLOOKUP(D1631,$A$2:$B$1656,2,FALSE),""))</x:f>
        <x:v>Unit and Encounter Models</x:v>
      </x:c>
      <x:c r="F1631" s="120" t="n">
        <x:v>3</x:v>
      </x:c>
      <x:c r="G1631" s="120" t="str">
        <x:v>A late-game mechanic enabling a singular or limited colossal unit whose power and production cost reshape the strategic field.</x:v>
      </x:c>
      <x:c r="H1631" s="120" t="str">
        <x:v>A superunit is defined mechanically; its source may be titan, dragon, god, machine, or another being.</x:v>
      </x:c>
      <x:c r="I1631" s="120" t="str">
        <x:v>titan gate; ultimate unit; colossal summon</x:v>
      </x:c>
      <x:c r="J1631" s="120" t="str">
        <x:v>endgame escalation, focal threat, comeback</x:v>
      </x:c>
      <x:c r="K1631" s="120" t="str">
        <x:v>superunit; titan unit</x:v>
      </x:c>
      <x:c r="L1631" s="120" t="str">
        <x:v>Preserve source-specific terminology, metaphysics, ritual context, and cultural ownership; use this family for comparison, not as a claim of historical equivalence.</x:v>
      </x:c>
      <x:c r="M1631" s="120" t="str">
        <x:v>Framework core</x:v>
      </x:c>
    </x:row>
    <x:row r="1632" ht="44" customHeight="1">
      <x:c r="A1632" s="119" t="str">
        <x:v>MEC-448</x:v>
      </x:c>
      <x:c r="B1632" s="120" t="str">
        <x:v>Procedural Expedition Layout</x:v>
      </x:c>
      <x:c r="C1632" s="120" t="str">
        <x:v>Game-Mechanical Archetypes</x:v>
      </x:c>
      <x:c r="D1632" s="120" t="str">
        <x:v>MEC-400</x:v>
      </x:c>
      <x:c r="E1632" s="120" t="str">
        <x:f>IF(D1632="","",IFERROR(VLOOKUP(D1632,$A$2:$B$1656,2,FALSE),""))</x:f>
        <x:v>Unit and Encounter Models</x:v>
      </x:c>
      <x:c r="F1632" s="120" t="n">
        <x:v>3</x:v>
      </x:c>
      <x:c r="G1632" s="120" t="str">
        <x:v>A dungeon or mission structure whose rooms, corridors, encounters, rewards, or hazards are procedurally assembled for repeated expeditions.</x:v>
      </x:c>
      <x:c r="H1632" s="120" t="str">
        <x:v>The emphasis is encounter-space generation, distinct from randomized character builds.</x:v>
      </x:c>
      <x:c r="I1632" s="120" t="str">
        <x:v>random dungeon; procedural corridor map; expedition generator</x:v>
      </x:c>
      <x:c r="J1632" s="120" t="str">
        <x:v>replayability, uncertainty, scouting</x:v>
      </x:c>
      <x:c r="K1632" s="120" t="str">
        <x:v>procedural dungeon; random expedition</x:v>
      </x:c>
      <x:c r="L1632" s="120" t="str">
        <x:v>Preserve source-specific terminology, metaphysics, ritual context, and cultural ownership; use this family for comparison, not as a claim of historical equivalence.</x:v>
      </x:c>
      <x:c r="M1632" s="120" t="str">
        <x:v>Framework core</x:v>
      </x:c>
    </x:row>
    <x:row r="1633" ht="44" customHeight="1">
      <x:c r="A1633" s="119" t="str">
        <x:v>STA-521</x:v>
      </x:c>
      <x:c r="B1633" s="120" t="str">
        <x:v>Stress Affliction</x:v>
      </x:c>
      <x:c r="C1633" s="120" t="str">
        <x:v>States &amp; Transformations</x:v>
      </x:c>
      <x:c r="D1633" s="120" t="str">
        <x:v>STA-300</x:v>
      </x:c>
      <x:c r="E1633" s="120" t="str">
        <x:f>IF(D1633="","",IFERROR(VLOOKUP(D1633,$A$2:$B$1656,2,FALSE),""))</x:f>
        <x:v>Spiritual and Identity States</x:v>
      </x:c>
      <x:c r="F1633" s="120" t="n">
        <x:v>3</x:v>
      </x:c>
      <x:c r="G1633" s="120" t="str">
        <x:v>A persistent harmful psychological or behavioral state triggered by accumulated stress, crisis, fear, or trauma.</x:v>
      </x:c>
      <x:c r="H1633" s="120" t="str">
        <x:v>It is an acquired state layered onto a person, not a species trait or moral essence.</x:v>
      </x:c>
      <x:c r="I1633" s="120" t="str">
        <x:v>paranoia; fear; irrationality; masochism</x:v>
      </x:c>
      <x:c r="J1633" s="120" t="str">
        <x:v>behavior change, party friction, recovery need</x:v>
      </x:c>
      <x:c r="K1633" s="120" t="str">
        <x:v>stress affliction; breakdown</x:v>
      </x:c>
      <x:c r="L1633" s="120" t="str">
        <x:v>Preserve source-specific terminology, metaphysics, ritual context, and cultural ownership; use this family for comparison, not as a claim of historical equivalence.</x:v>
      </x:c>
      <x:c r="M1633" s="120" t="str">
        <x:v>Framework core</x:v>
      </x:c>
    </x:row>
    <x:row r="1634" ht="44" customHeight="1">
      <x:c r="A1634" s="119" t="str">
        <x:v>STA-522</x:v>
      </x:c>
      <x:c r="B1634" s="120" t="str">
        <x:v>Virtue Crisis State</x:v>
      </x:c>
      <x:c r="C1634" s="120" t="str">
        <x:v>States &amp; Transformations</x:v>
      </x:c>
      <x:c r="D1634" s="120" t="str">
        <x:v>STA-400</x:v>
      </x:c>
      <x:c r="E1634" s="120" t="str">
        <x:f>IF(D1634="","",IFERROR(VLOOKUP(D1634,$A$2:$B$1656,2,FALSE),""))</x:f>
        <x:v>Empowerment, Bond, and Alignment States</x:v>
      </x:c>
      <x:c r="F1634" s="120" t="n">
        <x:v>3</x:v>
      </x:c>
      <x:c r="G1634" s="120" t="str">
        <x:v>A temporary or persistent resilient state emerging at a crisis point and granting courage, focus, leadership, or exceptional resistance.</x:v>
      </x:c>
      <x:c r="H1634" s="120" t="str">
        <x:v>It arises from pressure and contrasts with breakdown; it is not a permanent moral classification.</x:v>
      </x:c>
      <x:c r="I1634" s="120" t="str">
        <x:v>courage; stalwart resolve; focused state</x:v>
      </x:c>
      <x:c r="J1634" s="120" t="str">
        <x:v>comeback, morale support, emergent heroism</x:v>
      </x:c>
      <x:c r="K1634" s="120" t="str">
        <x:v>virtue state; resilient crisis</x:v>
      </x:c>
      <x:c r="L1634" s="120" t="str">
        <x:v>Preserve source-specific terminology, metaphysics, ritual context, and cultural ownership; use this family for comparison, not as a claim of historical equivalence.</x:v>
      </x:c>
      <x:c r="M1634" s="120" t="str">
        <x:v>Framework core</x:v>
      </x:c>
    </x:row>
    <x:row r="1635" ht="44" customHeight="1">
      <x:c r="A1635" s="119" t="str">
        <x:v>STA-523</x:v>
      </x:c>
      <x:c r="B1635" s="120" t="str">
        <x:v>Acquired Quirk</x:v>
      </x:c>
      <x:c r="C1635" s="120" t="str">
        <x:v>States &amp; Transformations</x:v>
      </x:c>
      <x:c r="D1635" s="120" t="str">
        <x:v>STA-300</x:v>
      </x:c>
      <x:c r="E1635" s="120" t="str">
        <x:f>IF(D1635="","",IFERROR(VLOOKUP(D1635,$A$2:$B$1656,2,FALSE),""))</x:f>
        <x:v>Spiritual and Identity States</x:v>
      </x:c>
      <x:c r="F1635" s="120" t="n">
        <x:v>3</x:v>
      </x:c>
      <x:c r="G1635" s="120" t="str">
        <x:v>A persistent positive, negative, or ambivalent trait acquired through experience, location, event, illness, treatment, or stress.</x:v>
      </x:c>
      <x:c r="H1635" s="120" t="str">
        <x:v>Quirks are specific modifications, not a total personality type or fixed moral alignment.</x:v>
      </x:c>
      <x:c r="I1635" s="120" t="str">
        <x:v>obsession; fear; habit; specialized confidence</x:v>
      </x:c>
      <x:c r="J1635" s="120" t="str">
        <x:v>individualization, long-term consequence, recovery</x:v>
      </x:c>
      <x:c r="K1635" s="120" t="str">
        <x:v>quirk; persistent trait</x:v>
      </x:c>
      <x:c r="L1635" s="120" t="str">
        <x:v>Preserve source-specific terminology, metaphysics, ritual context, and cultural ownership; use this family for comparison, not as a claim of historical equivalence.</x:v>
      </x:c>
      <x:c r="M1635" s="120" t="str">
        <x:v>Framework core</x:v>
      </x:c>
    </x:row>
    <x:row r="1636" ht="44" customHeight="1">
      <x:c r="A1636" s="119" t="str">
        <x:v>STA-524</x:v>
      </x:c>
      <x:c r="B1636" s="120" t="str">
        <x:v>Expedition Trauma</x:v>
      </x:c>
      <x:c r="C1636" s="120" t="str">
        <x:v>States &amp; Transformations</x:v>
      </x:c>
      <x:c r="D1636" s="120" t="str">
        <x:v>STA-300</x:v>
      </x:c>
      <x:c r="E1636" s="120" t="str">
        <x:f>IF(D1636="","",IFERROR(VLOOKUP(D1636,$A$2:$B$1656,2,FALSE),""))</x:f>
        <x:v>Spiritual and Identity States</x:v>
      </x:c>
      <x:c r="F1636" s="120" t="n">
        <x:v>3</x:v>
      </x:c>
      <x:c r="G1636" s="120" t="str">
        <x:v>A durable physical, psychological, social, or supernatural burden accumulated through repeated dangerous expeditions.</x:v>
      </x:c>
      <x:c r="H1636" s="120" t="str">
        <x:v>It links campaign experience to later vulnerability and recovery rather than resetting after combat.</x:v>
      </x:c>
      <x:c r="I1636" s="120" t="str">
        <x:v>battle trauma; dungeon stress; survivor burden</x:v>
      </x:c>
      <x:c r="J1636" s="120" t="str">
        <x:v>character history, attrition, treatment</x:v>
      </x:c>
      <x:c r="K1636" s="120" t="str">
        <x:v>expedition trauma; accumulated strain</x:v>
      </x:c>
      <x:c r="L1636" s="120" t="str">
        <x:v>Preserve source-specific terminology, metaphysics, ritual context, and cultural ownership; use this family for comparison, not as a claim of historical equivalence.</x:v>
      </x:c>
      <x:c r="M1636" s="120" t="str">
        <x:v>Framework core</x:v>
      </x:c>
    </x:row>
    <x:row r="1637" ht="44" customHeight="1">
      <x:c r="A1637" s="119" t="str">
        <x:v>NAR-441</x:v>
      </x:c>
      <x:c r="B1637" s="120" t="str">
        <x:v>Inherited Ruin or Ancestor's Folly</x:v>
      </x:c>
      <x:c r="C1637" s="120" t="str">
        <x:v>Narrative Archetypes</x:v>
      </x:c>
      <x:c r="D1637" s="120" t="str">
        <x:v>NAR-400</x:v>
      </x:c>
      <x:c r="E1637" s="120" t="str">
        <x:f>IF(D1637="","",IFERROR(VLOOKUP(D1637,$A$2:$B$1656,2,FALSE),""))</x:f>
        <x:v>Plot and Journey Archetypes</x:v>
      </x:c>
      <x:c r="F1637" s="120" t="n">
        <x:v>3</x:v>
      </x:c>
      <x:c r="G1637" s="120" t="str">
        <x:v>A plot structure in which descendants, heirs, servants, or communities must confront a catastrophe created by an ancestor's ambition, crime, pact, or discovery.</x:v>
      </x:c>
      <x:c r="H1637" s="120" t="str">
        <x:v>The inherited burden may be material, moral, supernatural, institutional, or epistemic.</x:v>
      </x:c>
      <x:c r="I1637" s="120" t="str">
        <x:v>cursed estate; ancestral sin; failed expedition legacy</x:v>
      </x:c>
      <x:c r="J1637" s="120" t="str">
        <x:v>campaign premise, investigation, restoration</x:v>
      </x:c>
      <x:c r="K1637" s="120" t="str">
        <x:v>inherited ruin; ancestor's folly</x:v>
      </x:c>
      <x:c r="L1637" s="120" t="str">
        <x:v>Preserve source-specific terminology, metaphysics, ritual context, and cultural ownership; use this family for comparison, not as a claim of historical equivalence.</x:v>
      </x:c>
      <x:c r="M1637" s="120" t="str">
        <x:v>Framework core</x:v>
      </x:c>
    </x:row>
    <x:row r="1638" ht="44" customHeight="1">
      <x:c r="A1638" s="119" t="str">
        <x:v>NAR-442</x:v>
      </x:c>
      <x:c r="B1638" s="120" t="str">
        <x:v>Roster of Flawed Adventurers</x:v>
      </x:c>
      <x:c r="C1638" s="120" t="str">
        <x:v>Narrative Archetypes</x:v>
      </x:c>
      <x:c r="D1638" s="120" t="str">
        <x:v>NAR-200</x:v>
      </x:c>
      <x:c r="E1638" s="120" t="str">
        <x:f>IF(D1638="","",IFERROR(VLOOKUP(D1638,$A$2:$B$1656,2,FALSE),""))</x:f>
        <x:v>Companion, Mentor, and Party Archetypes</x:v>
      </x:c>
      <x:c r="F1638" s="120" t="n">
        <x:v>3</x:v>
      </x:c>
      <x:c r="G1638" s="120" t="str">
        <x:v>A collective protagonist model built from vulnerable, replaceable, traumatized, morally mixed, or socially marginal adventurers rather than idealized heroes.</x:v>
      </x:c>
      <x:c r="H1638" s="120" t="str">
        <x:v>The roster itself carries the narrative; no single member must be indispensable.</x:v>
      </x:c>
      <x:c r="I1638" s="120" t="str">
        <x:v>mercenary roster; doomed expedition company; guild of misfits</x:v>
      </x:c>
      <x:c r="J1638" s="120" t="str">
        <x:v>emergent biography, loss, ensemble drama</x:v>
      </x:c>
      <x:c r="K1638" s="120" t="str">
        <x:v>flawed roster; expendable heroes</x:v>
      </x:c>
      <x:c r="L1638" s="120" t="str">
        <x:v>Preserve source-specific terminology, metaphysics, ritual context, and cultural ownership; use this family for comparison, not as a claim of historical equivalence.</x:v>
      </x:c>
      <x:c r="M1638" s="120" t="str">
        <x:v>Framework core</x:v>
      </x:c>
    </x:row>
    <x:row r="1639" ht="44" customHeight="1">
      <x:c r="A1639" s="119" t="str">
        <x:v>NAR-443</x:v>
      </x:c>
      <x:c r="B1639" s="120" t="str">
        <x:v>Psychological Attrition Journey</x:v>
      </x:c>
      <x:c r="C1639" s="120" t="str">
        <x:v>Narrative Archetypes</x:v>
      </x:c>
      <x:c r="D1639" s="120" t="str">
        <x:v>NAR-400</x:v>
      </x:c>
      <x:c r="E1639" s="120" t="str">
        <x:f>IF(D1639="","",IFERROR(VLOOKUP(D1639,$A$2:$B$1656,2,FALSE),""))</x:f>
        <x:v>Plot and Journey Archetypes</x:v>
      </x:c>
      <x:c r="F1639" s="120" t="n">
        <x:v>3</x:v>
      </x:c>
      <x:c r="G1639" s="120" t="str">
        <x:v>A journey or campaign where fear, stress, despair, obsession, and recovery are as structurally important as wounds and material depletion.</x:v>
      </x:c>
      <x:c r="H1639" s="120" t="str">
        <x:v>Mental strain is an evolving narrative system rather than occasional characterization.</x:v>
      </x:c>
      <x:c r="I1639" s="120" t="str">
        <x:v>descent into madness; expedition strain; morale collapse</x:v>
      </x:c>
      <x:c r="J1639" s="120" t="str">
        <x:v>horror, survival, character change</x:v>
      </x:c>
      <x:c r="K1639" s="120" t="str">
        <x:v>psychological attrition; stress journey</x:v>
      </x:c>
      <x:c r="L1639" s="120" t="str">
        <x:v>Preserve source-specific terminology, metaphysics, ritual context, and cultural ownership; use this family for comparison, not as a claim of historical equivalence.</x:v>
      </x:c>
      <x:c r="M1639" s="120" t="str">
        <x:v>Framework core</x:v>
      </x:c>
    </x:row>
    <x:row r="1640" ht="44" customHeight="1">
      <x:c r="A1640" s="119" t="str">
        <x:v>INS-423</x:v>
      </x:c>
      <x:c r="B1640" s="120" t="str">
        <x:v>Recovery and Respite Institution</x:v>
      </x:c>
      <x:c r="C1640" s="120" t="str">
        <x:v>Institutions &amp; Affiliations</x:v>
      </x:c>
      <x:c r="D1640" s="120" t="str">
        <x:v>INS-100</x:v>
      </x:c>
      <x:c r="E1640" s="120" t="str">
        <x:f>IF(D1640="","",IFERROR(VLOOKUP(D1640,$A$2:$B$1656,2,FALSE),""))</x:f>
        <x:v>Professional and Economic Organizations</x:v>
      </x:c>
      <x:c r="F1640" s="120" t="n">
        <x:v>3</x:v>
      </x:c>
      <x:c r="G1640" s="120" t="str">
        <x:v>An organization or site dedicated to rest, treatment, prayer, entertainment, vice, therapy, purification, or stress relief between adventures.</x:v>
      </x:c>
      <x:c r="H1640" s="120" t="str">
        <x:v>Its social meaning and risks matter; it is not merely a user-interface reset button.</x:v>
      </x:c>
      <x:c r="I1640" s="120" t="str">
        <x:v>abbey; tavern; sanatorium; bathhouse; temple refuge</x:v>
      </x:c>
      <x:c r="J1640" s="120" t="str">
        <x:v>healing, downtime, resource sink, social worldbuilding</x:v>
      </x:c>
      <x:c r="K1640" s="120" t="str">
        <x:v>recovery institution; respite house</x:v>
      </x:c>
      <x:c r="L1640" s="120" t="str">
        <x:v>Preserve source-specific terminology, metaphysics, ritual context, and cultural ownership; use this family for comparison, not as a claim of historical equivalence.</x:v>
      </x:c>
      <x:c r="M1640" s="120" t="str">
        <x:v>Framework core</x:v>
      </x:c>
    </x:row>
    <x:row r="1641" ht="44" customHeight="1">
      <x:c r="A1641" s="119" t="str">
        <x:v>ROL-933</x:v>
      </x:c>
      <x:c r="B1641" s="120" t="str">
        <x:v>Ascetic or Renunciant</x:v>
      </x:c>
      <x:c r="C1641" s="120" t="str">
        <x:v>Roles &amp; Vocations</x:v>
      </x:c>
      <x:c r="D1641" s="120" t="str">
        <x:v>ROL-400</x:v>
      </x:c>
      <x:c r="E1641" s="120" t="str">
        <x:f>IF(D1641="","",IFERROR(VLOOKUP(D1641,$A$2:$B$1656,2,FALSE),""))</x:f>
        <x:v>Divine and Religious Roles</x:v>
      </x:c>
      <x:c r="F1641" s="120" t="n">
        <x:v>3</x:v>
      </x:c>
      <x:c r="G1641" s="120" t="str">
        <x:v>A person who undertakes disciplined renunciation, austerity, seclusion, celibacy, fasting, silence, meditation, or other practices as a sacred life path.</x:v>
      </x:c>
      <x:c r="H1641" s="120" t="str">
        <x:v>Do not collapse distinct monastic, householder, forest-dwelling, yogic, mendicant, or source-specific renunciant traditions into one generic monk class.</x:v>
      </x:c>
      <x:c r="I1641" s="120" t="str">
        <x:v>hermit; mendicant; forest ascetic; vow-keeper</x:v>
      </x:c>
      <x:c r="J1641" s="120" t="str">
        <x:v>spiritual authority, counsel, power acquisition, social critique</x:v>
      </x:c>
      <x:c r="K1641" s="120" t="str">
        <x:v>ascetic; renunciant; hermit</x:v>
      </x:c>
      <x:c r="L1641" s="120" t="str">
        <x:v>Preserve source-specific terminology, metaphysics, ritual context, and cultural ownership; use this family for comparison, not as a claim of historical equivalence.</x:v>
      </x:c>
      <x:c r="M1641" s="120" t="str">
        <x:v>Framework core</x:v>
      </x:c>
    </x:row>
    <x:row r="1642" ht="44" customHeight="1">
      <x:c r="A1642" s="119" t="str">
        <x:v>ROL-934</x:v>
      </x:c>
      <x:c r="B1642" s="120" t="str">
        <x:v>Royal Sage</x:v>
      </x:c>
      <x:c r="C1642" s="120" t="str">
        <x:v>Roles &amp; Vocations</x:v>
      </x:c>
      <x:c r="D1642" s="120" t="str">
        <x:v>ROL-700</x:v>
      </x:c>
      <x:c r="E1642" s="120" t="str">
        <x:f>IF(D1642="","",IFERROR(VLOOKUP(D1642,$A$2:$B$1656,2,FALSE),""))</x:f>
        <x:v>Leadership and Social Office Roles</x:v>
      </x:c>
      <x:c r="F1642" s="120" t="n">
        <x:v>3</x:v>
      </x:c>
      <x:c r="G1642" s="120" t="str">
        <x:v>A ruler or royal figure whose recognized identity joins kingship with wisdom, ascetic practice, revelation, prophecy, or sacred teaching.</x:v>
      </x:c>
      <x:c r="H1642" s="120" t="str">
        <x:v>The role is not simply a mage-king; authority may come from discipline, ethical insight, or ritual status rather than spellcasting.</x:v>
      </x:c>
      <x:c r="I1642" s="120" t="str">
        <x:v>sage-king; philosopher-ruler; ascetic king</x:v>
      </x:c>
      <x:c r="J1642" s="120" t="str">
        <x:v>mediation of rule and wisdom, reform, counsel</x:v>
      </x:c>
      <x:c r="K1642" s="120" t="str">
        <x:v>royal sage; sage-king</x:v>
      </x:c>
      <x:c r="L1642" s="120" t="str">
        <x:v>Preserve source-specific terminology, metaphysics, ritual context, and cultural ownership; use this family for comparison, not as a claim of historical equivalence.</x:v>
      </x:c>
      <x:c r="M1642" s="120" t="str">
        <x:v>Framework core</x:v>
      </x:c>
    </x:row>
    <x:row r="1643" ht="44" customHeight="1">
      <x:c r="A1643" s="119" t="str">
        <x:v>ROL-935</x:v>
      </x:c>
      <x:c r="B1643" s="120" t="str">
        <x:v>Martial Preceptor</x:v>
      </x:c>
      <x:c r="C1643" s="120" t="str">
        <x:v>Roles &amp; Vocations</x:v>
      </x:c>
      <x:c r="D1643" s="120" t="str">
        <x:v>ROL-600</x:v>
      </x:c>
      <x:c r="E1643" s="120" t="str">
        <x:f>IF(D1643="","",IFERROR(VLOOKUP(D1643,$A$2:$B$1656,2,FALSE),""))</x:f>
        <x:v>Healing, Craft, and Knowledge Roles</x:v>
      </x:c>
      <x:c r="F1643" s="120" t="n">
        <x:v>3</x:v>
      </x:c>
      <x:c r="G1643" s="120" t="str">
        <x:v>A formal teacher responsible for transmitting weapons, tactics, discipline, lineage knowledge, or warrior ethics to elite students.</x:v>
      </x:c>
      <x:c r="H1643" s="120" t="str">
        <x:v>The preceptor relationship creates social and political obligations beyond ordinary skill instruction.</x:v>
      </x:c>
      <x:c r="I1643" s="120" t="str">
        <x:v>weapons master; court instructor; lineage teacher</x:v>
      </x:c>
      <x:c r="J1643" s="120" t="str">
        <x:v>training, succession, faction formation, debt</x:v>
      </x:c>
      <x:c r="K1643" s="120" t="str">
        <x:v>martial preceptor; weapons teacher</x:v>
      </x:c>
      <x:c r="L1643" s="120" t="str">
        <x:v>Preserve source-specific terminology, metaphysics, ritual context, and cultural ownership; use this family for comparison, not as a claim of historical equivalence.</x:v>
      </x:c>
      <x:c r="M1643" s="120" t="str">
        <x:v>Framework core</x:v>
      </x:c>
    </x:row>
    <x:row r="1644" ht="44" customHeight="1">
      <x:c r="A1644" s="119" t="str">
        <x:v>INS-424</x:v>
      </x:c>
      <x:c r="B1644" s="120" t="str">
        <x:v>Hermitage or Ascetic Community</x:v>
      </x:c>
      <x:c r="C1644" s="120" t="str">
        <x:v>Institutions &amp; Affiliations</x:v>
      </x:c>
      <x:c r="D1644" s="120" t="str">
        <x:v>INS-300</x:v>
      </x:c>
      <x:c r="E1644" s="120" t="str">
        <x:f>IF(D1644="","",IFERROR(VLOOKUP(D1644,$A$2:$B$1656,2,FALSE),""))</x:f>
        <x:v>Religious and Magical Organizations</x:v>
      </x:c>
      <x:c r="F1644" s="120" t="n">
        <x:v>3</x:v>
      </x:c>
      <x:c r="G1644" s="120" t="str">
        <x:v>A retreat, forest settlement, monastery-like community, teacher's household, or sacred residence organized around ascetic practice, learning, ritual, and hospitality.</x:v>
      </x:c>
      <x:c r="H1644" s="120" t="str">
        <x:v>It should not automatically be modeled as a Western monastery or adventurer training hub.</x:v>
      </x:c>
      <x:c r="I1644" s="120" t="str">
        <x:v>forest hermitage; sage settlement; retreat</x:v>
      </x:c>
      <x:c r="J1644" s="120" t="str">
        <x:v>teaching, refuge, ritual, pilgrimage, political mediation</x:v>
      </x:c>
      <x:c r="K1644" s="120" t="str">
        <x:v>hermitage; ascetic community</x:v>
      </x:c>
      <x:c r="L1644" s="120" t="str">
        <x:v>Preserve source-specific terminology, metaphysics, ritual context, and cultural ownership; use this family for comparison, not as a claim of historical equivalence.</x:v>
      </x:c>
      <x:c r="M1644" s="120" t="str">
        <x:v>Framework core</x:v>
      </x:c>
    </x:row>
    <x:row r="1645" ht="44" customHeight="1">
      <x:c r="A1645" s="119" t="str">
        <x:v>INS-425</x:v>
      </x:c>
      <x:c r="B1645" s="120" t="str">
        <x:v>Teacher–Disciple Lineage</x:v>
      </x:c>
      <x:c r="C1645" s="120" t="str">
        <x:v>Institutions &amp; Affiliations</x:v>
      </x:c>
      <x:c r="D1645" s="120" t="str">
        <x:v>INS-300</x:v>
      </x:c>
      <x:c r="E1645" s="120" t="str">
        <x:f>IF(D1645="","",IFERROR(VLOOKUP(D1645,$A$2:$B$1656,2,FALSE),""))</x:f>
        <x:v>Religious and Magical Organizations</x:v>
      </x:c>
      <x:c r="F1645" s="120" t="n">
        <x:v>3</x:v>
      </x:c>
      <x:c r="G1645" s="120" t="str">
        <x:v>An institution that transmits authorized knowledge, practice, weapons, ritual, office, or spiritual realization through recognized teacher–disciple succession.</x:v>
      </x:c>
      <x:c r="H1645" s="120" t="str">
        <x:v>The lineage is relational and authoritative, not merely a school curriculum or bloodline.</x:v>
      </x:c>
      <x:c r="I1645" s="120" t="str">
        <x:v>initiation lineage; master-disciple school; transmission chain</x:v>
      </x:c>
      <x:c r="J1645" s="120" t="str">
        <x:v>training, legitimacy, inheritance, faction identity</x:v>
      </x:c>
      <x:c r="K1645" s="120" t="str">
        <x:v>teaching lineage; transmission lineage</x:v>
      </x:c>
      <x:c r="L1645" s="120" t="str">
        <x:v>Preserve source-specific terminology, metaphysics, ritual context, and cultural ownership; use this family for comparison, not as a claim of historical equivalence.</x:v>
      </x:c>
      <x:c r="M1645" s="120" t="str">
        <x:v>Framework core</x:v>
      </x:c>
    </x:row>
    <x:row r="1646" ht="44" customHeight="1">
      <x:c r="A1646" s="119" t="str">
        <x:v>INS-426</x:v>
      </x:c>
      <x:c r="B1646" s="120" t="str">
        <x:v>Royal Assembly or Council Hall</x:v>
      </x:c>
      <x:c r="C1646" s="120" t="str">
        <x:v>Institutions &amp; Affiliations</x:v>
      </x:c>
      <x:c r="D1646" s="120" t="str">
        <x:v>INS-400</x:v>
      </x:c>
      <x:c r="E1646" s="120" t="str">
        <x:f>IF(D1646="","",IFERROR(VLOOKUP(D1646,$A$2:$B$1656,2,FALSE),""))</x:f>
        <x:v>Kinship, Political, and Secret Organizations</x:v>
      </x:c>
      <x:c r="F1646" s="120" t="n">
        <x:v>3</x:v>
      </x:c>
      <x:c r="G1646" s="120" t="str">
        <x:v>A formal gathering and institutional space where rulers, elders, kin, warriors, priests, advisers, envoys, and petitioners deliberate, witness, judge, or display authority.</x:v>
      </x:c>
      <x:c r="H1646" s="120" t="str">
        <x:v>It combines architecture, procedure, public recognition, and political hierarchy rather than being only a faction.</x:v>
      </x:c>
      <x:c r="I1646" s="120" t="str">
        <x:v>royal hall; court assembly; council chamber</x:v>
      </x:c>
      <x:c r="J1646" s="120" t="str">
        <x:v>governance, diplomacy, judgment, spectacle</x:v>
      </x:c>
      <x:c r="K1646" s="120" t="str">
        <x:v>royal assembly; council hall</x:v>
      </x:c>
      <x:c r="L1646" s="120" t="str">
        <x:v>Preserve source-specific terminology, metaphysics, ritual context, and cultural ownership; use this family for comparison, not as a claim of historical equivalence.</x:v>
      </x:c>
      <x:c r="M1646" s="120" t="str">
        <x:v>Framework core</x:v>
      </x:c>
    </x:row>
    <x:row r="1647" ht="44" customHeight="1">
      <x:c r="A1647" s="119" t="str">
        <x:v>INS-427</x:v>
      </x:c>
      <x:c r="B1647" s="120" t="str">
        <x:v>Marriage-Selection Assembly</x:v>
      </x:c>
      <x:c r="C1647" s="120" t="str">
        <x:v>Institutions &amp; Affiliations</x:v>
      </x:c>
      <x:c r="D1647" s="120" t="str">
        <x:v>INS-400</x:v>
      </x:c>
      <x:c r="E1647" s="120" t="str">
        <x:f>IF(D1647="","",IFERROR(VLOOKUP(D1647,$A$2:$B$1656,2,FALSE),""))</x:f>
        <x:v>Kinship, Political, and Secret Organizations</x:v>
      </x:c>
      <x:c r="F1647" s="120" t="n">
        <x:v>3</x:v>
      </x:c>
      <x:c r="G1647" s="120" t="str">
        <x:v>A formal public process in which a marriage alliance is selected, contested, recognized, or tested through choice, lineage, ordeal, competition, or political negotiation.</x:v>
      </x:c>
      <x:c r="H1647" s="120" t="str">
        <x:v>The source-specific institution must be analyzed for agency, gender, kinship, and politics rather than reduced to a tournament prize.</x:v>
      </x:c>
      <x:c r="I1647" s="120" t="str">
        <x:v>suitor assembly; choice ceremony; marriage contest</x:v>
      </x:c>
      <x:c r="J1647" s="120" t="str">
        <x:v>alliance, succession, heroic test, conflict</x:v>
      </x:c>
      <x:c r="K1647" s="120" t="str">
        <x:v>marriage assembly; suitor selection</x:v>
      </x:c>
      <x:c r="L1647" s="120" t="str">
        <x:v>Preserve source-specific terminology, metaphysics, ritual context, and cultural ownership; use this family for comparison, not as a claim of historical equivalence.</x:v>
      </x:c>
      <x:c r="M1647" s="120" t="str">
        <x:v>Framework core</x:v>
      </x:c>
    </x:row>
    <x:row r="1648" ht="44" customHeight="1">
      <x:c r="A1648" s="119" t="str">
        <x:v>NAR-444</x:v>
      </x:c>
      <x:c r="B1648" s="120" t="str">
        <x:v>Vow-Bound Elder</x:v>
      </x:c>
      <x:c r="C1648" s="120" t="str">
        <x:v>Narrative Archetypes</x:v>
      </x:c>
      <x:c r="D1648" s="120" t="str">
        <x:v>NAR-200</x:v>
      </x:c>
      <x:c r="E1648" s="120" t="str">
        <x:f>IF(D1648="","",IFERROR(VLOOKUP(D1648,$A$2:$B$1656,2,FALSE),""))</x:f>
        <x:v>Companion, Mentor, and Party Archetypes</x:v>
      </x:c>
      <x:c r="F1648" s="120" t="n">
        <x:v>3</x:v>
      </x:c>
      <x:c r="G1648" s="120" t="str">
        <x:v>An elder statesperson or warrior whose extraordinary vow sustains legitimacy and duty while also producing tragic rigidity or political consequences.</x:v>
      </x:c>
      <x:c r="H1648" s="120" t="str">
        <x:v>The vow is both source of authority and constraint; the archetype is not merely a loyal adviser.</x:v>
      </x:c>
      <x:c r="I1648" s="120" t="str">
        <x:v>celibate guardian; sworn regent; undying oathkeeper</x:v>
      </x:c>
      <x:c r="J1648" s="120" t="str">
        <x:v>counsel, sacrifice, succession conflict</x:v>
      </x:c>
      <x:c r="K1648" s="120" t="str">
        <x:v>vow-bound elder; oath elder</x:v>
      </x:c>
      <x:c r="L1648" s="120" t="str">
        <x:v>Preserve source-specific terminology, metaphysics, ritual context, and cultural ownership; use this family for comparison, not as a claim of historical equivalence.</x:v>
      </x:c>
      <x:c r="M1648" s="120" t="str">
        <x:v>Framework core</x:v>
      </x:c>
    </x:row>
    <x:row r="1649" ht="44" customHeight="1">
      <x:c r="A1649" s="119" t="str">
        <x:v>NAR-445</x:v>
      </x:c>
      <x:c r="B1649" s="120" t="str">
        <x:v>Tragic Loyalist</x:v>
      </x:c>
      <x:c r="C1649" s="120" t="str">
        <x:v>Narrative Archetypes</x:v>
      </x:c>
      <x:c r="D1649" s="120" t="str">
        <x:v>NAR-200</x:v>
      </x:c>
      <x:c r="E1649" s="120" t="str">
        <x:f>IF(D1649="","",IFERROR(VLOOKUP(D1649,$A$2:$B$1656,2,FALSE),""))</x:f>
        <x:v>Companion, Mentor, and Party Archetypes</x:v>
      </x:c>
      <x:c r="F1649" s="120" t="n">
        <x:v>3</x:v>
      </x:c>
      <x:c r="G1649" s="120" t="str">
        <x:v>A capable and often admirable figure who knowingly remains loyal to a flawed ruler, faction, debt, patron, or identity and suffers because competing duties cannot be reconciled.</x:v>
      </x:c>
      <x:c r="H1649" s="120" t="str">
        <x:v>Loyalty is ethically complex rather than proof of virtue or villainy.</x:v>
      </x:c>
      <x:c r="I1649" s="120" t="str">
        <x:v>doomed champion; loyal enemy; indebted warrior</x:v>
      </x:c>
      <x:c r="J1649" s="120" t="str">
        <x:v>moral conflict, pathos, rival heroism</x:v>
      </x:c>
      <x:c r="K1649" s="120" t="str">
        <x:v>tragic loyalist; doomed retainer</x:v>
      </x:c>
      <x:c r="L1649" s="120" t="str">
        <x:v>Preserve source-specific terminology, metaphysics, ritual context, and cultural ownership; use this family for comparison, not as a claim of historical equivalence.</x:v>
      </x:c>
      <x:c r="M1649" s="120" t="str">
        <x:v>Framework core</x:v>
      </x:c>
    </x:row>
    <x:row r="1650" ht="44" customHeight="1">
      <x:c r="A1650" s="119" t="str">
        <x:v>NAR-446</x:v>
      </x:c>
      <x:c r="B1650" s="120" t="str">
        <x:v>Divine Charioteer-Counselor</x:v>
      </x:c>
      <x:c r="C1650" s="120" t="str">
        <x:v>Narrative Archetypes</x:v>
      </x:c>
      <x:c r="D1650" s="120" t="str">
        <x:v>NAR-200</x:v>
      </x:c>
      <x:c r="E1650" s="120" t="str">
        <x:f>IF(D1650="","",IFERROR(VLOOKUP(D1650,$A$2:$B$1656,2,FALSE),""))</x:f>
        <x:v>Companion, Mentor, and Party Archetypes</x:v>
      </x:c>
      <x:c r="F1650" s="120" t="n">
        <x:v>3</x:v>
      </x:c>
      <x:c r="G1650" s="120" t="str">
        <x:v>A guide who occupies a seemingly supporting role as driver, companion, messenger, or adviser while possessing superior divine or cosmological knowledge and directing the hero at a decisive crisis.</x:v>
      </x:c>
      <x:c r="H1650" s="120" t="str">
        <x:v>The apparent service role and revelatory authority coexist; it is not simply a mentor in disguise.</x:v>
      </x:c>
      <x:c r="I1650" s="120" t="str">
        <x:v>god as driver; hidden divine adviser; battlefield guide</x:v>
      </x:c>
      <x:c r="J1650" s="120" t="str">
        <x:v>revelation, ethical counsel, strategic aid</x:v>
      </x:c>
      <x:c r="K1650" s="120" t="str">
        <x:v>divine charioteer; sacred counselor</x:v>
      </x:c>
      <x:c r="L1650" s="120" t="str">
        <x:v>Preserve source-specific terminology, metaphysics, ritual context, and cultural ownership; use this family for comparison, not as a claim of historical equivalence.</x:v>
      </x:c>
      <x:c r="M1650" s="120" t="str">
        <x:v>Framework core</x:v>
      </x:c>
    </x:row>
    <x:row r="1651" ht="44" customHeight="1">
      <x:c r="A1651" s="119" t="str">
        <x:v>NAR-447</x:v>
      </x:c>
      <x:c r="B1651" s="120" t="str">
        <x:v>Dice-Game Dispossession</x:v>
      </x:c>
      <x:c r="C1651" s="120" t="str">
        <x:v>Narrative Archetypes</x:v>
      </x:c>
      <x:c r="D1651" s="120" t="str">
        <x:v>NAR-400</x:v>
      </x:c>
      <x:c r="E1651" s="120" t="str">
        <x:f>IF(D1651="","",IFERROR(VLOOKUP(D1651,$A$2:$B$1656,2,FALSE),""))</x:f>
        <x:v>Plot and Journey Archetypes</x:v>
      </x:c>
      <x:c r="F1651" s="120" t="n">
        <x:v>3</x:v>
      </x:c>
      <x:c r="G1651" s="120" t="str">
        <x:v>A political and familial collapse precipitated through gambling, manipulated chance, legalistic wagering, or a contest whose stakes expand to land, freedom, kin, and honor.</x:v>
      </x:c>
      <x:c r="H1651" s="120" t="str">
        <x:v>The pattern concerns dispossession through socially recognized play, not ordinary gambling loss.</x:v>
      </x:c>
      <x:c r="I1651" s="120" t="str">
        <x:v>rigged dice; wagered kingdom; game of succession</x:v>
      </x:c>
      <x:c r="J1651" s="120" t="str">
        <x:v>exile trigger, legitimacy crisis, humiliation</x:v>
      </x:c>
      <x:c r="K1651" s="120" t="str">
        <x:v>dice-game dispossession; wagered kingdom</x:v>
      </x:c>
      <x:c r="L1651" s="120" t="str">
        <x:v>Preserve source-specific terminology, metaphysics, ritual context, and cultural ownership; use this family for comparison, not as a claim of historical equivalence.</x:v>
      </x:c>
      <x:c r="M1651" s="120" t="str">
        <x:v>Framework core</x:v>
      </x:c>
    </x:row>
    <x:row r="1652" ht="44" customHeight="1">
      <x:c r="A1652" s="119" t="str">
        <x:v>NAR-448</x:v>
      </x:c>
      <x:c r="B1652" s="120" t="str">
        <x:v>Incognito Exile</x:v>
      </x:c>
      <x:c r="C1652" s="120" t="str">
        <x:v>Narrative Archetypes</x:v>
      </x:c>
      <x:c r="D1652" s="120" t="str">
        <x:v>NAR-400</x:v>
      </x:c>
      <x:c r="E1652" s="120" t="str">
        <x:f>IF(D1652="","",IFERROR(VLOOKUP(D1652,$A$2:$B$1656,2,FALSE),""))</x:f>
        <x:v>Plot and Journey Archetypes</x:v>
      </x:c>
      <x:c r="F1652" s="120" t="n">
        <x:v>3</x:v>
      </x:c>
      <x:c r="G1652" s="120" t="str">
        <x:v>A period of banishment or hiding in which protagonists must suppress identity, status, weapons, gender role, or reputation while serving within another society.</x:v>
      </x:c>
      <x:c r="H1652" s="120" t="str">
        <x:v>Concealment is part of the exile's conditions and creates tests of identity and recognition.</x:v>
      </x:c>
      <x:c r="I1652" s="120" t="str">
        <x:v>hidden year; disguised service; anonymous wandering</x:v>
      </x:c>
      <x:c r="J1652" s="120" t="str">
        <x:v>ordeal, infiltration, identity development</x:v>
      </x:c>
      <x:c r="K1652" s="120" t="str">
        <x:v>incognito exile; concealed banishment</x:v>
      </x:c>
      <x:c r="L1652" s="120" t="str">
        <x:v>Preserve source-specific terminology, metaphysics, ritual context, and cultural ownership; use this family for comparison, not as a claim of historical equivalence.</x:v>
      </x:c>
      <x:c r="M1652" s="120" t="str">
        <x:v>Framework core</x:v>
      </x:c>
    </x:row>
    <x:row r="1653" ht="44" customHeight="1">
      <x:c r="A1653" s="119" t="str">
        <x:v>NAR-449</x:v>
      </x:c>
      <x:c r="B1653" s="120" t="str">
        <x:v>Battlefield Revelation</x:v>
      </x:c>
      <x:c r="C1653" s="120" t="str">
        <x:v>Narrative Archetypes</x:v>
      </x:c>
      <x:c r="D1653" s="120" t="str">
        <x:v>NAR-400</x:v>
      </x:c>
      <x:c r="E1653" s="120" t="str">
        <x:f>IF(D1653="","",IFERROR(VLOOKUP(D1653,$A$2:$B$1656,2,FALSE),""))</x:f>
        <x:v>Plot and Journey Archetypes</x:v>
      </x:c>
      <x:c r="F1653" s="120" t="n">
        <x:v>3</x:v>
      </x:c>
      <x:c r="G1653" s="120" t="str">
        <x:v>A philosophical, divine, prophetic, or identity-transforming disclosure delivered immediately before or during battle, reframing action, duty, death, or reality.</x:v>
      </x:c>
      <x:c r="H1653" s="120" t="str">
        <x:v>The revelation does not merely provide tactical information; it changes the meaning of participation.</x:v>
      </x:c>
      <x:c r="I1653" s="120" t="str">
        <x:v>war-council vision; divine teaching before battle; true-form disclosure</x:v>
      </x:c>
      <x:c r="J1653" s="120" t="str">
        <x:v>ethical crisis, resolve, cosmological exposition</x:v>
      </x:c>
      <x:c r="K1653" s="120" t="str">
        <x:v>battlefield revelation; war epiphany</x:v>
      </x:c>
      <x:c r="L1653" s="120" t="str">
        <x:v>Preserve source-specific terminology, metaphysics, ritual context, and cultural ownership; use this family for comparison, not as a claim of historical equivalence.</x:v>
      </x:c>
      <x:c r="M1653" s="120" t="str">
        <x:v>Framework core</x:v>
      </x:c>
    </x:row>
    <x:row r="1654" ht="44" customHeight="1">
      <x:c r="A1654" s="119" t="str">
        <x:v>NAR-450</x:v>
      </x:c>
      <x:c r="B1654" s="120" t="str">
        <x:v>Postwar Moral Reckoning</x:v>
      </x:c>
      <x:c r="C1654" s="120" t="str">
        <x:v>Narrative Archetypes</x:v>
      </x:c>
      <x:c r="D1654" s="120" t="str">
        <x:v>NAR-400</x:v>
      </x:c>
      <x:c r="E1654" s="120" t="str">
        <x:f>IF(D1654="","",IFERROR(VLOOKUP(D1654,$A$2:$B$1656,2,FALSE),""))</x:f>
        <x:v>Plot and Journey Archetypes</x:v>
      </x:c>
      <x:c r="F1654" s="120" t="n">
        <x:v>3</x:v>
      </x:c>
      <x:c r="G1654" s="120" t="str">
        <x:v>A sustained aftermath in which victors and survivors confront grief, guilt, governance, law, funerary duty, and the legitimacy of a war's outcome.</x:v>
      </x:c>
      <x:c r="H1654" s="120" t="str">
        <x:v>It refuses to treat victory as automatic restoration and makes aftermath a major narrative phase.</x:v>
      </x:c>
      <x:c r="I1654" s="120" t="str">
        <x:v>king's remorse; field of dead; reconstruction debate</x:v>
      </x:c>
      <x:c r="J1654" s="120" t="str">
        <x:v>ethical inquiry, governance, mourning, restoration</x:v>
      </x:c>
      <x:c r="K1654" s="120" t="str">
        <x:v>postwar reckoning; victor's remorse</x:v>
      </x:c>
      <x:c r="L1654" s="120" t="str">
        <x:v>Preserve source-specific terminology, metaphysics, ritual context, and cultural ownership; use this family for comparison, not as a claim of historical equivalence.</x:v>
      </x:c>
      <x:c r="M1654" s="120" t="str">
        <x:v>Framework core</x:v>
      </x:c>
    </x:row>
    <x:row r="1655" ht="44" customHeight="1">
      <x:c r="A1655" s="119" t="str">
        <x:v>NAR-451</x:v>
      </x:c>
      <x:c r="B1655" s="120" t="str">
        <x:v>Final Ascent and Recognition Test</x:v>
      </x:c>
      <x:c r="C1655" s="120" t="str">
        <x:v>Narrative Archetypes</x:v>
      </x:c>
      <x:c r="D1655" s="120" t="str">
        <x:v>NAR-400</x:v>
      </x:c>
      <x:c r="E1655" s="120" t="str">
        <x:f>IF(D1655="","",IFERROR(VLOOKUP(D1655,$A$2:$B$1656,2,FALSE),""))</x:f>
        <x:v>Plot and Journey Archetypes</x:v>
      </x:c>
      <x:c r="F1655" s="120" t="n">
        <x:v>3</x:v>
      </x:c>
      <x:c r="G1655" s="120" t="str">
        <x:v>A concluding journey upward or beyond the world in which a hero is tested through loyalty, loss, apparent contradiction, judgment, or recognition before final status is revealed.</x:v>
      </x:c>
      <x:c r="H1655" s="120" t="str">
        <x:v>The test may challenge attachment to reward, companions, identity, or moral certainty.</x:v>
      </x:c>
      <x:c r="I1655" s="120" t="str">
        <x:v>heavenward journey; last companion test; final judgment ascent</x:v>
      </x:c>
      <x:c r="J1655" s="120" t="str">
        <x:v>closure, apotheosis, ethical revelation</x:v>
      </x:c>
      <x:c r="K1655" s="120" t="str">
        <x:v>final ascent; last recognition test</x:v>
      </x:c>
      <x:c r="L1655" s="120" t="str">
        <x:v>Preserve source-specific terminology, metaphysics, ritual context, and cultural ownership; use this family for comparison, not as a claim of historical equivalence.</x:v>
      </x:c>
      <x:c r="M1655" s="120" t="str">
        <x:v>Framework core</x:v>
      </x:c>
    </x:row>
    <x:row r="1656" ht="44" customHeight="1">
      <x:c r="A1656" s="119" t="str">
        <x:v>NAR-452</x:v>
      </x:c>
      <x:c r="B1656" s="120" t="str">
        <x:v>Conflict of Duties</x:v>
      </x:c>
      <x:c r="C1656" s="120" t="str">
        <x:v>Narrative Archetypes</x:v>
      </x:c>
      <x:c r="D1656" s="120" t="str">
        <x:v>NAR-100</x:v>
      </x:c>
      <x:c r="E1656" s="120" t="str">
        <x:f>IF(D1656="","",IFERROR(VLOOKUP(D1656,$A$2:$B$1656,2,FALSE),""))</x:f>
        <x:v>Hero and Protagonist Archetypes</x:v>
      </x:c>
      <x:c r="F1656" s="120" t="n">
        <x:v>3</x:v>
      </x:c>
      <x:c r="G1656" s="120" t="str">
        <x:v>A protagonist or major figure must choose among incompatible duties to kin, ruler, teacher, friend, oath, law, conscience, vocation, or cosmic order.</x:v>
      </x:c>
      <x:c r="H1656" s="120" t="str">
        <x:v>The conflict is not simply good versus evil; each obligation has legitimate force and no choice preserves all relationships.</x:v>
      </x:c>
      <x:c r="I1656" s="120" t="str">
        <x:v>kin versus justice; oath versus compassion; teacher versus kingdom</x:v>
      </x:c>
      <x:c r="J1656" s="120" t="str">
        <x:v>ethical drama, tragedy, character definition</x:v>
      </x:c>
      <x:c r="K1656" s="120" t="str">
        <x:v>conflict of duties; divided obligation</x:v>
      </x:c>
      <x:c r="L1656" s="120" t="str">
        <x:v>Preserve source-specific terminology, metaphysics, ritual context, and cultural ownership; use this family for comparison, not as a claim of historical equivalence.</x:v>
      </x:c>
      <x:c r="M1656" s="120" t="str">
        <x:v>Framework core</x:v>
      </x:c>
    </x:row>
  </x:sheetData>
  <x:conditionalFormatting sqref="C2:C1226">
    <x:cfRule type="expression" dxfId="0" priority="1">
      <x:formula>$C2="People &amp; Beings"</x:formula>
    </x:cfRule>
    <x:cfRule type="expression" dxfId="1" priority="2">
      <x:formula>$C2="Roles &amp; Vocations"</x:formula>
    </x:cfRule>
    <x:cfRule type="expression" dxfId="2" priority="3">
      <x:formula>$C2="Power Traditions"</x:formula>
    </x:cfRule>
    <x:cfRule type="expression" dxfId="3" priority="4">
      <x:formula>$C2="States &amp; Transformations"</x:formula>
    </x:cfRule>
    <x:cfRule type="expression" dxfId="4" priority="5">
      <x:formula>$C2="Institutions &amp; Affiliations"</x:formula>
    </x:cfRule>
    <x:cfRule type="expression" dxfId="5" priority="6">
      <x:formula>$C2="Narrative Archetypes"</x:formula>
    </x:cfRule>
    <x:cfRule type="expression" dxfId="6" priority="7">
      <x:formula>$C2="Civilization &amp; Culture Archetypes"</x:formula>
    </x:cfRule>
    <x:cfRule type="expression" dxfId="7" priority="8">
      <x:formula>$C2="Game-Mechanical Archetypes"</x:formula>
    </x:cfRule>
  </x:conditionalFormatting>
  <x:dataValidations count="1">
    <x:dataValidation type="list" sqref="M2:M1226">
      <x:formula1>"Domain Root,Category,Core Family,Deprecated / merged"</x:formula1>
    </x:dataValidation>
  </x:dataValidations>
  <x:pageMargins left="0.7" right="0.7" top="0.75" bottom="0.75" header="0.3" footer="0.3"/>
  <x:tableParts count="1">
    <x:tablePart xmlns:r="http://schemas.openxmlformats.org/officeDocument/2006/relationships" r:id="R044cfbb95b8f432b"/>
  </x:tableParts>
</x:worksheet>
</file>

<file path=xl/worksheets/sheet3.xml><?xml version="1.0" encoding="utf-8"?>
<x:worksheet xmlns:x="http://schemas.openxmlformats.org/spreadsheetml/2006/main">
  <x:sheetFormatPr defaultRowHeight="15"/>
  <x:cols>
    <x:col min="1" max="1" width="12" hidden="0" customWidth="1"/>
    <x:col min="2" max="2" width="34" hidden="0" customWidth="1"/>
    <x:col min="3" max="3" width="32" hidden="0" customWidth="1"/>
    <x:col min="4" max="4" width="28" hidden="0" customWidth="1"/>
    <x:col min="5" max="5" width="28" hidden="0" customWidth="1"/>
    <x:col min="6" max="6" width="18" hidden="0" customWidth="1"/>
    <x:col min="7" max="7" width="38" hidden="0" customWidth="1"/>
    <x:col min="8" max="8" width="12" hidden="0" customWidth="1"/>
    <x:col min="9" max="9" width="50" hidden="0" customWidth="1"/>
    <x:col min="10" max="10" width="42" hidden="0" customWidth="1"/>
    <x:col min="11" max="11" width="46" hidden="0" customWidth="1"/>
    <x:col min="12" max="12" width="14" hidden="0" customWidth="1"/>
  </x:cols>
  <x:sheetData>
    <x:row r="1" ht="34" customHeight="1">
      <x:c r="A1" s="31" t="str">
        <x:v>Source_ID</x:v>
      </x:c>
      <x:c r="B1" s="31" t="str">
        <x:v>Title_or_Franchise</x:v>
      </x:c>
      <x:c r="C1" s="31" t="str">
        <x:v>Creator_Studio</x:v>
      </x:c>
      <x:c r="D1" s="31" t="str">
        <x:v>Medium</x:v>
      </x:c>
      <x:c r="E1" s="31" t="str">
        <x:v>Region_Tradition</x:v>
      </x:c>
      <x:c r="F1" s="31" t="str">
        <x:v>First_Appearance</x:v>
      </x:c>
      <x:c r="G1" s="31" t="str">
        <x:v>Continuity_Unit</x:v>
      </x:c>
      <x:c r="H1" s="31" t="str">
        <x:v>Priority_Tier</x:v>
      </x:c>
      <x:c r="I1" s="31" t="str">
        <x:v>Distinctive_Contribution</x:v>
      </x:c>
      <x:c r="J1" s="31" t="str">
        <x:v>Scope_Note</x:v>
      </x:c>
      <x:c r="K1" s="31" t="str">
        <x:v>Reference_URL</x:v>
      </x:c>
      <x:c r="L1" s="31" t="str">
        <x:v>Status</x:v>
      </x:c>
    </x:row>
    <x:row r="2" ht="42" customHeight="1">
      <x:c r="A2" s="24" t="str">
        <x:v>SRC-001</x:v>
      </x:c>
      <x:c r="B2" s="24" t="str">
        <x:v>Ancient Greek Mythology</x:v>
      </x:c>
      <x:c r="C2" s="24" t="str">
        <x:v>Multiple oral and literary traditions</x:v>
      </x:c>
      <x:c r="D2" s="24" t="str">
        <x:v>Mythology / Folklore</x:v>
      </x:c>
      <x:c r="E2" s="24" t="str">
        <x:v>Mediterranean / Greek</x:v>
      </x:c>
      <x:c r="F2" s="24" t="str">
        <x:v>Archaic–Classical antiquity</x:v>
      </x:c>
      <x:c r="G2" s="24" t="str">
        <x:v>Culture-specific corpus</x:v>
      </x:c>
      <x:c r="H2" s="24" t="str">
        <x:v>Tier 1</x:v>
      </x:c>
      <x:c r="I2" s="24" t="str">
        <x:v>Gods, demigods, heroes, monsters, nymphs, underworld journeys, metamorphosis, prophecy.</x:v>
      </x:c>
      <x:c r="J2" s="24" t="str">
        <x:v>Treat adaptations/editions separately when taxonomically material.</x:v>
      </x:c>
      <x:c r="K2" s="84" t="str">
        <x:v>https://en.wikipedia.org/wiki/Ancient_Greek_Mythology</x:v>
      </x:c>
      <x:c r="L2" s="24" t="str">
        <x:v>Included</x:v>
      </x:c>
    </x:row>
    <x:row r="3" ht="42" customHeight="1">
      <x:c r="A3" s="24" t="str">
        <x:v>SRC-002</x:v>
      </x:c>
      <x:c r="B3" s="24" t="str">
        <x:v>Norse Mythology</x:v>
      </x:c>
      <x:c r="C3" s="24" t="str">
        <x:v>Old Norse oral and literary traditions</x:v>
      </x:c>
      <x:c r="D3" s="24" t="str">
        <x:v>Mythology / Folklore</x:v>
      </x:c>
      <x:c r="E3" s="24" t="str">
        <x:v>Northern Europe / Norse</x:v>
      </x:c>
      <x:c r="F3" s="24" t="str">
        <x:v>Medieval textual witnesses</x:v>
      </x:c>
      <x:c r="G3" s="24" t="str">
        <x:v>Poetic Edda, Prose Edda, sagas</x:v>
      </x:c>
      <x:c r="H3" s="24" t="str">
        <x:v>Tier 1</x:v>
      </x:c>
      <x:c r="I3" s="24" t="str">
        <x:v>Jötnar, elves, dwarfs, draugr, world serpent, valkyries, fate, cyclical apocalypse.</x:v>
      </x:c>
      <x:c r="J3" s="24" t="str">
        <x:v>Treat adaptations/editions separately when taxonomically material.</x:v>
      </x:c>
      <x:c r="K3" s="84" t="str">
        <x:v>https://en.wikipedia.org/wiki/Norse_Mythology</x:v>
      </x:c>
      <x:c r="L3" s="24" t="str">
        <x:v>Included</x:v>
      </x:c>
    </x:row>
    <x:row r="4" ht="42" customHeight="1">
      <x:c r="A4" s="24" t="str">
        <x:v>SRC-003</x:v>
      </x:c>
      <x:c r="B4" s="24" t="str">
        <x:v>Irish Mythological Cycle</x:v>
      </x:c>
      <x:c r="C4" s="24" t="str">
        <x:v>Irish oral and manuscript traditions</x:v>
      </x:c>
      <x:c r="D4" s="24" t="str">
        <x:v>Mythology / Folklore</x:v>
      </x:c>
      <x:c r="E4" s="24" t="str">
        <x:v>Ireland</x:v>
      </x:c>
      <x:c r="F4" s="24" t="str">
        <x:v>Medieval textual witnesses</x:v>
      </x:c>
      <x:c r="G4" s="24" t="str">
        <x:v>Mythological, Ulster, Fenian, and Kings' cycles</x:v>
      </x:c>
      <x:c r="H4" s="24" t="str">
        <x:v>Tier 1</x:v>
      </x:c>
      <x:c r="I4" s="24" t="str">
        <x:v>Otherworld peoples, geasa, heroic warbands, sovereignty, transformation, fairy mounds.</x:v>
      </x:c>
      <x:c r="J4" s="24" t="str">
        <x:v>Treat adaptations/editions separately when taxonomically material.</x:v>
      </x:c>
      <x:c r="K4" s="84" t="str">
        <x:v>https://en.wikipedia.org/wiki/Irish_Mythological_Cycle</x:v>
      </x:c>
      <x:c r="L4" s="24" t="str">
        <x:v>Included</x:v>
      </x:c>
    </x:row>
    <x:row r="5" ht="42" customHeight="1">
      <x:c r="A5" s="24" t="str">
        <x:v>SRC-004</x:v>
      </x:c>
      <x:c r="B5" s="24" t="str">
        <x:v>The Mabinogion</x:v>
      </x:c>
      <x:c r="C5" s="24" t="str">
        <x:v>Medieval Welsh authors and oral traditions</x:v>
      </x:c>
      <x:c r="D5" s="24" t="str">
        <x:v>Literature / Mythic Cycle</x:v>
      </x:c>
      <x:c r="E5" s="24" t="str">
        <x:v>Wales</x:v>
      </x:c>
      <x:c r="F5" s="24" t="str">
        <x:v>12th–14th centuries</x:v>
      </x:c>
      <x:c r="G5" s="24" t="str">
        <x:v>Welsh tale collection</x:v>
      </x:c>
      <x:c r="H5" s="24" t="str">
        <x:v>Tier 1</x:v>
      </x:c>
      <x:c r="I5" s="24" t="str">
        <x:v>Otherworld journeys, enchantment, shapechange, cursed sovereignty, heroic kinship.</x:v>
      </x:c>
      <x:c r="J5" s="24" t="str">
        <x:v>Treat adaptations/editions separately when taxonomically material.</x:v>
      </x:c>
      <x:c r="K5" s="84" t="str">
        <x:v>https://en.wikipedia.org/wiki/The_Mabinogion</x:v>
      </x:c>
      <x:c r="L5" s="24" t="str">
        <x:v>Included</x:v>
      </x:c>
    </x:row>
    <x:row r="6" ht="42" customHeight="1">
      <x:c r="A6" s="24" t="str">
        <x:v>SRC-005</x:v>
      </x:c>
      <x:c r="B6" s="24" t="str">
        <x:v>Arthurian Legend</x:v>
      </x:c>
      <x:c r="C6" s="24" t="str">
        <x:v>Multiple medieval and later authors</x:v>
      </x:c>
      <x:c r="D6" s="24" t="str">
        <x:v>Literature / Mythic Cycle</x:v>
      </x:c>
      <x:c r="E6" s="24" t="str">
        <x:v>Britain / France / Europe</x:v>
      </x:c>
      <x:c r="F6" s="24" t="str">
        <x:v>12th century onward</x:v>
      </x:c>
      <x:c r="G6" s="24" t="str">
        <x:v>Romance tradition</x:v>
      </x:c>
      <x:c r="H6" s="24" t="str">
        <x:v>Tier 1</x:v>
      </x:c>
      <x:c r="I6" s="24" t="str">
        <x:v>Knights, quests, holy relics, enchanted weapons, courtly orders, grail patterns.</x:v>
      </x:c>
      <x:c r="J6" s="24" t="str">
        <x:v>Treat adaptations/editions separately when taxonomically material.</x:v>
      </x:c>
      <x:c r="K6" s="84" t="str">
        <x:v>https://en.wikipedia.org/wiki/Arthurian_Legend</x:v>
      </x:c>
      <x:c r="L6" s="24" t="str">
        <x:v>Included</x:v>
      </x:c>
    </x:row>
    <x:row r="7" ht="42" customHeight="1">
      <x:c r="A7" s="24" t="str">
        <x:v>SRC-006</x:v>
      </x:c>
      <x:c r="B7" s="24" t="str">
        <x:v>Kalevala</x:v>
      </x:c>
      <x:c r="C7" s="24" t="str">
        <x:v>Compiled by Elias Lönnrot from Finnish and Karelian oral poetry</x:v>
      </x:c>
      <x:c r="D7" s="24" t="str">
        <x:v>Epic / Folklore</x:v>
      </x:c>
      <x:c r="E7" s="24" t="str">
        <x:v>Finland / Karelia</x:v>
      </x:c>
      <x:c r="F7" s="24" t="str">
        <x:v>1835/1849</x:v>
      </x:c>
      <x:c r="G7" s="24" t="str">
        <x:v>National epic compilation</x:v>
      </x:c>
      <x:c r="H7" s="24" t="str">
        <x:v>Tier 1</x:v>
      </x:c>
      <x:c r="I7" s="24" t="str">
        <x:v>Song magic, smithing, shamanic heroes, artifact quest, rival cultures.</x:v>
      </x:c>
      <x:c r="J7" s="24" t="str">
        <x:v>Treat adaptations/editions separately when taxonomically material.</x:v>
      </x:c>
      <x:c r="K7" s="84" t="str">
        <x:v>https://en.wikipedia.org/wiki/Kalevala</x:v>
      </x:c>
      <x:c r="L7" s="24" t="str">
        <x:v>Included</x:v>
      </x:c>
    </x:row>
    <x:row r="8" ht="42" customHeight="1">
      <x:c r="A8" s="24" t="str">
        <x:v>SRC-007</x:v>
      </x:c>
      <x:c r="B8" s="24" t="str">
        <x:v>Slavic Folklore</x:v>
      </x:c>
      <x:c r="C8" s="24" t="str">
        <x:v>Multiple regional traditions</x:v>
      </x:c>
      <x:c r="D8" s="24" t="str">
        <x:v>Mythology / Folklore</x:v>
      </x:c>
      <x:c r="E8" s="24" t="str">
        <x:v>Eastern and Central Europe</x:v>
      </x:c>
      <x:c r="F8" s="24" t="str">
        <x:v>Premodern and modern collections</x:v>
      </x:c>
      <x:c r="G8" s="24" t="str">
        <x:v>Culture-specific corpus</x:v>
      </x:c>
      <x:c r="H8" s="24" t="str">
        <x:v>Tier 1</x:v>
      </x:c>
      <x:c r="I8" s="24" t="str">
        <x:v>Vampiric revenants, household spirits, witches, forest beings, dragons, deathless sorcerers.</x:v>
      </x:c>
      <x:c r="J8" s="24" t="str">
        <x:v>Treat adaptations/editions separately when taxonomically material.</x:v>
      </x:c>
      <x:c r="K8" s="84" t="str">
        <x:v>https://en.wikipedia.org/wiki/Slavic_Folklore</x:v>
      </x:c>
      <x:c r="L8" s="24" t="str">
        <x:v>Included</x:v>
      </x:c>
    </x:row>
    <x:row r="9" ht="42" customHeight="1">
      <x:c r="A9" s="24" t="str">
        <x:v>SRC-008</x:v>
      </x:c>
      <x:c r="B9" s="24" t="str">
        <x:v>Grimm Fairy Tales</x:v>
      </x:c>
      <x:c r="C9" s="24" t="str">
        <x:v>Jacob and Wilhelm Grimm, collectors/editors</x:v>
      </x:c>
      <x:c r="D9" s="24" t="str">
        <x:v>Fairy Tale Collection</x:v>
      </x:c>
      <x:c r="E9" s="24" t="str">
        <x:v>German-speaking Europe</x:v>
      </x:c>
      <x:c r="F9" s="24" t="str">
        <x:v>1812 onward</x:v>
      </x:c>
      <x:c r="G9" s="24" t="str">
        <x:v>Multiple editions</x:v>
      </x:c>
      <x:c r="H9" s="24" t="str">
        <x:v>Tier 1</x:v>
      </x:c>
      <x:c r="I9" s="24" t="str">
        <x:v>Witches, enchanted animals, curses, helpers, trials, transformed royals, household magic.</x:v>
      </x:c>
      <x:c r="J9" s="24" t="str">
        <x:v>Treat adaptations/editions separately when taxonomically material.</x:v>
      </x:c>
      <x:c r="K9" s="84" t="str">
        <x:v>https://en.wikipedia.org/wiki/Grimm_Fairy_Tales</x:v>
      </x:c>
      <x:c r="L9" s="24" t="str">
        <x:v>Included</x:v>
      </x:c>
    </x:row>
    <x:row r="10" ht="42" customHeight="1">
      <x:c r="A10" s="24" t="str">
        <x:v>SRC-009</x:v>
      </x:c>
      <x:c r="B10" s="24" t="str">
        <x:v>One Thousand and One Nights</x:v>
      </x:c>
      <x:c r="C10" s="24" t="str">
        <x:v>Multiple Arabic, Persian, South Asian, and later compilers</x:v>
      </x:c>
      <x:c r="D10" s="24" t="str">
        <x:v>Frame Tale / Folklore</x:v>
      </x:c>
      <x:c r="E10" s="24" t="str">
        <x:v>Middle East / South Asia</x:v>
      </x:c>
      <x:c r="F10" s="24" t="str">
        <x:v>Medieval compilation</x:v>
      </x:c>
      <x:c r="G10" s="24" t="str">
        <x:v>Multiple manuscript and translation traditions</x:v>
      </x:c>
      <x:c r="H10" s="24" t="str">
        <x:v>Tier 1</x:v>
      </x:c>
      <x:c r="I10" s="24" t="str">
        <x:v>Djinn, sorcerers, talismans, magical travel, tricksters, merchants, nested stories.</x:v>
      </x:c>
      <x:c r="J10" s="24" t="str">
        <x:v>Treat adaptations/editions separately when taxonomically material.</x:v>
      </x:c>
      <x:c r="K10" s="84" t="str">
        <x:v>https://en.wikipedia.org/wiki/One_Thousand_and_One_Nights</x:v>
      </x:c>
      <x:c r="L10" s="24" t="str">
        <x:v>Included</x:v>
      </x:c>
    </x:row>
    <x:row r="11" ht="42" customHeight="1">
      <x:c r="A11" s="24" t="str">
        <x:v>SRC-010</x:v>
      </x:c>
      <x:c r="B11" s="24" t="str">
        <x:v>Jinn Traditions</x:v>
      </x:c>
      <x:c r="C11" s="24" t="str">
        <x:v>Arabic and Islamic religious, folkloric, and literary traditions</x:v>
      </x:c>
      <x:c r="D11" s="24" t="str">
        <x:v>Mythology / Folklore</x:v>
      </x:c>
      <x:c r="E11" s="24" t="str">
        <x:v>Middle East / Islamic world</x:v>
      </x:c>
      <x:c r="F11" s="24" t="str">
        <x:v>Qur'anic and later traditions</x:v>
      </x:c>
      <x:c r="G11" s="24" t="str">
        <x:v>Culture-specific corpus</x:v>
      </x:c>
      <x:c r="H11" s="24" t="str">
        <x:v>Tier 1</x:v>
      </x:c>
      <x:c r="I11" s="24" t="str">
        <x:v>Spirit personhood, free will, binding, possession, fire origins, parallel societies.</x:v>
      </x:c>
      <x:c r="J11" s="24" t="str">
        <x:v>Treat adaptations/editions separately when taxonomically material.</x:v>
      </x:c>
      <x:c r="K11" s="84" t="str">
        <x:v>https://en.wikipedia.org/wiki/Jinn_Traditions</x:v>
      </x:c>
      <x:c r="L11" s="24" t="str">
        <x:v>Included</x:v>
      </x:c>
    </x:row>
    <x:row r="12" ht="42" customHeight="1">
      <x:c r="A12" s="24" t="str">
        <x:v>SRC-011</x:v>
      </x:c>
      <x:c r="B12" s="24" t="str">
        <x:v>Shahnameh</x:v>
      </x:c>
      <x:c r="C12" s="24" t="str">
        <x:v>Ferdowsi</x:v>
      </x:c>
      <x:c r="D12" s="24" t="str">
        <x:v>Epic Literature</x:v>
      </x:c>
      <x:c r="E12" s="24" t="str">
        <x:v>Persian / Iranian</x:v>
      </x:c>
      <x:c r="F12" s="24" t="str">
        <x:v>c. 1010</x:v>
      </x:c>
      <x:c r="G12" s="24" t="str">
        <x:v>Persian epic</x:v>
      </x:c>
      <x:c r="H12" s="24" t="str">
        <x:v>Tier 1</x:v>
      </x:c>
      <x:c r="I12" s="24" t="str">
        <x:v>Heroic warriors, kingship, demons, magical birds, tragic champions, dynastic cycles.</x:v>
      </x:c>
      <x:c r="J12" s="24" t="str">
        <x:v>Treat adaptations/editions separately when taxonomically material.</x:v>
      </x:c>
      <x:c r="K12" s="84" t="str">
        <x:v>https://en.wikipedia.org/wiki/Shahnameh</x:v>
      </x:c>
      <x:c r="L12" s="24" t="str">
        <x:v>Included</x:v>
      </x:c>
    </x:row>
    <x:row r="13" ht="42" customHeight="1">
      <x:c r="A13" s="24" t="str">
        <x:v>SRC-012</x:v>
      </x:c>
      <x:c r="B13" s="24" t="str">
        <x:v>Epic of Gilgamesh</x:v>
      </x:c>
      <x:c r="C13" s="24" t="str">
        <x:v>Ancient Mesopotamian authors</x:v>
      </x:c>
      <x:c r="D13" s="24" t="str">
        <x:v>Epic Literature</x:v>
      </x:c>
      <x:c r="E13" s="24" t="str">
        <x:v>Mesopotamia</x:v>
      </x:c>
      <x:c r="F13" s="24" t="str">
        <x:v>2nd millennium BCE textual forms</x:v>
      </x:c>
      <x:c r="G13" s="24" t="str">
        <x:v>Akkadian and earlier traditions</x:v>
      </x:c>
      <x:c r="H13" s="24" t="str">
        <x:v>Tier 1</x:v>
      </x:c>
      <x:c r="I13" s="24" t="str">
        <x:v>Hero-king, wild companion, monster guardians, divine conflict, immortality quest.</x:v>
      </x:c>
      <x:c r="J13" s="24" t="str">
        <x:v>Treat adaptations/editions separately when taxonomically material.</x:v>
      </x:c>
      <x:c r="K13" s="84" t="str">
        <x:v>https://en.wikipedia.org/wiki/Epic_of_Gilgamesh</x:v>
      </x:c>
      <x:c r="L13" s="24" t="str">
        <x:v>Included</x:v>
      </x:c>
    </x:row>
    <x:row r="14" ht="42" customHeight="1">
      <x:c r="A14" s="24" t="str">
        <x:v>SRC-013</x:v>
      </x:c>
      <x:c r="B14" s="24" t="str">
        <x:v>Ancient Egyptian Mythology</x:v>
      </x:c>
      <x:c r="C14" s="24" t="str">
        <x:v>Multiple temple and literary traditions</x:v>
      </x:c>
      <x:c r="D14" s="24" t="str">
        <x:v>Mythology / Folklore</x:v>
      </x:c>
      <x:c r="E14" s="24" t="str">
        <x:v>Ancient Egypt</x:v>
      </x:c>
      <x:c r="F14" s="24" t="str">
        <x:v>Pharaonic periods</x:v>
      </x:c>
      <x:c r="G14" s="24" t="str">
        <x:v>Culture-specific corpus</x:v>
      </x:c>
      <x:c r="H14" s="24" t="str">
        <x:v>Tier 2</x:v>
      </x:c>
      <x:c r="I14" s="24" t="str">
        <x:v>Divine kingship, animal-headed gods, afterlife judgment, resurrection, sacred names.</x:v>
      </x:c>
      <x:c r="J14" s="24" t="str">
        <x:v>Treat adaptations/editions separately when taxonomically material.</x:v>
      </x:c>
      <x:c r="K14" s="84" t="str">
        <x:v>https://en.wikipedia.org/wiki/Ancient_Egyptian_Mythology</x:v>
      </x:c>
      <x:c r="L14" s="24" t="str">
        <x:v>Included</x:v>
      </x:c>
    </x:row>
    <x:row r="15" ht="42" customHeight="1">
      <x:c r="A15" s="24" t="str">
        <x:v>SRC-014</x:v>
      </x:c>
      <x:c r="B15" s="24" t="str">
        <x:v>Mahābhārata (epic tradition)</x:v>
      </x:c>
      <x:c r="C15" s="24" t="str">
        <x:v>Multiple authors, reciters, redactors, and regional traditions</x:v>
      </x:c>
      <x:c r="D15" s="24" t="str">
        <x:v>Epic Literature / Sacred Narrative</x:v>
      </x:c>
      <x:c r="E15" s="24" t="str">
        <x:v>South Asia / Sanskrit and regional traditions</x:v>
      </x:c>
      <x:c r="F15" s="24" t="str">
        <x:v>Layered composition, approximately 400 BCE–400 CE, with older oral materials</x:v>
      </x:c>
      <x:c r="G15" s="24" t="str">
        <x:v>Umbrella source complex: Sanskrit textual traditions, regional and vernacular retellings, performance, commentary, and modern adaptation layers</x:v>
      </x:c>
      <x:c r="H15" s="24" t="str">
        <x:v>Tier 1</x:v>
      </x:c>
      <x:c r="I15" s="24" t="str">
        <x:v>Divine and semi-divine beings, dynastic and kinship orders, chariot warfare, vows, boons, curses, ascetic power, sacred weapons, dharma conflicts, cosmic time, death and rebirth, and layered narrative authority.</x:v>
      </x:c>
      <x:c r="J15" s="24" t="str">
        <x:v>Umbrella record only. Do not treat the BORI Critical Edition, individual manuscripts, regional retellings, devotional traditions, performance traditions, translations, or modern adaptations as one interchangeable continuity.</x:v>
      </x:c>
      <x:c r="K15" s="84" t="str">
        <x:v>https://bori.ac.in/department/mahabharata/</x:v>
      </x:c>
      <x:c r="L15" s="24" t="str">
        <x:v>Included</x:v>
      </x:c>
    </x:row>
    <x:row r="16" ht="42" customHeight="1">
      <x:c r="A16" s="24" t="str">
        <x:v>SRC-015</x:v>
      </x:c>
      <x:c r="B16" s="24" t="str">
        <x:v>Ramayana</x:v>
      </x:c>
      <x:c r="C16" s="24" t="str">
        <x:v>Traditionally attributed to Valmiki; many regional traditions</x:v>
      </x:c>
      <x:c r="D16" s="24" t="str">
        <x:v>Epic Literature</x:v>
      </x:c>
      <x:c r="E16" s="24" t="str">
        <x:v>South and Southeast Asia</x:v>
      </x:c>
      <x:c r="F16" s="24" t="str">
        <x:v>Ancient with later versions</x:v>
      </x:c>
      <x:c r="G16" s="24" t="str">
        <x:v>Multiple regional continuities</x:v>
      </x:c>
      <x:c r="H16" s="24" t="str">
        <x:v>Tier 1</x:v>
      </x:c>
      <x:c r="I16" s="24" t="str">
        <x:v>Divine hero, demon kingdom, monkey and bear allies, sacred weapons, exile and return.</x:v>
      </x:c>
      <x:c r="J16" s="24" t="str">
        <x:v>Treat adaptations/editions separately when taxonomically material.</x:v>
      </x:c>
      <x:c r="K16" s="84" t="str">
        <x:v>https://en.wikipedia.org/wiki/Ramayana</x:v>
      </x:c>
      <x:c r="L16" s="24" t="str">
        <x:v>Included</x:v>
      </x:c>
    </x:row>
    <x:row r="17" ht="42" customHeight="1">
      <x:c r="A17" s="24" t="str">
        <x:v>SRC-016</x:v>
      </x:c>
      <x:c r="B17" s="24" t="str">
        <x:v>Journey to the West</x:v>
      </x:c>
      <x:c r="C17" s="24" t="str">
        <x:v>Wu Cheng'en (traditional attribution)</x:v>
      </x:c>
      <x:c r="D17" s="24" t="str">
        <x:v>Novel / Mythic Fantasy</x:v>
      </x:c>
      <x:c r="E17" s="24" t="str">
        <x:v>China</x:v>
      </x:c>
      <x:c r="F17" s="24" t="str">
        <x:v>16th century</x:v>
      </x:c>
      <x:c r="G17" s="24" t="str">
        <x:v>Chinese novel and adaptations</x:v>
      </x:c>
      <x:c r="H17" s="24" t="str">
        <x:v>Tier 1</x:v>
      </x:c>
      <x:c r="I17" s="24" t="str">
        <x:v>Immortals, demons, shapeshifters, pilgrimage party, cultivation, magical weapons.</x:v>
      </x:c>
      <x:c r="J17" s="24" t="str">
        <x:v>Treat adaptations/editions separately when taxonomically material.</x:v>
      </x:c>
      <x:c r="K17" s="84" t="str">
        <x:v>https://en.wikipedia.org/wiki/Journey_to_the_West</x:v>
      </x:c>
      <x:c r="L17" s="24" t="str">
        <x:v>Included</x:v>
      </x:c>
    </x:row>
    <x:row r="18" ht="42" customHeight="1">
      <x:c r="A18" s="24" t="str">
        <x:v>SRC-017</x:v>
      </x:c>
      <x:c r="B18" s="24" t="str">
        <x:v>Investiture of the Gods</x:v>
      </x:c>
      <x:c r="C18" s="24" t="str">
        <x:v>Xu Zhonglin (traditional attribution)</x:v>
      </x:c>
      <x:c r="D18" s="24" t="str">
        <x:v>Novel / Mythic Fantasy</x:v>
      </x:c>
      <x:c r="E18" s="24" t="str">
        <x:v>China</x:v>
      </x:c>
      <x:c r="F18" s="24" t="str">
        <x:v>16th century</x:v>
      </x:c>
      <x:c r="G18" s="24" t="str">
        <x:v>Chinese novel and adaptations</x:v>
      </x:c>
      <x:c r="H18" s="24" t="str">
        <x:v>Tier 1</x:v>
      </x:c>
      <x:c r="I18" s="24" t="str">
        <x:v>God-making, immortals, sects, talismans, divine weapons, cosmic bureaucracy.</x:v>
      </x:c>
      <x:c r="J18" s="24" t="str">
        <x:v>Treat adaptations/editions separately when taxonomically material.</x:v>
      </x:c>
      <x:c r="K18" s="84" t="str">
        <x:v>https://en.wikipedia.org/wiki/Investiture_of_the_Gods</x:v>
      </x:c>
      <x:c r="L18" s="24" t="str">
        <x:v>Included</x:v>
      </x:c>
    </x:row>
    <x:row r="19" ht="42" customHeight="1">
      <x:c r="A19" s="24" t="str">
        <x:v>SRC-018</x:v>
      </x:c>
      <x:c r="B19" s="24" t="str">
        <x:v>Chinese Xianxia and Cultivation Tradition</x:v>
      </x:c>
      <x:c r="C19" s="24" t="str">
        <x:v>Multiple authors</x:v>
      </x:c>
      <x:c r="D19" s="24" t="str">
        <x:v>Literary / Media Tradition</x:v>
      </x:c>
      <x:c r="E19" s="24" t="str">
        <x:v>China</x:v>
      </x:c>
      <x:c r="F19" s="24" t="str">
        <x:v>20th–21st centuries</x:v>
      </x:c>
      <x:c r="G19" s="24" t="str">
        <x:v>Genre complex</x:v>
      </x:c>
      <x:c r="H19" s="24" t="str">
        <x:v>Tier 1</x:v>
      </x:c>
      <x:c r="I19" s="24" t="str">
        <x:v>Cultivation realms, sects, qi, talismans, alchemy, immortality, heavenly tribulation.</x:v>
      </x:c>
      <x:c r="J19" s="24" t="str">
        <x:v>Treat adaptations/editions separately when taxonomically material.</x:v>
      </x:c>
      <x:c r="K19" s="84" t="str">
        <x:v>https://en.wikipedia.org/wiki/Chinese_Xianxia_and_Cultivation_Tradition</x:v>
      </x:c>
      <x:c r="L19" s="24" t="str">
        <x:v>Included</x:v>
      </x:c>
    </x:row>
    <x:row r="20" ht="42" customHeight="1">
      <x:c r="A20" s="24" t="str">
        <x:v>SRC-019</x:v>
      </x:c>
      <x:c r="B20" s="24" t="str">
        <x:v>Japanese Yōkai and Kami Traditions</x:v>
      </x:c>
      <x:c r="C20" s="24" t="str">
        <x:v>Multiple religious, folkloric, and artistic traditions</x:v>
      </x:c>
      <x:c r="D20" s="24" t="str">
        <x:v>Mythology / Folklore</x:v>
      </x:c>
      <x:c r="E20" s="24" t="str">
        <x:v>Japan</x:v>
      </x:c>
      <x:c r="F20" s="24" t="str">
        <x:v>Premodern to present</x:v>
      </x:c>
      <x:c r="G20" s="24" t="str">
        <x:v>Culture-specific corpus</x:v>
      </x:c>
      <x:c r="H20" s="24" t="str">
        <x:v>Tier 1</x:v>
      </x:c>
      <x:c r="I20" s="24" t="str">
        <x:v>Kami, yōkai, oni, tengu, kitsune, tsukumogami, miko, onmyōji.</x:v>
      </x:c>
      <x:c r="J20" s="24" t="str">
        <x:v>Treat adaptations/editions separately when taxonomically material.</x:v>
      </x:c>
      <x:c r="K20" s="84" t="str">
        <x:v>https://en.wikipedia.org/wiki/Japanese_Y%C5%8Dkai_and_Kami_Traditions</x:v>
      </x:c>
      <x:c r="L20" s="24" t="str">
        <x:v>Included</x:v>
      </x:c>
    </x:row>
    <x:row r="21" ht="42" customHeight="1">
      <x:c r="A21" s="24" t="str">
        <x:v>SRC-020</x:v>
      </x:c>
      <x:c r="B21" s="24" t="str">
        <x:v>Korean Mythology and Folklore</x:v>
      </x:c>
      <x:c r="C21" s="24" t="str">
        <x:v>Multiple regional traditions</x:v>
      </x:c>
      <x:c r="D21" s="24" t="str">
        <x:v>Mythology / Folklore</x:v>
      </x:c>
      <x:c r="E21" s="24" t="str">
        <x:v>Korea</x:v>
      </x:c>
      <x:c r="F21" s="24" t="str">
        <x:v>Premodern to present</x:v>
      </x:c>
      <x:c r="G21" s="24" t="str">
        <x:v>Culture-specific corpus</x:v>
      </x:c>
      <x:c r="H21" s="24" t="str">
        <x:v>Tier 2</x:v>
      </x:c>
      <x:c r="I21" s="24" t="str">
        <x:v>Gumiho, dokkaebi, mountain spirits, shamans, underworld journeys, household beings.</x:v>
      </x:c>
      <x:c r="J21" s="24" t="str">
        <x:v>Treat adaptations/editions separately when taxonomically material.</x:v>
      </x:c>
      <x:c r="K21" s="84" t="str">
        <x:v>https://en.wikipedia.org/wiki/Korean_Mythology_and_Folklore</x:v>
      </x:c>
      <x:c r="L21" s="24" t="str">
        <x:v>Included</x:v>
      </x:c>
    </x:row>
    <x:row r="22" ht="42" customHeight="1">
      <x:c r="A22" s="24" t="str">
        <x:v>SRC-021</x:v>
      </x:c>
      <x:c r="B22" s="24" t="str">
        <x:v>Popol Vuh</x:v>
      </x:c>
      <x:c r="C22" s="24" t="str">
        <x:v>K'iche' Maya authors and traditions</x:v>
      </x:c>
      <x:c r="D22" s="24" t="str">
        <x:v>Epic / Sacred Narrative</x:v>
      </x:c>
      <x:c r="E22" s="24" t="str">
        <x:v>Mesoamerica / K'iche' Maya</x:v>
      </x:c>
      <x:c r="F22" s="24" t="str">
        <x:v>16th-century manuscript of older traditions</x:v>
      </x:c>
      <x:c r="G22" s="24" t="str">
        <x:v>K'iche' Maya text</x:v>
      </x:c>
      <x:c r="H22" s="24" t="str">
        <x:v>Tier 1</x:v>
      </x:c>
      <x:c r="I22" s="24" t="str">
        <x:v>Hero twins, underworld trials, creation, animal helpers, divine transformation.</x:v>
      </x:c>
      <x:c r="J22" s="24" t="str">
        <x:v>Treat adaptations/editions separately when taxonomically material.</x:v>
      </x:c>
      <x:c r="K22" s="84" t="str">
        <x:v>https://en.wikipedia.org/wiki/Popol_Vuh</x:v>
      </x:c>
      <x:c r="L22" s="24" t="str">
        <x:v>Included</x:v>
      </x:c>
    </x:row>
    <x:row r="23" ht="42" customHeight="1">
      <x:c r="A23" s="24" t="str">
        <x:v>SRC-022</x:v>
      </x:c>
      <x:c r="B23" s="24" t="str">
        <x:v>Yorùbá Òrìṣà Traditions</x:v>
      </x:c>
      <x:c r="C23" s="24" t="str">
        <x:v>Multiple oral, religious, and literary traditions</x:v>
      </x:c>
      <x:c r="D23" s="24" t="str">
        <x:v>Mythology / Religion / Folklore</x:v>
      </x:c>
      <x:c r="E23" s="24" t="str">
        <x:v>West Africa / Yorùbá</x:v>
      </x:c>
      <x:c r="F23" s="24" t="str">
        <x:v>Premodern to present</x:v>
      </x:c>
      <x:c r="G23" s="24" t="str">
        <x:v>Culture-specific corpus</x:v>
      </x:c>
      <x:c r="H23" s="24" t="str">
        <x:v>Tier 1</x:v>
      </x:c>
      <x:c r="I23" s="24" t="str">
        <x:v>Òrìṣà, divination, sacred authority, trickster mediation, possession, lineage.</x:v>
      </x:c>
      <x:c r="J23" s="24" t="str">
        <x:v>Treat adaptations/editions separately when taxonomically material.</x:v>
      </x:c>
      <x:c r="K23" s="84" t="str">
        <x:v>https://en.wikipedia.org/wiki/Yor%C3%B9b%C3%A1_%C3%92r%C3%AC%E1%B9%A3%C3%A0_Traditions</x:v>
      </x:c>
      <x:c r="L23" s="24" t="str">
        <x:v>Included</x:v>
      </x:c>
    </x:row>
    <x:row r="24" ht="42" customHeight="1">
      <x:c r="A24" s="24" t="str">
        <x:v>SRC-023</x:v>
      </x:c>
      <x:c r="B24" s="24" t="str">
        <x:v>Sundiata Epic</x:v>
      </x:c>
      <x:c r="C24" s="24" t="str">
        <x:v>Mande oral tradition</x:v>
      </x:c>
      <x:c r="D24" s="24" t="str">
        <x:v>Epic / Oral Literature</x:v>
      </x:c>
      <x:c r="E24" s="24" t="str">
        <x:v>West Africa / Mande</x:v>
      </x:c>
      <x:c r="F24" s="24" t="str">
        <x:v>13th century roots; later recordings</x:v>
      </x:c>
      <x:c r="G24" s="24" t="str">
        <x:v>Multiple performed versions</x:v>
      </x:c>
      <x:c r="H24" s="24" t="str">
        <x:v>Tier 2</x:v>
      </x:c>
      <x:c r="I24" s="24" t="str">
        <x:v>Heroic kingship, griots, hunters, prophecy, exile, sorcery, founding empire.</x:v>
      </x:c>
      <x:c r="J24" s="24" t="str">
        <x:v>Treat adaptations/editions separately when taxonomically material.</x:v>
      </x:c>
      <x:c r="K24" s="84" t="str">
        <x:v>https://en.wikipedia.org/wiki/Sundiata_Epic</x:v>
      </x:c>
      <x:c r="L24" s="24" t="str">
        <x:v>Included</x:v>
      </x:c>
    </x:row>
    <x:row r="25" ht="42" customHeight="1">
      <x:c r="A25" s="24" t="str">
        <x:v>SRC-024</x:v>
      </x:c>
      <x:c r="B25" s="24" t="str">
        <x:v>Māori Mythology</x:v>
      </x:c>
      <x:c r="C25" s="24" t="str">
        <x:v>Māori oral and literary traditions</x:v>
      </x:c>
      <x:c r="D25" s="24" t="str">
        <x:v>Mythology / Folklore</x:v>
      </x:c>
      <x:c r="E25" s="24" t="str">
        <x:v>Aotearoa New Zealand</x:v>
      </x:c>
      <x:c r="F25" s="24" t="str">
        <x:v>Premodern to present</x:v>
      </x:c>
      <x:c r="G25" s="24" t="str">
        <x:v>Culture-specific corpus</x:v>
      </x:c>
      <x:c r="H25" s="24" t="str">
        <x:v>Tier 2</x:v>
      </x:c>
      <x:c r="I25" s="24" t="str">
        <x:v>Culture heroes, atua, taniwha, genealogy, sacred landscape, transformation.</x:v>
      </x:c>
      <x:c r="J25" s="24" t="str">
        <x:v>Treat adaptations/editions separately when taxonomically material.</x:v>
      </x:c>
      <x:c r="K25" s="84" t="str">
        <x:v>https://en.wikipedia.org/wiki/M%C4%81ori_Mythology</x:v>
      </x:c>
      <x:c r="L25" s="24" t="str">
        <x:v>Included</x:v>
      </x:c>
    </x:row>
    <x:row r="26" ht="42" customHeight="1">
      <x:c r="A26" s="24" t="str">
        <x:v>SRC-025</x:v>
      </x:c>
      <x:c r="B26" s="24" t="str">
        <x:v>Polynesian Māui Cycles</x:v>
      </x:c>
      <x:c r="C26" s="24" t="str">
        <x:v>Multiple Polynesian traditions</x:v>
      </x:c>
      <x:c r="D26" s="24" t="str">
        <x:v>Mythology / Folklore</x:v>
      </x:c>
      <x:c r="E26" s="24" t="str">
        <x:v>Polynesia</x:v>
      </x:c>
      <x:c r="F26" s="24" t="str">
        <x:v>Premodern to present</x:v>
      </x:c>
      <x:c r="G26" s="24" t="str">
        <x:v>Culture-specific corpus</x:v>
      </x:c>
      <x:c r="H26" s="24" t="str">
        <x:v>Tier 2</x:v>
      </x:c>
      <x:c r="I26" s="24" t="str">
        <x:v>Trickster culture hero, fishing up islands, transformation, fire, mortality.</x:v>
      </x:c>
      <x:c r="J26" s="24" t="str">
        <x:v>Treat adaptations/editions separately when taxonomically material.</x:v>
      </x:c>
      <x:c r="K26" s="84" t="str">
        <x:v>https://en.wikipedia.org/wiki/Polynesian_M%C4%81ui_Cycles</x:v>
      </x:c>
      <x:c r="L26" s="24" t="str">
        <x:v>Included</x:v>
      </x:c>
    </x:row>
    <x:row r="27" ht="42" customHeight="1">
      <x:c r="A27" s="24" t="str">
        <x:v>SRC-026</x:v>
      </x:c>
      <x:c r="B27" s="24" t="str">
        <x:v>Tolkien's Legendarium</x:v>
      </x:c>
      <x:c r="C27" s="24" t="str">
        <x:v>J. R. R. Tolkien; edited works by Christopher Tolkien</x:v>
      </x:c>
      <x:c r="D27" s="24" t="str">
        <x:v>Literature</x:v>
      </x:c>
      <x:c r="E27" s="24" t="str">
        <x:v>Britain / European philological fantasy</x:v>
      </x:c>
      <x:c r="F27" s="24" t="str">
        <x:v>1937 onward</x:v>
      </x:c>
      <x:c r="G27" s="24" t="str">
        <x:v>The Hobbit, The Lord of the Rings, The Silmarillion, related texts</x:v>
      </x:c>
      <x:c r="H27" s="24" t="str">
        <x:v>Tier 1</x:v>
      </x:c>
      <x:c r="I27" s="24" t="str">
        <x:v>Modern high-fantasy peoples, deep-time mythology, fading magic, linguistic worldbuilding.</x:v>
      </x:c>
      <x:c r="J27" s="24" t="str">
        <x:v>Treat adaptations/editions separately when taxonomically material.</x:v>
      </x:c>
      <x:c r="K27" s="84" t="str">
        <x:v>https://www.tolkienestate.com/writing/</x:v>
      </x:c>
      <x:c r="L27" s="24" t="str">
        <x:v>Included</x:v>
      </x:c>
    </x:row>
    <x:row r="28" ht="42" customHeight="1">
      <x:c r="A28" s="24" t="str">
        <x:v>SRC-027</x:v>
      </x:c>
      <x:c r="B28" s="24" t="str">
        <x:v>Conan the Cimmerian</x:v>
      </x:c>
      <x:c r="C28" s="24" t="str">
        <x:v>Robert E. Howard</x:v>
      </x:c>
      <x:c r="D28" s="24" t="str">
        <x:v>Literature</x:v>
      </x:c>
      <x:c r="E28" s="24" t="str">
        <x:v>United States / sword and sorcery</x:v>
      </x:c>
      <x:c r="F28" s="24" t="str">
        <x:v>1932</x:v>
      </x:c>
      <x:c r="G28" s="24" t="str">
        <x:v>Original stories and later continuities</x:v>
      </x:c>
      <x:c r="H28" s="24" t="str">
        <x:v>Tier 1</x:v>
      </x:c>
      <x:c r="I28" s="24" t="str">
        <x:v>Barbarian hero, decadent civilizations, sorcerers, monsters, low-trust adventure.</x:v>
      </x:c>
      <x:c r="J28" s="24" t="str">
        <x:v>Treat adaptations/editions separately when taxonomically material.</x:v>
      </x:c>
      <x:c r="K28" s="84" t="str">
        <x:v>https://en.wikipedia.org/wiki/Conan_the_Cimmerian</x:v>
      </x:c>
      <x:c r="L28" s="24" t="str">
        <x:v>Included</x:v>
      </x:c>
    </x:row>
    <x:row r="29" ht="42" customHeight="1">
      <x:c r="A29" s="24" t="str">
        <x:v>SRC-028</x:v>
      </x:c>
      <x:c r="B29" s="24" t="str">
        <x:v>Fafhrd and the Gray Mouser</x:v>
      </x:c>
      <x:c r="C29" s="24" t="str">
        <x:v>Fritz Leiber</x:v>
      </x:c>
      <x:c r="D29" s="24" t="str">
        <x:v>Literature</x:v>
      </x:c>
      <x:c r="E29" s="24" t="str">
        <x:v>United States / sword and sorcery</x:v>
      </x:c>
      <x:c r="F29" s="24" t="str">
        <x:v>1939</x:v>
      </x:c>
      <x:c r="G29" s="24" t="str">
        <x:v>Nehwon stories</x:v>
      </x:c>
      <x:c r="H29" s="24" t="str">
        <x:v>Tier 1</x:v>
      </x:c>
      <x:c r="I29" s="24" t="str">
        <x:v>Warrior–rogue duo, urban fantasy city, thieves, weird sorcery, episodic adventure.</x:v>
      </x:c>
      <x:c r="J29" s="24" t="str">
        <x:v>Treat adaptations/editions separately when taxonomically material.</x:v>
      </x:c>
      <x:c r="K29" s="84" t="str">
        <x:v>https://en.wikipedia.org/wiki/Fafhrd_and_the_Gray_Mouser</x:v>
      </x:c>
      <x:c r="L29" s="24" t="str">
        <x:v>Included</x:v>
      </x:c>
    </x:row>
    <x:row r="30" ht="42" customHeight="1">
      <x:c r="A30" s="24" t="str">
        <x:v>SRC-029</x:v>
      </x:c>
      <x:c r="B30" s="24" t="str">
        <x:v>The Dying Earth</x:v>
      </x:c>
      <x:c r="C30" s="24" t="str">
        <x:v>Jack Vance</x:v>
      </x:c>
      <x:c r="D30" s="24" t="str">
        <x:v>Literature</x:v>
      </x:c>
      <x:c r="E30" s="24" t="str">
        <x:v>United States / science fantasy</x:v>
      </x:c>
      <x:c r="F30" s="24" t="str">
        <x:v>1950</x:v>
      </x:c>
      <x:c r="G30" s="24" t="str">
        <x:v>Dying Earth sequence</x:v>
      </x:c>
      <x:c r="H30" s="24" t="str">
        <x:v>Tier 1</x:v>
      </x:c>
      <x:c r="I30" s="24" t="str">
        <x:v>Vancian magic, far-future decadence, strange peoples, picaresque sorcerers.</x:v>
      </x:c>
      <x:c r="J30" s="24" t="str">
        <x:v>Treat adaptations/editions separately when taxonomically material.</x:v>
      </x:c>
      <x:c r="K30" s="84" t="str">
        <x:v>https://en.wikipedia.org/wiki/The_Dying_Earth</x:v>
      </x:c>
      <x:c r="L30" s="24" t="str">
        <x:v>Included</x:v>
      </x:c>
    </x:row>
    <x:row r="31" ht="42" customHeight="1">
      <x:c r="A31" s="24" t="str">
        <x:v>SRC-030</x:v>
      </x:c>
      <x:c r="B31" s="24" t="str">
        <x:v>The Chronicles of Narnia</x:v>
      </x:c>
      <x:c r="C31" s="24" t="str">
        <x:v>C. S. Lewis</x:v>
      </x:c>
      <x:c r="D31" s="24" t="str">
        <x:v>Literature</x:v>
      </x:c>
      <x:c r="E31" s="24" t="str">
        <x:v>Britain</x:v>
      </x:c>
      <x:c r="F31" s="24" t="str">
        <x:v>1950</x:v>
      </x:c>
      <x:c r="G31" s="24" t="str">
        <x:v>Seven-novel series</x:v>
      </x:c>
      <x:c r="H31" s="24" t="str">
        <x:v>Tier 1</x:v>
      </x:c>
      <x:c r="I31" s="24" t="str">
        <x:v>Portal fantasy, talking animals, fauns, divine lion, mythic syncretism, chosen children.</x:v>
      </x:c>
      <x:c r="J31" s="24" t="str">
        <x:v>Treat adaptations/editions separately when taxonomically material.</x:v>
      </x:c>
      <x:c r="K31" s="84" t="str">
        <x:v>https://en.wikipedia.org/wiki/The_Chronicles_of_Narnia</x:v>
      </x:c>
      <x:c r="L31" s="24" t="str">
        <x:v>Included</x:v>
      </x:c>
    </x:row>
    <x:row r="32" ht="42" customHeight="1">
      <x:c r="A32" s="24" t="str">
        <x:v>SRC-031</x:v>
      </x:c>
      <x:c r="B32" s="24" t="str">
        <x:v>The Lord of the Rings</x:v>
      </x:c>
      <x:c r="C32" s="24" t="str">
        <x:v>J. R. R. Tolkien</x:v>
      </x:c>
      <x:c r="D32" s="24" t="str">
        <x:v>Literature</x:v>
      </x:c>
      <x:c r="E32" s="24" t="str">
        <x:v>Britain</x:v>
      </x:c>
      <x:c r="F32" s="24" t="str">
        <x:v>1954–1955</x:v>
      </x:c>
      <x:c r="G32" s="24" t="str">
        <x:v>Novel; adaptations tracked separately</x:v>
      </x:c>
      <x:c r="H32" s="24" t="str">
        <x:v>Tier 1</x:v>
      </x:c>
      <x:c r="I32" s="24" t="str">
        <x:v>Fellowship quest, artifact destruction, peoples and cultures, dark lord, returning king.</x:v>
      </x:c>
      <x:c r="J32" s="24" t="str">
        <x:v>Treat adaptations/editions separately when taxonomically material.</x:v>
      </x:c>
      <x:c r="K32" s="84" t="str">
        <x:v>https://www.tolkienestate.com/writing/j-r-r-tolkien/the-lord-of-the-rings/</x:v>
      </x:c>
      <x:c r="L32" s="24" t="str">
        <x:v>Included</x:v>
      </x:c>
    </x:row>
    <x:row r="33" ht="42" customHeight="1">
      <x:c r="A33" s="24" t="str">
        <x:v>SRC-032</x:v>
      </x:c>
      <x:c r="B33" s="24" t="str">
        <x:v>Gormenghast</x:v>
      </x:c>
      <x:c r="C33" s="24" t="str">
        <x:v>Mervyn Peake</x:v>
      </x:c>
      <x:c r="D33" s="24" t="str">
        <x:v>Literature</x:v>
      </x:c>
      <x:c r="E33" s="24" t="str">
        <x:v>Britain</x:v>
      </x:c>
      <x:c r="F33" s="24" t="str">
        <x:v>1946–1959</x:v>
      </x:c>
      <x:c r="G33" s="24" t="str">
        <x:v>Gormenghast novels</x:v>
      </x:c>
      <x:c r="H33" s="24" t="str">
        <x:v>Tier 2</x:v>
      </x:c>
      <x:c r="I33" s="24" t="str">
        <x:v>Ritualized castle society, grotesque offices, anti-quest fantasy, institutional identity.</x:v>
      </x:c>
      <x:c r="J33" s="24" t="str">
        <x:v>Treat adaptations/editions separately when taxonomically material.</x:v>
      </x:c>
      <x:c r="K33" s="84" t="str">
        <x:v>https://en.wikipedia.org/wiki/Gormenghast</x:v>
      </x:c>
      <x:c r="L33" s="24" t="str">
        <x:v>Included</x:v>
      </x:c>
    </x:row>
    <x:row r="34" ht="42" customHeight="1">
      <x:c r="A34" s="24" t="str">
        <x:v>SRC-033</x:v>
      </x:c>
      <x:c r="B34" s="24" t="str">
        <x:v>The Once and Future King</x:v>
      </x:c>
      <x:c r="C34" s="24" t="str">
        <x:v>T. H. White</x:v>
      </x:c>
      <x:c r="D34" s="24" t="str">
        <x:v>Literature</x:v>
      </x:c>
      <x:c r="E34" s="24" t="str">
        <x:v>Britain</x:v>
      </x:c>
      <x:c r="F34" s="24" t="str">
        <x:v>1938–1958</x:v>
      </x:c>
      <x:c r="G34" s="24" t="str">
        <x:v>Arthurian novel cycle</x:v>
      </x:c>
      <x:c r="H34" s="24" t="str">
        <x:v>Tier 1</x:v>
      </x:c>
      <x:c r="I34" s="24" t="str">
        <x:v>Wizard mentor, transformed education, chivalry, kingship, tragic round table.</x:v>
      </x:c>
      <x:c r="J34" s="24" t="str">
        <x:v>Treat adaptations/editions separately when taxonomically material.</x:v>
      </x:c>
      <x:c r="K34" s="84" t="str">
        <x:v>https://en.wikipedia.org/wiki/The_Once_and_Future_King</x:v>
      </x:c>
      <x:c r="L34" s="24" t="str">
        <x:v>Included</x:v>
      </x:c>
    </x:row>
    <x:row r="35" ht="42" customHeight="1">
      <x:c r="A35" s="24" t="str">
        <x:v>SRC-034</x:v>
      </x:c>
      <x:c r="B35" s="24" t="str">
        <x:v>The Chronicles of Prydain</x:v>
      </x:c>
      <x:c r="C35" s="24" t="str">
        <x:v>Lloyd Alexander</x:v>
      </x:c>
      <x:c r="D35" s="24" t="str">
        <x:v>Literature</x:v>
      </x:c>
      <x:c r="E35" s="24" t="str">
        <x:v>United States / Welsh-inspired fantasy</x:v>
      </x:c>
      <x:c r="F35" s="24" t="str">
        <x:v>1964</x:v>
      </x:c>
      <x:c r="G35" s="24" t="str">
        <x:v>Five novels and related stories</x:v>
      </x:c>
      <x:c r="H35" s="24" t="str">
        <x:v>Tier 2</x:v>
      </x:c>
      <x:c r="I35" s="24" t="str">
        <x:v>Assistant pig-keeper hero, bard, princess, deathless cauldron-born, Welsh myth adaptation.</x:v>
      </x:c>
      <x:c r="J35" s="24" t="str">
        <x:v>Treat adaptations/editions separately when taxonomically material.</x:v>
      </x:c>
      <x:c r="K35" s="84" t="str">
        <x:v>https://en.wikipedia.org/wiki/The_Chronicles_of_Prydain</x:v>
      </x:c>
      <x:c r="L35" s="24" t="str">
        <x:v>Included</x:v>
      </x:c>
    </x:row>
    <x:row r="36" ht="42" customHeight="1">
      <x:c r="A36" s="24" t="str">
        <x:v>SRC-035</x:v>
      </x:c>
      <x:c r="B36" s="24" t="str">
        <x:v>Earthsea</x:v>
      </x:c>
      <x:c r="C36" s="24" t="str">
        <x:v>Ursula K. Le Guin</x:v>
      </x:c>
      <x:c r="D36" s="24" t="str">
        <x:v>Literature</x:v>
      </x:c>
      <x:c r="E36" s="24" t="str">
        <x:v>United States</x:v>
      </x:c>
      <x:c r="F36" s="24" t="str">
        <x:v>1968</x:v>
      </x:c>
      <x:c r="G36" s="24" t="str">
        <x:v>Earthsea cycle</x:v>
      </x:c>
      <x:c r="H36" s="24" t="str">
        <x:v>Tier 1</x:v>
      </x:c>
      <x:c r="I36" s="24" t="str">
        <x:v>True names, wizard schools, balance, shadow self, archipelagic cultures, dragons.</x:v>
      </x:c>
      <x:c r="J36" s="24" t="str">
        <x:v>Treat adaptations/editions separately when taxonomically material.</x:v>
      </x:c>
      <x:c r="K36" s="84" t="str">
        <x:v>https://en.wikipedia.org/wiki/Earthsea</x:v>
      </x:c>
      <x:c r="L36" s="24" t="str">
        <x:v>Included</x:v>
      </x:c>
    </x:row>
    <x:row r="37" ht="42" customHeight="1">
      <x:c r="A37" s="24" t="str">
        <x:v>SRC-036</x:v>
      </x:c>
      <x:c r="B37" s="24" t="str">
        <x:v>Elric of Melniboné</x:v>
      </x:c>
      <x:c r="C37" s="24" t="str">
        <x:v>Michael Moorcock</x:v>
      </x:c>
      <x:c r="D37" s="24" t="str">
        <x:v>Literature</x:v>
      </x:c>
      <x:c r="E37" s="24" t="str">
        <x:v>Britain / sword and sorcery</x:v>
      </x:c>
      <x:c r="F37" s="24" t="str">
        <x:v>1961</x:v>
      </x:c>
      <x:c r="G37" s="24" t="str">
        <x:v>Elric sequence and Eternal Champion multiverse</x:v>
      </x:c>
      <x:c r="H37" s="24" t="str">
        <x:v>Tier 1</x:v>
      </x:c>
      <x:c r="I37" s="24" t="str">
        <x:v>Doomed sorcerer-emperor, living sword, chaos/order cosmology, antihero.</x:v>
      </x:c>
      <x:c r="J37" s="24" t="str">
        <x:v>Treat adaptations/editions separately when taxonomically material.</x:v>
      </x:c>
      <x:c r="K37" s="84" t="str">
        <x:v>https://en.wikipedia.org/wiki/Elric_of_Melnibon%C3%A9</x:v>
      </x:c>
      <x:c r="L37" s="24" t="str">
        <x:v>Included</x:v>
      </x:c>
    </x:row>
    <x:row r="38" ht="42" customHeight="1">
      <x:c r="A38" s="24" t="str">
        <x:v>SRC-037</x:v>
      </x:c>
      <x:c r="B38" s="24" t="str">
        <x:v>The Last Unicorn</x:v>
      </x:c>
      <x:c r="C38" s="24" t="str">
        <x:v>Peter S. Beagle</x:v>
      </x:c>
      <x:c r="D38" s="24" t="str">
        <x:v>Literature</x:v>
      </x:c>
      <x:c r="E38" s="24" t="str">
        <x:v>United States</x:v>
      </x:c>
      <x:c r="F38" s="24" t="str">
        <x:v>1968</x:v>
      </x:c>
      <x:c r="G38" s="24" t="str">
        <x:v>Novel and adaptations</x:v>
      </x:c>
      <x:c r="H38" s="24" t="str">
        <x:v>Tier 2</x:v>
      </x:c>
      <x:c r="I38" s="24" t="str">
        <x:v>Last-of-kind quest, unicorn ontology, transformation, melancholic fairy tale.</x:v>
      </x:c>
      <x:c r="J38" s="24" t="str">
        <x:v>Treat adaptations/editions separately when taxonomically material.</x:v>
      </x:c>
      <x:c r="K38" s="84" t="str">
        <x:v>https://en.wikipedia.org/wiki/The_Last_Unicorn</x:v>
      </x:c>
      <x:c r="L38" s="24" t="str">
        <x:v>Included</x:v>
      </x:c>
    </x:row>
    <x:row r="39" ht="42" customHeight="1">
      <x:c r="A39" s="24" t="str">
        <x:v>SRC-038</x:v>
      </x:c>
      <x:c r="B39" s="24" t="str">
        <x:v>Dragonriders of Pern</x:v>
      </x:c>
      <x:c r="C39" s="24" t="str">
        <x:v>Anne McCaffrey</x:v>
      </x:c>
      <x:c r="D39" s="24" t="str">
        <x:v>Literature</x:v>
      </x:c>
      <x:c r="E39" s="24" t="str">
        <x:v>United States / Ireland / science fantasy</x:v>
      </x:c>
      <x:c r="F39" s="24" t="str">
        <x:v>1967</x:v>
      </x:c>
      <x:c r="G39" s="24" t="str">
        <x:v>Pern series</x:v>
      </x:c>
      <x:c r="H39" s="24" t="str">
        <x:v>Tier 2</x:v>
      </x:c>
      <x:c r="I39" s="24" t="str">
        <x:v>Dragon bonding, rider caste, hereditary roles, science-fantasy reinterpretation.</x:v>
      </x:c>
      <x:c r="J39" s="24" t="str">
        <x:v>Treat adaptations/editions separately when taxonomically material.</x:v>
      </x:c>
      <x:c r="K39" s="84" t="str">
        <x:v>https://en.wikipedia.org/wiki/Dragonriders_of_Pern</x:v>
      </x:c>
      <x:c r="L39" s="24" t="str">
        <x:v>Included</x:v>
      </x:c>
    </x:row>
    <x:row r="40" ht="42" customHeight="1">
      <x:c r="A40" s="24" t="str">
        <x:v>SRC-039</x:v>
      </x:c>
      <x:c r="B40" s="24" t="str">
        <x:v>The Chronicles of Amber</x:v>
      </x:c>
      <x:c r="C40" s="24" t="str">
        <x:v>Roger Zelazny</x:v>
      </x:c>
      <x:c r="D40" s="24" t="str">
        <x:v>Literature</x:v>
      </x:c>
      <x:c r="E40" s="24" t="str">
        <x:v>United States</x:v>
      </x:c>
      <x:c r="F40" s="24" t="str">
        <x:v>1970</x:v>
      </x:c>
      <x:c r="G40" s="24" t="str">
        <x:v>Amber series</x:v>
      </x:c>
      <x:c r="H40" s="24" t="str">
        <x:v>Tier 2</x:v>
      </x:c>
      <x:c r="I40" s="24" t="str">
        <x:v>Shadow worlds, divine family, reality walking, dynastic intrigue, ambiguous immortals.</x:v>
      </x:c>
      <x:c r="J40" s="24" t="str">
        <x:v>Treat adaptations/editions separately when taxonomically material.</x:v>
      </x:c>
      <x:c r="K40" s="84" t="str">
        <x:v>https://en.wikipedia.org/wiki/The_Chronicles_of_Amber</x:v>
      </x:c>
      <x:c r="L40" s="24" t="str">
        <x:v>Included</x:v>
      </x:c>
    </x:row>
    <x:row r="41" ht="42" customHeight="1">
      <x:c r="A41" s="24" t="str">
        <x:v>SRC-040</x:v>
      </x:c>
      <x:c r="B41" s="24" t="str">
        <x:v>The Black Company</x:v>
      </x:c>
      <x:c r="C41" s="24" t="str">
        <x:v>Glen Cook</x:v>
      </x:c>
      <x:c r="D41" s="24" t="str">
        <x:v>Literature</x:v>
      </x:c>
      <x:c r="E41" s="24" t="str">
        <x:v>United States / military fantasy</x:v>
      </x:c>
      <x:c r="F41" s="24" t="str">
        <x:v>1984</x:v>
      </x:c>
      <x:c r="G41" s="24" t="str">
        <x:v>Black Company series</x:v>
      </x:c>
      <x:c r="H41" s="24" t="str">
        <x:v>Tier 1</x:v>
      </x:c>
      <x:c r="I41" s="24" t="str">
        <x:v>Mercenary company, soldier viewpoint, dark sorcerers, moral ambiguity, chronicler.</x:v>
      </x:c>
      <x:c r="J41" s="24" t="str">
        <x:v>Treat adaptations/editions separately when taxonomically material.</x:v>
      </x:c>
      <x:c r="K41" s="84" t="str">
        <x:v>https://en.wikipedia.org/wiki/The_Black_Company</x:v>
      </x:c>
      <x:c r="L41" s="24" t="str">
        <x:v>Included</x:v>
      </x:c>
    </x:row>
    <x:row r="42" ht="42" customHeight="1">
      <x:c r="A42" s="24" t="str">
        <x:v>SRC-041</x:v>
      </x:c>
      <x:c r="B42" s="24" t="str">
        <x:v>Riftwar Cycle</x:v>
      </x:c>
      <x:c r="C42" s="24" t="str">
        <x:v>Raymond E. Feist</x:v>
      </x:c>
      <x:c r="D42" s="24" t="str">
        <x:v>Literature</x:v>
      </x:c>
      <x:c r="E42" s="24" t="str">
        <x:v>United States</x:v>
      </x:c>
      <x:c r="F42" s="24" t="str">
        <x:v>1982</x:v>
      </x:c>
      <x:c r="G42" s="24" t="str">
        <x:v>Multiple Midkemia series</x:v>
      </x:c>
      <x:c r="H42" s="24" t="str">
        <x:v>Tier 2</x:v>
      </x:c>
      <x:c r="I42" s="24" t="str">
        <x:v>Interworld invasion, magic schools, kingdoms, elves/dwarves, long-form shared history.</x:v>
      </x:c>
      <x:c r="J42" s="24" t="str">
        <x:v>Treat adaptations/editions separately when taxonomically material.</x:v>
      </x:c>
      <x:c r="K42" s="84" t="str">
        <x:v>https://en.wikipedia.org/wiki/Riftwar_Cycle</x:v>
      </x:c>
      <x:c r="L42" s="24" t="str">
        <x:v>Included</x:v>
      </x:c>
    </x:row>
    <x:row r="43" ht="42" customHeight="1">
      <x:c r="A43" s="24" t="str">
        <x:v>SRC-042</x:v>
      </x:c>
      <x:c r="B43" s="24" t="str">
        <x:v>Discworld</x:v>
      </x:c>
      <x:c r="C43" s="24" t="str">
        <x:v>Terry Pratchett</x:v>
      </x:c>
      <x:c r="D43" s="24" t="str">
        <x:v>Literature</x:v>
      </x:c>
      <x:c r="E43" s="24" t="str">
        <x:v>Britain</x:v>
      </x:c>
      <x:c r="F43" s="24" t="str">
        <x:v>1983</x:v>
      </x:c>
      <x:c r="G43" s="24" t="str">
        <x:v>Forty-one novels and related works</x:v>
      </x:c>
      <x:c r="H43" s="24" t="str">
        <x:v>Tier 1</x:v>
      </x:c>
      <x:c r="I43" s="24" t="str">
        <x:v>Parody and reconstruction of classes, races, institutions, Death, witches, city watch.</x:v>
      </x:c>
      <x:c r="J43" s="24" t="str">
        <x:v>Treat adaptations/editions separately when taxonomically material.</x:v>
      </x:c>
      <x:c r="K43" s="84" t="str">
        <x:v>https://en.wikipedia.org/wiki/Discworld</x:v>
      </x:c>
      <x:c r="L43" s="24" t="str">
        <x:v>Included</x:v>
      </x:c>
    </x:row>
    <x:row r="44" ht="42" customHeight="1">
      <x:c r="A44" s="24" t="str">
        <x:v>SRC-043</x:v>
      </x:c>
      <x:c r="B44" s="24" t="str">
        <x:v>Memory, Sorrow, and Thorn</x:v>
      </x:c>
      <x:c r="C44" s="24" t="str">
        <x:v>Tad Williams</x:v>
      </x:c>
      <x:c r="D44" s="24" t="str">
        <x:v>Literature</x:v>
      </x:c>
      <x:c r="E44" s="24" t="str">
        <x:v>United States</x:v>
      </x:c>
      <x:c r="F44" s="24" t="str">
        <x:v>1988</x:v>
      </x:c>
      <x:c r="G44" s="24" t="str">
        <x:v>Osten Ard series</x:v>
      </x:c>
      <x:c r="H44" s="24" t="str">
        <x:v>Tier 1</x:v>
      </x:c>
      <x:c r="I44" s="24" t="str">
        <x:v>Post-Tolkien high fantasy, ancient immortal people, kitchen-boy hero, historical memory.</x:v>
      </x:c>
      <x:c r="J44" s="24" t="str">
        <x:v>Treat adaptations/editions separately when taxonomically material.</x:v>
      </x:c>
      <x:c r="K44" s="84" t="str">
        <x:v>https://en.wikipedia.org/wiki/Memory,_Sorrow,_and_Thorn</x:v>
      </x:c>
      <x:c r="L44" s="24" t="str">
        <x:v>Included</x:v>
      </x:c>
    </x:row>
    <x:row r="45" ht="42" customHeight="1">
      <x:c r="A45" s="24" t="str">
        <x:v>SRC-044</x:v>
      </x:c>
      <x:c r="B45" s="24" t="str">
        <x:v>The Wheel of Time</x:v>
      </x:c>
      <x:c r="C45" s="24" t="str">
        <x:v>Robert Jordan; completed by Brandon Sanderson</x:v>
      </x:c>
      <x:c r="D45" s="24" t="str">
        <x:v>Literature</x:v>
      </x:c>
      <x:c r="E45" s="24" t="str">
        <x:v>United States</x:v>
      </x:c>
      <x:c r="F45" s="24" t="str">
        <x:v>1990</x:v>
      </x:c>
      <x:c r="G45" s="24" t="str">
        <x:v>Fourteen novels and prequel</x:v>
      </x:c>
      <x:c r="H45" s="24" t="str">
        <x:v>Tier 1</x:v>
      </x:c>
      <x:c r="I45" s="24" t="str">
        <x:v>Gendered magic institution, reincarnated champion, cyclical ages, cultures, shadowspawn.</x:v>
      </x:c>
      <x:c r="J45" s="24" t="str">
        <x:v>Treat adaptations/editions separately when taxonomically material.</x:v>
      </x:c>
      <x:c r="K45" s="84" t="str">
        <x:v>https://en.wikipedia.org/wiki/The_Wheel_of_Time</x:v>
      </x:c>
      <x:c r="L45" s="24" t="str">
        <x:v>Included</x:v>
      </x:c>
    </x:row>
    <x:row r="46" ht="42" customHeight="1">
      <x:c r="A46" s="24" t="str">
        <x:v>SRC-045</x:v>
      </x:c>
      <x:c r="B46" s="24" t="str">
        <x:v>Realm of the Elderlings</x:v>
      </x:c>
      <x:c r="C46" s="24" t="str">
        <x:v>Robin Hobb</x:v>
      </x:c>
      <x:c r="D46" s="24" t="str">
        <x:v>Literature</x:v>
      </x:c>
      <x:c r="E46" s="24" t="str">
        <x:v>United States</x:v>
      </x:c>
      <x:c r="F46" s="24" t="str">
        <x:v>1995</x:v>
      </x:c>
      <x:c r="G46" s="24" t="str">
        <x:v>Linked novel sequences</x:v>
      </x:c>
      <x:c r="H46" s="24" t="str">
        <x:v>Tier 1</x:v>
      </x:c>
      <x:c r="I46" s="24" t="str">
        <x:v>Animal bonds, hereditary magic, dragons, assassins, court roles, identity and trauma.</x:v>
      </x:c>
      <x:c r="J46" s="24" t="str">
        <x:v>Treat adaptations/editions separately when taxonomically material.</x:v>
      </x:c>
      <x:c r="K46" s="84" t="str">
        <x:v>https://en.wikipedia.org/wiki/Realm_of_the_Elderlings</x:v>
      </x:c>
      <x:c r="L46" s="24" t="str">
        <x:v>Included</x:v>
      </x:c>
    </x:row>
    <x:row r="47" ht="42" customHeight="1">
      <x:c r="A47" s="24" t="str">
        <x:v>SRC-046</x:v>
      </x:c>
      <x:c r="B47" s="24" t="str">
        <x:v>A Song of Ice and Fire</x:v>
      </x:c>
      <x:c r="C47" s="24" t="str">
        <x:v>George R. R. Martin</x:v>
      </x:c>
      <x:c r="D47" s="24" t="str">
        <x:v>Literature</x:v>
      </x:c>
      <x:c r="E47" s="24" t="str">
        <x:v>United States</x:v>
      </x:c>
      <x:c r="F47" s="24" t="str">
        <x:v>1996</x:v>
      </x:c>
      <x:c r="G47" s="24" t="str">
        <x:v>Novel series and related worldbooks</x:v>
      </x:c>
      <x:c r="H47" s="24" t="str">
        <x:v>Tier 1</x:v>
      </x:c>
      <x:c r="I47" s="24" t="str">
        <x:v>Low-magic political fantasy, orders and offices, skinchanging, dragons, undead threat.</x:v>
      </x:c>
      <x:c r="J47" s="24" t="str">
        <x:v>Treat adaptations/editions separately when taxonomically material.</x:v>
      </x:c>
      <x:c r="K47" s="84" t="str">
        <x:v>https://georgerrmartin.com/all-books/cover-gallery/a-song-of-ice-and-fire/</x:v>
      </x:c>
      <x:c r="L47" s="24" t="str">
        <x:v>Included</x:v>
      </x:c>
    </x:row>
    <x:row r="48" ht="42" customHeight="1">
      <x:c r="A48" s="24" t="str">
        <x:v>SRC-047</x:v>
      </x:c>
      <x:c r="B48" s="24" t="str">
        <x:v>The Witcher</x:v>
      </x:c>
      <x:c r="C48" s="24" t="str">
        <x:v>Andrzej Sapkowski</x:v>
      </x:c>
      <x:c r="D48" s="24" t="str">
        <x:v>Literature</x:v>
      </x:c>
      <x:c r="E48" s="24" t="str">
        <x:v>Poland / Central European fantasy</x:v>
      </x:c>
      <x:c r="F48" s="24" t="str">
        <x:v>1986</x:v>
      </x:c>
      <x:c r="G48" s="24" t="str">
        <x:v>Short stories and novels; games and screen tracked separately</x:v>
      </x:c>
      <x:c r="H48" s="24" t="str">
        <x:v>Tier 1</x:v>
      </x:c>
      <x:c r="I48" s="24" t="str">
        <x:v>Witcher profession, mutations, monster folklore, elves/dwarves, sorcerers, moral ambiguity.</x:v>
      </x:c>
      <x:c r="J48" s="24" t="str">
        <x:v>Treat adaptations/editions separately when taxonomically material.</x:v>
      </x:c>
      <x:c r="K48" s="84" t="str">
        <x:v>https://www.andrzejsapkowski.pl/</x:v>
      </x:c>
      <x:c r="L48" s="24" t="str">
        <x:v>Included</x:v>
      </x:c>
    </x:row>
    <x:row r="49" ht="42" customHeight="1">
      <x:c r="A49" s="24" t="str">
        <x:v>SRC-048</x:v>
      </x:c>
      <x:c r="B49" s="24" t="str">
        <x:v>Malazan Book of the Fallen</x:v>
      </x:c>
      <x:c r="C49" s="24" t="str">
        <x:v>Steven Erikson</x:v>
      </x:c>
      <x:c r="D49" s="24" t="str">
        <x:v>Literature</x:v>
      </x:c>
      <x:c r="E49" s="24" t="str">
        <x:v>Canada</x:v>
      </x:c>
      <x:c r="F49" s="24" t="str">
        <x:v>1999</x:v>
      </x:c>
      <x:c r="G49" s="24" t="str">
        <x:v>Malazan novels and related series</x:v>
      </x:c>
      <x:c r="H49" s="24" t="str">
        <x:v>Tier 1</x:v>
      </x:c>
      <x:c r="I49" s="24" t="str">
        <x:v>Ascendants, gods, elder races, military units, warrens, shapeshifters, vast cosmology.</x:v>
      </x:c>
      <x:c r="J49" s="24" t="str">
        <x:v>Treat adaptations/editions separately when taxonomically material.</x:v>
      </x:c>
      <x:c r="K49" s="84" t="str">
        <x:v>https://en.wikipedia.org/wiki/Malazan_Book_of_the_Fallen</x:v>
      </x:c>
      <x:c r="L49" s="24" t="str">
        <x:v>Included</x:v>
      </x:c>
    </x:row>
    <x:row r="50" ht="42" customHeight="1">
      <x:c r="A50" s="24" t="str">
        <x:v>SRC-049</x:v>
      </x:c>
      <x:c r="B50" s="24" t="str">
        <x:v>His Dark Materials</x:v>
      </x:c>
      <x:c r="C50" s="24" t="str">
        <x:v>Philip Pullman</x:v>
      </x:c>
      <x:c r="D50" s="24" t="str">
        <x:v>Literature</x:v>
      </x:c>
      <x:c r="E50" s="24" t="str">
        <x:v>Britain</x:v>
      </x:c>
      <x:c r="F50" s="24" t="str">
        <x:v>1995</x:v>
      </x:c>
      <x:c r="G50" s="24" t="str">
        <x:v>Trilogy and Book of Dust sequence</x:v>
      </x:c>
      <x:c r="H50" s="24" t="str">
        <x:v>Tier 2</x:v>
      </x:c>
      <x:c r="I50" s="24" t="str">
        <x:v>Dæmon companions, multiverse, armored bears, angels, church power, soul ontology.</x:v>
      </x:c>
      <x:c r="J50" s="24" t="str">
        <x:v>Treat adaptations/editions separately when taxonomically material.</x:v>
      </x:c>
      <x:c r="K50" s="84" t="str">
        <x:v>https://en.wikipedia.org/wiki/His_Dark_Materials</x:v>
      </x:c>
      <x:c r="L50" s="24" t="str">
        <x:v>Included</x:v>
      </x:c>
    </x:row>
    <x:row r="51" ht="42" customHeight="1">
      <x:c r="A51" s="24" t="str">
        <x:v>SRC-050</x:v>
      </x:c>
      <x:c r="B51" s="24" t="str">
        <x:v>Bas-Lag</x:v>
      </x:c>
      <x:c r="C51" s="24" t="str">
        <x:v>China Miéville</x:v>
      </x:c>
      <x:c r="D51" s="24" t="str">
        <x:v>Literature</x:v>
      </x:c>
      <x:c r="E51" s="24" t="str">
        <x:v>Britain / New Weird</x:v>
      </x:c>
      <x:c r="F51" s="24" t="str">
        <x:v>2000</x:v>
      </x:c>
      <x:c r="G51" s="24" t="str">
        <x:v>Perdido Street Station and related novels</x:v>
      </x:c>
      <x:c r="H51" s="24" t="str">
        <x:v>Tier 1</x:v>
      </x:c>
      <x:c r="I51" s="24" t="str">
        <x:v>Hybrid peoples, remaking, industrial magic, city factions, weird ecology.</x:v>
      </x:c>
      <x:c r="J51" s="24" t="str">
        <x:v>Treat adaptations/editions separately when taxonomically material.</x:v>
      </x:c>
      <x:c r="K51" s="84" t="str">
        <x:v>https://en.wikipedia.org/wiki/Bas-Lag</x:v>
      </x:c>
      <x:c r="L51" s="24" t="str">
        <x:v>Included</x:v>
      </x:c>
    </x:row>
    <x:row r="52" ht="42" customHeight="1">
      <x:c r="A52" s="24" t="str">
        <x:v>SRC-051</x:v>
      </x:c>
      <x:c r="B52" s="24" t="str">
        <x:v>The First Law</x:v>
      </x:c>
      <x:c r="C52" s="24" t="str">
        <x:v>Joe Abercrombie</x:v>
      </x:c>
      <x:c r="D52" s="24" t="str">
        <x:v>Literature</x:v>
      </x:c>
      <x:c r="E52" s="24" t="str">
        <x:v>Britain</x:v>
      </x:c>
      <x:c r="F52" s="24" t="str">
        <x:v>2006</x:v>
      </x:c>
      <x:c r="G52" s="24" t="str">
        <x:v>First Law world novels</x:v>
      </x:c>
      <x:c r="H52" s="24" t="str">
        <x:v>Tier 1</x:v>
      </x:c>
      <x:c r="I52" s="24" t="str">
        <x:v>Deconstructed warrior roles, political violence, limited magic, Northmen, institutions.</x:v>
      </x:c>
      <x:c r="J52" s="24" t="str">
        <x:v>Treat adaptations/editions separately when taxonomically material.</x:v>
      </x:c>
      <x:c r="K52" s="84" t="str">
        <x:v>https://en.wikipedia.org/wiki/The_First_Law</x:v>
      </x:c>
      <x:c r="L52" s="24" t="str">
        <x:v>Included</x:v>
      </x:c>
    </x:row>
    <x:row r="53" ht="42" customHeight="1">
      <x:c r="A53" s="24" t="str">
        <x:v>SRC-052</x:v>
      </x:c>
      <x:c r="B53" s="24" t="str">
        <x:v>Mistborn</x:v>
      </x:c>
      <x:c r="C53" s="24" t="str">
        <x:v>Brandon Sanderson</x:v>
      </x:c>
      <x:c r="D53" s="24" t="str">
        <x:v>Literature</x:v>
      </x:c>
      <x:c r="E53" s="24" t="str">
        <x:v>United States</x:v>
      </x:c>
      <x:c r="F53" s="24" t="str">
        <x:v>2006</x:v>
      </x:c>
      <x:c r="G53" s="24" t="str">
        <x:v>Cosmere subseries</x:v>
      </x:c>
      <x:c r="H53" s="24" t="str">
        <x:v>Tier 1</x:v>
      </x:c>
      <x:c r="I53" s="24" t="str">
        <x:v>Rule-based metal magic, class oppression, heist party, immortal tyrant, technological eras.</x:v>
      </x:c>
      <x:c r="J53" s="24" t="str">
        <x:v>Treat adaptations/editions separately when taxonomically material.</x:v>
      </x:c>
      <x:c r="K53" s="84" t="str">
        <x:v>https://en.wikipedia.org/wiki/Mistborn</x:v>
      </x:c>
      <x:c r="L53" s="24" t="str">
        <x:v>Included</x:v>
      </x:c>
    </x:row>
    <x:row r="54" ht="42" customHeight="1">
      <x:c r="A54" s="24" t="str">
        <x:v>SRC-053</x:v>
      </x:c>
      <x:c r="B54" s="24" t="str">
        <x:v>The Stormlight Archive</x:v>
      </x:c>
      <x:c r="C54" s="24" t="str">
        <x:v>Brandon Sanderson</x:v>
      </x:c>
      <x:c r="D54" s="24" t="str">
        <x:v>Literature</x:v>
      </x:c>
      <x:c r="E54" s="24" t="str">
        <x:v>United States</x:v>
      </x:c>
      <x:c r="F54" s="24" t="str">
        <x:v>2010</x:v>
      </x:c>
      <x:c r="G54" s="24" t="str">
        <x:v>Cosmere subseries</x:v>
      </x:c>
      <x:c r="H54" s="24" t="str">
        <x:v>Tier 1</x:v>
      </x:c>
      <x:c r="I54" s="24" t="str">
        <x:v>Knightly orders, spren bonds, magic ideals, shard weapons, cultures, world ecology.</x:v>
      </x:c>
      <x:c r="J54" s="24" t="str">
        <x:v>Treat adaptations/editions separately when taxonomically material.</x:v>
      </x:c>
      <x:c r="K54" s="84" t="str">
        <x:v>https://en.wikipedia.org/wiki/The_Stormlight_Archive</x:v>
      </x:c>
      <x:c r="L54" s="24" t="str">
        <x:v>Included</x:v>
      </x:c>
    </x:row>
    <x:row r="55" ht="42" customHeight="1">
      <x:c r="A55" s="24" t="str">
        <x:v>SRC-054</x:v>
      </x:c>
      <x:c r="B55" s="24" t="str">
        <x:v>The Kingkiller Chronicle</x:v>
      </x:c>
      <x:c r="C55" s="24" t="str">
        <x:v>Patrick Rothfuss</x:v>
      </x:c>
      <x:c r="D55" s="24" t="str">
        <x:v>Literature</x:v>
      </x:c>
      <x:c r="E55" s="24" t="str">
        <x:v>United States</x:v>
      </x:c>
      <x:c r="F55" s="24" t="str">
        <x:v>2007</x:v>
      </x:c>
      <x:c r="G55" s="24" t="str">
        <x:v>Novel series</x:v>
      </x:c>
      <x:c r="H55" s="24" t="str">
        <x:v>Tier 2</x:v>
      </x:c>
      <x:c r="I55" s="24" t="str">
        <x:v>University magic, naming, sympathy, bardic hero, framed unreliable autobiography.</x:v>
      </x:c>
      <x:c r="J55" s="24" t="str">
        <x:v>Treat adaptations/editions separately when taxonomically material.</x:v>
      </x:c>
      <x:c r="K55" s="84" t="str">
        <x:v>https://en.wikipedia.org/wiki/The_Kingkiller_Chronicle</x:v>
      </x:c>
      <x:c r="L55" s="24" t="str">
        <x:v>Included</x:v>
      </x:c>
    </x:row>
    <x:row r="56" ht="42" customHeight="1">
      <x:c r="A56" s="24" t="str">
        <x:v>SRC-055</x:v>
      </x:c>
      <x:c r="B56" s="24" t="str">
        <x:v>Gentleman Bastard Sequence</x:v>
      </x:c>
      <x:c r="C56" s="24" t="str">
        <x:v>Scott Lynch</x:v>
      </x:c>
      <x:c r="D56" s="24" t="str">
        <x:v>Literature</x:v>
      </x:c>
      <x:c r="E56" s="24" t="str">
        <x:v>United States</x:v>
      </x:c>
      <x:c r="F56" s="24" t="str">
        <x:v>2006</x:v>
      </x:c>
      <x:c r="G56" s="24" t="str">
        <x:v>Novel series</x:v>
      </x:c>
      <x:c r="H56" s="24" t="str">
        <x:v>Tier 2</x:v>
      </x:c>
      <x:c r="I56" s="24" t="str">
        <x:v>Con artists, thieves, city factions, heists, found family, alchemical settings.</x:v>
      </x:c>
      <x:c r="J56" s="24" t="str">
        <x:v>Treat adaptations/editions separately when taxonomically material.</x:v>
      </x:c>
      <x:c r="K56" s="84" t="str">
        <x:v>https://en.wikipedia.org/wiki/Gentleman_Bastard_Sequence</x:v>
      </x:c>
      <x:c r="L56" s="24" t="str">
        <x:v>Included</x:v>
      </x:c>
    </x:row>
    <x:row r="57" ht="42" customHeight="1">
      <x:c r="A57" s="24" t="str">
        <x:v>SRC-056</x:v>
      </x:c>
      <x:c r="B57" s="24" t="str">
        <x:v>The Broken Earth</x:v>
      </x:c>
      <x:c r="C57" s="24" t="str">
        <x:v>N. K. Jemisin</x:v>
      </x:c>
      <x:c r="D57" s="24" t="str">
        <x:v>Literature</x:v>
      </x:c>
      <x:c r="E57" s="24" t="str">
        <x:v>United States</x:v>
      </x:c>
      <x:c r="F57" s="24" t="str">
        <x:v>2015</x:v>
      </x:c>
      <x:c r="G57" s="24" t="str">
        <x:v>Trilogy</x:v>
      </x:c>
      <x:c r="H57" s="24" t="str">
        <x:v>Tier 1</x:v>
      </x:c>
      <x:c r="I57" s="24" t="str">
        <x:v>Earth power, caste oppression, post-apocalypse, non-linear identity, constructed people.</x:v>
      </x:c>
      <x:c r="J57" s="24" t="str">
        <x:v>Treat adaptations/editions separately when taxonomically material.</x:v>
      </x:c>
      <x:c r="K57" s="84" t="str">
        <x:v>https://en.wikipedia.org/wiki/The_Broken_Earth</x:v>
      </x:c>
      <x:c r="L57" s="24" t="str">
        <x:v>Included</x:v>
      </x:c>
    </x:row>
    <x:row r="58" ht="42" customHeight="1">
      <x:c r="A58" s="24" t="str">
        <x:v>SRC-057</x:v>
      </x:c>
      <x:c r="B58" s="24" t="str">
        <x:v>The Poppy War</x:v>
      </x:c>
      <x:c r="C58" s="24" t="str">
        <x:v>R. F. Kuang</x:v>
      </x:c>
      <x:c r="D58" s="24" t="str">
        <x:v>Literature</x:v>
      </x:c>
      <x:c r="E58" s="24" t="str">
        <x:v>United States / Chinese-inspired fantasy</x:v>
      </x:c>
      <x:c r="F58" s="24" t="str">
        <x:v>2018</x:v>
      </x:c>
      <x:c r="G58" s="24" t="str">
        <x:v>Trilogy</x:v>
      </x:c>
      <x:c r="H58" s="24" t="str">
        <x:v>Tier 2</x:v>
      </x:c>
      <x:c r="I58" s="24" t="str">
        <x:v>Military academy, shamanic power, empire, war trauma, gods and possession.</x:v>
      </x:c>
      <x:c r="J58" s="24" t="str">
        <x:v>Treat adaptations/editions separately when taxonomically material.</x:v>
      </x:c>
      <x:c r="K58" s="84" t="str">
        <x:v>https://en.wikipedia.org/wiki/The_Poppy_War</x:v>
      </x:c>
      <x:c r="L58" s="24" t="str">
        <x:v>Included</x:v>
      </x:c>
    </x:row>
    <x:row r="59" ht="42" customHeight="1">
      <x:c r="A59" s="24" t="str">
        <x:v>SRC-058</x:v>
      </x:c>
      <x:c r="B59" s="24" t="str">
        <x:v>The Daevabad Trilogy</x:v>
      </x:c>
      <x:c r="C59" s="24" t="str">
        <x:v>S. A. Chakraborty</x:v>
      </x:c>
      <x:c r="D59" s="24" t="str">
        <x:v>Literature</x:v>
      </x:c>
      <x:c r="E59" s="24" t="str">
        <x:v>United States / Islamic-world-inspired fantasy</x:v>
      </x:c>
      <x:c r="F59" s="24" t="str">
        <x:v>2017</x:v>
      </x:c>
      <x:c r="G59" s="24" t="str">
        <x:v>Trilogy</x:v>
      </x:c>
      <x:c r="H59" s="24" t="str">
        <x:v>Tier 1</x:v>
      </x:c>
      <x:c r="I59" s="24" t="str">
        <x:v>Djinn peoples, magical city, dynasties, healing, sectarian politics, mixed ancestry.</x:v>
      </x:c>
      <x:c r="J59" s="24" t="str">
        <x:v>Treat adaptations/editions separately when taxonomically material.</x:v>
      </x:c>
      <x:c r="K59" s="84" t="str">
        <x:v>https://en.wikipedia.org/wiki/The_Daevabad_Trilogy</x:v>
      </x:c>
      <x:c r="L59" s="24" t="str">
        <x:v>Included</x:v>
      </x:c>
    </x:row>
    <x:row r="60" ht="42" customHeight="1">
      <x:c r="A60" s="24" t="str">
        <x:v>SRC-059</x:v>
      </x:c>
      <x:c r="B60" s="24" t="str">
        <x:v>The Green Bone Saga</x:v>
      </x:c>
      <x:c r="C60" s="24" t="str">
        <x:v>Fonda Lee</x:v>
      </x:c>
      <x:c r="D60" s="24" t="str">
        <x:v>Literature</x:v>
      </x:c>
      <x:c r="E60" s="24" t="str">
        <x:v>Canada / East Asian-inspired urban epic fantasy</x:v>
      </x:c>
      <x:c r="F60" s="24" t="str">
        <x:v>2017</x:v>
      </x:c>
      <x:c r="G60" s="24" t="str">
        <x:v>Trilogy</x:v>
      </x:c>
      <x:c r="H60" s="24" t="str">
        <x:v>Tier 2</x:v>
      </x:c>
      <x:c r="I60" s="24" t="str">
        <x:v>Clan institutions, jade-enhanced warriors, modernizing society, honor and crime.</x:v>
      </x:c>
      <x:c r="J60" s="24" t="str">
        <x:v>Treat adaptations/editions separately when taxonomically material.</x:v>
      </x:c>
      <x:c r="K60" s="84" t="str">
        <x:v>https://en.wikipedia.org/wiki/The_Green_Bone_Saga</x:v>
      </x:c>
      <x:c r="L60" s="24" t="str">
        <x:v>Included</x:v>
      </x:c>
    </x:row>
    <x:row r="61" ht="42" customHeight="1">
      <x:c r="A61" s="24" t="str">
        <x:v>SRC-060</x:v>
      </x:c>
      <x:c r="B61" s="24" t="str">
        <x:v>The Priory of the Orange Tree</x:v>
      </x:c>
      <x:c r="C61" s="24" t="str">
        <x:v>Samantha Shannon</x:v>
      </x:c>
      <x:c r="D61" s="24" t="str">
        <x:v>Literature</x:v>
      </x:c>
      <x:c r="E61" s="24" t="str">
        <x:v>Britain</x:v>
      </x:c>
      <x:c r="F61" s="24" t="str">
        <x:v>2019</x:v>
      </x:c>
      <x:c r="G61" s="24" t="str">
        <x:v>Roots of Chaos setting</x:v>
      </x:c>
      <x:c r="H61" s="24" t="str">
        <x:v>Tier 2</x:v>
      </x:c>
      <x:c r="I61" s="24" t="str">
        <x:v>Dragon traditions, queenship, secret orders, east/west cosmologies, sapphic epic fantasy.</x:v>
      </x:c>
      <x:c r="J61" s="24" t="str">
        <x:v>Treat adaptations/editions separately when taxonomically material.</x:v>
      </x:c>
      <x:c r="K61" s="84" t="str">
        <x:v>https://en.wikipedia.org/wiki/The_Priory_of_the_Orange_Tree</x:v>
      </x:c>
      <x:c r="L61" s="24" t="str">
        <x:v>Included</x:v>
      </x:c>
    </x:row>
    <x:row r="62" ht="42" customHeight="1">
      <x:c r="A62" s="24" t="str">
        <x:v>SRC-061</x:v>
      </x:c>
      <x:c r="B62" s="24" t="str">
        <x:v>The Locked Tomb</x:v>
      </x:c>
      <x:c r="C62" s="24" t="str">
        <x:v>Tamsyn Muir</x:v>
      </x:c>
      <x:c r="D62" s="24" t="str">
        <x:v>Literature</x:v>
      </x:c>
      <x:c r="E62" s="24" t="str">
        <x:v>New Zealand / science fantasy</x:v>
      </x:c>
      <x:c r="F62" s="24" t="str">
        <x:v>2019</x:v>
      </x:c>
      <x:c r="G62" s="24" t="str">
        <x:v>Novel series</x:v>
      </x:c>
      <x:c r="H62" s="24" t="str">
        <x:v>Tier 2</x:v>
      </x:c>
      <x:c r="I62" s="24" t="str">
        <x:v>Necromancer houses, cavaliers, resurrection empire, soul magic, identity puzzles.</x:v>
      </x:c>
      <x:c r="J62" s="24" t="str">
        <x:v>Treat adaptations/editions separately when taxonomically material.</x:v>
      </x:c>
      <x:c r="K62" s="84" t="str">
        <x:v>https://en.wikipedia.org/wiki/The_Locked_Tomb</x:v>
      </x:c>
      <x:c r="L62" s="24" t="str">
        <x:v>Included</x:v>
      </x:c>
    </x:row>
    <x:row r="63" ht="42" customHeight="1">
      <x:c r="A63" s="24" t="str">
        <x:v>SRC-062</x:v>
      </x:c>
      <x:c r="B63" s="24" t="str">
        <x:v>The Book of the New Sun</x:v>
      </x:c>
      <x:c r="C63" s="24" t="str">
        <x:v>Gene Wolfe</x:v>
      </x:c>
      <x:c r="D63" s="24" t="str">
        <x:v>Literature</x:v>
      </x:c>
      <x:c r="E63" s="24" t="str">
        <x:v>United States / science fantasy</x:v>
      </x:c>
      <x:c r="F63" s="24" t="str">
        <x:v>1980</x:v>
      </x:c>
      <x:c r="G63" s="24" t="str">
        <x:v>Solar Cycle</x:v>
      </x:c>
      <x:c r="H63" s="24" t="str">
        <x:v>Tier 2</x:v>
      </x:c>
      <x:c r="I63" s="24" t="str">
        <x:v>Far-future guild offices, unreliable narration, relic technology, dying world.</x:v>
      </x:c>
      <x:c r="J63" s="24" t="str">
        <x:v>Treat adaptations/editions separately when taxonomically material.</x:v>
      </x:c>
      <x:c r="K63" s="84" t="str">
        <x:v>https://en.wikipedia.org/wiki/The_Book_of_the_New_Sun</x:v>
      </x:c>
      <x:c r="L63" s="24" t="str">
        <x:v>Included</x:v>
      </x:c>
    </x:row>
    <x:row r="64" ht="42" customHeight="1">
      <x:c r="A64" s="24" t="str">
        <x:v>SRC-063</x:v>
      </x:c>
      <x:c r="B64" s="24" t="str">
        <x:v>The Broken Empire</x:v>
      </x:c>
      <x:c r="C64" s="24" t="str">
        <x:v>Mark Lawrence</x:v>
      </x:c>
      <x:c r="D64" s="24" t="str">
        <x:v>Literature</x:v>
      </x:c>
      <x:c r="E64" s="24" t="str">
        <x:v>Britain / dark fantasy</x:v>
      </x:c>
      <x:c r="F64" s="24" t="str">
        <x:v>2011</x:v>
      </x:c>
      <x:c r="G64" s="24" t="str">
        <x:v>Trilogy</x:v>
      </x:c>
      <x:c r="H64" s="24" t="str">
        <x:v>Tier 3</x:v>
      </x:c>
      <x:c r="I64" s="24" t="str">
        <x:v>Antihero prince, post-technological ruins, necromancy, fragmented empire.</x:v>
      </x:c>
      <x:c r="J64" s="24" t="str">
        <x:v>Treat adaptations/editions separately when taxonomically material.</x:v>
      </x:c>
      <x:c r="K64" s="84" t="str">
        <x:v>https://en.wikipedia.org/wiki/The_Broken_Empire</x:v>
      </x:c>
      <x:c r="L64" s="24" t="str">
        <x:v>Included</x:v>
      </x:c>
    </x:row>
    <x:row r="65" ht="42" customHeight="1">
      <x:c r="A65" s="24" t="str">
        <x:v>SRC-064</x:v>
      </x:c>
      <x:c r="B65" s="24" t="str">
        <x:v>Powder Mage</x:v>
      </x:c>
      <x:c r="C65" s="24" t="str">
        <x:v>Brian McClellan</x:v>
      </x:c>
      <x:c r="D65" s="24" t="str">
        <x:v>Literature</x:v>
      </x:c>
      <x:c r="E65" s="24" t="str">
        <x:v>United States / flintlock fantasy</x:v>
      </x:c>
      <x:c r="F65" s="24" t="str">
        <x:v>2013</x:v>
      </x:c>
      <x:c r="G65" s="24" t="str">
        <x:v>Novel series</x:v>
      </x:c>
      <x:c r="H65" s="24" t="str">
        <x:v>Tier 2</x:v>
      </x:c>
      <x:c r="I65" s="24" t="str">
        <x:v>Powder mages, military classes, gods, revolution, firearms integrated with magic.</x:v>
      </x:c>
      <x:c r="J65" s="24" t="str">
        <x:v>Treat adaptations/editions separately when taxonomically material.</x:v>
      </x:c>
      <x:c r="K65" s="84" t="str">
        <x:v>https://en.wikipedia.org/wiki/Powder_Mage</x:v>
      </x:c>
      <x:c r="L65" s="24" t="str">
        <x:v>Included</x:v>
      </x:c>
    </x:row>
    <x:row r="66" ht="42" customHeight="1">
      <x:c r="A66" s="24" t="str">
        <x:v>SRC-065</x:v>
      </x:c>
      <x:c r="B66" s="24" t="str">
        <x:v>Jonathan Strange &amp; Mr Norrell</x:v>
      </x:c>
      <x:c r="C66" s="24" t="str">
        <x:v>Susanna Clarke</x:v>
      </x:c>
      <x:c r="D66" s="24" t="str">
        <x:v>Literature</x:v>
      </x:c>
      <x:c r="E66" s="24" t="str">
        <x:v>Britain</x:v>
      </x:c>
      <x:c r="F66" s="24" t="str">
        <x:v>2004</x:v>
      </x:c>
      <x:c r="G66" s="24" t="str">
        <x:v>Novel and screen adaptation</x:v>
      </x:c>
      <x:c r="H66" s="24" t="str">
        <x:v>Tier 1</x:v>
      </x:c>
      <x:c r="I66" s="24" t="str">
        <x:v>English magic history, gentleman magicians, faerie bargain, scholarly practice.</x:v>
      </x:c>
      <x:c r="J66" s="24" t="str">
        <x:v>Treat adaptations/editions separately when taxonomically material.</x:v>
      </x:c>
      <x:c r="K66" s="84" t="str">
        <x:v>https://en.wikipedia.org/wiki/Jonathan_Strange_%26_Mr_Norrell</x:v>
      </x:c>
      <x:c r="L66" s="24" t="str">
        <x:v>Included</x:v>
      </x:c>
    </x:row>
    <x:row r="67" ht="42" customHeight="1">
      <x:c r="A67" s="24" t="str">
        <x:v>SRC-066</x:v>
      </x:c>
      <x:c r="B67" s="24" t="str">
        <x:v>Kushiel's Legacy</x:v>
      </x:c>
      <x:c r="C67" s="24" t="str">
        <x:v>Jacqueline Carey</x:v>
      </x:c>
      <x:c r="D67" s="24" t="str">
        <x:v>Literature</x:v>
      </x:c>
      <x:c r="E67" s="24" t="str">
        <x:v>United States</x:v>
      </x:c>
      <x:c r="F67" s="24" t="str">
        <x:v>2001</x:v>
      </x:c>
      <x:c r="G67" s="24" t="str">
        <x:v>Terre d'Ange novels</x:v>
      </x:c>
      <x:c r="H67" s="24" t="str">
        <x:v>Tier 2</x:v>
      </x:c>
      <x:c r="I67" s="24" t="str">
        <x:v>Sacred lineages, courtesan-spy role, political travel, religious orders, chosen pain.</x:v>
      </x:c>
      <x:c r="J67" s="24" t="str">
        <x:v>Treat adaptations/editions separately when taxonomically material.</x:v>
      </x:c>
      <x:c r="K67" s="84" t="str">
        <x:v>https://en.wikipedia.org/wiki/Kushiel's_Legacy</x:v>
      </x:c>
      <x:c r="L67" s="24" t="str">
        <x:v>Included</x:v>
      </x:c>
    </x:row>
    <x:row r="68" ht="42" customHeight="1">
      <x:c r="A68" s="24" t="str">
        <x:v>SRC-067</x:v>
      </x:c>
      <x:c r="B68" s="24" t="str">
        <x:v>Black Leopard, Red Wolf</x:v>
      </x:c>
      <x:c r="C68" s="24" t="str">
        <x:v>Marlon James</x:v>
      </x:c>
      <x:c r="D68" s="24" t="str">
        <x:v>Literature</x:v>
      </x:c>
      <x:c r="E68" s="24" t="str">
        <x:v>Jamaica / African-inspired fantasy</x:v>
      </x:c>
      <x:c r="F68" s="24" t="str">
        <x:v>2019</x:v>
      </x:c>
      <x:c r="G68" s="24" t="str">
        <x:v>Dark Star Trilogy</x:v>
      </x:c>
      <x:c r="H68" s="24" t="str">
        <x:v>Tier 1</x:v>
      </x:c>
      <x:c r="I68" s="24" t="str">
        <x:v>African mythic beings, tracker role, shapeshifters, unreliable narrative, quest inversion.</x:v>
      </x:c>
      <x:c r="J68" s="24" t="str">
        <x:v>Treat adaptations/editions separately when taxonomically material.</x:v>
      </x:c>
      <x:c r="K68" s="84" t="str">
        <x:v>https://en.wikipedia.org/wiki/Black_Leopard,_Red_Wolf</x:v>
      </x:c>
      <x:c r="L68" s="24" t="str">
        <x:v>Included</x:v>
      </x:c>
    </x:row>
    <x:row r="69" ht="42" customHeight="1">
      <x:c r="A69" s="24" t="str">
        <x:v>SRC-068</x:v>
      </x:c>
      <x:c r="B69" s="24" t="str">
        <x:v>Who Fears Death</x:v>
      </x:c>
      <x:c r="C69" s="24" t="str">
        <x:v>Nnedi Okorafor</x:v>
      </x:c>
      <x:c r="D69" s="24" t="str">
        <x:v>Literature</x:v>
      </x:c>
      <x:c r="E69" s="24" t="str">
        <x:v>Nigeria / United States</x:v>
      </x:c>
      <x:c r="F69" s="24" t="str">
        <x:v>2010</x:v>
      </x:c>
      <x:c r="G69" s="24" t="str">
        <x:v>Novel and related setting</x:v>
      </x:c>
      <x:c r="H69" s="24" t="str">
        <x:v>Tier 2</x:v>
      </x:c>
      <x:c r="I69" s="24" t="str">
        <x:v>Sorcery, transformation, social violence, prophecy, post-apocalyptic African setting.</x:v>
      </x:c>
      <x:c r="J69" s="24" t="str">
        <x:v>Treat adaptations/editions separately when taxonomically material.</x:v>
      </x:c>
      <x:c r="K69" s="84" t="str">
        <x:v>https://en.wikipedia.org/wiki/Who_Fears_Death</x:v>
      </x:c>
      <x:c r="L69" s="24" t="str">
        <x:v>Included</x:v>
      </x:c>
    </x:row>
    <x:row r="70" ht="42" customHeight="1">
      <x:c r="A70" s="24" t="str">
        <x:v>SRC-069</x:v>
      </x:c>
      <x:c r="B70" s="24" t="str">
        <x:v>Akata Witch</x:v>
      </x:c>
      <x:c r="C70" s="24" t="str">
        <x:v>Nnedi Okorafor</x:v>
      </x:c>
      <x:c r="D70" s="24" t="str">
        <x:v>Literature</x:v>
      </x:c>
      <x:c r="E70" s="24" t="str">
        <x:v>Nigeria / United States</x:v>
      </x:c>
      <x:c r="F70" s="24" t="str">
        <x:v>2011</x:v>
      </x:c>
      <x:c r="G70" s="24" t="str">
        <x:v>Nsibidi Scripts series</x:v>
      </x:c>
      <x:c r="H70" s="24" t="str">
        <x:v>Tier 2</x:v>
      </x:c>
      <x:c r="I70" s="24" t="str">
        <x:v>Magical society, spirit doubles, masquerades, learning groups, Nigerian folklore.</x:v>
      </x:c>
      <x:c r="J70" s="24" t="str">
        <x:v>Treat adaptations/editions separately when taxonomically material.</x:v>
      </x:c>
      <x:c r="K70" s="84" t="str">
        <x:v>https://en.wikipedia.org/wiki/Akata_Witch</x:v>
      </x:c>
      <x:c r="L70" s="24" t="str">
        <x:v>Included</x:v>
      </x:c>
    </x:row>
    <x:row r="71" ht="42" customHeight="1">
      <x:c r="A71" s="24" t="str">
        <x:v>SRC-070</x:v>
      </x:c>
      <x:c r="B71" s="24" t="str">
        <x:v>Children of Blood and Bone</x:v>
      </x:c>
      <x:c r="C71" s="24" t="str">
        <x:v>Tomi Adeyemi</x:v>
      </x:c>
      <x:c r="D71" s="24" t="str">
        <x:v>Literature</x:v>
      </x:c>
      <x:c r="E71" s="24" t="str">
        <x:v>United States / West African-inspired fantasy</x:v>
      </x:c>
      <x:c r="F71" s="24" t="str">
        <x:v>2018</x:v>
      </x:c>
      <x:c r="G71" s="24" t="str">
        <x:v>Legacy of Orïsha series</x:v>
      </x:c>
      <x:c r="H71" s="24" t="str">
        <x:v>Tier 2</x:v>
      </x:c>
      <x:c r="I71" s="24" t="str">
        <x:v>Magic castes, suppressed practitioners, divine powers, rebellion, monarchy.</x:v>
      </x:c>
      <x:c r="J71" s="24" t="str">
        <x:v>Treat adaptations/editions separately when taxonomically material.</x:v>
      </x:c>
      <x:c r="K71" s="84" t="str">
        <x:v>https://en.wikipedia.org/wiki/Children_of_Blood_and_Bone</x:v>
      </x:c>
      <x:c r="L71" s="24" t="str">
        <x:v>Included</x:v>
      </x:c>
    </x:row>
    <x:row r="72" ht="42" customHeight="1">
      <x:c r="A72" s="24" t="str">
        <x:v>SRC-071</x:v>
      </x:c>
      <x:c r="B72" s="24" t="str">
        <x:v>The Bird That Drinks Tears</x:v>
      </x:c>
      <x:c r="C72" s="24" t="str">
        <x:v>Lee Yeongdo</x:v>
      </x:c>
      <x:c r="D72" s="24" t="str">
        <x:v>Literature</x:v>
      </x:c>
      <x:c r="E72" s="24" t="str">
        <x:v>South Korea</x:v>
      </x:c>
      <x:c r="F72" s="24" t="str">
        <x:v>2003</x:v>
      </x:c>
      <x:c r="G72" s="24" t="str">
        <x:v>Korean fantasy novel</x:v>
      </x:c>
      <x:c r="H72" s="24" t="str">
        <x:v>Tier 1</x:v>
      </x:c>
      <x:c r="I72" s="24" t="str">
        <x:v>Distinct nonhuman peoples, rescue party, culturally specific worldbuilding, gods.</x:v>
      </x:c>
      <x:c r="J72" s="24" t="str">
        <x:v>Treat adaptations/editions separately when taxonomically material.</x:v>
      </x:c>
      <x:c r="K72" s="84" t="str">
        <x:v>https://en.wikipedia.org/wiki/The_Bird_That_Drinks_Tears</x:v>
      </x:c>
      <x:c r="L72" s="24" t="str">
        <x:v>Included</x:v>
      </x:c>
    </x:row>
    <x:row r="73" ht="42" customHeight="1">
      <x:c r="A73" s="24" t="str">
        <x:v>SRC-072</x:v>
      </x:c>
      <x:c r="B73" s="24" t="str">
        <x:v>The Twelve Kingdoms</x:v>
      </x:c>
      <x:c r="C73" s="24" t="str">
        <x:v>Fuyumi Ono</x:v>
      </x:c>
      <x:c r="D73" s="24" t="str">
        <x:v>Light Novel / Literature</x:v>
      </x:c>
      <x:c r="E73" s="24" t="str">
        <x:v>Japan</x:v>
      </x:c>
      <x:c r="F73" s="24" t="str">
        <x:v>1992</x:v>
      </x:c>
      <x:c r="G73" s="24" t="str">
        <x:v>Novel series and anime adaptation</x:v>
      </x:c>
      <x:c r="H73" s="24" t="str">
        <x:v>Tier 1</x:v>
      </x:c>
      <x:c r="I73" s="24" t="str">
        <x:v>Isekai sovereignty, kirin, divine mandate, nonhuman ecology, bureaucratic kingdoms.</x:v>
      </x:c>
      <x:c r="J73" s="24" t="str">
        <x:v>Treat adaptations/editions separately when taxonomically material.</x:v>
      </x:c>
      <x:c r="K73" s="84" t="str">
        <x:v>https://en.wikipedia.org/wiki/The_Twelve_Kingdoms</x:v>
      </x:c>
      <x:c r="L73" s="24" t="str">
        <x:v>Included</x:v>
      </x:c>
    </x:row>
    <x:row r="74" ht="42" customHeight="1">
      <x:c r="A74" s="24" t="str">
        <x:v>SRC-073</x:v>
      </x:c>
      <x:c r="B74" s="24" t="str">
        <x:v>Guin Saga</x:v>
      </x:c>
      <x:c r="C74" s="24" t="str">
        <x:v>Kaoru Kurimoto</x:v>
      </x:c>
      <x:c r="D74" s="24" t="str">
        <x:v>Literature / Light Novel</x:v>
      </x:c>
      <x:c r="E74" s="24" t="str">
        <x:v>Japan</x:v>
      </x:c>
      <x:c r="F74" s="24" t="str">
        <x:v>1979</x:v>
      </x:c>
      <x:c r="G74" s="24" t="str">
        <x:v>Long-running novel series</x:v>
      </x:c>
      <x:c r="H74" s="24" t="str">
        <x:v>Tier 2</x:v>
      </x:c>
      <x:c r="I74" s="24" t="str">
        <x:v>Amnesiac warrior, kingdoms, sorcery, war, leopard mask, epic scale.</x:v>
      </x:c>
      <x:c r="J74" s="24" t="str">
        <x:v>Treat adaptations/editions separately when taxonomically material.</x:v>
      </x:c>
      <x:c r="K74" s="84" t="str">
        <x:v>https://en.wikipedia.org/wiki/Guin_Saga</x:v>
      </x:c>
      <x:c r="L74" s="24" t="str">
        <x:v>Included</x:v>
      </x:c>
    </x:row>
    <x:row r="75" ht="42" customHeight="1">
      <x:c r="A75" s="24" t="str">
        <x:v>SRC-074</x:v>
      </x:c>
      <x:c r="B75" s="24" t="str">
        <x:v>Moribito</x:v>
      </x:c>
      <x:c r="C75" s="24" t="str">
        <x:v>Nahoko Uehashi</x:v>
      </x:c>
      <x:c r="D75" s="24" t="str">
        <x:v>Literature</x:v>
      </x:c>
      <x:c r="E75" s="24" t="str">
        <x:v>Japan</x:v>
      </x:c>
      <x:c r="F75" s="24" t="str">
        <x:v>1996</x:v>
      </x:c>
      <x:c r="G75" s="24" t="str">
        <x:v>Novel series and anime adaptation</x:v>
      </x:c>
      <x:c r="H75" s="24" t="str">
        <x:v>Tier 1</x:v>
      </x:c>
      <x:c r="I75" s="24" t="str">
        <x:v>Spearwoman bodyguard, spirit ecology, royal ritual, parallel worlds, anthropology.</x:v>
      </x:c>
      <x:c r="J75" s="24" t="str">
        <x:v>Treat adaptations/editions separately when taxonomically material.</x:v>
      </x:c>
      <x:c r="K75" s="84" t="str">
        <x:v>https://en.wikipedia.org/wiki/Moribito</x:v>
      </x:c>
      <x:c r="L75" s="24" t="str">
        <x:v>Included</x:v>
      </x:c>
    </x:row>
    <x:row r="76" ht="42" customHeight="1">
      <x:c r="A76" s="24" t="str">
        <x:v>SRC-075</x:v>
      </x:c>
      <x:c r="B76" s="24" t="str">
        <x:v>Record of Lodoss War</x:v>
      </x:c>
      <x:c r="C76" s="24" t="str">
        <x:v>Ryo Mizuno and Group SNE</x:v>
      </x:c>
      <x:c r="D76" s="24" t="str">
        <x:v>Replay / Novel / Anime</x:v>
      </x:c>
      <x:c r="E76" s="24" t="str">
        <x:v>Japan</x:v>
      </x:c>
      <x:c r="F76" s="24" t="str">
        <x:v>1986 onward</x:v>
      </x:c>
      <x:c r="G76" s="24" t="str">
        <x:v>Novels, replays, anime, games</x:v>
      </x:c>
      <x:c r="H76" s="24" t="str">
        <x:v>Tier 1</x:v>
      </x:c>
      <x:c r="I76" s="24" t="str">
        <x:v>Japanese reception of tabletop high fantasy, classic party classes, dark elves, knightly quest.</x:v>
      </x:c>
      <x:c r="J76" s="24" t="str">
        <x:v>Treat adaptations/editions separately when taxonomically material.</x:v>
      </x:c>
      <x:c r="K76" s="84" t="str">
        <x:v>https://en.wikipedia.org/wiki/Record_of_Lodoss_War</x:v>
      </x:c>
      <x:c r="L76" s="24" t="str">
        <x:v>Included</x:v>
      </x:c>
    </x:row>
    <x:row r="77" ht="42" customHeight="1">
      <x:c r="A77" s="24" t="str">
        <x:v>SRC-076</x:v>
      </x:c>
      <x:c r="B77" s="24" t="str">
        <x:v>Slayers</x:v>
      </x:c>
      <x:c r="C77" s="24" t="str">
        <x:v>Hajime Kanzaka</x:v>
      </x:c>
      <x:c r="D77" s="24" t="str">
        <x:v>Light Novel / Anime</x:v>
      </x:c>
      <x:c r="E77" s="24" t="str">
        <x:v>Japan</x:v>
      </x:c>
      <x:c r="F77" s="24" t="str">
        <x:v>1989</x:v>
      </x:c>
      <x:c r="G77" s="24" t="str">
        <x:v>Novels and adaptations</x:v>
      </x:c>
      <x:c r="H77" s="24" t="str">
        <x:v>Tier 2</x:v>
      </x:c>
      <x:c r="I77" s="24" t="str">
        <x:v>Sorcerer adventurers, demon lords, spell lists, comedic party dynamics.</x:v>
      </x:c>
      <x:c r="J77" s="24" t="str">
        <x:v>Treat adaptations/editions separately when taxonomically material.</x:v>
      </x:c>
      <x:c r="K77" s="84" t="str">
        <x:v>https://en.wikipedia.org/wiki/Slayers</x:v>
      </x:c>
      <x:c r="L77" s="24" t="str">
        <x:v>Included</x:v>
      </x:c>
    </x:row>
    <x:row r="78" ht="42" customHeight="1">
      <x:c r="A78" s="24" t="str">
        <x:v>SRC-077</x:v>
      </x:c>
      <x:c r="B78" s="24" t="str">
        <x:v>A Record of a Mortal's Journey to Immortality</x:v>
      </x:c>
      <x:c r="C78" s="24" t="str">
        <x:v>Wang Yu</x:v>
      </x:c>
      <x:c r="D78" s="24" t="str">
        <x:v>Web Novel</x:v>
      </x:c>
      <x:c r="E78" s="24" t="str">
        <x:v>China / xianxia</x:v>
      </x:c>
      <x:c r="F78" s="24" t="str">
        <x:v>2008</x:v>
      </x:c>
      <x:c r="G78" s="24" t="str">
        <x:v>Novel and adaptations</x:v>
      </x:c>
      <x:c r="H78" s="24" t="str">
        <x:v>Tier 1</x:v>
      </x:c>
      <x:c r="I78" s="24" t="str">
        <x:v>Cultivation stages, sects, talismans, alchemy, spirit beasts, resource progression.</x:v>
      </x:c>
      <x:c r="J78" s="24" t="str">
        <x:v>Treat adaptations/editions separately when taxonomically material.</x:v>
      </x:c>
      <x:c r="K78" s="84" t="str">
        <x:v>https://en.wikipedia.org/wiki/A_Record_of_a_Mortal's_Journey_to_Immortality</x:v>
      </x:c>
      <x:c r="L78" s="24" t="str">
        <x:v>Included</x:v>
      </x:c>
    </x:row>
    <x:row r="79" ht="42" customHeight="1">
      <x:c r="A79" s="24" t="str">
        <x:v>SRC-078</x:v>
      </x:c>
      <x:c r="B79" s="24" t="str">
        <x:v>Grandmaster of Demonic Cultivation</x:v>
      </x:c>
      <x:c r="C79" s="24" t="str">
        <x:v>Mo Xiang Tong Xiu</x:v>
      </x:c>
      <x:c r="D79" s="24" t="str">
        <x:v>Web Novel / Danmei / Xianxia</x:v>
      </x:c>
      <x:c r="E79" s="24" t="str">
        <x:v>China</x:v>
      </x:c>
      <x:c r="F79" s="24" t="str">
        <x:v>2015</x:v>
      </x:c>
      <x:c r="G79" s="24" t="str">
        <x:v>Novel and adaptations</x:v>
      </x:c>
      <x:c r="H79" s="24" t="str">
        <x:v>Tier 1</x:v>
      </x:c>
      <x:c r="I79" s="24" t="str">
        <x:v>Cultivation clans, demonic cultivation, guqin, resentful energy, reincarnated identity.</x:v>
      </x:c>
      <x:c r="J79" s="24" t="str">
        <x:v>Treat adaptations/editions separately when taxonomically material.</x:v>
      </x:c>
      <x:c r="K79" s="84" t="str">
        <x:v>https://en.wikipedia.org/wiki/Grandmaster_of_Demonic_Cultivation</x:v>
      </x:c>
      <x:c r="L79" s="24" t="str">
        <x:v>Included</x:v>
      </x:c>
    </x:row>
    <x:row r="80" ht="42" customHeight="1">
      <x:c r="A80" s="24" t="str">
        <x:v>SRC-079</x:v>
      </x:c>
      <x:c r="B80" s="24" t="str">
        <x:v>The Legend of the Condor Heroes</x:v>
      </x:c>
      <x:c r="C80" s="24" t="str">
        <x:v>Jin Yong</x:v>
      </x:c>
      <x:c r="D80" s="24" t="str">
        <x:v>Literature / Wuxia</x:v>
      </x:c>
      <x:c r="E80" s="24" t="str">
        <x:v>Hong Kong / China</x:v>
      </x:c>
      <x:c r="F80" s="24" t="str">
        <x:v>1957</x:v>
      </x:c>
      <x:c r="G80" s="24" t="str">
        <x:v>Novel and adaptations</x:v>
      </x:c>
      <x:c r="H80" s="24" t="str">
        <x:v>Tier 1</x:v>
      </x:c>
      <x:c r="I80" s="24" t="str">
        <x:v>Martial schools, techniques, masters, sects, chivalric wandering, historical politics.</x:v>
      </x:c>
      <x:c r="J80" s="24" t="str">
        <x:v>Treat adaptations/editions separately when taxonomically material.</x:v>
      </x:c>
      <x:c r="K80" s="84" t="str">
        <x:v>https://en.wikipedia.org/wiki/The_Legend_of_the_Condor_Heroes</x:v>
      </x:c>
      <x:c r="L80" s="24" t="str">
        <x:v>Included</x:v>
      </x:c>
    </x:row>
    <x:row r="81" ht="42" customHeight="1">
      <x:c r="A81" s="24" t="str">
        <x:v>SRC-080</x:v>
      </x:c>
      <x:c r="B81" s="24" t="str">
        <x:v>Kalpa Imperial</x:v>
      </x:c>
      <x:c r="C81" s="24" t="str">
        <x:v>Angélica Gorodischer</x:v>
      </x:c>
      <x:c r="D81" s="24" t="str">
        <x:v>Literature</x:v>
      </x:c>
      <x:c r="E81" s="24" t="str">
        <x:v>Argentina</x:v>
      </x:c>
      <x:c r="F81" s="24" t="str">
        <x:v>1983–1984</x:v>
      </x:c>
      <x:c r="G81" s="24" t="str">
        <x:v>Story cycle</x:v>
      </x:c>
      <x:c r="H81" s="24" t="str">
        <x:v>Tier 2</x:v>
      </x:c>
      <x:c r="I81" s="24" t="str">
        <x:v>Imperial rise and fall, storyteller frame, civilization archetypes, anti-linear history.</x:v>
      </x:c>
      <x:c r="J81" s="24" t="str">
        <x:v>Treat adaptations/editions separately when taxonomically material.</x:v>
      </x:c>
      <x:c r="K81" s="84" t="str">
        <x:v>https://en.wikipedia.org/wiki/Kalpa_Imperial</x:v>
      </x:c>
      <x:c r="L81" s="24" t="str">
        <x:v>Included</x:v>
      </x:c>
    </x:row>
    <x:row r="82" ht="42" customHeight="1">
      <x:c r="A82" s="24" t="str">
        <x:v>SRC-081</x:v>
      </x:c>
      <x:c r="B82" s="24" t="str">
        <x:v>The Inheritance Cycle</x:v>
      </x:c>
      <x:c r="C82" s="24" t="str">
        <x:v>Christopher Paolini</x:v>
      </x:c>
      <x:c r="D82" s="24" t="str">
        <x:v>Literature</x:v>
      </x:c>
      <x:c r="E82" s="24" t="str">
        <x:v>United States</x:v>
      </x:c>
      <x:c r="F82" s="24" t="str">
        <x:v>2002</x:v>
      </x:c>
      <x:c r="G82" s="24" t="str">
        <x:v>Novel series</x:v>
      </x:c>
      <x:c r="H82" s="24" t="str">
        <x:v>Tier 2</x:v>
      </x:c>
      <x:c r="I82" s="24" t="str">
        <x:v>Dragon riders, magical language, elves/dwarves, empire, chosen farmboy hero.</x:v>
      </x:c>
      <x:c r="J82" s="24" t="str">
        <x:v>Treat adaptations/editions separately when taxonomically material.</x:v>
      </x:c>
      <x:c r="K82" s="84" t="str">
        <x:v>https://en.wikipedia.org/wiki/The_Inheritance_Cycle</x:v>
      </x:c>
      <x:c r="L82" s="24" t="str">
        <x:v>Included</x:v>
      </x:c>
    </x:row>
    <x:row r="83" ht="42" customHeight="1">
      <x:c r="A83" s="24" t="str">
        <x:v>SRC-082</x:v>
      </x:c>
      <x:c r="B83" s="24" t="str">
        <x:v>The Deed of Paksenarrion</x:v>
      </x:c>
      <x:c r="C83" s="24" t="str">
        <x:v>Elizabeth Moon</x:v>
      </x:c>
      <x:c r="D83" s="24" t="str">
        <x:v>Literature</x:v>
      </x:c>
      <x:c r="E83" s="24" t="str">
        <x:v>United States</x:v>
      </x:c>
      <x:c r="F83" s="24" t="str">
        <x:v>1988–1989</x:v>
      </x:c>
      <x:c r="G83" s="24" t="str">
        <x:v>Novel trilogy and related works</x:v>
      </x:c>
      <x:c r="H83" s="24" t="str">
        <x:v>Tier 2</x:v>
      </x:c>
      <x:c r="I83" s="24" t="str">
        <x:v>Soldier-to-paladin progression, military life, divine vocation, oath and trauma.</x:v>
      </x:c>
      <x:c r="J83" s="24" t="str">
        <x:v>Treat adaptations/editions separately when taxonomically material.</x:v>
      </x:c>
      <x:c r="K83" s="84" t="str">
        <x:v>https://en.wikipedia.org/wiki/The_Deed_of_Paksenarrion</x:v>
      </x:c>
      <x:c r="L83" s="24" t="str">
        <x:v>Included</x:v>
      </x:c>
    </x:row>
    <x:row r="84" ht="42" customHeight="1">
      <x:c r="A84" s="24" t="str">
        <x:v>SRC-083</x:v>
      </x:c>
      <x:c r="B84" s="24" t="str">
        <x:v>The Dragonbone Chair / Osten Ard</x:v>
      </x:c>
      <x:c r="C84" s="24" t="str">
        <x:v>Tad Williams</x:v>
      </x:c>
      <x:c r="D84" s="24" t="str">
        <x:v>Literature</x:v>
      </x:c>
      <x:c r="E84" s="24" t="str">
        <x:v>United States</x:v>
      </x:c>
      <x:c r="F84" s="24" t="str">
        <x:v>1988 onward</x:v>
      </x:c>
      <x:c r="G84" s="24" t="str">
        <x:v>Osten Ard novels</x:v>
      </x:c>
      <x:c r="H84" s="24" t="str">
        <x:v>Tier 2</x:v>
      </x:c>
      <x:c r="I84" s="24" t="str">
        <x:v>Immortal elder peoples, court politics, kitchen-boy quest, legend becoming history.</x:v>
      </x:c>
      <x:c r="J84" s="24" t="str">
        <x:v>Treat adaptations/editions separately when taxonomically material.</x:v>
      </x:c>
      <x:c r="K84" s="84" t="str">
        <x:v>https://en.wikipedia.org/wiki/The_Dragonbone_Chair_%2F_Osten_Ard</x:v>
      </x:c>
      <x:c r="L84" s="24" t="str">
        <x:v>Included</x:v>
      </x:c>
    </x:row>
    <x:row r="85" ht="42" customHeight="1">
      <x:c r="A85" s="24" t="str">
        <x:v>SRC-084</x:v>
      </x:c>
      <x:c r="B85" s="24" t="str">
        <x:v>The Lions of Al-Rassan</x:v>
      </x:c>
      <x:c r="C85" s="24" t="str">
        <x:v>Guy Gavriel Kay</x:v>
      </x:c>
      <x:c r="D85" s="24" t="str">
        <x:v>Literature</x:v>
      </x:c>
      <x:c r="E85" s="24" t="str">
        <x:v>Canada / historical fantasy</x:v>
      </x:c>
      <x:c r="F85" s="24" t="str">
        <x:v>1995</x:v>
      </x:c>
      <x:c r="G85" s="24" t="str">
        <x:v>Standalone novel</x:v>
      </x:c>
      <x:c r="H85" s="24" t="str">
        <x:v>Tier 2</x:v>
      </x:c>
      <x:c r="I85" s="24" t="str">
        <x:v>Analogical history, warrior-poet, physician, divided faiths, cultural hybridity.</x:v>
      </x:c>
      <x:c r="J85" s="24" t="str">
        <x:v>Treat adaptations/editions separately when taxonomically material.</x:v>
      </x:c>
      <x:c r="K85" s="84" t="str">
        <x:v>https://en.wikipedia.org/wiki/The_Lions_of_Al-Rassan</x:v>
      </x:c>
      <x:c r="L85" s="24" t="str">
        <x:v>Included</x:v>
      </x:c>
    </x:row>
    <x:row r="86" ht="42" customHeight="1">
      <x:c r="A86" s="24" t="str">
        <x:v>SRC-085</x:v>
      </x:c>
      <x:c r="B86" s="24" t="str">
        <x:v>The Books of Earthsea</x:v>
      </x:c>
      <x:c r="C86" s="24" t="str">
        <x:v>Ursula K. Le Guin</x:v>
      </x:c>
      <x:c r="D86" s="24" t="str">
        <x:v>Literature</x:v>
      </x:c>
      <x:c r="E86" s="24" t="str">
        <x:v>United States</x:v>
      </x:c>
      <x:c r="F86" s="24" t="str">
        <x:v>1968–2001</x:v>
      </x:c>
      <x:c r="G86" s="24" t="str">
        <x:v>Full Earthsea cycle</x:v>
      </x:c>
      <x:c r="H86" s="24" t="str">
        <x:v>Tier 1</x:v>
      </x:c>
      <x:c r="I86" s="24" t="str">
        <x:v>Naming, wizard institution, gender critique, dragons, balance, archipelago cultures.</x:v>
      </x:c>
      <x:c r="J86" s="24" t="str">
        <x:v>Treat adaptations/editions separately when taxonomically material.</x:v>
      </x:c>
      <x:c r="K86" s="84" t="str">
        <x:v>https://en.wikipedia.org/wiki/The_Books_of_Earthsea</x:v>
      </x:c>
      <x:c r="L86" s="24" t="str">
        <x:v>Included</x:v>
      </x:c>
    </x:row>
    <x:row r="87" ht="42" customHeight="1">
      <x:c r="A87" s="24" t="str">
        <x:v>SRC-086</x:v>
      </x:c>
      <x:c r="B87" s="24" t="str">
        <x:v>The Spear Cuts Through Water</x:v>
      </x:c>
      <x:c r="C87" s="24" t="str">
        <x:v>Simon Jimenez</x:v>
      </x:c>
      <x:c r="D87" s="24" t="str">
        <x:v>Literature</x:v>
      </x:c>
      <x:c r="E87" s="24" t="str">
        <x:v>United States / Filipino-American</x:v>
      </x:c>
      <x:c r="F87" s="24" t="str">
        <x:v>2022</x:v>
      </x:c>
      <x:c r="G87" s="24" t="str">
        <x:v>Standalone novel</x:v>
      </x:c>
      <x:c r="H87" s="24" t="str">
        <x:v>Tier 2</x:v>
      </x:c>
      <x:c r="I87" s="24" t="str">
        <x:v>Epic journey, moon goddess, mythic frame, authoritarian empire, theatrical narration.</x:v>
      </x:c>
      <x:c r="J87" s="24" t="str">
        <x:v>Treat adaptations/editions separately when taxonomically material.</x:v>
      </x:c>
      <x:c r="K87" s="84" t="str">
        <x:v>https://en.wikipedia.org/wiki/The_Spear_Cuts_Through_Water</x:v>
      </x:c>
      <x:c r="L87" s="24" t="str">
        <x:v>Included</x:v>
      </x:c>
    </x:row>
    <x:row r="88" ht="42" customHeight="1">
      <x:c r="A88" s="24" t="str">
        <x:v>SRC-087</x:v>
      </x:c>
      <x:c r="B88" s="24" t="str">
        <x:v>The Jasmine Throne</x:v>
      </x:c>
      <x:c r="C88" s="24" t="str">
        <x:v>Tasha Suri</x:v>
      </x:c>
      <x:c r="D88" s="24" t="str">
        <x:v>Literature</x:v>
      </x:c>
      <x:c r="E88" s="24" t="str">
        <x:v>Britain / South Asian-inspired fantasy</x:v>
      </x:c>
      <x:c r="F88" s="24" t="str">
        <x:v>2021</x:v>
      </x:c>
      <x:c r="G88" s="24" t="str">
        <x:v>Burning Kingdoms series</x:v>
      </x:c>
      <x:c r="H88" s="24" t="str">
        <x:v>Tier 2</x:v>
      </x:c>
      <x:c r="I88" s="24" t="str">
        <x:v>Plant magic, empire, religious orders, queenship, rebellion, sacred ecology.</x:v>
      </x:c>
      <x:c r="J88" s="24" t="str">
        <x:v>Treat adaptations/editions separately when taxonomically material.</x:v>
      </x:c>
      <x:c r="K88" s="84" t="str">
        <x:v>https://en.wikipedia.org/wiki/The_Jasmine_Throne</x:v>
      </x:c>
      <x:c r="L88" s="24" t="str">
        <x:v>Included</x:v>
      </x:c>
    </x:row>
    <x:row r="89" ht="42" customHeight="1">
      <x:c r="A89" s="24" t="str">
        <x:v>SRC-088</x:v>
      </x:c>
      <x:c r="B89" s="24" t="str">
        <x:v>The Adventures of Amina al-Sirafi</x:v>
      </x:c>
      <x:c r="C89" s="24" t="str">
        <x:v>Shannon Chakraborty</x:v>
      </x:c>
      <x:c r="D89" s="24" t="str">
        <x:v>Literature</x:v>
      </x:c>
      <x:c r="E89" s="24" t="str">
        <x:v>United States / Indian Ocean fantasy</x:v>
      </x:c>
      <x:c r="F89" s="24" t="str">
        <x:v>2023</x:v>
      </x:c>
      <x:c r="G89" s="24" t="str">
        <x:v>Novel series</x:v>
      </x:c>
      <x:c r="H89" s="24" t="str">
        <x:v>Tier 2</x:v>
      </x:c>
      <x:c r="I89" s="24" t="str">
        <x:v>Pirate captain, djinn, maritime trade, aging adventurer, Islamic-world setting.</x:v>
      </x:c>
      <x:c r="J89" s="24" t="str">
        <x:v>Treat adaptations/editions separately when taxonomically material.</x:v>
      </x:c>
      <x:c r="K89" s="84" t="str">
        <x:v>https://en.wikipedia.org/wiki/The_Adventures_of_Amina_al-Sirafi</x:v>
      </x:c>
      <x:c r="L89" s="24" t="str">
        <x:v>Included</x:v>
      </x:c>
    </x:row>
    <x:row r="90" ht="42" customHeight="1">
      <x:c r="A90" s="24" t="str">
        <x:v>SRC-089</x:v>
      </x:c>
      <x:c r="B90" s="24" t="str">
        <x:v>Dungeons &amp; Dragons</x:v>
      </x:c>
      <x:c r="C90" s="24" t="str">
        <x:v>Wizards of the Coast and predecessor TSR</x:v>
      </x:c>
      <x:c r="D90" s="24" t="str">
        <x:v>Tabletop RPG</x:v>
      </x:c>
      <x:c r="E90" s="24" t="str">
        <x:v>United States</x:v>
      </x:c>
      <x:c r="F90" s="24" t="str">
        <x:v>1974</x:v>
      </x:c>
      <x:c r="G90" s="24" t="str">
        <x:v>Editions and settings tracked separately</x:v>
      </x:c>
      <x:c r="H90" s="24" t="str">
        <x:v>Tier 1</x:v>
      </x:c>
      <x:c r="I90" s="24" t="str">
        <x:v>Formal race/class taxonomy, alignment, monster types, spell schools, party roles.</x:v>
      </x:c>
      <x:c r="J90" s="24" t="str">
        <x:v>Separate 2014, 2024, and earlier rules when mechanics or terminology differ.</x:v>
      </x:c>
      <x:c r="K90" s="84" t="str">
        <x:v>https://www.dndbeyond.com/sources/dnd/br-2024/character-classes</x:v>
      </x:c>
      <x:c r="L90" s="24" t="str">
        <x:v>Included</x:v>
      </x:c>
    </x:row>
    <x:row r="91" ht="42" customHeight="1">
      <x:c r="A91" s="24" t="str">
        <x:v>SRC-090</x:v>
      </x:c>
      <x:c r="B91" s="24" t="str">
        <x:v>Forgotten Realms</x:v>
      </x:c>
      <x:c r="C91" s="24" t="str">
        <x:v>Ed Greenwood; TSR/Wizards of the Coast</x:v>
      </x:c>
      <x:c r="D91" s="24" t="str">
        <x:v>Tabletop RPG Setting</x:v>
      </x:c>
      <x:c r="E91" s="24" t="str">
        <x:v>United States</x:v>
      </x:c>
      <x:c r="F91" s="24" t="str">
        <x:v>1987 publication</x:v>
      </x:c>
      <x:c r="G91" s="24" t="str">
        <x:v>D&amp;D setting across editions and media</x:v>
      </x:c>
      <x:c r="H91" s="24" t="str">
        <x:v>Tier 1</x:v>
      </x:c>
      <x:c r="I91" s="24" t="str">
        <x:v>Large shared-world catalogue of peoples, classes, deities, factions, and regional cultures.</x:v>
      </x:c>
      <x:c r="J91" s="24" t="str">
        <x:v>Treat adaptations/editions separately when taxonomically material.</x:v>
      </x:c>
      <x:c r="K91" s="84" t="str">
        <x:v>https://en.wikipedia.org/wiki/Forgotten_Realms</x:v>
      </x:c>
      <x:c r="L91" s="24" t="str">
        <x:v>Included</x:v>
      </x:c>
    </x:row>
    <x:row r="92" ht="42" customHeight="1">
      <x:c r="A92" s="24" t="str">
        <x:v>SRC-091</x:v>
      </x:c>
      <x:c r="B92" s="24" t="str">
        <x:v>Greyhawk</x:v>
      </x:c>
      <x:c r="C92" s="24" t="str">
        <x:v>Gary Gygax; TSR/Wizards of the Coast</x:v>
      </x:c>
      <x:c r="D92" s="24" t="str">
        <x:v>Tabletop RPG Setting</x:v>
      </x:c>
      <x:c r="E92" s="24" t="str">
        <x:v>United States</x:v>
      </x:c>
      <x:c r="F92" s="24" t="str">
        <x:v>1975</x:v>
      </x:c>
      <x:c r="G92" s="24" t="str">
        <x:v>D&amp;D setting across editions</x:v>
      </x:c>
      <x:c r="H92" s="24" t="str">
        <x:v>Tier 2</x:v>
      </x:c>
      <x:c r="I92" s="24" t="str">
        <x:v>Early codification of fantasy classes, alignment, monsters, and adventure geography.</x:v>
      </x:c>
      <x:c r="J92" s="24" t="str">
        <x:v>Treat adaptations/editions separately when taxonomically material.</x:v>
      </x:c>
      <x:c r="K92" s="84" t="str">
        <x:v>https://en.wikipedia.org/wiki/Greyhawk</x:v>
      </x:c>
      <x:c r="L92" s="24" t="str">
        <x:v>Included</x:v>
      </x:c>
    </x:row>
    <x:row r="93" ht="42" customHeight="1">
      <x:c r="A93" s="24" t="str">
        <x:v>SRC-092</x:v>
      </x:c>
      <x:c r="B93" s="24" t="str">
        <x:v>Dragonlance</x:v>
      </x:c>
      <x:c r="C93" s="24" t="str">
        <x:v>Laura and Tracy Hickman; Margaret Weis; TSR/Wizards</x:v>
      </x:c>
      <x:c r="D93" s="24" t="str">
        <x:v>Tabletop RPG / Literature Setting</x:v>
      </x:c>
      <x:c r="E93" s="24" t="str">
        <x:v>United States</x:v>
      </x:c>
      <x:c r="F93" s="24" t="str">
        <x:v>1984</x:v>
      </x:c>
      <x:c r="G93" s="24" t="str">
        <x:v>D&amp;D setting, novels, and games</x:v>
      </x:c>
      <x:c r="H93" s="24" t="str">
        <x:v>Tier 1</x:v>
      </x:c>
      <x:c r="I93" s="24" t="str">
        <x:v>Knightly orders, wizard robes, kender, draconians, dragon armies, divine return.</x:v>
      </x:c>
      <x:c r="J93" s="24" t="str">
        <x:v>Treat adaptations/editions separately when taxonomically material.</x:v>
      </x:c>
      <x:c r="K93" s="84" t="str">
        <x:v>https://en.wikipedia.org/wiki/Dragonlance</x:v>
      </x:c>
      <x:c r="L93" s="24" t="str">
        <x:v>Included</x:v>
      </x:c>
    </x:row>
    <x:row r="94" ht="42" customHeight="1">
      <x:c r="A94" s="24" t="str">
        <x:v>SRC-093</x:v>
      </x:c>
      <x:c r="B94" s="24" t="str">
        <x:v>Eberron</x:v>
      </x:c>
      <x:c r="C94" s="24" t="str">
        <x:v>Keith Baker; Wizards of the Coast</x:v>
      </x:c>
      <x:c r="D94" s="24" t="str">
        <x:v>Tabletop RPG Setting</x:v>
      </x:c>
      <x:c r="E94" s="24" t="str">
        <x:v>United States</x:v>
      </x:c>
      <x:c r="F94" s="24" t="str">
        <x:v>2004</x:v>
      </x:c>
      <x:c r="G94" s="24" t="str">
        <x:v>D&amp;D setting across editions</x:v>
      </x:c>
      <x:c r="H94" s="24" t="str">
        <x:v>Tier 1</x:v>
      </x:c>
      <x:c r="I94" s="24" t="str">
        <x:v>Warforged, dragonmarks, pulp roles, magitech industry, noir institutions, monstrous nations.</x:v>
      </x:c>
      <x:c r="J94" s="24" t="str">
        <x:v>Treat adaptations/editions separately when taxonomically material.</x:v>
      </x:c>
      <x:c r="K94" s="84" t="str">
        <x:v>https://en.wikipedia.org/wiki/Eberron</x:v>
      </x:c>
      <x:c r="L94" s="24" t="str">
        <x:v>Included</x:v>
      </x:c>
    </x:row>
    <x:row r="95" ht="42" customHeight="1">
      <x:c r="A95" s="24" t="str">
        <x:v>SRC-094</x:v>
      </x:c>
      <x:c r="B95" s="24" t="str">
        <x:v>Dark Sun</x:v>
      </x:c>
      <x:c r="C95" s="24" t="str">
        <x:v>Troy Denning and Timothy Brown; TSR/Wizards</x:v>
      </x:c>
      <x:c r="D95" s="24" t="str">
        <x:v>Tabletop RPG Setting</x:v>
      </x:c>
      <x:c r="E95" s="24" t="str">
        <x:v>United States</x:v>
      </x:c>
      <x:c r="F95" s="24" t="str">
        <x:v>1991</x:v>
      </x:c>
      <x:c r="G95" s="24" t="str">
        <x:v>D&amp;D setting across editions</x:v>
      </x:c>
      <x:c r="H95" s="24" t="str">
        <x:v>Tier 1</x:v>
      </x:c>
      <x:c r="I95" s="24" t="str">
        <x:v>Post-apocalyptic ecology, psionics, sorcerer-kings, altered peoples, survival classes.</x:v>
      </x:c>
      <x:c r="J95" s="24" t="str">
        <x:v>Treat adaptations/editions separately when taxonomically material.</x:v>
      </x:c>
      <x:c r="K95" s="84" t="str">
        <x:v>https://en.wikipedia.org/wiki/Dark_Sun</x:v>
      </x:c>
      <x:c r="L95" s="24" t="str">
        <x:v>Included</x:v>
      </x:c>
    </x:row>
    <x:row r="96" ht="42" customHeight="1">
      <x:c r="A96" s="24" t="str">
        <x:v>SRC-095</x:v>
      </x:c>
      <x:c r="B96" s="24" t="str">
        <x:v>Planescape</x:v>
      </x:c>
      <x:c r="C96" s="24" t="str">
        <x:v>David Cook and TSR/Wizards</x:v>
      </x:c>
      <x:c r="D96" s="24" t="str">
        <x:v>Tabletop RPG Setting</x:v>
      </x:c>
      <x:c r="E96" s="24" t="str">
        <x:v>United States</x:v>
      </x:c>
      <x:c r="F96" s="24" t="str">
        <x:v>1994</x:v>
      </x:c>
      <x:c r="G96" s="24" t="str">
        <x:v>D&amp;D setting and adaptations</x:v>
      </x:c>
      <x:c r="H96" s="24" t="str">
        <x:v>Tier 1</x:v>
      </x:c>
      <x:c r="I96" s="24" t="str">
        <x:v>Planar peoples, factions as philosophical classes, celestials/fiends, multiversal city.</x:v>
      </x:c>
      <x:c r="J96" s="24" t="str">
        <x:v>Treat adaptations/editions separately when taxonomically material.</x:v>
      </x:c>
      <x:c r="K96" s="84" t="str">
        <x:v>https://en.wikipedia.org/wiki/Planescape</x:v>
      </x:c>
      <x:c r="L96" s="24" t="str">
        <x:v>Included</x:v>
      </x:c>
    </x:row>
    <x:row r="97" ht="42" customHeight="1">
      <x:c r="A97" s="24" t="str">
        <x:v>SRC-096</x:v>
      </x:c>
      <x:c r="B97" s="24" t="str">
        <x:v>Ravenloft</x:v>
      </x:c>
      <x:c r="C97" s="24" t="str">
        <x:v>Tracy and Laura Hickman; TSR/Wizards</x:v>
      </x:c>
      <x:c r="D97" s="24" t="str">
        <x:v>Tabletop RPG Setting</x:v>
      </x:c>
      <x:c r="E97" s="24" t="str">
        <x:v>United States</x:v>
      </x:c>
      <x:c r="F97" s="24" t="str">
        <x:v>1983/1990 setting</x:v>
      </x:c>
      <x:c r="G97" s="24" t="str">
        <x:v>D&amp;D setting across editions</x:v>
      </x:c>
      <x:c r="H97" s="24" t="str">
        <x:v>Tier 1</x:v>
      </x:c>
      <x:c r="I97" s="24" t="str">
        <x:v>Darklords, gothic monsters, curses, domains, horror transformation and moral pressure.</x:v>
      </x:c>
      <x:c r="J97" s="24" t="str">
        <x:v>Treat adaptations/editions separately when taxonomically material.</x:v>
      </x:c>
      <x:c r="K97" s="84" t="str">
        <x:v>https://en.wikipedia.org/wiki/Ravenloft</x:v>
      </x:c>
      <x:c r="L97" s="24" t="str">
        <x:v>Included</x:v>
      </x:c>
    </x:row>
    <x:row r="98" ht="42" customHeight="1">
      <x:c r="A98" s="24" t="str">
        <x:v>SRC-097</x:v>
      </x:c>
      <x:c r="B98" s="24" t="str">
        <x:v>Spelljammer</x:v>
      </x:c>
      <x:c r="C98" s="24" t="str">
        <x:v>Jeff Grubb; TSR/Wizards</x:v>
      </x:c>
      <x:c r="D98" s="24" t="str">
        <x:v>Tabletop RPG Setting</x:v>
      </x:c>
      <x:c r="E98" s="24" t="str">
        <x:v>United States</x:v>
      </x:c>
      <x:c r="F98" s="24" t="str">
        <x:v>1989</x:v>
      </x:c>
      <x:c r="G98" s="24" t="str">
        <x:v>D&amp;D science-fantasy setting</x:v>
      </x:c>
      <x:c r="H98" s="24" t="str">
        <x:v>Tier 2</x:v>
      </x:c>
      <x:c r="I98" s="24" t="str">
        <x:v>Spacefaring fantasy peoples, magical ships, multiverse travel, hybrid genre classes.</x:v>
      </x:c>
      <x:c r="J98" s="24" t="str">
        <x:v>Treat adaptations/editions separately when taxonomically material.</x:v>
      </x:c>
      <x:c r="K98" s="84" t="str">
        <x:v>https://en.wikipedia.org/wiki/Spelljammer</x:v>
      </x:c>
      <x:c r="L98" s="24" t="str">
        <x:v>Included</x:v>
      </x:c>
    </x:row>
    <x:row r="99" ht="42" customHeight="1">
      <x:c r="A99" s="24" t="str">
        <x:v>SRC-098</x:v>
      </x:c>
      <x:c r="B99" s="24" t="str">
        <x:v>Pathfinder / Golarion</x:v>
      </x:c>
      <x:c r="C99" s="24" t="str">
        <x:v>Paizo</x:v>
      </x:c>
      <x:c r="D99" s="24" t="str">
        <x:v>Tabletop RPG / Setting</x:v>
      </x:c>
      <x:c r="E99" s="24" t="str">
        <x:v>United States</x:v>
      </x:c>
      <x:c r="F99" s="24" t="str">
        <x:v>2009</x:v>
      </x:c>
      <x:c r="G99" s="24" t="str">
        <x:v>Editions and setting books</x:v>
      </x:c>
      <x:c r="H99" s="24" t="str">
        <x:v>Tier 1</x:v>
      </x:c>
      <x:c r="I99" s="24" t="str">
        <x:v>Extensive ancestry/class system, archetypes, deities, regions, monsters, evolving terminology.</x:v>
      </x:c>
      <x:c r="J99" s="24" t="str">
        <x:v>Treat adaptations/editions separately when taxonomically material.</x:v>
      </x:c>
      <x:c r="K99" s="84" t="str">
        <x:v>https://en.wikipedia.org/wiki/Pathfinder_%2F_Golarion</x:v>
      </x:c>
      <x:c r="L99" s="24" t="str">
        <x:v>Included</x:v>
      </x:c>
    </x:row>
    <x:row r="100" ht="42" customHeight="1">
      <x:c r="A100" s="24" t="str">
        <x:v>SRC-099</x:v>
      </x:c>
      <x:c r="B100" s="24" t="str">
        <x:v>RuneQuest / Glorantha</x:v>
      </x:c>
      <x:c r="C100" s="24" t="str">
        <x:v>Greg Stafford; Chaosium and others</x:v>
      </x:c>
      <x:c r="D100" s="24" t="str">
        <x:v>Tabletop RPG / Setting</x:v>
      </x:c>
      <x:c r="E100" s="24" t="str">
        <x:v>United States</x:v>
      </x:c>
      <x:c r="F100" s="24" t="str">
        <x:v>1978</x:v>
      </x:c>
      <x:c r="G100" s="24" t="str">
        <x:v>Glorantha across games and fiction</x:v>
      </x:c>
      <x:c r="H100" s="24" t="str">
        <x:v>Tier 1</x:v>
      </x:c>
      <x:c r="I100" s="24" t="str">
        <x:v>Cult membership as class-like identity, mythic time, runes, species-specific cultures, heroquesting.</x:v>
      </x:c>
      <x:c r="J100" s="24" t="str">
        <x:v>Treat adaptations/editions separately when taxonomically material.</x:v>
      </x:c>
      <x:c r="K100" s="84" t="str">
        <x:v>https://en.wikipedia.org/wiki/RuneQuest_%2F_Glorantha</x:v>
      </x:c>
      <x:c r="L100" s="24" t="str">
        <x:v>Included</x:v>
      </x:c>
    </x:row>
    <x:row r="101" ht="42" customHeight="1">
      <x:c r="A101" s="24" t="str">
        <x:v>SRC-100</x:v>
      </x:c>
      <x:c r="B101" s="24" t="str">
        <x:v>Warhammer Fantasy Roleplay</x:v>
      </x:c>
      <x:c r="C101" s="24" t="str">
        <x:v>Games Workshop and licensees</x:v>
      </x:c>
      <x:c r="D101" s="24" t="str">
        <x:v>Tabletop RPG</x:v>
      </x:c>
      <x:c r="E101" s="24" t="str">
        <x:v>Britain</x:v>
      </x:c>
      <x:c r="F101" s="24" t="str">
        <x:v>1986</x:v>
      </x:c>
      <x:c r="G101" s="24" t="str">
        <x:v>Old World across editions</x:v>
      </x:c>
      <x:c r="H101" s="24" t="str">
        <x:v>Tier 1</x:v>
      </x:c>
      <x:c r="I101" s="24" t="str">
        <x:v>Career system, grim social professions, Chaos mutation, species, institutions, disease and corruption.</x:v>
      </x:c>
      <x:c r="J101" s="24" t="str">
        <x:v>Treat adaptations/editions separately when taxonomically material.</x:v>
      </x:c>
      <x:c r="K101" s="84" t="str">
        <x:v>https://en.wikipedia.org/wiki/Warhammer_Fantasy_Roleplay</x:v>
      </x:c>
      <x:c r="L101" s="24" t="str">
        <x:v>Included</x:v>
      </x:c>
    </x:row>
    <x:row r="102" ht="42" customHeight="1">
      <x:c r="A102" s="24" t="str">
        <x:v>SRC-101</x:v>
      </x:c>
      <x:c r="B102" s="24" t="str">
        <x:v>Warhammer: The Old World</x:v>
      </x:c>
      <x:c r="C102" s="24" t="str">
        <x:v>Games Workshop</x:v>
      </x:c>
      <x:c r="D102" s="24" t="str">
        <x:v>Miniatures Wargame / Setting</x:v>
      </x:c>
      <x:c r="E102" s="24" t="str">
        <x:v>Britain</x:v>
      </x:c>
      <x:c r="F102" s="24" t="str">
        <x:v>2024 revival; roots in 1983</x:v>
      </x:c>
      <x:c r="G102" s="24" t="str">
        <x:v>Warhammer Fantasy setting</x:v>
      </x:c>
      <x:c r="H102" s="24" t="str">
        <x:v>Tier 1</x:v>
      </x:c>
      <x:c r="I102" s="24" t="str">
        <x:v>Army factions as civilizational archetypes, species, cults, monsters, military roles.</x:v>
      </x:c>
      <x:c r="J102" s="24" t="str">
        <x:v>Track classic Warhammer Fantasy and current Old World publications separately.</x:v>
      </x:c>
      <x:c r="K102" s="84" t="str">
        <x:v>https://www.warhammer.com/en-US/explore/the-old-world</x:v>
      </x:c>
      <x:c r="L102" s="24" t="str">
        <x:v>Included</x:v>
      </x:c>
    </x:row>
    <x:row r="103" ht="42" customHeight="1">
      <x:c r="A103" s="24" t="str">
        <x:v>SRC-102</x:v>
      </x:c>
      <x:c r="B103" s="24" t="str">
        <x:v>Warhammer Age of Sigmar</x:v>
      </x:c>
      <x:c r="C103" s="24" t="str">
        <x:v>Games Workshop</x:v>
      </x:c>
      <x:c r="D103" s="24" t="str">
        <x:v>Miniatures Wargame / Setting</x:v>
      </x:c>
      <x:c r="E103" s="24" t="str">
        <x:v>Britain</x:v>
      </x:c>
      <x:c r="F103" s="24" t="str">
        <x:v>2015</x:v>
      </x:c>
      <x:c r="G103" s="24" t="str">
        <x:v>Mortal Realms setting</x:v>
      </x:c>
      <x:c r="H103" s="24" t="str">
        <x:v>Tier 1</x:v>
      </x:c>
      <x:c r="I103" s="24" t="str">
        <x:v>Mythic-scale factions, reforged warriors, gods, undead orders, chaos, realm-based peoples.</x:v>
      </x:c>
      <x:c r="J103" s="24" t="str">
        <x:v>Track separately from the Old World continuity.</x:v>
      </x:c>
      <x:c r="K103" s="84" t="str">
        <x:v>https://www.warhammer.com/en-US/explore/age-of-sigmar</x:v>
      </x:c>
      <x:c r="L103" s="24" t="str">
        <x:v>Included</x:v>
      </x:c>
    </x:row>
    <x:row r="104" ht="42" customHeight="1">
      <x:c r="A104" s="24" t="str">
        <x:v>SRC-103</x:v>
      </x:c>
      <x:c r="B104" s="24" t="str">
        <x:v>The One Ring</x:v>
      </x:c>
      <x:c r="C104" s="24" t="str">
        <x:v>Francesco Nepitello; Free League / Cubicle 7 editions</x:v>
      </x:c>
      <x:c r="D104" s="24" t="str">
        <x:v>Tabletop RPG</x:v>
      </x:c>
      <x:c r="E104" s="24" t="str">
        <x:v>Europe</x:v>
      </x:c>
      <x:c r="F104" s="24" t="str">
        <x:v>2011</x:v>
      </x:c>
      <x:c r="G104" s="24" t="str">
        <x:v>Licensed Tolkien RPG</x:v>
      </x:c>
      <x:c r="H104" s="24" t="str">
        <x:v>Tier 2</x:v>
      </x:c>
      <x:c r="I104" s="24" t="str">
        <x:v>Culture rather than race emphasis, callings, shadow burden, travel, fellowship and patronage.</x:v>
      </x:c>
      <x:c r="J104" s="24" t="str">
        <x:v>Treat adaptations/editions separately when taxonomically material.</x:v>
      </x:c>
      <x:c r="K104" s="84" t="str">
        <x:v>https://en.wikipedia.org/wiki/The_One_Ring</x:v>
      </x:c>
      <x:c r="L104" s="24" t="str">
        <x:v>Included</x:v>
      </x:c>
    </x:row>
    <x:row r="105" ht="42" customHeight="1">
      <x:c r="A105" s="24" t="str">
        <x:v>SRC-104</x:v>
      </x:c>
      <x:c r="B105" s="24" t="str">
        <x:v>Ars Magica</x:v>
      </x:c>
      <x:c r="C105" s="24" t="str">
        <x:v>Jonathan Tweet and Mark Rein-Hagen; Atlas Games</x:v>
      </x:c>
      <x:c r="D105" s="24" t="str">
        <x:v>Tabletop RPG</x:v>
      </x:c>
      <x:c r="E105" s="24" t="str">
        <x:v>United States</x:v>
      </x:c>
      <x:c r="F105" s="24" t="str">
        <x:v>1987</x:v>
      </x:c>
      <x:c r="G105" s="24" t="str">
        <x:v>Mythic Europe editions</x:v>
      </x:c>
      <x:c r="H105" s="24" t="str">
        <x:v>Tier 1</x:v>
      </x:c>
      <x:c r="I105" s="24" t="str">
        <x:v>Hermetic houses, rigorous magic arts, covenants, magi/companions/grogs social structure.</x:v>
      </x:c>
      <x:c r="J105" s="24" t="str">
        <x:v>Treat adaptations/editions separately when taxonomically material.</x:v>
      </x:c>
      <x:c r="K105" s="84" t="str">
        <x:v>https://en.wikipedia.org/wiki/Ars_Magica</x:v>
      </x:c>
      <x:c r="L105" s="24" t="str">
        <x:v>Included</x:v>
      </x:c>
    </x:row>
    <x:row r="106" ht="42" customHeight="1">
      <x:c r="A106" s="24" t="str">
        <x:v>SRC-105</x:v>
      </x:c>
      <x:c r="B106" s="24" t="str">
        <x:v>Exalted</x:v>
      </x:c>
      <x:c r="C106" s="24" t="str">
        <x:v>White Wolf / Onyx Path</x:v>
      </x:c>
      <x:c r="D106" s="24" t="str">
        <x:v>Tabletop RPG</x:v>
      </x:c>
      <x:c r="E106" s="24" t="str">
        <x:v>United States</x:v>
      </x:c>
      <x:c r="F106" s="24" t="str">
        <x:v>2001</x:v>
      </x:c>
      <x:c r="G106" s="24" t="str">
        <x:v>Editions and Creation setting</x:v>
      </x:c>
      <x:c r="H106" s="24" t="str">
        <x:v>Tier 1</x:v>
      </x:c>
      <x:c r="I106" s="24" t="str">
        <x:v>Exalt types, charms, martial arts, gods, spirits, demons, reincarnation, mythic power tiers.</x:v>
      </x:c>
      <x:c r="J106" s="24" t="str">
        <x:v>Treat adaptations/editions separately when taxonomically material.</x:v>
      </x:c>
      <x:c r="K106" s="84" t="str">
        <x:v>https://en.wikipedia.org/wiki/Exalted</x:v>
      </x:c>
      <x:c r="L106" s="24" t="str">
        <x:v>Included</x:v>
      </x:c>
    </x:row>
    <x:row r="107" ht="42" customHeight="1">
      <x:c r="A107" s="24" t="str">
        <x:v>SRC-106</x:v>
      </x:c>
      <x:c r="B107" s="24" t="str">
        <x:v>Earthdawn</x:v>
      </x:c>
      <x:c r="C107" s="24" t="str">
        <x:v>FASA and later publishers</x:v>
      </x:c>
      <x:c r="D107" s="24" t="str">
        <x:v>Tabletop RPG</x:v>
      </x:c>
      <x:c r="E107" s="24" t="str">
        <x:v>United States</x:v>
      </x:c>
      <x:c r="F107" s="24" t="str">
        <x:v>1993</x:v>
      </x:c>
      <x:c r="G107" s="24" t="str">
        <x:v>Barsaive setting across editions</x:v>
      </x:c>
      <x:c r="H107" s="24" t="str">
        <x:v>Tier 2</x:v>
      </x:c>
      <x:c r="I107" s="24" t="str">
        <x:v>Disciplines as metaphysical classes, Namegivers, Horrors, post-apocalyptic kaers.</x:v>
      </x:c>
      <x:c r="J107" s="24" t="str">
        <x:v>Treat adaptations/editions separately when taxonomically material.</x:v>
      </x:c>
      <x:c r="K107" s="84" t="str">
        <x:v>https://en.wikipedia.org/wiki/Earthdawn</x:v>
      </x:c>
      <x:c r="L107" s="24" t="str">
        <x:v>Included</x:v>
      </x:c>
    </x:row>
    <x:row r="108" ht="42" customHeight="1">
      <x:c r="A108" s="24" t="str">
        <x:v>SRC-107</x:v>
      </x:c>
      <x:c r="B108" s="24" t="str">
        <x:v>Shadowrun</x:v>
      </x:c>
      <x:c r="C108" s="24" t="str">
        <x:v>FASA and later Catalyst Game Labs</x:v>
      </x:c>
      <x:c r="D108" s="24" t="str">
        <x:v>Tabletop RPG / Science Fantasy</x:v>
      </x:c>
      <x:c r="E108" s="24" t="str">
        <x:v>United States</x:v>
      </x:c>
      <x:c r="F108" s="24" t="str">
        <x:v>1989</x:v>
      </x:c>
      <x:c r="G108" s="24" t="str">
        <x:v>Editions and media</x:v>
      </x:c>
      <x:c r="H108" s="24" t="str">
        <x:v>Tier 2</x:v>
      </x:c>
      <x:c r="I108" s="24" t="str">
        <x:v>Fantasy peoples in cyberpunk society, shamans, mages, technomancers, corporations.</x:v>
      </x:c>
      <x:c r="J108" s="24" t="str">
        <x:v>Treat adaptations/editions separately when taxonomically material.</x:v>
      </x:c>
      <x:c r="K108" s="84" t="str">
        <x:v>https://en.wikipedia.org/wiki/Shadowrun</x:v>
      </x:c>
      <x:c r="L108" s="24" t="str">
        <x:v>Included</x:v>
      </x:c>
    </x:row>
    <x:row r="109" ht="42" customHeight="1">
      <x:c r="A109" s="24" t="str">
        <x:v>SRC-108</x:v>
      </x:c>
      <x:c r="B109" s="24" t="str">
        <x:v>World of Darkness</x:v>
      </x:c>
      <x:c r="C109" s="24" t="str">
        <x:v>White Wolf / Paradox</x:v>
      </x:c>
      <x:c r="D109" s="24" t="str">
        <x:v>Tabletop RPG / Shared Setting</x:v>
      </x:c>
      <x:c r="E109" s="24" t="str">
        <x:v>United States</x:v>
      </x:c>
      <x:c r="F109" s="24" t="str">
        <x:v>1991 onward</x:v>
      </x:c>
      <x:c r="G109" s="24" t="str">
        <x:v>Vampire, Werewolf, Mage and related lines</x:v>
      </x:c>
      <x:c r="H109" s="24" t="str">
        <x:v>Tier 2</x:v>
      </x:c>
      <x:c r="I109" s="24" t="str">
        <x:v>Supernatural conditions as societies, clans/tribes/traditions, urban occult institutions.</x:v>
      </x:c>
      <x:c r="J109" s="24" t="str">
        <x:v>Treat adaptations/editions separately when taxonomically material.</x:v>
      </x:c>
      <x:c r="K109" s="84" t="str">
        <x:v>https://en.wikipedia.org/wiki/World_of_Darkness</x:v>
      </x:c>
      <x:c r="L109" s="24" t="str">
        <x:v>Included</x:v>
      </x:c>
    </x:row>
    <x:row r="110" ht="42" customHeight="1">
      <x:c r="A110" s="24" t="str">
        <x:v>SRC-109</x:v>
      </x:c>
      <x:c r="B110" s="24" t="str">
        <x:v>The Dark Eye</x:v>
      </x:c>
      <x:c r="C110" s="24" t="str">
        <x:v>Ulrich Kiesow and Ulisses Spiele</x:v>
      </x:c>
      <x:c r="D110" s="24" t="str">
        <x:v>Tabletop RPG</x:v>
      </x:c>
      <x:c r="E110" s="24" t="str">
        <x:v>Germany</x:v>
      </x:c>
      <x:c r="F110" s="24" t="str">
        <x:v>1984</x:v>
      </x:c>
      <x:c r="G110" s="24" t="str">
        <x:v>Aventuria across editions</x:v>
      </x:c>
      <x:c r="H110" s="24" t="str">
        <x:v>Tier 2</x:v>
      </x:c>
      <x:c r="I110" s="24" t="str">
        <x:v>European continental fantasy careers, cultures, magic traditions, gods, regional detail.</x:v>
      </x:c>
      <x:c r="J110" s="24" t="str">
        <x:v>Treat adaptations/editions separately when taxonomically material.</x:v>
      </x:c>
      <x:c r="K110" s="84" t="str">
        <x:v>https://en.wikipedia.org/wiki/The_Dark_Eye</x:v>
      </x:c>
      <x:c r="L110" s="24" t="str">
        <x:v>Included</x:v>
      </x:c>
    </x:row>
    <x:row r="111" ht="42" customHeight="1">
      <x:c r="A111" s="24" t="str">
        <x:v>SRC-110</x:v>
      </x:c>
      <x:c r="B111" s="24" t="str">
        <x:v>Legend of the Five Rings</x:v>
      </x:c>
      <x:c r="C111" s="24" t="str">
        <x:v>Alderac, Fantasy Flight, Edge</x:v>
      </x:c>
      <x:c r="D111" s="24" t="str">
        <x:v>Tabletop RPG / Card Game Setting</x:v>
      </x:c>
      <x:c r="E111" s="24" t="str">
        <x:v>United States / Japanese-inspired fantasy</x:v>
      </x:c>
      <x:c r="F111" s="24" t="str">
        <x:v>1995</x:v>
      </x:c>
      <x:c r="G111" s="24" t="str">
        <x:v>Rokugan across editions</x:v>
      </x:c>
      <x:c r="H111" s="24" t="str">
        <x:v>Tier 1</x:v>
      </x:c>
      <x:c r="I111" s="24" t="str">
        <x:v>Clan roles, samurai, shugenja, courtiers, monks, honor, spirits and cultural adaptation.</x:v>
      </x:c>
      <x:c r="J111" s="24" t="str">
        <x:v>Treat adaptations/editions separately when taxonomically material.</x:v>
      </x:c>
      <x:c r="K111" s="84" t="str">
        <x:v>https://en.wikipedia.org/wiki/Legend_of_the_Five_Rings</x:v>
      </x:c>
      <x:c r="L111" s="24" t="str">
        <x:v>Included</x:v>
      </x:c>
    </x:row>
    <x:row r="112" ht="42" customHeight="1">
      <x:c r="A112" s="24" t="str">
        <x:v>SRC-111</x:v>
      </x:c>
      <x:c r="B112" s="24" t="str">
        <x:v>13th Age</x:v>
      </x:c>
      <x:c r="C112" s="24" t="str">
        <x:v>Rob Heinsoo and Jonathan Tweet</x:v>
      </x:c>
      <x:c r="D112" s="24" t="str">
        <x:v>Tabletop RPG</x:v>
      </x:c>
      <x:c r="E112" s="24" t="str">
        <x:v>United States</x:v>
      </x:c>
      <x:c r="F112" s="24" t="str">
        <x:v>2013</x:v>
      </x:c>
      <x:c r="G112" s="24" t="str">
        <x:v>Dragon Empire setting</x:v>
      </x:c>
      <x:c r="H112" s="24" t="str">
        <x:v>Tier 2</x:v>
      </x:c>
      <x:c r="I112" s="24" t="str">
        <x:v>Icons, flexible backgrounds, modernized classes, narrative relationship mechanics.</x:v>
      </x:c>
      <x:c r="J112" s="24" t="str">
        <x:v>Treat adaptations/editions separately when taxonomically material.</x:v>
      </x:c>
      <x:c r="K112" s="84" t="str">
        <x:v>https://en.wikipedia.org/wiki/13th_Age</x:v>
      </x:c>
      <x:c r="L112" s="24" t="str">
        <x:v>Included</x:v>
      </x:c>
    </x:row>
    <x:row r="113" ht="42" customHeight="1">
      <x:c r="A113" s="24" t="str">
        <x:v>SRC-112</x:v>
      </x:c>
      <x:c r="B113" s="24" t="str">
        <x:v>Dungeon World</x:v>
      </x:c>
      <x:c r="C113" s="24" t="str">
        <x:v>Sage LaTorra and Adam Koebel</x:v>
      </x:c>
      <x:c r="D113" s="24" t="str">
        <x:v>Tabletop RPG</x:v>
      </x:c>
      <x:c r="E113" s="24" t="str">
        <x:v>United States</x:v>
      </x:c>
      <x:c r="F113" s="24" t="str">
        <x:v>2012</x:v>
      </x:c>
      <x:c r="G113" s="24" t="str">
        <x:v>Powered by the Apocalypse fantasy game</x:v>
      </x:c>
      <x:c r="H113" s="24" t="str">
        <x:v>Tier 2</x:v>
      </x:c>
      <x:c r="I113" s="24" t="str">
        <x:v>Genre playbooks as narrative class archetypes and fiction-first moves.</x:v>
      </x:c>
      <x:c r="J113" s="24" t="str">
        <x:v>Treat adaptations/editions separately when taxonomically material.</x:v>
      </x:c>
      <x:c r="K113" s="84" t="str">
        <x:v>https://en.wikipedia.org/wiki/Dungeon_World</x:v>
      </x:c>
      <x:c r="L113" s="24" t="str">
        <x:v>Included</x:v>
      </x:c>
    </x:row>
    <x:row r="114" ht="42" customHeight="1">
      <x:c r="A114" s="24" t="str">
        <x:v>SRC-113</x:v>
      </x:c>
      <x:c r="B114" s="24" t="str">
        <x:v>Blades in the Dark</x:v>
      </x:c>
      <x:c r="C114" s="24" t="str">
        <x:v>John Harper</x:v>
      </x:c>
      <x:c r="D114" s="24" t="str">
        <x:v>Tabletop RPG</x:v>
      </x:c>
      <x:c r="E114" s="24" t="str">
        <x:v>United States</x:v>
      </x:c>
      <x:c r="F114" s="24" t="str">
        <x:v>2017</x:v>
      </x:c>
      <x:c r="G114" s="24" t="str">
        <x:v>Doskvol setting</x:v>
      </x:c>
      <x:c r="H114" s="24" t="str">
        <x:v>Tier 2</x:v>
      </x:c>
      <x:c r="I114" s="24" t="str">
        <x:v>Criminal crew types, playbooks, ghosts, industrial occult city, faction clocks.</x:v>
      </x:c>
      <x:c r="J114" s="24" t="str">
        <x:v>Treat adaptations/editions separately when taxonomically material.</x:v>
      </x:c>
      <x:c r="K114" s="84" t="str">
        <x:v>https://en.wikipedia.org/wiki/Blades_in_the_Dark</x:v>
      </x:c>
      <x:c r="L114" s="24" t="str">
        <x:v>Included</x:v>
      </x:c>
    </x:row>
    <x:row r="115" ht="42" customHeight="1">
      <x:c r="A115" s="24" t="str">
        <x:v>SRC-114</x:v>
      </x:c>
      <x:c r="B115" s="24" t="str">
        <x:v>Burning Wheel</x:v>
      </x:c>
      <x:c r="C115" s="24" t="str">
        <x:v>Luke Crane</x:v>
      </x:c>
      <x:c r="D115" s="24" t="str">
        <x:v>Tabletop RPG</x:v>
      </x:c>
      <x:c r="E115" s="24" t="str">
        <x:v>United States</x:v>
      </x:c>
      <x:c r="F115" s="24" t="str">
        <x:v>2002</x:v>
      </x:c>
      <x:c r="G115" s="24" t="str">
        <x:v>Fantasy system and settings</x:v>
      </x:c>
      <x:c r="H115" s="24" t="str">
        <x:v>Tier 2</x:v>
      </x:c>
      <x:c r="I115" s="24" t="str">
        <x:v>Lifepaths, beliefs, species-specific mechanics, social conflict, skill-based identity.</x:v>
      </x:c>
      <x:c r="J115" s="24" t="str">
        <x:v>Treat adaptations/editions separately when taxonomically material.</x:v>
      </x:c>
      <x:c r="K115" s="84" t="str">
        <x:v>https://en.wikipedia.org/wiki/Burning_Wheel</x:v>
      </x:c>
      <x:c r="L115" s="24" t="str">
        <x:v>Included</x:v>
      </x:c>
    </x:row>
    <x:row r="116" ht="42" customHeight="1">
      <x:c r="A116" s="24" t="str">
        <x:v>SRC-115</x:v>
      </x:c>
      <x:c r="B116" s="24" t="str">
        <x:v>Symbaroum</x:v>
      </x:c>
      <x:c r="C116" s="24" t="str">
        <x:v>Järnringen / Free League</x:v>
      </x:c>
      <x:c r="D116" s="24" t="str">
        <x:v>Tabletop RPG</x:v>
      </x:c>
      <x:c r="E116" s="24" t="str">
        <x:v>Sweden</x:v>
      </x:c>
      <x:c r="F116" s="24" t="str">
        <x:v>2014</x:v>
      </x:c>
      <x:c r="G116" s="24" t="str">
        <x:v>Davokar setting</x:v>
      </x:c>
      <x:c r="H116" s="24" t="str">
        <x:v>Tier 2</x:v>
      </x:c>
      <x:c r="I116" s="24" t="str">
        <x:v>Corruption mechanics, dark forest, orders, peoples, monster ecology, ambiguous civilization.</x:v>
      </x:c>
      <x:c r="J116" s="24" t="str">
        <x:v>Treat adaptations/editions separately when taxonomically material.</x:v>
      </x:c>
      <x:c r="K116" s="84" t="str">
        <x:v>https://en.wikipedia.org/wiki/Symbaroum</x:v>
      </x:c>
      <x:c r="L116" s="24" t="str">
        <x:v>Included</x:v>
      </x:c>
    </x:row>
    <x:row r="117" ht="42" customHeight="1">
      <x:c r="A117" s="24" t="str">
        <x:v>SRC-116</x:v>
      </x:c>
      <x:c r="B117" s="24" t="str">
        <x:v>Forbidden Lands</x:v>
      </x:c>
      <x:c r="C117" s="24" t="str">
        <x:v>Free League</x:v>
      </x:c>
      <x:c r="D117" s="24" t="str">
        <x:v>Tabletop RPG</x:v>
      </x:c>
      <x:c r="E117" s="24" t="str">
        <x:v>Sweden</x:v>
      </x:c>
      <x:c r="F117" s="24" t="str">
        <x:v>2018</x:v>
      </x:c>
      <x:c r="G117" s="24" t="str">
        <x:v>Ravenland setting</x:v>
      </x:c>
      <x:c r="H117" s="24" t="str">
        <x:v>Tier 2</x:v>
      </x:c>
      <x:c r="I117" s="24" t="str">
        <x:v>Kin and profession system, survival, strongholds, exploration, dark fantasy sandbox.</x:v>
      </x:c>
      <x:c r="J117" s="24" t="str">
        <x:v>Treat adaptations/editions separately when taxonomically material.</x:v>
      </x:c>
      <x:c r="K117" s="84" t="str">
        <x:v>https://en.wikipedia.org/wiki/Forbidden_Lands</x:v>
      </x:c>
      <x:c r="L117" s="24" t="str">
        <x:v>Included</x:v>
      </x:c>
    </x:row>
    <x:row r="118" ht="42" customHeight="1">
      <x:c r="A118" s="24" t="str">
        <x:v>SRC-117</x:v>
      </x:c>
      <x:c r="B118" s="24" t="str">
        <x:v>Fabula Ultima</x:v>
      </x:c>
      <x:c r="C118" s="24" t="str">
        <x:v>Emanuele Galletto and Need Games</x:v>
      </x:c>
      <x:c r="D118" s="24" t="str">
        <x:v>Tabletop RPG</x:v>
      </x:c>
      <x:c r="E118" s="24" t="str">
        <x:v>Italy / JRPG-inspired</x:v>
      </x:c>
      <x:c r="F118" s="24" t="str">
        <x:v>2022</x:v>
      </x:c>
      <x:c r="G118" s="24" t="str">
        <x:v>Genre emulation system</x:v>
      </x:c>
      <x:c r="H118" s="24" t="str">
        <x:v>Tier 2</x:v>
      </x:c>
      <x:c r="I118" s="24" t="str">
        <x:v>Multiclass job building, JRPG roles, bonds, villain rules, techno-fantasy.</x:v>
      </x:c>
      <x:c r="J118" s="24" t="str">
        <x:v>Treat adaptations/editions separately when taxonomically material.</x:v>
      </x:c>
      <x:c r="K118" s="84" t="str">
        <x:v>https://en.wikipedia.org/wiki/Fabula_Ultima</x:v>
      </x:c>
      <x:c r="L118" s="24" t="str">
        <x:v>Included</x:v>
      </x:c>
    </x:row>
    <x:row r="119" ht="42" customHeight="1">
      <x:c r="A119" s="24" t="str">
        <x:v>SRC-118</x:v>
      </x:c>
      <x:c r="B119" s="24" t="str">
        <x:v>Magic: The Gathering</x:v>
      </x:c>
      <x:c r="C119" s="24" t="str">
        <x:v>Richard Garfield; Wizards of the Coast</x:v>
      </x:c>
      <x:c r="D119" s="24" t="str">
        <x:v>Trading Card Game / Shared Setting</x:v>
      </x:c>
      <x:c r="E119" s="24" t="str">
        <x:v>United States</x:v>
      </x:c>
      <x:c r="F119" s="24" t="str">
        <x:v>1993</x:v>
      </x:c>
      <x:c r="G119" s="24" t="str">
        <x:v>Multiverse of planes and sets</x:v>
      </x:c>
      <x:c r="H119" s="24" t="str">
        <x:v>Tier 1</x:v>
      </x:c>
      <x:c r="I119" s="24" t="str">
        <x:v>Color-based power philosophy, creature types, planeswalkers, factions, endless world archetypes.</x:v>
      </x:c>
      <x:c r="J119" s="24" t="str">
        <x:v>Treat adaptations/editions separately when taxonomically material.</x:v>
      </x:c>
      <x:c r="K119" s="84" t="str">
        <x:v>https://en.wikipedia.org/wiki/Magic:_The_Gathering</x:v>
      </x:c>
      <x:c r="L119" s="24" t="str">
        <x:v>Included</x:v>
      </x:c>
    </x:row>
    <x:row r="120" ht="42" customHeight="1">
      <x:c r="A120" s="24" t="str">
        <x:v>SRC-119</x:v>
      </x:c>
      <x:c r="B120" s="24" t="str">
        <x:v>Gloomhaven</x:v>
      </x:c>
      <x:c r="C120" s="24" t="str">
        <x:v>Isaac Childres / Cephalofair Games</x:v>
      </x:c>
      <x:c r="D120" s="24" t="str">
        <x:v>Board Game / Tactical RPG</x:v>
      </x:c>
      <x:c r="E120" s="24" t="str">
        <x:v>United States</x:v>
      </x:c>
      <x:c r="F120" s="24" t="str">
        <x:v>2017</x:v>
      </x:c>
      <x:c r="G120" s="24" t="str">
        <x:v>Gloomhaven setting and sequels</x:v>
      </x:c>
      <x:c r="H120" s="24" t="str">
        <x:v>Tier 1</x:v>
      </x:c>
      <x:c r="I120" s="24" t="str">
        <x:v>Distinct playable peoples and hidden classes, card-driven roles, mercenary city ecology.</x:v>
      </x:c>
      <x:c r="J120" s="24" t="str">
        <x:v>Treat adaptations/editions separately when taxonomically material.</x:v>
      </x:c>
      <x:c r="K120" s="84" t="str">
        <x:v>https://en.wikipedia.org/wiki/Gloomhaven</x:v>
      </x:c>
      <x:c r="L120" s="24" t="str">
        <x:v>Included</x:v>
      </x:c>
    </x:row>
    <x:row r="121" ht="42" customHeight="1">
      <x:c r="A121" s="24" t="str">
        <x:v>SRC-120</x:v>
      </x:c>
      <x:c r="B121" s="24" t="str">
        <x:v>Descent: Journeys in the Dark</x:v>
      </x:c>
      <x:c r="C121" s="24" t="str">
        <x:v>Fantasy Flight Games</x:v>
      </x:c>
      <x:c r="D121" s="24" t="str">
        <x:v>Board Game / Dungeon Crawl</x:v>
      </x:c>
      <x:c r="E121" s="24" t="str">
        <x:v>United States</x:v>
      </x:c>
      <x:c r="F121" s="24" t="str">
        <x:v>2005</x:v>
      </x:c>
      <x:c r="G121" s="24" t="str">
        <x:v>Terrinoth setting and editions</x:v>
      </x:c>
      <x:c r="H121" s="24" t="str">
        <x:v>Tier 2</x:v>
      </x:c>
      <x:c r="I121" s="24" t="str">
        <x:v>Hero classes, overlord structure, dungeon units, classic fantasy peoples and monsters.</x:v>
      </x:c>
      <x:c r="J121" s="24" t="str">
        <x:v>Treat adaptations/editions separately when taxonomically material.</x:v>
      </x:c>
      <x:c r="K121" s="84" t="str">
        <x:v>https://en.wikipedia.org/wiki/Descent:_Journeys_in_the_Dark</x:v>
      </x:c>
      <x:c r="L121" s="24" t="str">
        <x:v>Included</x:v>
      </x:c>
    </x:row>
    <x:row r="122" ht="42" customHeight="1">
      <x:c r="A122" s="24" t="str">
        <x:v>SRC-121</x:v>
      </x:c>
      <x:c r="B122" s="24" t="str">
        <x:v>HeroQuest</x:v>
      </x:c>
      <x:c r="C122" s="24" t="str">
        <x:v>Milton Bradley / Games Workshop and later Hasbro</x:v>
      </x:c>
      <x:c r="D122" s="24" t="str">
        <x:v>Board Game / Dungeon Crawl</x:v>
      </x:c>
      <x:c r="E122" s="24" t="str">
        <x:v>Britain / United States</x:v>
      </x:c>
      <x:c r="F122" s="24" t="str">
        <x:v>1989</x:v>
      </x:c>
      <x:c r="G122" s="24" t="str">
        <x:v>Editions and licensed setting</x:v>
      </x:c>
      <x:c r="H122" s="24" t="str">
        <x:v>Tier 2</x:v>
      </x:c>
      <x:c r="I122" s="24" t="str">
        <x:v>Iconic barbarian, dwarf, elf, wizard party; furniture dungeon; archetypal roles.</x:v>
      </x:c>
      <x:c r="J122" s="24" t="str">
        <x:v>Treat adaptations/editions separately when taxonomically material.</x:v>
      </x:c>
      <x:c r="K122" s="84" t="str">
        <x:v>https://en.wikipedia.org/wiki/HeroQuest</x:v>
      </x:c>
      <x:c r="L122" s="24" t="str">
        <x:v>Included</x:v>
      </x:c>
    </x:row>
    <x:row r="123" ht="42" customHeight="1">
      <x:c r="A123" s="24" t="str">
        <x:v>SRC-122</x:v>
      </x:c>
      <x:c r="B123" s="24" t="str">
        <x:v>Talisman</x:v>
      </x:c>
      <x:c r="C123" s="24" t="str">
        <x:v>Games Workshop and later publishers</x:v>
      </x:c>
      <x:c r="D123" s="24" t="str">
        <x:v>Board Game</x:v>
      </x:c>
      <x:c r="E123" s="24" t="str">
        <x:v>Britain</x:v>
      </x:c>
      <x:c r="F123" s="24" t="str">
        <x:v>1983</x:v>
      </x:c>
      <x:c r="G123" s="24" t="str">
        <x:v>Editions and expansions</x:v>
      </x:c>
      <x:c r="H123" s="24" t="str">
        <x:v>Tier 2</x:v>
      </x:c>
      <x:c r="I123" s="24" t="str">
        <x:v>Broad playable character archetypes, alignment, transformation, adventure-board progression.</x:v>
      </x:c>
      <x:c r="J123" s="24" t="str">
        <x:v>Treat adaptations/editions separately when taxonomically material.</x:v>
      </x:c>
      <x:c r="K123" s="84" t="str">
        <x:v>https://en.wikipedia.org/wiki/Talisman</x:v>
      </x:c>
      <x:c r="L123" s="24" t="str">
        <x:v>Included</x:v>
      </x:c>
    </x:row>
    <x:row r="124" ht="42" customHeight="1">
      <x:c r="A124" s="24" t="str">
        <x:v>SRC-123</x:v>
      </x:c>
      <x:c r="B124" s="24" t="str">
        <x:v>Mage Knight</x:v>
      </x:c>
      <x:c r="C124" s="24" t="str">
        <x:v>Vlaada Chvátil / WizKids</x:v>
      </x:c>
      <x:c r="D124" s="24" t="str">
        <x:v>Board Game</x:v>
      </x:c>
      <x:c r="E124" s="24" t="str">
        <x:v>Czech Republic / United States</x:v>
      </x:c>
      <x:c r="F124" s="24" t="str">
        <x:v>2011 board game; 2000 miniatures roots</x:v>
      </x:c>
      <x:c r="G124" s="24" t="str">
        <x:v>Mage Knight setting</x:v>
      </x:c>
      <x:c r="H124" s="24" t="str">
        <x:v>Tier 2</x:v>
      </x:c>
      <x:c r="I124" s="24" t="str">
        <x:v>Hybrid hero classes, deck-building progression, conquest, exploration and mana.</x:v>
      </x:c>
      <x:c r="J124" s="24" t="str">
        <x:v>Treat adaptations/editions separately when taxonomically material.</x:v>
      </x:c>
      <x:c r="K124" s="84" t="str">
        <x:v>https://en.wikipedia.org/wiki/Mage_Knight</x:v>
      </x:c>
      <x:c r="L124" s="24" t="str">
        <x:v>Included</x:v>
      </x:c>
    </x:row>
    <x:row r="125" ht="42" customHeight="1">
      <x:c r="A125" s="24" t="str">
        <x:v>SRC-124</x:v>
      </x:c>
      <x:c r="B125" s="24" t="str">
        <x:v>Spirit Island</x:v>
      </x:c>
      <x:c r="C125" s="24" t="str">
        <x:v>R. Eric Reuss / Greater Than Games</x:v>
      </x:c>
      <x:c r="D125" s="24" t="str">
        <x:v>Board Game</x:v>
      </x:c>
      <x:c r="E125" s="24" t="str">
        <x:v>United States</x:v>
      </x:c>
      <x:c r="F125" s="24" t="str">
        <x:v>2017</x:v>
      </x:c>
      <x:c r="G125" s="24" t="str">
        <x:v>Board game setting</x:v>
      </x:c>
      <x:c r="H125" s="24" t="str">
        <x:v>Tier 1</x:v>
      </x:c>
      <x:c r="I125" s="24" t="str">
        <x:v>Spirits as player identities, indigenous defense, colonization critique, elemental growth.</x:v>
      </x:c>
      <x:c r="J125" s="24" t="str">
        <x:v>Treat adaptations/editions separately when taxonomically material.</x:v>
      </x:c>
      <x:c r="K125" s="84" t="str">
        <x:v>https://en.wikipedia.org/wiki/Spirit_Island</x:v>
      </x:c>
      <x:c r="L125" s="24" t="str">
        <x:v>Included</x:v>
      </x:c>
    </x:row>
    <x:row r="126" ht="42" customHeight="1">
      <x:c r="A126" s="24" t="str">
        <x:v>SRC-125</x:v>
      </x:c>
      <x:c r="B126" s="24" t="str">
        <x:v>Small World</x:v>
      </x:c>
      <x:c r="C126" s="24" t="str">
        <x:v>Philippe Keyaerts / Days of Wonder</x:v>
      </x:c>
      <x:c r="D126" s="24" t="str">
        <x:v>Board Game</x:v>
      </x:c>
      <x:c r="E126" s="24" t="str">
        <x:v>Belgium / France</x:v>
      </x:c>
      <x:c r="F126" s="24" t="str">
        <x:v>2009</x:v>
      </x:c>
      <x:c r="G126" s="24" t="str">
        <x:v>Board game and expansions</x:v>
      </x:c>
      <x:c r="H126" s="24" t="str">
        <x:v>Tier 2</x:v>
      </x:c>
      <x:c r="I126" s="24" t="str">
        <x:v>Composable fantasy peoples plus powers; decline mechanic; parody of race-as-mechanics.</x:v>
      </x:c>
      <x:c r="J126" s="24" t="str">
        <x:v>Treat adaptations/editions separately when taxonomically material.</x:v>
      </x:c>
      <x:c r="K126" s="84" t="str">
        <x:v>https://en.wikipedia.org/wiki/Small_World</x:v>
      </x:c>
      <x:c r="L126" s="24" t="str">
        <x:v>Included</x:v>
      </x:c>
    </x:row>
    <x:row r="127" ht="42" customHeight="1">
      <x:c r="A127" s="24" t="str">
        <x:v>SRC-126</x:v>
      </x:c>
      <x:c r="B127" s="24" t="str">
        <x:v>Root</x:v>
      </x:c>
      <x:c r="C127" s="24" t="str">
        <x:v>Cole Wehrle / Leder Games</x:v>
      </x:c>
      <x:c r="D127" s="24" t="str">
        <x:v>Board Game</x:v>
      </x:c>
      <x:c r="E127" s="24" t="str">
        <x:v>United States</x:v>
      </x:c>
      <x:c r="F127" s="24" t="str">
        <x:v>2018</x:v>
      </x:c>
      <x:c r="G127" s="24" t="str">
        <x:v>Woodland setting</x:v>
      </x:c>
      <x:c r="H127" s="24" t="str">
        <x:v>Tier 3</x:v>
      </x:c>
      <x:c r="I127" s="24" t="str">
        <x:v>Anthropomorphic factions with asymmetric institutional and strategic identities.</x:v>
      </x:c>
      <x:c r="J127" s="24" t="str">
        <x:v>Treat adaptations/editions separately when taxonomically material.</x:v>
      </x:c>
      <x:c r="K127" s="84" t="str">
        <x:v>https://en.wikipedia.org/wiki/Root</x:v>
      </x:c>
      <x:c r="L127" s="24" t="str">
        <x:v>Included</x:v>
      </x:c>
    </x:row>
    <x:row r="128" ht="42" customHeight="1">
      <x:c r="A128" s="24" t="str">
        <x:v>SRC-127</x:v>
      </x:c>
      <x:c r="B128" s="24" t="str">
        <x:v>Tactics Ogre / Ogre Battle</x:v>
      </x:c>
      <x:c r="C128" s="24" t="str">
        <x:v>Quest; Square Enix</x:v>
      </x:c>
      <x:c r="D128" s="24" t="str">
        <x:v>Video Game / Tactical RPG</x:v>
      </x:c>
      <x:c r="E128" s="24" t="str">
        <x:v>Japan</x:v>
      </x:c>
      <x:c r="F128" s="24" t="str">
        <x:v>1993/1995 onward</x:v>
      </x:c>
      <x:c r="G128" s="24" t="str">
        <x:v>Ogre Battle Saga; versions tracked separately</x:v>
      </x:c>
      <x:c r="H128" s="24" t="str">
        <x:v>Tier 1</x:v>
      </x:c>
      <x:c r="I128" s="24" t="str">
        <x:v>Job classes, race-restricted classes, alignment, tactical roles, political branching.</x:v>
      </x:c>
      <x:c r="J128" s="24" t="str">
        <x:v>Use Tactics Ogre: Reborn as a distinct mechanical version.</x:v>
      </x:c>
      <x:c r="K128" s="84" t="str">
        <x:v>https://www.square-enix-games.com/en_US/games/tactics-ogre-reborn</x:v>
      </x:c>
      <x:c r="L128" s="24" t="str">
        <x:v>Included</x:v>
      </x:c>
    </x:row>
    <x:row r="129" ht="42" customHeight="1">
      <x:c r="A129" s="24" t="str">
        <x:v>SRC-128</x:v>
      </x:c>
      <x:c r="B129" s="24" t="str">
        <x:v>Tactics Ogre: Reborn</x:v>
      </x:c>
      <x:c r="C129" s="24" t="str">
        <x:v>Square Enix</x:v>
      </x:c>
      <x:c r="D129" s="24" t="str">
        <x:v>Video Game / Tactical RPG</x:v>
      </x:c>
      <x:c r="E129" s="24" t="str">
        <x:v>Japan</x:v>
      </x:c>
      <x:c r="F129" s="24" t="str">
        <x:v>2022</x:v>
      </x:c>
      <x:c r="G129" s="24" t="str">
        <x:v>Remake based on 2010 version</x:v>
      </x:c>
      <x:c r="H129" s="24" t="str">
        <x:v>Tier 1</x:v>
      </x:c>
      <x:c r="I129" s="24" t="str">
        <x:v>Human, demi-human, beast and undead units; classmarks; unique and generic classes.</x:v>
      </x:c>
      <x:c r="J129" s="24" t="str">
        <x:v>Keep mechanics distinct from PSP and original versions.</x:v>
      </x:c>
      <x:c r="K129" s="84" t="str">
        <x:v>https://www.square-enix-games.com/en_US/news/tactics-ogre-reborn-characters-classes</x:v>
      </x:c>
      <x:c r="L129" s="24" t="str">
        <x:v>Included</x:v>
      </x:c>
    </x:row>
    <x:row r="130" ht="42" customHeight="1">
      <x:c r="A130" s="24" t="str">
        <x:v>SRC-129</x:v>
      </x:c>
      <x:c r="B130" s="24" t="str">
        <x:v>Final Fantasy</x:v>
      </x:c>
      <x:c r="C130" s="24" t="str">
        <x:v>Square / Square Enix</x:v>
      </x:c>
      <x:c r="D130" s="24" t="str">
        <x:v>Video Game / JRPG Franchise</x:v>
      </x:c>
      <x:c r="E130" s="24" t="str">
        <x:v>Japan</x:v>
      </x:c>
      <x:c r="F130" s="24" t="str">
        <x:v>1987</x:v>
      </x:c>
      <x:c r="G130" s="24" t="str">
        <x:v>Separate worlds and continuities by title</x:v>
      </x:c>
      <x:c r="H130" s="24" t="str">
        <x:v>Tier 1</x:v>
      </x:c>
      <x:c r="I130" s="24" t="str">
        <x:v>Job system, recurring class icons, summons, crystals, distinctive peoples and science fantasy.</x:v>
      </x:c>
      <x:c r="J130" s="24" t="str">
        <x:v>Treat adaptations/editions separately when taxonomically material.</x:v>
      </x:c>
      <x:c r="K130" s="84" t="str">
        <x:v>https://en.wikipedia.org/wiki/Final_Fantasy</x:v>
      </x:c>
      <x:c r="L130" s="24" t="str">
        <x:v>Included</x:v>
      </x:c>
    </x:row>
    <x:row r="131" ht="42" customHeight="1">
      <x:c r="A131" s="24" t="str">
        <x:v>SRC-130</x:v>
      </x:c>
      <x:c r="B131" s="24" t="str">
        <x:v>Final Fantasy Tactics</x:v>
      </x:c>
      <x:c r="C131" s="24" t="str">
        <x:v>Square</x:v>
      </x:c>
      <x:c r="D131" s="24" t="str">
        <x:v>Video Game / Tactical RPG</x:v>
      </x:c>
      <x:c r="E131" s="24" t="str">
        <x:v>Japan</x:v>
      </x:c>
      <x:c r="F131" s="24" t="str">
        <x:v>1997</x:v>
      </x:c>
      <x:c r="G131" s="24" t="str">
        <x:v>Ivalice continuity and related titles</x:v>
      </x:c>
      <x:c r="H131" s="24" t="str">
        <x:v>Tier 1</x:v>
      </x:c>
      <x:c r="I131" s="24" t="str">
        <x:v>Deep job tree, zodiac mechanics, political church conflict, monster units, advanced classes.</x:v>
      </x:c>
      <x:c r="J131" s="24" t="str">
        <x:v>Treat adaptations/editions separately when taxonomically material.</x:v>
      </x:c>
      <x:c r="K131" s="84" t="str">
        <x:v>https://en.wikipedia.org/wiki/Final_Fantasy_Tactics</x:v>
      </x:c>
      <x:c r="L131" s="24" t="str">
        <x:v>Included</x:v>
      </x:c>
    </x:row>
    <x:row r="132" ht="42" customHeight="1">
      <x:c r="A132" s="24" t="str">
        <x:v>SRC-131</x:v>
      </x:c>
      <x:c r="B132" s="24" t="str">
        <x:v>Final Fantasy XIV</x:v>
      </x:c>
      <x:c r="C132" s="24" t="str">
        <x:v>Square Enix</x:v>
      </x:c>
      <x:c r="D132" s="24" t="str">
        <x:v>Video Game / MMORPG</x:v>
      </x:c>
      <x:c r="E132" s="24" t="str">
        <x:v>Japan</x:v>
      </x:c>
      <x:c r="F132" s="24" t="str">
        <x:v>2010/2013 relaunch</x:v>
      </x:c>
      <x:c r="G132" s="24" t="str">
        <x:v>Etheirys setting and expansions</x:v>
      </x:c>
      <x:c r="H132" s="24" t="str">
        <x:v>Tier 1</x:v>
      </x:c>
      <x:c r="I132" s="24" t="str">
        <x:v>Formal combat/crafting/gathering jobs, playable races and clans, role trinity, primals.</x:v>
      </x:c>
      <x:c r="J132" s="24" t="str">
        <x:v>Use current official job/race guides and record patch date.</x:v>
      </x:c>
      <x:c r="K132" s="84" t="str">
        <x:v>https://na.finalfantasyxiv.com/jobguide/battle/</x:v>
      </x:c>
      <x:c r="L132" s="24" t="str">
        <x:v>Included</x:v>
      </x:c>
    </x:row>
    <x:row r="133" ht="42" customHeight="1">
      <x:c r="A133" s="24" t="str">
        <x:v>SRC-132</x:v>
      </x:c>
      <x:c r="B133" s="24" t="str">
        <x:v>Dragon Quest</x:v>
      </x:c>
      <x:c r="C133" s="24" t="str">
        <x:v>Enix / Square Enix</x:v>
      </x:c>
      <x:c r="D133" s="24" t="str">
        <x:v>Video Game / JRPG Franchise</x:v>
      </x:c>
      <x:c r="E133" s="24" t="str">
        <x:v>Japan</x:v>
      </x:c>
      <x:c r="F133" s="24" t="str">
        <x:v>1986</x:v>
      </x:c>
      <x:c r="G133" s="24" t="str">
        <x:v>Separate worlds and titles</x:v>
      </x:c>
      <x:c r="H133" s="24" t="str">
        <x:v>Tier 1</x:v>
      </x:c>
      <x:c r="I133" s="24" t="str">
        <x:v>Hero, warrior, priest, mage, martial artist, monster recruitment, demon lord structure.</x:v>
      </x:c>
      <x:c r="J133" s="24" t="str">
        <x:v>Treat adaptations/editions separately when taxonomically material.</x:v>
      </x:c>
      <x:c r="K133" s="84" t="str">
        <x:v>https://en.wikipedia.org/wiki/Dragon_Quest</x:v>
      </x:c>
      <x:c r="L133" s="24" t="str">
        <x:v>Included</x:v>
      </x:c>
    </x:row>
    <x:row r="134" ht="42" customHeight="1">
      <x:c r="A134" s="24" t="str">
        <x:v>SRC-133</x:v>
      </x:c>
      <x:c r="B134" s="24" t="str">
        <x:v>Fire Emblem</x:v>
      </x:c>
      <x:c r="C134" s="24" t="str">
        <x:v>Intelligent Systems / Nintendo</x:v>
      </x:c>
      <x:c r="D134" s="24" t="str">
        <x:v>Video Game / Tactical RPG Franchise</x:v>
      </x:c>
      <x:c r="E134" s="24" t="str">
        <x:v>Japan</x:v>
      </x:c>
      <x:c r="F134" s="24" t="str">
        <x:v>1990</x:v>
      </x:c>
      <x:c r="G134" s="24" t="str">
        <x:v>Separate continuities by title</x:v>
      </x:c>
      <x:c r="H134" s="24" t="str">
        <x:v>Tier 1</x:v>
      </x:c>
      <x:c r="I134" s="24" t="str">
        <x:v>Class promotion, weapon triangles, lords, dragon peoples, permadeath, political factions.</x:v>
      </x:c>
      <x:c r="J134" s="24" t="str">
        <x:v>Treat adaptations/editions separately when taxonomically material.</x:v>
      </x:c>
      <x:c r="K134" s="84" t="str">
        <x:v>https://en.wikipedia.org/wiki/Fire_Emblem</x:v>
      </x:c>
      <x:c r="L134" s="24" t="str">
        <x:v>Included</x:v>
      </x:c>
    </x:row>
    <x:row r="135" ht="42" customHeight="1">
      <x:c r="A135" s="24" t="str">
        <x:v>SRC-134</x:v>
      </x:c>
      <x:c r="B135" s="24" t="str">
        <x:v>The Elder Scrolls</x:v>
      </x:c>
      <x:c r="C135" s="24" t="str">
        <x:v>Bethesda Game Studios</x:v>
      </x:c>
      <x:c r="D135" s="24" t="str">
        <x:v>Video Game / RPG Franchise</x:v>
      </x:c>
      <x:c r="E135" s="24" t="str">
        <x:v>United States</x:v>
      </x:c>
      <x:c r="F135" s="24" t="str">
        <x:v>1994</x:v>
      </x:c>
      <x:c r="G135" s="24" t="str">
        <x:v>Tamriel continuity; games separated mechanically</x:v>
      </x:c>
      <x:c r="H135" s="24" t="str">
        <x:v>Tier 1</x:v>
      </x:c>
      <x:c r="I135" s="24" t="str">
        <x:v>Playable peoples, open skill systems, guilds, Daedra/Aedra, vampires, werewolves, dragonborn.</x:v>
      </x:c>
      <x:c r="J135" s="24" t="str">
        <x:v>Treat adaptations/editions separately when taxonomically material.</x:v>
      </x:c>
      <x:c r="K135" s="84" t="str">
        <x:v>https://en.wikipedia.org/wiki/The_Elder_Scrolls</x:v>
      </x:c>
      <x:c r="L135" s="24" t="str">
        <x:v>Included</x:v>
      </x:c>
    </x:row>
    <x:row r="136" ht="42" customHeight="1">
      <x:c r="A136" s="24" t="str">
        <x:v>SRC-135</x:v>
      </x:c>
      <x:c r="B136" s="24" t="str">
        <x:v>Warcraft</x:v>
      </x:c>
      <x:c r="C136" s="24" t="str">
        <x:v>Blizzard Entertainment</x:v>
      </x:c>
      <x:c r="D136" s="24" t="str">
        <x:v>Video Game / Strategy and MMORPG Franchise</x:v>
      </x:c>
      <x:c r="E136" s="24" t="str">
        <x:v>United States</x:v>
      </x:c>
      <x:c r="F136" s="24" t="str">
        <x:v>1994</x:v>
      </x:c>
      <x:c r="G136" s="24" t="str">
        <x:v>Warcraft universe across games and media</x:v>
      </x:c>
      <x:c r="H136" s="24" t="str">
        <x:v>Tier 1</x:v>
      </x:c>
      <x:c r="I136" s="24" t="str">
        <x:v>Playable races and classes, faction identity, corruption, undead nation, draconic and cosmic beings.</x:v>
      </x:c>
      <x:c r="J136" s="24" t="str">
        <x:v>Use current official class/race pages for live-game state.</x:v>
      </x:c>
      <x:c r="K136" s="84" t="str">
        <x:v>https://worldofwarcraft.blizzard.com/game/classes</x:v>
      </x:c>
      <x:c r="L136" s="24" t="str">
        <x:v>Included</x:v>
      </x:c>
    </x:row>
    <x:row r="137" ht="42" customHeight="1">
      <x:c r="A137" s="24" t="str">
        <x:v>SRC-136</x:v>
      </x:c>
      <x:c r="B137" s="24" t="str">
        <x:v>World of Warcraft</x:v>
      </x:c>
      <x:c r="C137" s="24" t="str">
        <x:v>Blizzard Entertainment</x:v>
      </x:c>
      <x:c r="D137" s="24" t="str">
        <x:v>Video Game / MMORPG</x:v>
      </x:c>
      <x:c r="E137" s="24" t="str">
        <x:v>United States</x:v>
      </x:c>
      <x:c r="F137" s="24" t="str">
        <x:v>2004</x:v>
      </x:c>
      <x:c r="G137" s="24" t="str">
        <x:v>Live Warcraft continuity</x:v>
      </x:c>
      <x:c r="H137" s="24" t="str">
        <x:v>Tier 1</x:v>
      </x:c>
      <x:c r="I137" s="24" t="str">
        <x:v>Modern MMO class specs, playable races, allied races, role trinity, faction evolution.</x:v>
      </x:c>
      <x:c r="J137" s="24" t="str">
        <x:v>Version-stamp entries because options change.</x:v>
      </x:c>
      <x:c r="K137" s="84" t="str">
        <x:v>https://worldofwarcraft.blizzard.com/game/races</x:v>
      </x:c>
      <x:c r="L137" s="24" t="str">
        <x:v>Included</x:v>
      </x:c>
    </x:row>
    <x:row r="138" ht="42" customHeight="1">
      <x:c r="A138" s="24" t="str">
        <x:v>SRC-137</x:v>
      </x:c>
      <x:c r="B138" s="24" t="str">
        <x:v>Diablo</x:v>
      </x:c>
      <x:c r="C138" s="24" t="str">
        <x:v>Blizzard Entertainment</x:v>
      </x:c>
      <x:c r="D138" s="24" t="str">
        <x:v>Video Game / Action RPG Franchise</x:v>
      </x:c>
      <x:c r="E138" s="24" t="str">
        <x:v>United States</x:v>
      </x:c>
      <x:c r="F138" s="24" t="str">
        <x:v>1996</x:v>
      </x:c>
      <x:c r="G138" s="24" t="str">
        <x:v>Sanctuary continuity</x:v>
      </x:c>
      <x:c r="H138" s="24" t="str">
        <x:v>Tier 1</x:v>
      </x:c>
      <x:c r="I138" s="24" t="str">
        <x:v>Class silhouettes, loot builds, angels/demons, nephalem, necromancers, corruption.</x:v>
      </x:c>
      <x:c r="J138" s="24" t="str">
        <x:v>Treat adaptations/editions separately when taxonomically material.</x:v>
      </x:c>
      <x:c r="K138" s="84" t="str">
        <x:v>https://en.wikipedia.org/wiki/Diablo</x:v>
      </x:c>
      <x:c r="L138" s="24" t="str">
        <x:v>Included</x:v>
      </x:c>
    </x:row>
    <x:row r="139" ht="42" customHeight="1">
      <x:c r="A139" s="24" t="str">
        <x:v>SRC-138</x:v>
      </x:c>
      <x:c r="B139" s="24" t="str">
        <x:v>Dragon Age</x:v>
      </x:c>
      <x:c r="C139" s="24" t="str">
        <x:v>BioWare / Electronic Arts</x:v>
      </x:c>
      <x:c r="D139" s="24" t="str">
        <x:v>Video Game / RPG Franchise</x:v>
      </x:c>
      <x:c r="E139" s="24" t="str">
        <x:v>Canada</x:v>
      </x:c>
      <x:c r="F139" s="24" t="str">
        <x:v>2009</x:v>
      </x:c>
      <x:c r="G139" s="24" t="str">
        <x:v>Thedas continuity</x:v>
      </x:c>
      <x:c r="H139" s="24" t="str">
        <x:v>Tier 1</x:v>
      </x:c>
      <x:c r="I139" s="24" t="str">
        <x:v>Mages/templars, Qunari, elves/dwarves, Grey Wardens, classes and specializations.</x:v>
      </x:c>
      <x:c r="J139" s="24" t="str">
        <x:v>Treat adaptations/editions separately when taxonomically material.</x:v>
      </x:c>
      <x:c r="K139" s="84" t="str">
        <x:v>https://en.wikipedia.org/wiki/Dragon_Age</x:v>
      </x:c>
      <x:c r="L139" s="24" t="str">
        <x:v>Included</x:v>
      </x:c>
    </x:row>
    <x:row r="140" ht="42" customHeight="1">
      <x:c r="A140" s="24" t="str">
        <x:v>SRC-139</x:v>
      </x:c>
      <x:c r="B140" s="24" t="str">
        <x:v>Baldur's Gate</x:v>
      </x:c>
      <x:c r="C140" s="24" t="str">
        <x:v>BioWare, Black Isle, Larian; D&amp;D license</x:v>
      </x:c>
      <x:c r="D140" s="24" t="str">
        <x:v>Video Game / CRPG Franchise</x:v>
      </x:c>
      <x:c r="E140" s="24" t="str">
        <x:v>Canada / Belgium</x:v>
      </x:c>
      <x:c r="F140" s="24" t="str">
        <x:v>1998</x:v>
      </x:c>
      <x:c r="G140" s="24" t="str">
        <x:v>Forgotten Realms games; editions differ</x:v>
      </x:c>
      <x:c r="H140" s="24" t="str">
        <x:v>Tier 1</x:v>
      </x:c>
      <x:c r="I140" s="24" t="str">
        <x:v>D&amp;D classes and species in party-based narrative, companions, alignment and multiclass builds.</x:v>
      </x:c>
      <x:c r="J140" s="24" t="str">
        <x:v>Treat adaptations/editions separately when taxonomically material.</x:v>
      </x:c>
      <x:c r="K140" s="84" t="str">
        <x:v>https://en.wikipedia.org/wiki/Baldur's_Gate</x:v>
      </x:c>
      <x:c r="L140" s="24" t="str">
        <x:v>Included</x:v>
      </x:c>
    </x:row>
    <x:row r="141" ht="42" customHeight="1">
      <x:c r="A141" s="24" t="str">
        <x:v>SRC-140</x:v>
      </x:c>
      <x:c r="B141" s="24" t="str">
        <x:v>Icewind Dale</x:v>
      </x:c>
      <x:c r="C141" s="24" t="str">
        <x:v>Black Isle Studios</x:v>
      </x:c>
      <x:c r="D141" s="24" t="str">
        <x:v>Video Game / CRPG</x:v>
      </x:c>
      <x:c r="E141" s="24" t="str">
        <x:v>United States</x:v>
      </x:c>
      <x:c r="F141" s="24" t="str">
        <x:v>2000</x:v>
      </x:c>
      <x:c r="G141" s="24" t="str">
        <x:v>Forgotten Realms games</x:v>
      </x:c>
      <x:c r="H141" s="24" t="str">
        <x:v>Tier 2</x:v>
      </x:c>
      <x:c r="I141" s="24" t="str">
        <x:v>Party construction, D&amp;D classes, dungeon combat, northern monster ecology.</x:v>
      </x:c>
      <x:c r="J141" s="24" t="str">
        <x:v>Treat adaptations/editions separately when taxonomically material.</x:v>
      </x:c>
      <x:c r="K141" s="84" t="str">
        <x:v>https://en.wikipedia.org/wiki/Icewind_Dale</x:v>
      </x:c>
      <x:c r="L141" s="24" t="str">
        <x:v>Included</x:v>
      </x:c>
    </x:row>
    <x:row r="142" ht="42" customHeight="1">
      <x:c r="A142" s="24" t="str">
        <x:v>SRC-141</x:v>
      </x:c>
      <x:c r="B142" s="24" t="str">
        <x:v>Planescape: Torment</x:v>
      </x:c>
      <x:c r="C142" s="24" t="str">
        <x:v>Black Isle Studios</x:v>
      </x:c>
      <x:c r="D142" s="24" t="str">
        <x:v>Video Game / CRPG</x:v>
      </x:c>
      <x:c r="E142" s="24" t="str">
        <x:v>United States</x:v>
      </x:c>
      <x:c r="F142" s="24" t="str">
        <x:v>1999</x:v>
      </x:c>
      <x:c r="G142" s="24" t="str">
        <x:v>Planescape setting</x:v>
      </x:c>
      <x:c r="H142" s="24" t="str">
        <x:v>Tier 1</x:v>
      </x:c>
      <x:c r="I142" s="24" t="str">
        <x:v>Immortal protagonist, factions, companions, identity, philosophical role systems.</x:v>
      </x:c>
      <x:c r="J142" s="24" t="str">
        <x:v>Treat adaptations/editions separately when taxonomically material.</x:v>
      </x:c>
      <x:c r="K142" s="84" t="str">
        <x:v>https://en.wikipedia.org/wiki/Planescape:_Torment</x:v>
      </x:c>
      <x:c r="L142" s="24" t="str">
        <x:v>Included</x:v>
      </x:c>
    </x:row>
    <x:row r="143" ht="42" customHeight="1">
      <x:c r="A143" s="24" t="str">
        <x:v>SRC-142</x:v>
      </x:c>
      <x:c r="B143" s="24" t="str">
        <x:v>Neverwinter Nights</x:v>
      </x:c>
      <x:c r="C143" s="24" t="str">
        <x:v>BioWare and later studios</x:v>
      </x:c>
      <x:c r="D143" s="24" t="str">
        <x:v>Video Game / CRPG</x:v>
      </x:c>
      <x:c r="E143" s="24" t="str">
        <x:v>Canada</x:v>
      </x:c>
      <x:c r="F143" s="24" t="str">
        <x:v>2002</x:v>
      </x:c>
      <x:c r="G143" s="24" t="str">
        <x:v>D&amp;D adaptations and modules</x:v>
      </x:c>
      <x:c r="H143" s="24" t="str">
        <x:v>Tier 2</x:v>
      </x:c>
      <x:c r="I143" s="24" t="str">
        <x:v>D&amp;D class implementation, prestige classes, toolset-created settings, multiplayer roles.</x:v>
      </x:c>
      <x:c r="J143" s="24" t="str">
        <x:v>Treat adaptations/editions separately when taxonomically material.</x:v>
      </x:c>
      <x:c r="K143" s="84" t="str">
        <x:v>https://en.wikipedia.org/wiki/Neverwinter_Nights</x:v>
      </x:c>
      <x:c r="L143" s="24" t="str">
        <x:v>Included</x:v>
      </x:c>
    </x:row>
    <x:row r="144" ht="42" customHeight="1">
      <x:c r="A144" s="24" t="str">
        <x:v>SRC-143</x:v>
      </x:c>
      <x:c r="B144" s="24" t="str">
        <x:v>Divinity</x:v>
      </x:c>
      <x:c r="C144" s="24" t="str">
        <x:v>Larian Studios</x:v>
      </x:c>
      <x:c r="D144" s="24" t="str">
        <x:v>Video Game / RPG Franchise</x:v>
      </x:c>
      <x:c r="E144" s="24" t="str">
        <x:v>Belgium</x:v>
      </x:c>
      <x:c r="F144" s="24" t="str">
        <x:v>2002</x:v>
      </x:c>
      <x:c r="G144" s="24" t="str">
        <x:v>Rivellon continuity</x:v>
      </x:c>
      <x:c r="H144" s="24" t="str">
        <x:v>Tier 1</x:v>
      </x:c>
      <x:c r="I144" s="24" t="str">
        <x:v>Classless builds, source magic, undead player options, elemental interactions, origin characters.</x:v>
      </x:c>
      <x:c r="J144" s="24" t="str">
        <x:v>Treat adaptations/editions separately when taxonomically material.</x:v>
      </x:c>
      <x:c r="K144" s="84" t="str">
        <x:v>https://en.wikipedia.org/wiki/Divinity</x:v>
      </x:c>
      <x:c r="L144" s="24" t="str">
        <x:v>Included</x:v>
      </x:c>
    </x:row>
    <x:row r="145" ht="42" customHeight="1">
      <x:c r="A145" s="24" t="str">
        <x:v>SRC-144</x:v>
      </x:c>
      <x:c r="B145" s="24" t="str">
        <x:v>Pillars of Eternity</x:v>
      </x:c>
      <x:c r="C145" s="24" t="str">
        <x:v>Obsidian Entertainment</x:v>
      </x:c>
      <x:c r="D145" s="24" t="str">
        <x:v>Video Game / CRPG</x:v>
      </x:c>
      <x:c r="E145" s="24" t="str">
        <x:v>United States</x:v>
      </x:c>
      <x:c r="F145" s="24" t="str">
        <x:v>2015</x:v>
      </x:c>
      <x:c r="G145" s="24" t="str">
        <x:v>Eora setting</x:v>
      </x:c>
      <x:c r="H145" s="24" t="str">
        <x:v>Tier 1</x:v>
      </x:c>
      <x:c r="I145" s="24" t="str">
        <x:v>Original classes and peoples, soul cycles, godlike lineages, factions, multiclassing.</x:v>
      </x:c>
      <x:c r="J145" s="24" t="str">
        <x:v>Treat adaptations/editions separately when taxonomically material.</x:v>
      </x:c>
      <x:c r="K145" s="84" t="str">
        <x:v>https://en.wikipedia.org/wiki/Pillars_of_Eternity</x:v>
      </x:c>
      <x:c r="L145" s="24" t="str">
        <x:v>Included</x:v>
      </x:c>
    </x:row>
    <x:row r="146" ht="42" customHeight="1">
      <x:c r="A146" s="24" t="str">
        <x:v>SRC-145</x:v>
      </x:c>
      <x:c r="B146" s="24" t="str">
        <x:v>Tyranny</x:v>
      </x:c>
      <x:c r="C146" s="24" t="str">
        <x:v>Obsidian Entertainment</x:v>
      </x:c>
      <x:c r="D146" s="24" t="str">
        <x:v>Video Game / CRPG</x:v>
      </x:c>
      <x:c r="E146" s="24" t="str">
        <x:v>United States</x:v>
      </x:c>
      <x:c r="F146" s="24" t="str">
        <x:v>2016</x:v>
      </x:c>
      <x:c r="G146" s="24" t="str">
        <x:v>Terratus setting</x:v>
      </x:c>
      <x:c r="H146" s="24" t="str">
        <x:v>Tier 2</x:v>
      </x:c>
      <x:c r="I146" s="24" t="str">
        <x:v>Villain-side protagonist, legal magic edicts, reputation/fear, companions, empire institutions.</x:v>
      </x:c>
      <x:c r="J146" s="24" t="str">
        <x:v>Treat adaptations/editions separately when taxonomically material.</x:v>
      </x:c>
      <x:c r="K146" s="84" t="str">
        <x:v>https://en.wikipedia.org/wiki/Tyranny</x:v>
      </x:c>
      <x:c r="L146" s="24" t="str">
        <x:v>Included</x:v>
      </x:c>
    </x:row>
    <x:row r="147" ht="42" customHeight="1">
      <x:c r="A147" s="24" t="str">
        <x:v>SRC-146</x:v>
      </x:c>
      <x:c r="B147" s="24" t="str">
        <x:v>Pathfinder: Kingmaker</x:v>
      </x:c>
      <x:c r="C147" s="24" t="str">
        <x:v>Owlcat Games</x:v>
      </x:c>
      <x:c r="D147" s="24" t="str">
        <x:v>Video Game / CRPG</x:v>
      </x:c>
      <x:c r="E147" s="24" t="str">
        <x:v>Russia / Cyprus</x:v>
      </x:c>
      <x:c r="F147" s="24" t="str">
        <x:v>2018</x:v>
      </x:c>
      <x:c r="G147" s="24" t="str">
        <x:v>Pathfinder Golarion adaptation</x:v>
      </x:c>
      <x:c r="H147" s="24" t="str">
        <x:v>Tier 2</x:v>
      </x:c>
      <x:c r="I147" s="24" t="str">
        <x:v>Pathfinder classes, archetypes, kingdom building, companions, alignment.</x:v>
      </x:c>
      <x:c r="J147" s="24" t="str">
        <x:v>Treat adaptations/editions separately when taxonomically material.</x:v>
      </x:c>
      <x:c r="K147" s="84" t="str">
        <x:v>https://en.wikipedia.org/wiki/Pathfinder:_Kingmaker</x:v>
      </x:c>
      <x:c r="L147" s="24" t="str">
        <x:v>Included</x:v>
      </x:c>
    </x:row>
    <x:row r="148" ht="42" customHeight="1">
      <x:c r="A148" s="24" t="str">
        <x:v>SRC-147</x:v>
      </x:c>
      <x:c r="B148" s="24" t="str">
        <x:v>Pathfinder: Wrath of the Righteous</x:v>
      </x:c>
      <x:c r="C148" s="24" t="str">
        <x:v>Owlcat Games</x:v>
      </x:c>
      <x:c r="D148" s="24" t="str">
        <x:v>Video Game / CRPG</x:v>
      </x:c>
      <x:c r="E148" s="24" t="str">
        <x:v>Russia / Cyprus</x:v>
      </x:c>
      <x:c r="F148" s="24" t="str">
        <x:v>2021</x:v>
      </x:c>
      <x:c r="G148" s="24" t="str">
        <x:v>Pathfinder Golarion adaptation</x:v>
      </x:c>
      <x:c r="H148" s="24" t="str">
        <x:v>Tier 1</x:v>
      </x:c>
      <x:c r="I148" s="24" t="str">
        <x:v>Mythic paths, demon war, extensive classes/archetypes, transformation and alignment.</x:v>
      </x:c>
      <x:c r="J148" s="24" t="str">
        <x:v>Treat adaptations/editions separately when taxonomically material.</x:v>
      </x:c>
      <x:c r="K148" s="84" t="str">
        <x:v>https://en.wikipedia.org/wiki/Pathfinder:_Wrath_of_the_Righteous</x:v>
      </x:c>
      <x:c r="L148" s="24" t="str">
        <x:v>Included</x:v>
      </x:c>
    </x:row>
    <x:row r="149" ht="42" customHeight="1">
      <x:c r="A149" s="24" t="str">
        <x:v>SRC-148</x:v>
      </x:c>
      <x:c r="B149" s="24" t="str">
        <x:v>Dark Souls</x:v>
      </x:c>
      <x:c r="C149" s="24" t="str">
        <x:v>FromSoftware</x:v>
      </x:c>
      <x:c r="D149" s="24" t="str">
        <x:v>Video Game / Action RPG Franchise</x:v>
      </x:c>
      <x:c r="E149" s="24" t="str">
        <x:v>Japan</x:v>
      </x:c>
      <x:c r="F149" s="24" t="str">
        <x:v>2011</x:v>
      </x:c>
      <x:c r="G149" s="24" t="str">
        <x:v>Separate linked worlds and cycles</x:v>
      </x:c>
      <x:c r="H149" s="24" t="str">
        <x:v>Tier 1</x:v>
      </x:c>
      <x:c r="I149" s="24" t="str">
        <x:v>Undead curse, classes as starting templates, fading ages, bosses, covenants, transformation.</x:v>
      </x:c>
      <x:c r="J149" s="24" t="str">
        <x:v>Treat adaptations/editions separately when taxonomically material.</x:v>
      </x:c>
      <x:c r="K149" s="84" t="str">
        <x:v>https://en.wikipedia.org/wiki/Dark_Souls</x:v>
      </x:c>
      <x:c r="L149" s="24" t="str">
        <x:v>Included</x:v>
      </x:c>
    </x:row>
    <x:row r="150" ht="42" customHeight="1">
      <x:c r="A150" s="24" t="str">
        <x:v>SRC-149</x:v>
      </x:c>
      <x:c r="B150" s="24" t="str">
        <x:v>Demon's Souls</x:v>
      </x:c>
      <x:c r="C150" s="24" t="str">
        <x:v>FromSoftware</x:v>
      </x:c>
      <x:c r="D150" s="24" t="str">
        <x:v>Video Game / Action RPG</x:v>
      </x:c>
      <x:c r="E150" s="24" t="str">
        <x:v>Japan</x:v>
      </x:c>
      <x:c r="F150" s="24" t="str">
        <x:v>2009</x:v>
      </x:c>
      <x:c r="G150" s="24" t="str">
        <x:v>Boletaria setting</x:v>
      </x:c>
      <x:c r="H150" s="24" t="str">
        <x:v>Tier 2</x:v>
      </x:c>
      <x:c r="I150" s="24" t="str">
        <x:v>Soul form, world tendency, starting classes, demon transformation, apocalyptic kingdom.</x:v>
      </x:c>
      <x:c r="J150" s="24" t="str">
        <x:v>Treat adaptations/editions separately when taxonomically material.</x:v>
      </x:c>
      <x:c r="K150" s="84" t="str">
        <x:v>https://en.wikipedia.org/wiki/Demon's_Souls</x:v>
      </x:c>
      <x:c r="L150" s="24" t="str">
        <x:v>Included</x:v>
      </x:c>
    </x:row>
    <x:row r="151" ht="42" customHeight="1">
      <x:c r="A151" s="24" t="str">
        <x:v>SRC-150</x:v>
      </x:c>
      <x:c r="B151" s="24" t="str">
        <x:v>Bloodborne</x:v>
      </x:c>
      <x:c r="C151" s="24" t="str">
        <x:v>FromSoftware</x:v>
      </x:c>
      <x:c r="D151" s="24" t="str">
        <x:v>Video Game / Action RPG</x:v>
      </x:c>
      <x:c r="E151" s="24" t="str">
        <x:v>Japan</x:v>
      </x:c>
      <x:c r="F151" s="24" t="str">
        <x:v>2015</x:v>
      </x:c>
      <x:c r="G151" s="24" t="str">
        <x:v>Yharnam setting</x:v>
      </x:c>
      <x:c r="H151" s="24" t="str">
        <x:v>Tier 2</x:v>
      </x:c>
      <x:c r="I151" s="24" t="str">
        <x:v>Hunter profession, blood ministration, beast transformation, eldritch beings, trick weapons.</x:v>
      </x:c>
      <x:c r="J151" s="24" t="str">
        <x:v>Treat adaptations/editions separately when taxonomically material.</x:v>
      </x:c>
      <x:c r="K151" s="84" t="str">
        <x:v>https://en.wikipedia.org/wiki/Bloodborne</x:v>
      </x:c>
      <x:c r="L151" s="24" t="str">
        <x:v>Included</x:v>
      </x:c>
    </x:row>
    <x:row r="152" ht="42" customHeight="1">
      <x:c r="A152" s="24" t="str">
        <x:v>SRC-151</x:v>
      </x:c>
      <x:c r="B152" s="24" t="str">
        <x:v>Elden Ring</x:v>
      </x:c>
      <x:c r="C152" s="24" t="str">
        <x:v>FromSoftware / Bandai Namco</x:v>
      </x:c>
      <x:c r="D152" s="24" t="str">
        <x:v>Video Game / Action RPG</x:v>
      </x:c>
      <x:c r="E152" s="24" t="str">
        <x:v>Japan</x:v>
      </x:c>
      <x:c r="F152" s="24" t="str">
        <x:v>2022</x:v>
      </x:c>
      <x:c r="G152" s="24" t="str">
        <x:v>Lands Between setting</x:v>
      </x:c>
      <x:c r="H152" s="24" t="str">
        <x:v>Tier 1</x:v>
      </x:c>
      <x:c r="I152" s="24" t="str">
        <x:v>Demigod lineages, Tarnished classes, outer gods, transformation, factions, open-world myth.</x:v>
      </x:c>
      <x:c r="J152" s="24" t="str">
        <x:v>Treat adaptations/editions separately when taxonomically material.</x:v>
      </x:c>
      <x:c r="K152" s="84" t="str">
        <x:v>https://en.wikipedia.org/wiki/Elden_Ring</x:v>
      </x:c>
      <x:c r="L152" s="24" t="str">
        <x:v>Included</x:v>
      </x:c>
    </x:row>
    <x:row r="153" ht="42" customHeight="1">
      <x:c r="A153" s="24" t="str">
        <x:v>SRC-152</x:v>
      </x:c>
      <x:c r="B153" s="24" t="str">
        <x:v>The Legend of Zelda</x:v>
      </x:c>
      <x:c r="C153" s="24" t="str">
        <x:v>Nintendo</x:v>
      </x:c>
      <x:c r="D153" s="24" t="str">
        <x:v>Video Game / Action Adventure Franchise</x:v>
      </x:c>
      <x:c r="E153" s="24" t="str">
        <x:v>Japan</x:v>
      </x:c>
      <x:c r="F153" s="24" t="str">
        <x:v>1986</x:v>
      </x:c>
      <x:c r="G153" s="24" t="str">
        <x:v>Multiple timelines and iterations</x:v>
      </x:c>
      <x:c r="H153" s="24" t="str">
        <x:v>Tier 1</x:v>
      </x:c>
      <x:c r="I153" s="24" t="str">
        <x:v>Hero/princess/demon king triad, peoples, sages, artifacts, reincurring roles, transformations.</x:v>
      </x:c>
      <x:c r="J153" s="24" t="str">
        <x:v>Treat adaptations/editions separately when taxonomically material.</x:v>
      </x:c>
      <x:c r="K153" s="84" t="str">
        <x:v>https://en.wikipedia.org/wiki/The_Legend_of_Zelda</x:v>
      </x:c>
      <x:c r="L153" s="24" t="str">
        <x:v>Included</x:v>
      </x:c>
    </x:row>
    <x:row r="154" ht="42" customHeight="1">
      <x:c r="A154" s="24" t="str">
        <x:v>SRC-153</x:v>
      </x:c>
      <x:c r="B154" s="24" t="str">
        <x:v>Ultima</x:v>
      </x:c>
      <x:c r="C154" s="24" t="str">
        <x:v>Richard Garriott / Origin Systems</x:v>
      </x:c>
      <x:c r="D154" s="24" t="str">
        <x:v>Video Game / RPG Franchise</x:v>
      </x:c>
      <x:c r="E154" s="24" t="str">
        <x:v>United States</x:v>
      </x:c>
      <x:c r="F154" s="24" t="str">
        <x:v>1981</x:v>
      </x:c>
      <x:c r="G154" s="24" t="str">
        <x:v>Britannia and related worlds</x:v>
      </x:c>
      <x:c r="H154" s="24" t="str">
        <x:v>Tier 1</x:v>
      </x:c>
      <x:c r="I154" s="24" t="str">
        <x:v>Avatar virtues, early CRPG classes, companions, ethics, world simulation, gargoyles.</x:v>
      </x:c>
      <x:c r="J154" s="24" t="str">
        <x:v>Treat adaptations/editions separately when taxonomically material.</x:v>
      </x:c>
      <x:c r="K154" s="84" t="str">
        <x:v>https://en.wikipedia.org/wiki/Ultima</x:v>
      </x:c>
      <x:c r="L154" s="24" t="str">
        <x:v>Included</x:v>
      </x:c>
    </x:row>
    <x:row r="155" ht="42" customHeight="1">
      <x:c r="A155" s="24" t="str">
        <x:v>SRC-154</x:v>
      </x:c>
      <x:c r="B155" s="24" t="str">
        <x:v>Wizardry</x:v>
      </x:c>
      <x:c r="C155" s="24" t="str">
        <x:v>Sir-Tech and later studios</x:v>
      </x:c>
      <x:c r="D155" s="24" t="str">
        <x:v>Video Game / CRPG Franchise</x:v>
      </x:c>
      <x:c r="E155" s="24" t="str">
        <x:v>United States / Japan</x:v>
      </x:c>
      <x:c r="F155" s="24" t="str">
        <x:v>1981</x:v>
      </x:c>
      <x:c r="G155" s="24" t="str">
        <x:v>Multiple continuities</x:v>
      </x:c>
      <x:c r="H155" s="24" t="str">
        <x:v>Tier 1</x:v>
      </x:c>
      <x:c r="I155" s="24" t="str">
        <x:v>Party class/race matrices, alignment, prestige classes, dungeon progression, JRPG influence.</x:v>
      </x:c>
      <x:c r="J155" s="24" t="str">
        <x:v>Treat adaptations/editions separately when taxonomically material.</x:v>
      </x:c>
      <x:c r="K155" s="84" t="str">
        <x:v>https://en.wikipedia.org/wiki/Wizardry</x:v>
      </x:c>
      <x:c r="L155" s="24" t="str">
        <x:v>Included</x:v>
      </x:c>
    </x:row>
    <x:row r="156" ht="42" customHeight="1">
      <x:c r="A156" s="24" t="str">
        <x:v>SRC-155</x:v>
      </x:c>
      <x:c r="B156" s="24" t="str">
        <x:v>Might and Magic</x:v>
      </x:c>
      <x:c r="C156" s="24" t="str">
        <x:v>New World Computing and successors</x:v>
      </x:c>
      <x:c r="D156" s="24" t="str">
        <x:v>Video Game / RPG Franchise</x:v>
      </x:c>
      <x:c r="E156" s="24" t="str">
        <x:v>United States</x:v>
      </x:c>
      <x:c r="F156" s="24" t="str">
        <x:v>1986</x:v>
      </x:c>
      <x:c r="G156" s="24" t="str">
        <x:v>Multiple worlds and strategy spin-offs</x:v>
      </x:c>
      <x:c r="H156" s="24" t="str">
        <x:v>Tier 1</x:v>
      </x:c>
      <x:c r="I156" s="24" t="str">
        <x:v>Class/race party systems, science-fantasy cosmology, promotion quests, monster taxonomy.</x:v>
      </x:c>
      <x:c r="J156" s="24" t="str">
        <x:v>Treat adaptations/editions separately when taxonomically material.</x:v>
      </x:c>
      <x:c r="K156" s="84" t="str">
        <x:v>https://en.wikipedia.org/wiki/Might_and_Magic</x:v>
      </x:c>
      <x:c r="L156" s="24" t="str">
        <x:v>Included</x:v>
      </x:c>
    </x:row>
    <x:row r="157" ht="42" customHeight="1">
      <x:c r="A157" s="24" t="str">
        <x:v>SRC-156</x:v>
      </x:c>
      <x:c r="B157" s="24" t="str">
        <x:v>Heroes of Might and Magic</x:v>
      </x:c>
      <x:c r="C157" s="24" t="str">
        <x:v>New World Computing and successors</x:v>
      </x:c>
      <x:c r="D157" s="24" t="str">
        <x:v>Video Game / Strategy Franchise</x:v>
      </x:c>
      <x:c r="E157" s="24" t="str">
        <x:v>United States</x:v>
      </x:c>
      <x:c r="F157" s="24" t="str">
        <x:v>1995</x:v>
      </x:c>
      <x:c r="G157" s="24" t="str">
        <x:v>Multiple continuities</x:v>
      </x:c>
      <x:c r="H157" s="24" t="str">
        <x:v>Tier 1</x:v>
      </x:c>
      <x:c r="I157" s="24" t="str">
        <x:v>Faction-as-civilization taxonomy, hero classes, unit tiers, creature lineages.</x:v>
      </x:c>
      <x:c r="J157" s="24" t="str">
        <x:v>Treat adaptations/editions separately when taxonomically material.</x:v>
      </x:c>
      <x:c r="K157" s="84" t="str">
        <x:v>https://en.wikipedia.org/wiki/Heroes_of_Might_and_Magic</x:v>
      </x:c>
      <x:c r="L157" s="24" t="str">
        <x:v>Included</x:v>
      </x:c>
    </x:row>
    <x:row r="158" ht="42" customHeight="1">
      <x:c r="A158" s="24" t="str">
        <x:v>SRC-157</x:v>
      </x:c>
      <x:c r="B158" s="24" t="str">
        <x:v>Dragon's Dogma</x:v>
      </x:c>
      <x:c r="C158" s="24" t="str">
        <x:v>Capcom</x:v>
      </x:c>
      <x:c r="D158" s="24" t="str">
        <x:v>Video Game / Action RPG Franchise</x:v>
      </x:c>
      <x:c r="E158" s="24" t="str">
        <x:v>Japan</x:v>
      </x:c>
      <x:c r="F158" s="24" t="str">
        <x:v>2012</x:v>
      </x:c>
      <x:c r="G158" s="24" t="str">
        <x:v>Games and continuities</x:v>
      </x:c>
      <x:c r="H158" s="24" t="str">
        <x:v>Tier 1</x:v>
      </x:c>
      <x:c r="I158" s="24" t="str">
        <x:v>Vocations, hybrid classes, pawns, dragon cycle, climbing combat, arisen identity.</x:v>
      </x:c>
      <x:c r="J158" s="24" t="str">
        <x:v>Treat adaptations/editions separately when taxonomically material.</x:v>
      </x:c>
      <x:c r="K158" s="84" t="str">
        <x:v>https://en.wikipedia.org/wiki/Dragon's_Dogma</x:v>
      </x:c>
      <x:c r="L158" s="24" t="str">
        <x:v>Included</x:v>
      </x:c>
    </x:row>
    <x:row r="159" ht="42" customHeight="1">
      <x:c r="A159" s="24" t="str">
        <x:v>SRC-158</x:v>
      </x:c>
      <x:c r="B159" s="24" t="str">
        <x:v>Fable</x:v>
      </x:c>
      <x:c r="C159" s="24" t="str">
        <x:v>Lionhead Studios / Xbox Game Studios</x:v>
      </x:c>
      <x:c r="D159" s="24" t="str">
        <x:v>Video Game / Action RPG Franchise</x:v>
      </x:c>
      <x:c r="E159" s="24" t="str">
        <x:v>Britain</x:v>
      </x:c>
      <x:c r="F159" s="24" t="str">
        <x:v>2004</x:v>
      </x:c>
      <x:c r="G159" s="24" t="str">
        <x:v>Albion continuity</x:v>
      </x:c>
      <x:c r="H159" s="24" t="str">
        <x:v>Tier 2</x:v>
      </x:c>
      <x:c r="I159" s="24" t="str">
        <x:v>Hero morality and appearance, guild training, classless skill triad, fairy-tale society.</x:v>
      </x:c>
      <x:c r="J159" s="24" t="str">
        <x:v>Treat adaptations/editions separately when taxonomically material.</x:v>
      </x:c>
      <x:c r="K159" s="84" t="str">
        <x:v>https://en.wikipedia.org/wiki/Fable</x:v>
      </x:c>
      <x:c r="L159" s="24" t="str">
        <x:v>Included</x:v>
      </x:c>
    </x:row>
    <x:row r="160" ht="42" customHeight="1">
      <x:c r="A160" s="24" t="str">
        <x:v>SRC-159</x:v>
      </x:c>
      <x:c r="B160" s="24" t="str">
        <x:v>Gothic</x:v>
      </x:c>
      <x:c r="C160" s="24" t="str">
        <x:v>Piranha Bytes</x:v>
      </x:c>
      <x:c r="D160" s="24" t="str">
        <x:v>Video Game / Action RPG Franchise</x:v>
      </x:c>
      <x:c r="E160" s="24" t="str">
        <x:v>Germany</x:v>
      </x:c>
      <x:c r="F160" s="24" t="str">
        <x:v>2001</x:v>
      </x:c>
      <x:c r="G160" s="24" t="str">
        <x:v>Gothic continuity</x:v>
      </x:c>
      <x:c r="H160" s="24" t="str">
        <x:v>Tier 2</x:v>
      </x:c>
      <x:c r="I160" s="24" t="str">
        <x:v>Faction-gated professions, low-fantasy social progression, magic circles, survival.</x:v>
      </x:c>
      <x:c r="J160" s="24" t="str">
        <x:v>Treat adaptations/editions separately when taxonomically material.</x:v>
      </x:c>
      <x:c r="K160" s="84" t="str">
        <x:v>https://en.wikipedia.org/wiki/Gothic</x:v>
      </x:c>
      <x:c r="L160" s="24" t="str">
        <x:v>Included</x:v>
      </x:c>
    </x:row>
    <x:row r="161" ht="42" customHeight="1">
      <x:c r="A161" s="24" t="str">
        <x:v>SRC-160</x:v>
      </x:c>
      <x:c r="B161" s="24" t="str">
        <x:v>Risen</x:v>
      </x:c>
      <x:c r="C161" s="24" t="str">
        <x:v>Piranha Bytes</x:v>
      </x:c>
      <x:c r="D161" s="24" t="str">
        <x:v>Video Game / Action RPG Franchise</x:v>
      </x:c>
      <x:c r="E161" s="24" t="str">
        <x:v>Germany</x:v>
      </x:c>
      <x:c r="F161" s="24" t="str">
        <x:v>2009</x:v>
      </x:c>
      <x:c r="G161" s="24" t="str">
        <x:v>Separate but related thematic games</x:v>
      </x:c>
      <x:c r="H161" s="24" t="str">
        <x:v>Tier 3</x:v>
      </x:c>
      <x:c r="I161" s="24" t="str">
        <x:v>Faction classes, pirates, inquisitors, magic, island societies.</x:v>
      </x:c>
      <x:c r="J161" s="24" t="str">
        <x:v>Treat adaptations/editions separately when taxonomically material.</x:v>
      </x:c>
      <x:c r="K161" s="84" t="str">
        <x:v>https://en.wikipedia.org/wiki/Risen</x:v>
      </x:c>
      <x:c r="L161" s="24" t="str">
        <x:v>Included</x:v>
      </x:c>
    </x:row>
    <x:row r="162" ht="42" customHeight="1">
      <x:c r="A162" s="24" t="str">
        <x:v>SRC-161</x:v>
      </x:c>
      <x:c r="B162" s="24" t="str">
        <x:v>The Witcher Games</x:v>
      </x:c>
      <x:c r="C162" s="24" t="str">
        <x:v>CD Projekt Red</x:v>
      </x:c>
      <x:c r="D162" s="24" t="str">
        <x:v>Video Game / Action RPG Franchise</x:v>
      </x:c>
      <x:c r="E162" s="24" t="str">
        <x:v>Poland</x:v>
      </x:c>
      <x:c r="F162" s="24" t="str">
        <x:v>2007</x:v>
      </x:c>
      <x:c r="G162" s="24" t="str">
        <x:v>Game continuity after Sapkowski novels</x:v>
      </x:c>
      <x:c r="H162" s="24" t="str">
        <x:v>Tier 1</x:v>
      </x:c>
      <x:c r="I162" s="24" t="str">
        <x:v>Witcher combat/alchemy/sign build, monster bestiary, schools, political choices, mutations.</x:v>
      </x:c>
      <x:c r="J162" s="24" t="str">
        <x:v>Keep separate from book and television continuities.</x:v>
      </x:c>
      <x:c r="K162" s="84" t="str">
        <x:v>https://www.thewitcher.com/en/classics</x:v>
      </x:c>
      <x:c r="L162" s="24" t="str">
        <x:v>Included</x:v>
      </x:c>
    </x:row>
    <x:row r="163" ht="42" customHeight="1">
      <x:c r="A163" s="24" t="str">
        <x:v>SRC-162</x:v>
      </x:c>
      <x:c r="B163" s="24" t="str">
        <x:v>Guild Wars</x:v>
      </x:c>
      <x:c r="C163" s="24" t="str">
        <x:v>ArenaNet</x:v>
      </x:c>
      <x:c r="D163" s="24" t="str">
        <x:v>Video Game / MMORPG Franchise</x:v>
      </x:c>
      <x:c r="E163" s="24" t="str">
        <x:v>United States</x:v>
      </x:c>
      <x:c r="F163" s="24" t="str">
        <x:v>2005</x:v>
      </x:c>
      <x:c r="G163" s="24" t="str">
        <x:v>Tyria continuity</x:v>
      </x:c>
      <x:c r="H163" s="24" t="str">
        <x:v>Tier 1</x:v>
      </x:c>
      <x:c r="I163" s="24" t="str">
        <x:v>Distinct professions, playable peoples, elite specializations, dragons, gods, magitech.</x:v>
      </x:c>
      <x:c r="J163" s="24" t="str">
        <x:v>Treat adaptations/editions separately when taxonomically material.</x:v>
      </x:c>
      <x:c r="K163" s="84" t="str">
        <x:v>https://en.wikipedia.org/wiki/Guild_Wars</x:v>
      </x:c>
      <x:c r="L163" s="24" t="str">
        <x:v>Included</x:v>
      </x:c>
    </x:row>
    <x:row r="164" ht="42" customHeight="1">
      <x:c r="A164" s="24" t="str">
        <x:v>SRC-163</x:v>
      </x:c>
      <x:c r="B164" s="24" t="str">
        <x:v>EverQuest</x:v>
      </x:c>
      <x:c r="C164" s="24" t="str">
        <x:v>Sony Online Entertainment / Daybreak</x:v>
      </x:c>
      <x:c r="D164" s="24" t="str">
        <x:v>Video Game / MMORPG Franchise</x:v>
      </x:c>
      <x:c r="E164" s="24" t="str">
        <x:v>United States</x:v>
      </x:c>
      <x:c r="F164" s="24" t="str">
        <x:v>1999</x:v>
      </x:c>
      <x:c r="G164" s="24" t="str">
        <x:v>Norrath continuity and sequels</x:v>
      </x:c>
      <x:c r="H164" s="24" t="str">
        <x:v>Tier 2</x:v>
      </x:c>
      <x:c r="I164" s="24" t="str">
        <x:v>Influential MMO race/class combinations, factions, deities, raid roles.</x:v>
      </x:c>
      <x:c r="J164" s="24" t="str">
        <x:v>Treat adaptations/editions separately when taxonomically material.</x:v>
      </x:c>
      <x:c r="K164" s="84" t="str">
        <x:v>https://en.wikipedia.org/wiki/EverQuest</x:v>
      </x:c>
      <x:c r="L164" s="24" t="str">
        <x:v>Included</x:v>
      </x:c>
    </x:row>
    <x:row r="165" ht="42" customHeight="1">
      <x:c r="A165" s="24" t="str">
        <x:v>SRC-164</x:v>
      </x:c>
      <x:c r="B165" s="24" t="str">
        <x:v>RuneScape</x:v>
      </x:c>
      <x:c r="C165" s="24" t="str">
        <x:v>Jagex</x:v>
      </x:c>
      <x:c r="D165" s="24" t="str">
        <x:v>Video Game / MMORPG</x:v>
      </x:c>
      <x:c r="E165" s="24" t="str">
        <x:v>Britain</x:v>
      </x:c>
      <x:c r="F165" s="24" t="str">
        <x:v>2001</x:v>
      </x:c>
      <x:c r="G165" s="24" t="str">
        <x:v>Gielinor; RuneScape and Old School versions</x:v>
      </x:c>
      <x:c r="H165" s="24" t="str">
        <x:v>Tier 2</x:v>
      </x:c>
      <x:c r="I165" s="24" t="str">
        <x:v>Classless skills, gods, quests, playable combat styles, extensive monster and faction catalogue.</x:v>
      </x:c>
      <x:c r="J165" s="24" t="str">
        <x:v>Treat adaptations/editions separately when taxonomically material.</x:v>
      </x:c>
      <x:c r="K165" s="84" t="str">
        <x:v>https://en.wikipedia.org/wiki/RuneScape</x:v>
      </x:c>
      <x:c r="L165" s="24" t="str">
        <x:v>Included</x:v>
      </x:c>
    </x:row>
    <x:row r="166" ht="42" customHeight="1">
      <x:c r="A166" s="24" t="str">
        <x:v>SRC-165</x:v>
      </x:c>
      <x:c r="B166" s="24" t="str">
        <x:v>Lineage</x:v>
      </x:c>
      <x:c r="C166" s="24" t="str">
        <x:v>NCSoft</x:v>
      </x:c>
      <x:c r="D166" s="24" t="str">
        <x:v>Video Game / MMORPG Franchise</x:v>
      </x:c>
      <x:c r="E166" s="24" t="str">
        <x:v>South Korea</x:v>
      </x:c>
      <x:c r="F166" s="24" t="str">
        <x:v>1998</x:v>
      </x:c>
      <x:c r="G166" s="24" t="str">
        <x:v>Aden setting and sequels</x:v>
      </x:c>
      <x:c r="H166" s="24" t="str">
        <x:v>Tier 2</x:v>
      </x:c>
      <x:c r="I166" s="24" t="str">
        <x:v>Korean MMO classes, elves/dark elves/orcs, castles, blood pledges, large-scale faction play.</x:v>
      </x:c>
      <x:c r="J166" s="24" t="str">
        <x:v>Treat adaptations/editions separately when taxonomically material.</x:v>
      </x:c>
      <x:c r="K166" s="84" t="str">
        <x:v>https://en.wikipedia.org/wiki/Lineage</x:v>
      </x:c>
      <x:c r="L166" s="24" t="str">
        <x:v>Included</x:v>
      </x:c>
    </x:row>
    <x:row r="167" ht="42" customHeight="1">
      <x:c r="A167" s="24" t="str">
        <x:v>SRC-166</x:v>
      </x:c>
      <x:c r="B167" s="24" t="str">
        <x:v>Black Desert Online</x:v>
      </x:c>
      <x:c r="C167" s="24" t="str">
        <x:v>Pearl Abyss</x:v>
      </x:c>
      <x:c r="D167" s="24" t="str">
        <x:v>Video Game / MMORPG</x:v>
      </x:c>
      <x:c r="E167" s="24" t="str">
        <x:v>South Korea</x:v>
      </x:c>
      <x:c r="F167" s="24" t="str">
        <x:v>2014</x:v>
      </x:c>
      <x:c r="G167" s="24" t="str">
        <x:v>Live setting</x:v>
      </x:c>
      <x:c r="H167" s="24" t="str">
        <x:v>Tier 2</x:v>
      </x:c>
      <x:c r="I167" s="24" t="str">
        <x:v>Class-specific characters, awakenings, life skills, regional cultures, dark spirits.</x:v>
      </x:c>
      <x:c r="J167" s="24" t="str">
        <x:v>Treat adaptations/editions separately when taxonomically material.</x:v>
      </x:c>
      <x:c r="K167" s="84" t="str">
        <x:v>https://en.wikipedia.org/wiki/Black_Desert_Online</x:v>
      </x:c>
      <x:c r="L167" s="24" t="str">
        <x:v>Included</x:v>
      </x:c>
    </x:row>
    <x:row r="168" ht="42" customHeight="1">
      <x:c r="A168" s="24" t="str">
        <x:v>SRC-167</x:v>
      </x:c>
      <x:c r="B168" s="24" t="str">
        <x:v>Lost Ark</x:v>
      </x:c>
      <x:c r="C168" s="24" t="str">
        <x:v>Smilegate RPG</x:v>
      </x:c>
      <x:c r="D168" s="24" t="str">
        <x:v>Video Game / MMORPG / Action RPG</x:v>
      </x:c>
      <x:c r="E168" s="24" t="str">
        <x:v>South Korea</x:v>
      </x:c>
      <x:c r="F168" s="24" t="str">
        <x:v>2018</x:v>
      </x:c>
      <x:c r="G168" s="24" t="str">
        <x:v>Arkesia setting</x:v>
      </x:c>
      <x:c r="H168" s="24" t="str">
        <x:v>Tier 2</x:v>
      </x:c>
      <x:c r="I168" s="24" t="str">
        <x:v>Base classes and advanced classes, transformation, demons, martial and gunner traditions.</x:v>
      </x:c>
      <x:c r="J168" s="24" t="str">
        <x:v>Treat adaptations/editions separately when taxonomically material.</x:v>
      </x:c>
      <x:c r="K168" s="84" t="str">
        <x:v>https://en.wikipedia.org/wiki/Lost_Ark</x:v>
      </x:c>
      <x:c r="L168" s="24" t="str">
        <x:v>Included</x:v>
      </x:c>
    </x:row>
    <x:row r="169" ht="42" customHeight="1">
      <x:c r="A169" s="24" t="str">
        <x:v>SRC-168</x:v>
      </x:c>
      <x:c r="B169" s="24" t="str">
        <x:v>Suikoden</x:v>
      </x:c>
      <x:c r="C169" s="24" t="str">
        <x:v>Konami</x:v>
      </x:c>
      <x:c r="D169" s="24" t="str">
        <x:v>Video Game / JRPG Franchise</x:v>
      </x:c>
      <x:c r="E169" s="24" t="str">
        <x:v>Japan</x:v>
      </x:c>
      <x:c r="F169" s="24" t="str">
        <x:v>1995</x:v>
      </x:c>
      <x:c r="G169" s="24" t="str">
        <x:v>Connected world and titles</x:v>
      </x:c>
      <x:c r="H169" s="24" t="str">
        <x:v>Tier 1</x:v>
      </x:c>
      <x:c r="I169" s="24" t="str">
        <x:v>108 recruits, rune magic, military and civic roles, nation-building, political factions.</x:v>
      </x:c>
      <x:c r="J169" s="24" t="str">
        <x:v>Treat adaptations/editions separately when taxonomically material.</x:v>
      </x:c>
      <x:c r="K169" s="84" t="str">
        <x:v>https://en.wikipedia.org/wiki/Suikoden</x:v>
      </x:c>
      <x:c r="L169" s="24" t="str">
        <x:v>Included</x:v>
      </x:c>
    </x:row>
    <x:row r="170" ht="42" customHeight="1">
      <x:c r="A170" s="24" t="str">
        <x:v>SRC-169</x:v>
      </x:c>
      <x:c r="B170" s="24" t="str">
        <x:v>Disgaea</x:v>
      </x:c>
      <x:c r="C170" s="24" t="str">
        <x:v>Nippon Ichi Software</x:v>
      </x:c>
      <x:c r="D170" s="24" t="str">
        <x:v>Video Game / Tactical RPG Franchise</x:v>
      </x:c>
      <x:c r="E170" s="24" t="str">
        <x:v>Japan</x:v>
      </x:c>
      <x:c r="F170" s="24" t="str">
        <x:v>2003</x:v>
      </x:c>
      <x:c r="G170" s="24" t="str">
        <x:v>Multiple Netherworld continuities</x:v>
      </x:c>
      <x:c r="H170" s="24" t="str">
        <x:v>Tier 2</x:v>
      </x:c>
      <x:c r="I170" s="24" t="str">
        <x:v>Humanoid and monster classes, reincarnation, extreme leveling, demon society, item worlds.</x:v>
      </x:c>
      <x:c r="J170" s="24" t="str">
        <x:v>Treat adaptations/editions separately when taxonomically material.</x:v>
      </x:c>
      <x:c r="K170" s="84" t="str">
        <x:v>https://en.wikipedia.org/wiki/Disgaea</x:v>
      </x:c>
      <x:c r="L170" s="24" t="str">
        <x:v>Included</x:v>
      </x:c>
    </x:row>
    <x:row r="171" ht="42" customHeight="1">
      <x:c r="A171" s="24" t="str">
        <x:v>SRC-170</x:v>
      </x:c>
      <x:c r="B171" s="24" t="str">
        <x:v>Chrono Trigger / Chrono</x:v>
      </x:c>
      <x:c r="C171" s="24" t="str">
        <x:v>Square</x:v>
      </x:c>
      <x:c r="D171" s="24" t="str">
        <x:v>Video Game / JRPG</x:v>
      </x:c>
      <x:c r="E171" s="24" t="str">
        <x:v>Japan</x:v>
      </x:c>
      <x:c r="F171" s="24" t="str">
        <x:v>1995</x:v>
      </x:c>
      <x:c r="G171" s="24" t="str">
        <x:v>Chrono continuity</x:v>
      </x:c>
      <x:c r="H171" s="24" t="str">
        <x:v>Tier 1</x:v>
      </x:c>
      <x:c r="I171" s="24" t="str">
        <x:v>Time-travel party, magic elements, prehistoric/medieval/future roles, alternate histories.</x:v>
      </x:c>
      <x:c r="J171" s="24" t="str">
        <x:v>Treat adaptations/editions separately when taxonomically material.</x:v>
      </x:c>
      <x:c r="K171" s="84" t="str">
        <x:v>https://en.wikipedia.org/wiki/Chrono_Trigger_%2F_Chrono</x:v>
      </x:c>
      <x:c r="L171" s="24" t="str">
        <x:v>Included</x:v>
      </x:c>
    </x:row>
    <x:row r="172" ht="42" customHeight="1">
      <x:c r="A172" s="24" t="str">
        <x:v>SRC-171</x:v>
      </x:c>
      <x:c r="B172" s="24" t="str">
        <x:v>Xenoblade Chronicles</x:v>
      </x:c>
      <x:c r="C172" s="24" t="str">
        <x:v>Monolith Soft / Nintendo</x:v>
      </x:c>
      <x:c r="D172" s="24" t="str">
        <x:v>Video Game / JRPG Franchise</x:v>
      </x:c>
      <x:c r="E172" s="24" t="str">
        <x:v>Japan</x:v>
      </x:c>
      <x:c r="F172" s="24" t="str">
        <x:v>2010</x:v>
      </x:c>
      <x:c r="G172" s="24" t="str">
        <x:v>Separate but thematically linked continuities</x:v>
      </x:c>
      <x:c r="H172" s="24" t="str">
        <x:v>Tier 2</x:v>
      </x:c>
      <x:c r="I172" s="24" t="str">
        <x:v>Science-fantasy peoples, class systems, living worlds, blades, cycles and creator gods.</x:v>
      </x:c>
      <x:c r="J172" s="24" t="str">
        <x:v>Treat adaptations/editions separately when taxonomically material.</x:v>
      </x:c>
      <x:c r="K172" s="84" t="str">
        <x:v>https://en.wikipedia.org/wiki/Xenoblade_Chronicles</x:v>
      </x:c>
      <x:c r="L172" s="24" t="str">
        <x:v>Included</x:v>
      </x:c>
    </x:row>
    <x:row r="173" ht="42" customHeight="1">
      <x:c r="A173" s="24" t="str">
        <x:v>SRC-172</x:v>
      </x:c>
      <x:c r="B173" s="24" t="str">
        <x:v>Golden Sun</x:v>
      </x:c>
      <x:c r="C173" s="24" t="str">
        <x:v>Camelot Software Planning / Nintendo</x:v>
      </x:c>
      <x:c r="D173" s="24" t="str">
        <x:v>Video Game / JRPG Franchise</x:v>
      </x:c>
      <x:c r="E173" s="24" t="str">
        <x:v>Japan</x:v>
      </x:c>
      <x:c r="F173" s="24" t="str">
        <x:v>2001</x:v>
      </x:c>
      <x:c r="G173" s="24" t="str">
        <x:v>Weyard setting</x:v>
      </x:c>
      <x:c r="H173" s="24" t="str">
        <x:v>Tier 2</x:v>
      </x:c>
      <x:c r="I173" s="24" t="str">
        <x:v>Elemental adepts, djinn as equipable spirits, class changes, alchemy, world restoration.</x:v>
      </x:c>
      <x:c r="J173" s="24" t="str">
        <x:v>Treat adaptations/editions separately when taxonomically material.</x:v>
      </x:c>
      <x:c r="K173" s="84" t="str">
        <x:v>https://en.wikipedia.org/wiki/Golden_Sun</x:v>
      </x:c>
      <x:c r="L173" s="24" t="str">
        <x:v>Included</x:v>
      </x:c>
    </x:row>
    <x:row r="174" ht="42" customHeight="1">
      <x:c r="A174" s="24" t="str">
        <x:v>SRC-173</x:v>
      </x:c>
      <x:c r="B174" s="24" t="str">
        <x:v>Breath of Fire</x:v>
      </x:c>
      <x:c r="C174" s="24" t="str">
        <x:v>Capcom</x:v>
      </x:c>
      <x:c r="D174" s="24" t="str">
        <x:v>Video Game / JRPG Franchise</x:v>
      </x:c>
      <x:c r="E174" s="24" t="str">
        <x:v>Japan</x:v>
      </x:c>
      <x:c r="F174" s="24" t="str">
        <x:v>1993</x:v>
      </x:c>
      <x:c r="G174" s="24" t="str">
        <x:v>Separate continuities</x:v>
      </x:c>
      <x:c r="H174" s="24" t="str">
        <x:v>Tier 2</x:v>
      </x:c>
      <x:c r="I174" s="24" t="str">
        <x:v>Dragon-transforming hero, animal peoples, shamans, fusions, recurring class roles.</x:v>
      </x:c>
      <x:c r="J174" s="24" t="str">
        <x:v>Treat adaptations/editions separately when taxonomically material.</x:v>
      </x:c>
      <x:c r="K174" s="84" t="str">
        <x:v>https://en.wikipedia.org/wiki/Breath_of_Fire</x:v>
      </x:c>
      <x:c r="L174" s="24" t="str">
        <x:v>Included</x:v>
      </x:c>
    </x:row>
    <x:row r="175" ht="42" customHeight="1">
      <x:c r="A175" s="24" t="str">
        <x:v>SRC-174</x:v>
      </x:c>
      <x:c r="B175" s="24" t="str">
        <x:v>Tales Series</x:v>
      </x:c>
      <x:c r="C175" s="24" t="str">
        <x:v>Bandai Namco</x:v>
      </x:c>
      <x:c r="D175" s="24" t="str">
        <x:v>Video Game / Action JRPG Franchise</x:v>
      </x:c>
      <x:c r="E175" s="24" t="str">
        <x:v>Japan</x:v>
      </x:c>
      <x:c r="F175" s="24" t="str">
        <x:v>1995</x:v>
      </x:c>
      <x:c r="G175" s="24" t="str">
        <x:v>Separate continuities</x:v>
      </x:c>
      <x:c r="H175" s="24" t="str">
        <x:v>Tier 2</x:v>
      </x:c>
      <x:c r="I175" s="24" t="str">
        <x:v>Action combat roles, artes, spirits, mixed peoples, party archetypes, recurring summon lore.</x:v>
      </x:c>
      <x:c r="J175" s="24" t="str">
        <x:v>Treat adaptations/editions separately when taxonomically material.</x:v>
      </x:c>
      <x:c r="K175" s="84" t="str">
        <x:v>https://en.wikipedia.org/wiki/Tales_Series</x:v>
      </x:c>
      <x:c r="L175" s="24" t="str">
        <x:v>Included</x:v>
      </x:c>
    </x:row>
    <x:row r="176" ht="42" customHeight="1">
      <x:c r="A176" s="24" t="str">
        <x:v>SRC-175</x:v>
      </x:c>
      <x:c r="B176" s="24" t="str">
        <x:v>Ys</x:v>
      </x:c>
      <x:c r="C176" s="24" t="str">
        <x:v>Nihon Falcom</x:v>
      </x:c>
      <x:c r="D176" s="24" t="str">
        <x:v>Video Game / Action RPG Franchise</x:v>
      </x:c>
      <x:c r="E176" s="24" t="str">
        <x:v>Japan</x:v>
      </x:c>
      <x:c r="F176" s="24" t="str">
        <x:v>1987</x:v>
      </x:c>
      <x:c r="G176" s="24" t="str">
        <x:v>Adol's travel continuity</x:v>
      </x:c>
      <x:c r="H176" s="24" t="str">
        <x:v>Tier 2</x:v>
      </x:c>
      <x:c r="I176" s="24" t="str">
        <x:v>Wandering adventurer, ancient civilizations, goddesses, local peoples, episodic regions.</x:v>
      </x:c>
      <x:c r="J176" s="24" t="str">
        <x:v>Treat adaptations/editions separately when taxonomically material.</x:v>
      </x:c>
      <x:c r="K176" s="84" t="str">
        <x:v>https://en.wikipedia.org/wiki/Ys</x:v>
      </x:c>
      <x:c r="L176" s="24" t="str">
        <x:v>Included</x:v>
      </x:c>
    </x:row>
    <x:row r="177" ht="42" customHeight="1">
      <x:c r="A177" s="24" t="str">
        <x:v>SRC-176</x:v>
      </x:c>
      <x:c r="B177" s="24" t="str">
        <x:v>Shin Megami Tensei</x:v>
      </x:c>
      <x:c r="C177" s="24" t="str">
        <x:v>Atlus</x:v>
      </x:c>
      <x:c r="D177" s="24" t="str">
        <x:v>Video Game / RPG Franchise</x:v>
      </x:c>
      <x:c r="E177" s="24" t="str">
        <x:v>Japan</x:v>
      </x:c>
      <x:c r="F177" s="24" t="str">
        <x:v>1987</x:v>
      </x:c>
      <x:c r="G177" s="24" t="str">
        <x:v>Multiple continuities</x:v>
      </x:c>
      <x:c r="H177" s="24" t="str">
        <x:v>Tier 1</x:v>
      </x:c>
      <x:c r="I177" s="24" t="str">
        <x:v>Recruitable demons from global myth, alignment, fusion, summoner role, apocalypse.</x:v>
      </x:c>
      <x:c r="J177" s="24" t="str">
        <x:v>Treat adaptations/editions separately when taxonomically material.</x:v>
      </x:c>
      <x:c r="K177" s="84" t="str">
        <x:v>https://en.wikipedia.org/wiki/Shin_Megami_Tensei</x:v>
      </x:c>
      <x:c r="L177" s="24" t="str">
        <x:v>Included</x:v>
      </x:c>
    </x:row>
    <x:row r="178" ht="42" customHeight="1">
      <x:c r="A178" s="24" t="str">
        <x:v>SRC-177</x:v>
      </x:c>
      <x:c r="B178" s="24" t="str">
        <x:v>Etrian Odyssey</x:v>
      </x:c>
      <x:c r="C178" s="24" t="str">
        <x:v>Atlus</x:v>
      </x:c>
      <x:c r="D178" s="24" t="str">
        <x:v>Video Game / Dungeon RPG Franchise</x:v>
      </x:c>
      <x:c r="E178" s="24" t="str">
        <x:v>Japan</x:v>
      </x:c>
      <x:c r="F178" s="24" t="str">
        <x:v>2007</x:v>
      </x:c>
      <x:c r="G178" s="24" t="str">
        <x:v>Separate settings</x:v>
      </x:c>
      <x:c r="H178" s="24" t="str">
        <x:v>Tier 2</x:v>
      </x:c>
      <x:c r="I178" s="24" t="str">
        <x:v>Player-created class parties, mapping, advanced class synergies, dungeon ecology.</x:v>
      </x:c>
      <x:c r="J178" s="24" t="str">
        <x:v>Treat adaptations/editions separately when taxonomically material.</x:v>
      </x:c>
      <x:c r="K178" s="84" t="str">
        <x:v>https://en.wikipedia.org/wiki/Etrian_Odyssey</x:v>
      </x:c>
      <x:c r="L178" s="24" t="str">
        <x:v>Included</x:v>
      </x:c>
    </x:row>
    <x:row r="179" ht="42" customHeight="1">
      <x:c r="A179" s="24" t="str">
        <x:v>SRC-178</x:v>
      </x:c>
      <x:c r="B179" s="24" t="str">
        <x:v>Bravely Default</x:v>
      </x:c>
      <x:c r="C179" s="24" t="str">
        <x:v>Square Enix</x:v>
      </x:c>
      <x:c r="D179" s="24" t="str">
        <x:v>Video Game / JRPG Franchise</x:v>
      </x:c>
      <x:c r="E179" s="24" t="str">
        <x:v>Japan</x:v>
      </x:c>
      <x:c r="F179" s="24" t="str">
        <x:v>2012</x:v>
      </x:c>
      <x:c r="G179" s="24" t="str">
        <x:v>Luxendarc and related continuities</x:v>
      </x:c>
      <x:c r="H179" s="24" t="str">
        <x:v>Tier 1</x:v>
      </x:c>
      <x:c r="I179" s="24" t="str">
        <x:v>Asterisk jobs, job combinations, turn economy, crystals, classic Final Fantasy class recombination.</x:v>
      </x:c>
      <x:c r="J179" s="24" t="str">
        <x:v>Treat adaptations/editions separately when taxonomically material.</x:v>
      </x:c>
      <x:c r="K179" s="84" t="str">
        <x:v>https://en.wikipedia.org/wiki/Bravely_Default</x:v>
      </x:c>
      <x:c r="L179" s="24" t="str">
        <x:v>Included</x:v>
      </x:c>
    </x:row>
    <x:row r="180" ht="42" customHeight="1">
      <x:c r="A180" s="24" t="str">
        <x:v>SRC-179</x:v>
      </x:c>
      <x:c r="B180" s="24" t="str">
        <x:v>Octopath Traveler</x:v>
      </x:c>
      <x:c r="C180" s="24" t="str">
        <x:v>Square Enix / Acquire</x:v>
      </x:c>
      <x:c r="D180" s="24" t="str">
        <x:v>Video Game / JRPG Franchise</x:v>
      </x:c>
      <x:c r="E180" s="24" t="str">
        <x:v>Japan</x:v>
      </x:c>
      <x:c r="F180" s="24" t="str">
        <x:v>2018</x:v>
      </x:c>
      <x:c r="G180" s="24" t="str">
        <x:v>Separate settings</x:v>
      </x:c>
      <x:c r="H180" s="24" t="str">
        <x:v>Tier 2</x:v>
      </x:c>
      <x:c r="I180" s="24" t="str">
        <x:v>Eight profession protagonists, secondary jobs, path actions, regional narratives.</x:v>
      </x:c>
      <x:c r="J180" s="24" t="str">
        <x:v>Treat adaptations/editions separately when taxonomically material.</x:v>
      </x:c>
      <x:c r="K180" s="84" t="str">
        <x:v>https://en.wikipedia.org/wiki/Octopath_Traveler</x:v>
      </x:c>
      <x:c r="L180" s="24" t="str">
        <x:v>Included</x:v>
      </x:c>
    </x:row>
    <x:row r="181" ht="42" customHeight="1">
      <x:c r="A181" s="24" t="str">
        <x:v>SRC-180</x:v>
      </x:c>
      <x:c r="B181" s="24" t="str">
        <x:v>Triangle Strategy</x:v>
      </x:c>
      <x:c r="C181" s="24" t="str">
        <x:v>Square Enix / Artdink</x:v>
      </x:c>
      <x:c r="D181" s="24" t="str">
        <x:v>Video Game / Tactical RPG</x:v>
      </x:c>
      <x:c r="E181" s="24" t="str">
        <x:v>Japan</x:v>
      </x:c>
      <x:c r="F181" s="24" t="str">
        <x:v>2022</x:v>
      </x:c>
      <x:c r="G181" s="24" t="str">
        <x:v>Norzelia setting</x:v>
      </x:c>
      <x:c r="H181" s="24" t="str">
        <x:v>Tier 2</x:v>
      </x:c>
      <x:c r="I181" s="24" t="str">
        <x:v>Character-specific classes, political branching, resource conflict, convictions.</x:v>
      </x:c>
      <x:c r="J181" s="24" t="str">
        <x:v>Treat adaptations/editions separately when taxonomically material.</x:v>
      </x:c>
      <x:c r="K181" s="84" t="str">
        <x:v>https://en.wikipedia.org/wiki/Triangle_Strategy</x:v>
      </x:c>
      <x:c r="L181" s="24" t="str">
        <x:v>Included</x:v>
      </x:c>
    </x:row>
    <x:row r="182" ht="42" customHeight="1">
      <x:c r="A182" s="24" t="str">
        <x:v>SRC-181</x:v>
      </x:c>
      <x:c r="B182" s="24" t="str">
        <x:v>Unicorn Overlord</x:v>
      </x:c>
      <x:c r="C182" s="24" t="str">
        <x:v>Vanillaware / Atlus</x:v>
      </x:c>
      <x:c r="D182" s="24" t="str">
        <x:v>Video Game / Tactical RPG</x:v>
      </x:c>
      <x:c r="E182" s="24" t="str">
        <x:v>Japan</x:v>
      </x:c>
      <x:c r="F182" s="24" t="str">
        <x:v>2024</x:v>
      </x:c>
      <x:c r="G182" s="24" t="str">
        <x:v>Fevrith setting</x:v>
      </x:c>
      <x:c r="H182" s="24" t="str">
        <x:v>Tier 2</x:v>
      </x:c>
      <x:c r="I182" s="24" t="str">
        <x:v>Unit class synergies, recruitable peoples, liberation army, tactical formations.</x:v>
      </x:c>
      <x:c r="J182" s="24" t="str">
        <x:v>Treat adaptations/editions separately when taxonomically material.</x:v>
      </x:c>
      <x:c r="K182" s="84" t="str">
        <x:v>https://en.wikipedia.org/wiki/Unicorn_Overlord</x:v>
      </x:c>
      <x:c r="L182" s="24" t="str">
        <x:v>Included</x:v>
      </x:c>
    </x:row>
    <x:row r="183" ht="42" customHeight="1">
      <x:c r="A183" s="24" t="str">
        <x:v>SRC-182</x:v>
      </x:c>
      <x:c r="B183" s="24" t="str">
        <x:v>Vagrant Story</x:v>
      </x:c>
      <x:c r="C183" s="24" t="str">
        <x:v>Square</x:v>
      </x:c>
      <x:c r="D183" s="24" t="str">
        <x:v>Video Game / Action RPG</x:v>
      </x:c>
      <x:c r="E183" s="24" t="str">
        <x:v>Japan</x:v>
      </x:c>
      <x:c r="F183" s="24" t="str">
        <x:v>2000</x:v>
      </x:c>
      <x:c r="G183" s="24" t="str">
        <x:v>Ivalice-linked setting</x:v>
      </x:c>
      <x:c r="H183" s="24" t="str">
        <x:v>Tier 2</x:v>
      </x:c>
      <x:c r="I183" s="24" t="str">
        <x:v>Risk system, weapon affinities, cults, dark city, classless agent protagonist.</x:v>
      </x:c>
      <x:c r="J183" s="24" t="str">
        <x:v>Treat adaptations/editions separately when taxonomically material.</x:v>
      </x:c>
      <x:c r="K183" s="84" t="str">
        <x:v>https://en.wikipedia.org/wiki/Vagrant_Story</x:v>
      </x:c>
      <x:c r="L183" s="24" t="str">
        <x:v>Included</x:v>
      </x:c>
    </x:row>
    <x:row r="184" ht="42" customHeight="1">
      <x:c r="A184" s="24" t="str">
        <x:v>SRC-183</x:v>
      </x:c>
      <x:c r="B184" s="24" t="str">
        <x:v>SaGa</x:v>
      </x:c>
      <x:c r="C184" s="24" t="str">
        <x:v>Square / Square Enix</x:v>
      </x:c>
      <x:c r="D184" s="24" t="str">
        <x:v>Video Game / JRPG Franchise</x:v>
      </x:c>
      <x:c r="E184" s="24" t="str">
        <x:v>Japan</x:v>
      </x:c>
      <x:c r="F184" s="24" t="str">
        <x:v>1989</x:v>
      </x:c>
      <x:c r="G184" s="24" t="str">
        <x:v>Separate worlds and systems</x:v>
      </x:c>
      <x:c r="H184" s="24" t="str">
        <x:v>Tier 2</x:v>
      </x:c>
      <x:c r="I184" s="24" t="str">
        <x:v>Flexible character growth, races with distinct mechanics, nonlinear parties, unusual classes.</x:v>
      </x:c>
      <x:c r="J184" s="24" t="str">
        <x:v>Treat adaptations/editions separately when taxonomically material.</x:v>
      </x:c>
      <x:c r="K184" s="84" t="str">
        <x:v>https://en.wikipedia.org/wiki/SaGa</x:v>
      </x:c>
      <x:c r="L184" s="24" t="str">
        <x:v>Included</x:v>
      </x:c>
    </x:row>
    <x:row r="185" ht="42" customHeight="1">
      <x:c r="A185" s="24" t="str">
        <x:v>SRC-184</x:v>
      </x:c>
      <x:c r="B185" s="24" t="str">
        <x:v>Mana Series</x:v>
      </x:c>
      <x:c r="C185" s="24" t="str">
        <x:v>Square / Square Enix</x:v>
      </x:c>
      <x:c r="D185" s="24" t="str">
        <x:v>Video Game / Action RPG Franchise</x:v>
      </x:c>
      <x:c r="E185" s="24" t="str">
        <x:v>Japan</x:v>
      </x:c>
      <x:c r="F185" s="24" t="str">
        <x:v>1991</x:v>
      </x:c>
      <x:c r="G185" s="24" t="str">
        <x:v>Multiple worlds</x:v>
      </x:c>
      <x:c r="H185" s="24" t="str">
        <x:v>Tier 2</x:v>
      </x:c>
      <x:c r="I185" s="24" t="str">
        <x:v>Elemental spirits, job changes, world tree, beast and fairy peoples, action classes.</x:v>
      </x:c>
      <x:c r="J185" s="24" t="str">
        <x:v>Treat adaptations/editions separately when taxonomically material.</x:v>
      </x:c>
      <x:c r="K185" s="84" t="str">
        <x:v>https://en.wikipedia.org/wiki/Mana_Series</x:v>
      </x:c>
      <x:c r="L185" s="24" t="str">
        <x:v>Included</x:v>
      </x:c>
    </x:row>
    <x:row r="186" ht="42" customHeight="1">
      <x:c r="A186" s="24" t="str">
        <x:v>SRC-185</x:v>
      </x:c>
      <x:c r="B186" s="24" t="str">
        <x:v>Ni no Kuni</x:v>
      </x:c>
      <x:c r="C186" s="24" t="str">
        <x:v>Level-5 / Studio Ghibli collaboration</x:v>
      </x:c>
      <x:c r="D186" s="24" t="str">
        <x:v>Video Game / JRPG Franchise</x:v>
      </x:c>
      <x:c r="E186" s="24" t="str">
        <x:v>Japan</x:v>
      </x:c>
      <x:c r="F186" s="24" t="str">
        <x:v>2010</x:v>
      </x:c>
      <x:c r="G186" s="24" t="str">
        <x:v>Separate linked worlds</x:v>
      </x:c>
      <x:c r="H186" s="24" t="str">
        <x:v>Tier 2</x:v>
      </x:c>
      <x:c r="I186" s="24" t="str">
        <x:v>Wizard child, familiars, parallel worlds, fairy companions, kingdom building.</x:v>
      </x:c>
      <x:c r="J186" s="24" t="str">
        <x:v>Treat adaptations/editions separately when taxonomically material.</x:v>
      </x:c>
      <x:c r="K186" s="84" t="str">
        <x:v>https://en.wikipedia.org/wiki/Ni_no_Kuni</x:v>
      </x:c>
      <x:c r="L186" s="24" t="str">
        <x:v>Included</x:v>
      </x:c>
    </x:row>
    <x:row r="187" ht="42" customHeight="1">
      <x:c r="A187" s="24" t="str">
        <x:v>SRC-186</x:v>
      </x:c>
      <x:c r="B187" s="24" t="str">
        <x:v>Monster Hunter</x:v>
      </x:c>
      <x:c r="C187" s="24" t="str">
        <x:v>Capcom</x:v>
      </x:c>
      <x:c r="D187" s="24" t="str">
        <x:v>Video Game / Action RPG Franchise</x:v>
      </x:c>
      <x:c r="E187" s="24" t="str">
        <x:v>Japan</x:v>
      </x:c>
      <x:c r="F187" s="24" t="str">
        <x:v>2004</x:v>
      </x:c>
      <x:c r="G187" s="24" t="str">
        <x:v>Multiple regions and titles</x:v>
      </x:c>
      <x:c r="H187" s="24" t="str">
        <x:v>Tier 1</x:v>
      </x:c>
      <x:c r="I187" s="24" t="str">
        <x:v>Hunter profession, weapon-defined classes, monster ecology, crafting from parts, guild institutions.</x:v>
      </x:c>
      <x:c r="J187" s="24" t="str">
        <x:v>Treat adaptations/editions separately when taxonomically material.</x:v>
      </x:c>
      <x:c r="K187" s="84" t="str">
        <x:v>https://en.wikipedia.org/wiki/Monster_Hunter</x:v>
      </x:c>
      <x:c r="L187" s="24" t="str">
        <x:v>Included</x:v>
      </x:c>
    </x:row>
    <x:row r="188" ht="42" customHeight="1">
      <x:c r="A188" s="24" t="str">
        <x:v>SRC-187</x:v>
      </x:c>
      <x:c r="B188" s="24" t="str">
        <x:v>Pokémon</x:v>
      </x:c>
      <x:c r="C188" s="24" t="str">
        <x:v>Game Freak / Nintendo / The Pokémon Company</x:v>
      </x:c>
      <x:c r="D188" s="24" t="str">
        <x:v>Video Game / Media Franchise</x:v>
      </x:c>
      <x:c r="E188" s="24" t="str">
        <x:v>Japan</x:v>
      </x:c>
      <x:c r="F188" s="24" t="str">
        <x:v>1996</x:v>
      </x:c>
      <x:c r="G188" s="24" t="str">
        <x:v>Multiple regions and media</x:v>
      </x:c>
      <x:c r="H188" s="24" t="str">
        <x:v>Tier 3</x:v>
      </x:c>
      <x:c r="I188" s="24" t="str">
        <x:v>Creature types, capture/taming roles, evolution, trainer identities, elemental taxonomy.</x:v>
      </x:c>
      <x:c r="J188" s="24" t="str">
        <x:v>Treat adaptations/editions separately when taxonomically material.</x:v>
      </x:c>
      <x:c r="K188" s="84" t="str">
        <x:v>https://en.wikipedia.org/wiki/Pok%C3%A9mon</x:v>
      </x:c>
      <x:c r="L188" s="24" t="str">
        <x:v>Included</x:v>
      </x:c>
    </x:row>
    <x:row r="189" ht="42" customHeight="1">
      <x:c r="A189" s="24" t="str">
        <x:v>SRC-188</x:v>
      </x:c>
      <x:c r="B189" s="24" t="str">
        <x:v>The Banner Saga</x:v>
      </x:c>
      <x:c r="C189" s="24" t="str">
        <x:v>Stoic Studio</x:v>
      </x:c>
      <x:c r="D189" s="24" t="str">
        <x:v>Video Game / Tactical RPG</x:v>
      </x:c>
      <x:c r="E189" s="24" t="str">
        <x:v>United States</x:v>
      </x:c>
      <x:c r="F189" s="24" t="str">
        <x:v>2014</x:v>
      </x:c>
      <x:c r="G189" s="24" t="str">
        <x:v>Trilogy</x:v>
      </x:c>
      <x:c r="H189" s="24" t="str">
        <x:v>Tier 1</x:v>
      </x:c>
      <x:c r="I189" s="24" t="str">
        <x:v>Human and varl peoples, caravan society, class roles, irreversible choices, apocalypse.</x:v>
      </x:c>
      <x:c r="J189" s="24" t="str">
        <x:v>Treat adaptations/editions separately when taxonomically material.</x:v>
      </x:c>
      <x:c r="K189" s="84" t="str">
        <x:v>https://en.wikipedia.org/wiki/The_Banner_Saga</x:v>
      </x:c>
      <x:c r="L189" s="24" t="str">
        <x:v>Included</x:v>
      </x:c>
    </x:row>
    <x:row r="190" ht="42" customHeight="1">
      <x:c r="A190" s="24" t="str">
        <x:v>SRC-189</x:v>
      </x:c>
      <x:c r="B190" s="24" t="str">
        <x:v>Darkest Dungeon</x:v>
      </x:c>
      <x:c r="C190" s="24" t="str">
        <x:v>Red Hook Studios</x:v>
      </x:c>
      <x:c r="D190" s="24" t="str">
        <x:v>Video Game / Tactical RPG / Roguelike</x:v>
      </x:c>
      <x:c r="E190" s="24" t="str">
        <x:v>Canada / Anglophone game tradition</x:v>
      </x:c>
      <x:c r="F190" s="24" t="str">
        <x:v>2016</x:v>
      </x:c>
      <x:c r="G190" s="24" t="str">
        <x:v>Original game and dated downloadable-content snapshot; sequel treated separately</x:v>
      </x:c>
      <x:c r="H190" s="24" t="str">
        <x:v>Tier 2</x:v>
      </x:c>
      <x:c r="I190" s="24" t="str">
        <x:v>Stress as a second health economy, affliction/virtue crises, persistent quirks and disease, position-dependent skills, light-risk tradeoffs, expedition attrition, roster management, treatment institutions, permadeath, and inherited ruin.</x:v>
      </x:c>
      <x:c r="J190" s="24" t="str">
        <x:v>Version 2.0 uses a selective innovation pass rather than repeating the game's conventional fantasy class roster. Base-game and DLC-specific states should be version-stamped; Darkest Dungeon II is a separate continuity and mechanical model.</x:v>
      </x:c>
      <x:c r="K190" s="84" t="str">
        <x:v>https://www.darkestdungeon.com/darkest-dungeon/about/</x:v>
      </x:c>
      <x:c r="L190" s="24" t="str">
        <x:v>Included</x:v>
      </x:c>
    </x:row>
    <x:row r="191" ht="42" customHeight="1">
      <x:c r="A191" s="24" t="str">
        <x:v>SRC-190</x:v>
      </x:c>
      <x:c r="B191" s="24" t="str">
        <x:v>Battle Brothers</x:v>
      </x:c>
      <x:c r="C191" s="24" t="str">
        <x:v>Overhype Studios</x:v>
      </x:c>
      <x:c r="D191" s="24" t="str">
        <x:v>Video Game / Tactical RPG</x:v>
      </x:c>
      <x:c r="E191" s="24" t="str">
        <x:v>Germany</x:v>
      </x:c>
      <x:c r="F191" s="24" t="str">
        <x:v>2017</x:v>
      </x:c>
      <x:c r="G191" s="24" t="str">
        <x:v>Low-fantasy sandbox</x:v>
      </x:c>
      <x:c r="H191" s="24" t="str">
        <x:v>Tier 2</x:v>
      </x:c>
      <x:c r="I191" s="24" t="str">
        <x:v>Mercenary backgrounds, injuries, equipment-defined roles, monster contracts, company economy.</x:v>
      </x:c>
      <x:c r="J191" s="24" t="str">
        <x:v>Treat adaptations/editions separately when taxonomically material.</x:v>
      </x:c>
      <x:c r="K191" s="84" t="str">
        <x:v>https://en.wikipedia.org/wiki/Battle_Brothers</x:v>
      </x:c>
      <x:c r="L191" s="24" t="str">
        <x:v>Included</x:v>
      </x:c>
    </x:row>
    <x:row r="192" ht="42" customHeight="1">
      <x:c r="A192" s="24" t="str">
        <x:v>SRC-191</x:v>
      </x:c>
      <x:c r="B192" s="24" t="str">
        <x:v>Arcanum: Of Steamworks and Magick Obscura</x:v>
      </x:c>
      <x:c r="C192" s="24" t="str">
        <x:v>Troika Games</x:v>
      </x:c>
      <x:c r="D192" s="24" t="str">
        <x:v>Video Game / CRPG</x:v>
      </x:c>
      <x:c r="E192" s="24" t="str">
        <x:v>United States</x:v>
      </x:c>
      <x:c r="F192" s="24" t="str">
        <x:v>2001</x:v>
      </x:c>
      <x:c r="G192" s="24" t="str">
        <x:v>Arcanum setting</x:v>
      </x:c>
      <x:c r="H192" s="24" t="str">
        <x:v>Tier 1</x:v>
      </x:c>
      <x:c r="I192" s="24" t="str">
        <x:v>Magic–technology opposition, fantasy peoples in industrial society, classless builds, social prejudice.</x:v>
      </x:c>
      <x:c r="J192" s="24" t="str">
        <x:v>Treat adaptations/editions separately when taxonomically material.</x:v>
      </x:c>
      <x:c r="K192" s="84" t="str">
        <x:v>https://en.wikipedia.org/wiki/Arcanum:_Of_Steamworks_and_Magick_Obscura</x:v>
      </x:c>
      <x:c r="L192" s="24" t="str">
        <x:v>Included</x:v>
      </x:c>
    </x:row>
    <x:row r="193" ht="42" customHeight="1">
      <x:c r="A193" s="24" t="str">
        <x:v>SRC-192</x:v>
      </x:c>
      <x:c r="B193" s="24" t="str">
        <x:v>Shadowrun Returns Trilogy</x:v>
      </x:c>
      <x:c r="C193" s="24" t="str">
        <x:v>Harebrained Schemes</x:v>
      </x:c>
      <x:c r="D193" s="24" t="str">
        <x:v>Video Game / Tactical CRPG</x:v>
      </x:c>
      <x:c r="E193" s="24" t="str">
        <x:v>United States</x:v>
      </x:c>
      <x:c r="F193" s="24" t="str">
        <x:v>2013</x:v>
      </x:c>
      <x:c r="G193" s="24" t="str">
        <x:v>Shadowrun adaptations</x:v>
      </x:c>
      <x:c r="H193" s="24" t="str">
        <x:v>Tier 2</x:v>
      </x:c>
      <x:c r="I193" s="24" t="str">
        <x:v>Cyberpunk fantasy peoples, shamans, deckers, street samurai, corporate factions.</x:v>
      </x:c>
      <x:c r="J193" s="24" t="str">
        <x:v>Treat adaptations/editions separately when taxonomically material.</x:v>
      </x:c>
      <x:c r="K193" s="84" t="str">
        <x:v>https://en.wikipedia.org/wiki/Shadowrun_Returns_Trilogy</x:v>
      </x:c>
      <x:c r="L193" s="24" t="str">
        <x:v>Included</x:v>
      </x:c>
    </x:row>
    <x:row r="194" ht="42" customHeight="1">
      <x:c r="A194" s="24" t="str">
        <x:v>SRC-193</x:v>
      </x:c>
      <x:c r="B194" s="24" t="str">
        <x:v>Hades</x:v>
      </x:c>
      <x:c r="C194" s="24" t="str">
        <x:v>Supergiant Games</x:v>
      </x:c>
      <x:c r="D194" s="24" t="str">
        <x:v>Video Game / Action Roguelike</x:v>
      </x:c>
      <x:c r="E194" s="24" t="str">
        <x:v>United States</x:v>
      </x:c>
      <x:c r="F194" s="24" t="str">
        <x:v>2020</x:v>
      </x:c>
      <x:c r="G194" s="24" t="str">
        <x:v>Greek-myth adaptation</x:v>
      </x:c>
      <x:c r="H194" s="24" t="str">
        <x:v>Tier 2</x:v>
      </x:c>
      <x:c r="I194" s="24" t="str">
        <x:v>God boons as build system, underworld offices, repeated escape, mythic relationships.</x:v>
      </x:c>
      <x:c r="J194" s="24" t="str">
        <x:v>Treat adaptations/editions separately when taxonomically material.</x:v>
      </x:c>
      <x:c r="K194" s="84" t="str">
        <x:v>https://en.wikipedia.org/wiki/Hades</x:v>
      </x:c>
      <x:c r="L194" s="24" t="str">
        <x:v>Included</x:v>
      </x:c>
    </x:row>
    <x:row r="195" ht="42" customHeight="1">
      <x:c r="A195" s="24" t="str">
        <x:v>SRC-194</x:v>
      </x:c>
      <x:c r="B195" s="24" t="str">
        <x:v>Hollow Knight</x:v>
      </x:c>
      <x:c r="C195" s="24" t="str">
        <x:v>Team Cherry</x:v>
      </x:c>
      <x:c r="D195" s="24" t="str">
        <x:v>Video Game / Metroidvania</x:v>
      </x:c>
      <x:c r="E195" s="24" t="str">
        <x:v>Australia</x:v>
      </x:c>
      <x:c r="F195" s="24" t="str">
        <x:v>2017</x:v>
      </x:c>
      <x:c r="G195" s="24" t="str">
        <x:v>Hallownest setting</x:v>
      </x:c>
      <x:c r="H195" s="24" t="str">
        <x:v>Tier 2</x:v>
      </x:c>
      <x:c r="I195" s="24" t="str">
        <x:v>Insect peoples, fallen kingdom, infection, vessels, warrior orders, environmental storytelling.</x:v>
      </x:c>
      <x:c r="J195" s="24" t="str">
        <x:v>Treat adaptations/editions separately when taxonomically material.</x:v>
      </x:c>
      <x:c r="K195" s="84" t="str">
        <x:v>https://en.wikipedia.org/wiki/Hollow_Knight</x:v>
      </x:c>
      <x:c r="L195" s="24" t="str">
        <x:v>Included</x:v>
      </x:c>
    </x:row>
    <x:row r="196" ht="42" customHeight="1">
      <x:c r="A196" s="24" t="str">
        <x:v>SRC-195</x:v>
      </x:c>
      <x:c r="B196" s="24" t="str">
        <x:v>Berserk</x:v>
      </x:c>
      <x:c r="C196" s="24" t="str">
        <x:v>Kentaro Miura; Studio Gaga continuation</x:v>
      </x:c>
      <x:c r="D196" s="24" t="str">
        <x:v>Manga / Anime</x:v>
      </x:c>
      <x:c r="E196" s="24" t="str">
        <x:v>Japan</x:v>
      </x:c>
      <x:c r="F196" s="24" t="str">
        <x:v>1989</x:v>
      </x:c>
      <x:c r="G196" s="24" t="str">
        <x:v>Manga primary; adaptations separate</x:v>
      </x:c>
      <x:c r="H196" s="24" t="str">
        <x:v>Tier 1</x:v>
      </x:c>
      <x:c r="I196" s="24" t="str">
        <x:v>Mercenary warrior, apostles, God Hand, witchcraft, armor transformation, dark medieval institutions.</x:v>
      </x:c>
      <x:c r="J196" s="24" t="str">
        <x:v>Treat adaptations/editions separately when taxonomically material.</x:v>
      </x:c>
      <x:c r="K196" s="84" t="str">
        <x:v>https://en.wikipedia.org/wiki/Berserk</x:v>
      </x:c>
      <x:c r="L196" s="24" t="str">
        <x:v>Included</x:v>
      </x:c>
    </x:row>
    <x:row r="197" ht="42" customHeight="1">
      <x:c r="A197" s="24" t="str">
        <x:v>SRC-196</x:v>
      </x:c>
      <x:c r="B197" s="24" t="str">
        <x:v>Frieren: Beyond Journey's End</x:v>
      </x:c>
      <x:c r="C197" s="24" t="str">
        <x:v>Kanehito Yamada and Tsukasa Abe</x:v>
      </x:c>
      <x:c r="D197" s="24" t="str">
        <x:v>Manga / Anime</x:v>
      </x:c>
      <x:c r="E197" s="24" t="str">
        <x:v>Japan</x:v>
      </x:c>
      <x:c r="F197" s="24" t="str">
        <x:v>2020</x:v>
      </x:c>
      <x:c r="G197" s="24" t="str">
        <x:v>Manga and anime adaptation</x:v>
      </x:c>
      <x:c r="H197" s="24" t="str">
        <x:v>Tier 1</x:v>
      </x:c>
      <x:c r="I197" s="24" t="str">
        <x:v>Long-lived elf perspective, hero-party aftermath, mage certification, demons, memory and time.</x:v>
      </x:c>
      <x:c r="J197" s="24" t="str">
        <x:v>Treat adaptations/editions separately when taxonomically material.</x:v>
      </x:c>
      <x:c r="K197" s="84" t="str">
        <x:v>https://en.wikipedia.org/wiki/Frieren:_Beyond_Journey's_End</x:v>
      </x:c>
      <x:c r="L197" s="24" t="str">
        <x:v>Included</x:v>
      </x:c>
    </x:row>
    <x:row r="198" ht="42" customHeight="1">
      <x:c r="A198" s="24" t="str">
        <x:v>SRC-197</x:v>
      </x:c>
      <x:c r="B198" s="24" t="str">
        <x:v>Delicious in Dungeon</x:v>
      </x:c>
      <x:c r="C198" s="24" t="str">
        <x:v>Ryoko Kui</x:v>
      </x:c>
      <x:c r="D198" s="24" t="str">
        <x:v>Manga / Anime</x:v>
      </x:c>
      <x:c r="E198" s="24" t="str">
        <x:v>Japan</x:v>
      </x:c>
      <x:c r="F198" s="24" t="str">
        <x:v>2014</x:v>
      </x:c>
      <x:c r="G198" s="24" t="str">
        <x:v>Manga and anime adaptation</x:v>
      </x:c>
      <x:c r="H198" s="24" t="str">
        <x:v>Tier 1</x:v>
      </x:c>
      <x:c r="I198" s="24" t="str">
        <x:v>Dungeon ecology, cooking profession, tall-men/elves/dwarves/halffoots, adventuring roles.</x:v>
      </x:c>
      <x:c r="J198" s="24" t="str">
        <x:v>Treat adaptations/editions separately when taxonomically material.</x:v>
      </x:c>
      <x:c r="K198" s="84" t="str">
        <x:v>https://en.wikipedia.org/wiki/Delicious_in_Dungeon</x:v>
      </x:c>
      <x:c r="L198" s="24" t="str">
        <x:v>Included</x:v>
      </x:c>
    </x:row>
    <x:row r="199" ht="42" customHeight="1">
      <x:c r="A199" s="24" t="str">
        <x:v>SRC-198</x:v>
      </x:c>
      <x:c r="B199" s="24" t="str">
        <x:v>Fullmetal Alchemist</x:v>
      </x:c>
      <x:c r="C199" s="24" t="str">
        <x:v>Hiromu Arakawa</x:v>
      </x:c>
      <x:c r="D199" s="24" t="str">
        <x:v>Manga / Anime</x:v>
      </x:c>
      <x:c r="E199" s="24" t="str">
        <x:v>Japan</x:v>
      </x:c>
      <x:c r="F199" s="24" t="str">
        <x:v>2001</x:v>
      </x:c>
      <x:c r="G199" s="24" t="str">
        <x:v>Manga; two anime continuities</x:v>
      </x:c>
      <x:c r="H199" s="24" t="str">
        <x:v>Tier 1</x:v>
      </x:c>
      <x:c r="I199" s="24" t="str">
        <x:v>Alchemy as technical magic, homunculi, military state, equivalent exchange, artificial bodies.</x:v>
      </x:c>
      <x:c r="J199" s="24" t="str">
        <x:v>Treat adaptations/editions separately when taxonomically material.</x:v>
      </x:c>
      <x:c r="K199" s="84" t="str">
        <x:v>https://en.wikipedia.org/wiki/Fullmetal_Alchemist</x:v>
      </x:c>
      <x:c r="L199" s="24" t="str">
        <x:v>Included</x:v>
      </x:c>
    </x:row>
    <x:row r="200" ht="42" customHeight="1">
      <x:c r="A200" s="24" t="str">
        <x:v>SRC-199</x:v>
      </x:c>
      <x:c r="B200" s="24" t="str">
        <x:v>Claymore</x:v>
      </x:c>
      <x:c r="C200" s="24" t="str">
        <x:v>Norihiro Yagi</x:v>
      </x:c>
      <x:c r="D200" s="24" t="str">
        <x:v>Manga / Anime</x:v>
      </x:c>
      <x:c r="E200" s="24" t="str">
        <x:v>Japan</x:v>
      </x:c>
      <x:c r="F200" s="24" t="str">
        <x:v>2001</x:v>
      </x:c>
      <x:c r="G200" s="24" t="str">
        <x:v>Manga and anime adaptation</x:v>
      </x:c>
      <x:c r="H200" s="24" t="str">
        <x:v>Tier 1</x:v>
      </x:c>
      <x:c r="I200" s="24" t="str">
        <x:v>Hybrid monster hunters, ranked organization, awakening transformation, gendered warrior order.</x:v>
      </x:c>
      <x:c r="J200" s="24" t="str">
        <x:v>Treat adaptations/editions separately when taxonomically material.</x:v>
      </x:c>
      <x:c r="K200" s="84" t="str">
        <x:v>https://en.wikipedia.org/wiki/Claymore</x:v>
      </x:c>
      <x:c r="L200" s="24" t="str">
        <x:v>Included</x:v>
      </x:c>
    </x:row>
    <x:row r="201" ht="42" customHeight="1">
      <x:c r="A201" s="24" t="str">
        <x:v>SRC-200</x:v>
      </x:c>
      <x:c r="B201" s="24" t="str">
        <x:v>Made in Abyss</x:v>
      </x:c>
      <x:c r="C201" s="24" t="str">
        <x:v>Akihito Tsukushi</x:v>
      </x:c>
      <x:c r="D201" s="24" t="str">
        <x:v>Manga / Anime</x:v>
      </x:c>
      <x:c r="E201" s="24" t="str">
        <x:v>Japan</x:v>
      </x:c>
      <x:c r="F201" s="24" t="str">
        <x:v>2012</x:v>
      </x:c>
      <x:c r="G201" s="24" t="str">
        <x:v>Manga and anime adaptations</x:v>
      </x:c>
      <x:c r="H201" s="24" t="str">
        <x:v>Tier 1</x:v>
      </x:c>
      <x:c r="I201" s="24" t="str">
        <x:v>Delver ranks, relic economy, curse of depth, nonhuman beings, hostile ecology.</x:v>
      </x:c>
      <x:c r="J201" s="24" t="str">
        <x:v>Treat adaptations/editions separately when taxonomically material.</x:v>
      </x:c>
      <x:c r="K201" s="84" t="str">
        <x:v>https://en.wikipedia.org/wiki/Made_in_Abyss</x:v>
      </x:c>
      <x:c r="L201" s="24" t="str">
        <x:v>Included</x:v>
      </x:c>
    </x:row>
    <x:row r="202" ht="42" customHeight="1">
      <x:c r="A202" s="24" t="str">
        <x:v>SRC-201</x:v>
      </x:c>
      <x:c r="B202" s="24" t="str">
        <x:v>Magi: The Labyrinth of Magic</x:v>
      </x:c>
      <x:c r="C202" s="24" t="str">
        <x:v>Shinobu Ohtaka</x:v>
      </x:c>
      <x:c r="D202" s="24" t="str">
        <x:v>Manga / Anime</x:v>
      </x:c>
      <x:c r="E202" s="24" t="str">
        <x:v>Japan</x:v>
      </x:c>
      <x:c r="F202" s="24" t="str">
        <x:v>2009</x:v>
      </x:c>
      <x:c r="G202" s="24" t="str">
        <x:v>Manga and anime adaptation</x:v>
      </x:c>
      <x:c r="H202" s="24" t="str">
        <x:v>Tier 2</x:v>
      </x:c>
      <x:c r="I202" s="24" t="str">
        <x:v>Djinn vessels, dungeons, magi, kingdoms, rukh, globalized mythic borrowings.</x:v>
      </x:c>
      <x:c r="J202" s="24" t="str">
        <x:v>Treat adaptations/editions separately when taxonomically material.</x:v>
      </x:c>
      <x:c r="K202" s="84" t="str">
        <x:v>https://en.wikipedia.org/wiki/Magi:_The_Labyrinth_of_Magic</x:v>
      </x:c>
      <x:c r="L202" s="24" t="str">
        <x:v>Included</x:v>
      </x:c>
    </x:row>
    <x:row r="203" ht="42" customHeight="1">
      <x:c r="A203" s="24" t="str">
        <x:v>SRC-202</x:v>
      </x:c>
      <x:c r="B203" s="24" t="str">
        <x:v>Inuyasha</x:v>
      </x:c>
      <x:c r="C203" s="24" t="str">
        <x:v>Rumiko Takahashi</x:v>
      </x:c>
      <x:c r="D203" s="24" t="str">
        <x:v>Manga / Anime</x:v>
      </x:c>
      <x:c r="E203" s="24" t="str">
        <x:v>Japan</x:v>
      </x:c>
      <x:c r="F203" s="24" t="str">
        <x:v>1996</x:v>
      </x:c>
      <x:c r="G203" s="24" t="str">
        <x:v>Manga and anime adaptations</x:v>
      </x:c>
      <x:c r="H203" s="24" t="str">
        <x:v>Tier 2</x:v>
      </x:c>
      <x:c r="I203" s="24" t="str">
        <x:v>Yōkai, half-demon identity, sacred priestess, artifact shards, time travel, monster-of-week.</x:v>
      </x:c>
      <x:c r="J203" s="24" t="str">
        <x:v>Treat adaptations/editions separately when taxonomically material.</x:v>
      </x:c>
      <x:c r="K203" s="84" t="str">
        <x:v>https://en.wikipedia.org/wiki/Inuyasha</x:v>
      </x:c>
      <x:c r="L203" s="24" t="str">
        <x:v>Included</x:v>
      </x:c>
    </x:row>
    <x:row r="204" ht="42" customHeight="1">
      <x:c r="A204" s="24" t="str">
        <x:v>SRC-203</x:v>
      </x:c>
      <x:c r="B204" s="24" t="str">
        <x:v>Demon Slayer: Kimetsu no Yaiba</x:v>
      </x:c>
      <x:c r="C204" s="24" t="str">
        <x:v>Koyoharu Gotouge</x:v>
      </x:c>
      <x:c r="D204" s="24" t="str">
        <x:v>Manga / Anime</x:v>
      </x:c>
      <x:c r="E204" s="24" t="str">
        <x:v>Japan</x:v>
      </x:c>
      <x:c r="F204" s="24" t="str">
        <x:v>2016</x:v>
      </x:c>
      <x:c r="G204" s="24" t="str">
        <x:v>Manga and anime adaptation</x:v>
      </x:c>
      <x:c r="H204" s="24" t="str">
        <x:v>Tier 2</x:v>
      </x:c>
      <x:c r="I204" s="24" t="str">
        <x:v>Demon slayer corps, breathing styles, demon transformation, ranks, swords, family bonds.</x:v>
      </x:c>
      <x:c r="J204" s="24" t="str">
        <x:v>Treat adaptations/editions separately when taxonomically material.</x:v>
      </x:c>
      <x:c r="K204" s="84" t="str">
        <x:v>https://en.wikipedia.org/wiki/Demon_Slayer:_Kimetsu_no_Yaiba</x:v>
      </x:c>
      <x:c r="L204" s="24" t="str">
        <x:v>Included</x:v>
      </x:c>
    </x:row>
    <x:row r="205" ht="42" customHeight="1">
      <x:c r="A205" s="24" t="str">
        <x:v>SRC-204</x:v>
      </x:c>
      <x:c r="B205" s="24" t="str">
        <x:v>Naruto</x:v>
      </x:c>
      <x:c r="C205" s="24" t="str">
        <x:v>Masashi Kishimoto</x:v>
      </x:c>
      <x:c r="D205" s="24" t="str">
        <x:v>Manga / Anime</x:v>
      </x:c>
      <x:c r="E205" s="24" t="str">
        <x:v>Japan</x:v>
      </x:c>
      <x:c r="F205" s="24" t="str">
        <x:v>1999</x:v>
      </x:c>
      <x:c r="G205" s="24" t="str">
        <x:v>Manga and anime continuities</x:v>
      </x:c>
      <x:c r="H205" s="24" t="str">
        <x:v>Tier 2</x:v>
      </x:c>
      <x:c r="I205" s="24" t="str">
        <x:v>Ninja classes, clans, bloodline techniques, summoned beasts, tailed beings, village institutions.</x:v>
      </x:c>
      <x:c r="J205" s="24" t="str">
        <x:v>Treat adaptations/editions separately when taxonomically material.</x:v>
      </x:c>
      <x:c r="K205" s="84" t="str">
        <x:v>https://en.wikipedia.org/wiki/Naruto</x:v>
      </x:c>
      <x:c r="L205" s="24" t="str">
        <x:v>Included</x:v>
      </x:c>
    </x:row>
    <x:row r="206" ht="42" customHeight="1">
      <x:c r="A206" s="24" t="str">
        <x:v>SRC-205</x:v>
      </x:c>
      <x:c r="B206" s="24" t="str">
        <x:v>Bleach</x:v>
      </x:c>
      <x:c r="C206" s="24" t="str">
        <x:v>Tite Kubo</x:v>
      </x:c>
      <x:c r="D206" s="24" t="str">
        <x:v>Manga / Anime</x:v>
      </x:c>
      <x:c r="E206" s="24" t="str">
        <x:v>Japan</x:v>
      </x:c>
      <x:c r="F206" s="24" t="str">
        <x:v>2001</x:v>
      </x:c>
      <x:c r="G206" s="24" t="str">
        <x:v>Manga and anime adaptation</x:v>
      </x:c>
      <x:c r="H206" s="24" t="str">
        <x:v>Tier 2</x:v>
      </x:c>
      <x:c r="I206" s="24" t="str">
        <x:v>Soul reapers, hollows, zanpakutō, spirit realms, squads, transformations and ranks.</x:v>
      </x:c>
      <x:c r="J206" s="24" t="str">
        <x:v>Treat adaptations/editions separately when taxonomically material.</x:v>
      </x:c>
      <x:c r="K206" s="84" t="str">
        <x:v>https://en.wikipedia.org/wiki/Bleach</x:v>
      </x:c>
      <x:c r="L206" s="24" t="str">
        <x:v>Included</x:v>
      </x:c>
    </x:row>
    <x:row r="207" ht="42" customHeight="1">
      <x:c r="A207" s="24" t="str">
        <x:v>SRC-206</x:v>
      </x:c>
      <x:c r="B207" s="24" t="str">
        <x:v>One Piece</x:v>
      </x:c>
      <x:c r="C207" s="24" t="str">
        <x:v>Eiichiro Oda</x:v>
      </x:c>
      <x:c r="D207" s="24" t="str">
        <x:v>Manga / Anime</x:v>
      </x:c>
      <x:c r="E207" s="24" t="str">
        <x:v>Japan</x:v>
      </x:c>
      <x:c r="F207" s="24" t="str">
        <x:v>1997</x:v>
      </x:c>
      <x:c r="G207" s="24" t="str">
        <x:v>Manga primary; anime adaptation</x:v>
      </x:c>
      <x:c r="H207" s="24" t="str">
        <x:v>Tier 2</x:v>
      </x:c>
      <x:c r="I207" s="24" t="str">
        <x:v>Pirate crews, devil-fruit powers, diverse peoples, world government, martial roles, found family.</x:v>
      </x:c>
      <x:c r="J207" s="24" t="str">
        <x:v>Treat adaptations/editions separately when taxonomically material.</x:v>
      </x:c>
      <x:c r="K207" s="84" t="str">
        <x:v>https://en.wikipedia.org/wiki/One_Piece</x:v>
      </x:c>
      <x:c r="L207" s="24" t="str">
        <x:v>Included</x:v>
      </x:c>
    </x:row>
    <x:row r="208" ht="42" customHeight="1">
      <x:c r="A208" s="24" t="str">
        <x:v>SRC-207</x:v>
      </x:c>
      <x:c r="B208" s="24" t="str">
        <x:v>Hunter × Hunter</x:v>
      </x:c>
      <x:c r="C208" s="24" t="str">
        <x:v>Yoshihiro Togashi</x:v>
      </x:c>
      <x:c r="D208" s="24" t="str">
        <x:v>Manga / Anime</x:v>
      </x:c>
      <x:c r="E208" s="24" t="str">
        <x:v>Japan</x:v>
      </x:c>
      <x:c r="F208" s="24" t="str">
        <x:v>1998</x:v>
      </x:c>
      <x:c r="G208" s="24" t="str">
        <x:v>Manga and anime adaptations</x:v>
      </x:c>
      <x:c r="H208" s="24" t="str">
        <x:v>Tier 1</x:v>
      </x:c>
      <x:c r="I208" s="24" t="str">
        <x:v>Hunter profession, Nen categories, examinations, guild-like association, creature ecology.</x:v>
      </x:c>
      <x:c r="J208" s="24" t="str">
        <x:v>Treat adaptations/editions separately when taxonomically material.</x:v>
      </x:c>
      <x:c r="K208" s="84" t="str">
        <x:v>https://en.wikipedia.org/wiki/Hunter_%C3%97_Hunter</x:v>
      </x:c>
      <x:c r="L208" s="24" t="str">
        <x:v>Included</x:v>
      </x:c>
    </x:row>
    <x:row r="209" ht="42" customHeight="1">
      <x:c r="A209" s="24" t="str">
        <x:v>SRC-208</x:v>
      </x:c>
      <x:c r="B209" s="24" t="str">
        <x:v>Yu Yu Hakusho</x:v>
      </x:c>
      <x:c r="C209" s="24" t="str">
        <x:v>Yoshihiro Togashi</x:v>
      </x:c>
      <x:c r="D209" s="24" t="str">
        <x:v>Manga / Anime</x:v>
      </x:c>
      <x:c r="E209" s="24" t="str">
        <x:v>Japan</x:v>
      </x:c>
      <x:c r="F209" s="24" t="str">
        <x:v>1990</x:v>
      </x:c>
      <x:c r="G209" s="24" t="str">
        <x:v>Manga and anime adaptation</x:v>
      </x:c>
      <x:c r="H209" s="24" t="str">
        <x:v>Tier 2</x:v>
      </x:c>
      <x:c r="I209" s="24" t="str">
        <x:v>Spirit detective, demons, tournaments, afterlife bureaucracy, inherited transformation.</x:v>
      </x:c>
      <x:c r="J209" s="24" t="str">
        <x:v>Treat adaptations/editions separately when taxonomically material.</x:v>
      </x:c>
      <x:c r="K209" s="84" t="str">
        <x:v>https://en.wikipedia.org/wiki/Yu_Yu_Hakusho</x:v>
      </x:c>
      <x:c r="L209" s="24" t="str">
        <x:v>Included</x:v>
      </x:c>
    </x:row>
    <x:row r="210" ht="42" customHeight="1">
      <x:c r="A210" s="24" t="str">
        <x:v>SRC-209</x:v>
      </x:c>
      <x:c r="B210" s="24" t="str">
        <x:v>Fate Franchise</x:v>
      </x:c>
      <x:c r="C210" s="24" t="str">
        <x:v>Type-Moon</x:v>
      </x:c>
      <x:c r="D210" s="24" t="str">
        <x:v>Visual Novel / Anime / Games</x:v>
      </x:c>
      <x:c r="E210" s="24" t="str">
        <x:v>Japan</x:v>
      </x:c>
      <x:c r="F210" s="24" t="str">
        <x:v>2004</x:v>
      </x:c>
      <x:c r="G210" s="24" t="str">
        <x:v>Multiple continuities</x:v>
      </x:c>
      <x:c r="H210" s="24" t="str">
        <x:v>Tier 1</x:v>
      </x:c>
      <x:c r="I210" s="24" t="str">
        <x:v>Servant classes, heroic spirits, magic lineages, summoning wars, myth adaptation.</x:v>
      </x:c>
      <x:c r="J210" s="24" t="str">
        <x:v>Treat adaptations/editions separately when taxonomically material.</x:v>
      </x:c>
      <x:c r="K210" s="84" t="str">
        <x:v>https://en.wikipedia.org/wiki/Fate_Franchise</x:v>
      </x:c>
      <x:c r="L210" s="24" t="str">
        <x:v>Included</x:v>
      </x:c>
    </x:row>
    <x:row r="211" ht="42" customHeight="1">
      <x:c r="A211" s="24" t="str">
        <x:v>SRC-210</x:v>
      </x:c>
      <x:c r="B211" s="24" t="str">
        <x:v>Overlord</x:v>
      </x:c>
      <x:c r="C211" s="24" t="str">
        <x:v>Kugane Maruyama</x:v>
      </x:c>
      <x:c r="D211" s="24" t="str">
        <x:v>Light Novel / Anime</x:v>
      </x:c>
      <x:c r="E211" s="24" t="str">
        <x:v>Japan</x:v>
      </x:c>
      <x:c r="F211" s="24" t="str">
        <x:v>2010</x:v>
      </x:c>
      <x:c r="G211" s="24" t="str">
        <x:v>Light novel primary; anime adaptation</x:v>
      </x:c>
      <x:c r="H211" s="24" t="str">
        <x:v>Tier 1</x:v>
      </x:c>
      <x:c r="I211" s="24" t="str">
        <x:v>Isekai undead ruler, MMO classes and races, dungeon polity, servants, overpowered protagonist.</x:v>
      </x:c>
      <x:c r="J211" s="24" t="str">
        <x:v>Treat adaptations/editions separately when taxonomically material.</x:v>
      </x:c>
      <x:c r="K211" s="84" t="str">
        <x:v>https://en.wikipedia.org/wiki/Overlord</x:v>
      </x:c>
      <x:c r="L211" s="24" t="str">
        <x:v>Included</x:v>
      </x:c>
    </x:row>
    <x:row r="212" ht="42" customHeight="1">
      <x:c r="A212" s="24" t="str">
        <x:v>SRC-211</x:v>
      </x:c>
      <x:c r="B212" s="24" t="str">
        <x:v>Re:Zero − Starting Life in Another World</x:v>
      </x:c>
      <x:c r="C212" s="24" t="str">
        <x:v>Tappei Nagatsuki</x:v>
      </x:c>
      <x:c r="D212" s="24" t="str">
        <x:v>Web/Light Novel / Anime</x:v>
      </x:c>
      <x:c r="E212" s="24" t="str">
        <x:v>Japan</x:v>
      </x:c>
      <x:c r="F212" s="24" t="str">
        <x:v>2012</x:v>
      </x:c>
      <x:c r="G212" s="24" t="str">
        <x:v>Novel and anime continuities</x:v>
      </x:c>
      <x:c r="H212" s="24" t="str">
        <x:v>Tier 1</x:v>
      </x:c>
      <x:c r="I212" s="24" t="str">
        <x:v>Isekai protagonist, return-by-death loop, witches, spirit contracts, royal selection.</x:v>
      </x:c>
      <x:c r="J212" s="24" t="str">
        <x:v>Treat adaptations/editions separately when taxonomically material.</x:v>
      </x:c>
      <x:c r="K212" s="84" t="str">
        <x:v>https://en.wikipedia.org/wiki/Re:Zero_%E2%88%92_Starting_Life_in_Another_World</x:v>
      </x:c>
      <x:c r="L212" s="24" t="str">
        <x:v>Included</x:v>
      </x:c>
    </x:row>
    <x:row r="213" ht="42" customHeight="1">
      <x:c r="A213" s="24" t="str">
        <x:v>SRC-212</x:v>
      </x:c>
      <x:c r="B213" s="24" t="str">
        <x:v>That Time I Got Reincarnated as a Slime</x:v>
      </x:c>
      <x:c r="C213" s="24" t="str">
        <x:v>Fuse</x:v>
      </x:c>
      <x:c r="D213" s="24" t="str">
        <x:v>Web/Light Novel / Manga / Anime</x:v>
      </x:c>
      <x:c r="E213" s="24" t="str">
        <x:v>Japan</x:v>
      </x:c>
      <x:c r="F213" s="24" t="str">
        <x:v>2013</x:v>
      </x:c>
      <x:c r="G213" s="24" t="str">
        <x:v>Novel primary; adaptations</x:v>
      </x:c>
      <x:c r="H213" s="24" t="str">
        <x:v>Tier 1</x:v>
      </x:c>
      <x:c r="I213" s="24" t="str">
        <x:v>Monster reincarnation, skill absorption, evolutions, monster nation, demon lords, system powers.</x:v>
      </x:c>
      <x:c r="J213" s="24" t="str">
        <x:v>Treat adaptations/editions separately when taxonomically material.</x:v>
      </x:c>
      <x:c r="K213" s="84" t="str">
        <x:v>https://en.wikipedia.org/wiki/That_Time_I_Got_Reincarnated_as_a_Slime</x:v>
      </x:c>
      <x:c r="L213" s="24" t="str">
        <x:v>Included</x:v>
      </x:c>
    </x:row>
    <x:row r="214" ht="42" customHeight="1">
      <x:c r="A214" s="24" t="str">
        <x:v>SRC-213</x:v>
      </x:c>
      <x:c r="B214" s="24" t="str">
        <x:v>The Rising of the Shield Hero</x:v>
      </x:c>
      <x:c r="C214" s="24" t="str">
        <x:v>Aneko Yusagi</x:v>
      </x:c>
      <x:c r="D214" s="24" t="str">
        <x:v>Web/Light Novel / Anime</x:v>
      </x:c>
      <x:c r="E214" s="24" t="str">
        <x:v>Japan</x:v>
      </x:c>
      <x:c r="F214" s="24" t="str">
        <x:v>2012</x:v>
      </x:c>
      <x:c r="G214" s="24" t="str">
        <x:v>Novel and adaptations</x:v>
      </x:c>
      <x:c r="H214" s="24" t="str">
        <x:v>Tier 2</x:v>
      </x:c>
      <x:c r="I214" s="24" t="str">
        <x:v>Summoned cardinal heroes, weapon classes, levels, demi-humans, party/reputation conflict.</x:v>
      </x:c>
      <x:c r="J214" s="24" t="str">
        <x:v>Treat adaptations/editions separately when taxonomically material.</x:v>
      </x:c>
      <x:c r="K214" s="84" t="str">
        <x:v>https://en.wikipedia.org/wiki/The_Rising_of_the_Shield_Hero</x:v>
      </x:c>
      <x:c r="L214" s="24" t="str">
        <x:v>Included</x:v>
      </x:c>
    </x:row>
    <x:row r="215" ht="42" customHeight="1">
      <x:c r="A215" s="24" t="str">
        <x:v>SRC-214</x:v>
      </x:c>
      <x:c r="B215" s="24" t="str">
        <x:v>Mushoku Tensei</x:v>
      </x:c>
      <x:c r="C215" s="24" t="str">
        <x:v>Rifujin na Magonote</x:v>
      </x:c>
      <x:c r="D215" s="24" t="str">
        <x:v>Web/Light Novel / Anime</x:v>
      </x:c>
      <x:c r="E215" s="24" t="str">
        <x:v>Japan</x:v>
      </x:c>
      <x:c r="F215" s="24" t="str">
        <x:v>2012</x:v>
      </x:c>
      <x:c r="G215" s="24" t="str">
        <x:v>Novel and adaptations</x:v>
      </x:c>
      <x:c r="H215" s="24" t="str">
        <x:v>Tier 2</x:v>
      </x:c>
      <x:c r="I215" s="24" t="str">
        <x:v>Reincarnation, magic ranks, sword schools, demon peoples, adventurer guilds, life-course progression.</x:v>
      </x:c>
      <x:c r="J215" s="24" t="str">
        <x:v>Treat adaptations/editions separately when taxonomically material.</x:v>
      </x:c>
      <x:c r="K215" s="84" t="str">
        <x:v>https://en.wikipedia.org/wiki/Mushoku_Tensei</x:v>
      </x:c>
      <x:c r="L215" s="24" t="str">
        <x:v>Included</x:v>
      </x:c>
    </x:row>
    <x:row r="216" ht="42" customHeight="1">
      <x:c r="A216" s="24" t="str">
        <x:v>SRC-215</x:v>
      </x:c>
      <x:c r="B216" s="24" t="str">
        <x:v>Log Horizon</x:v>
      </x:c>
      <x:c r="C216" s="24" t="str">
        <x:v>Mamare Touno</x:v>
      </x:c>
      <x:c r="D216" s="24" t="str">
        <x:v>Light Novel / Anime</x:v>
      </x:c>
      <x:c r="E216" s="24" t="str">
        <x:v>Japan</x:v>
      </x:c>
      <x:c r="F216" s="24" t="str">
        <x:v>2010</x:v>
      </x:c>
      <x:c r="G216" s="24" t="str">
        <x:v>Novel and anime adaptation</x:v>
      </x:c>
      <x:c r="H216" s="24" t="str">
        <x:v>Tier 1</x:v>
      </x:c>
      <x:c r="I216" s="24" t="str">
        <x:v>MMO class/subclass society, guild politics, raids, player/NPC ontology, city governance.</x:v>
      </x:c>
      <x:c r="J216" s="24" t="str">
        <x:v>Treat adaptations/editions separately when taxonomically material.</x:v>
      </x:c>
      <x:c r="K216" s="84" t="str">
        <x:v>https://en.wikipedia.org/wiki/Log_Horizon</x:v>
      </x:c>
      <x:c r="L216" s="24" t="str">
        <x:v>Included</x:v>
      </x:c>
    </x:row>
    <x:row r="217" ht="42" customHeight="1">
      <x:c r="A217" s="24" t="str">
        <x:v>SRC-216</x:v>
      </x:c>
      <x:c r="B217" s="24" t="str">
        <x:v>Sword Art Online</x:v>
      </x:c>
      <x:c r="C217" s="24" t="str">
        <x:v>Reki Kawahara</x:v>
      </x:c>
      <x:c r="D217" s="24" t="str">
        <x:v>Light Novel / Anime</x:v>
      </x:c>
      <x:c r="E217" s="24" t="str">
        <x:v>Japan</x:v>
      </x:c>
      <x:c r="F217" s="24" t="str">
        <x:v>2002 web / 2009 print</x:v>
      </x:c>
      <x:c r="G217" s="24" t="str">
        <x:v>Multiple virtual worlds</x:v>
      </x:c>
      <x:c r="H217" s="24" t="str">
        <x:v>Tier 2</x:v>
      </x:c>
      <x:c r="I217" s="24" t="str">
        <x:v>Game avatars, weapon builds, guilds, death game, virtual identity and progression.</x:v>
      </x:c>
      <x:c r="J217" s="24" t="str">
        <x:v>Treat adaptations/editions separately when taxonomically material.</x:v>
      </x:c>
      <x:c r="K217" s="84" t="str">
        <x:v>https://en.wikipedia.org/wiki/Sword_Art_Online</x:v>
      </x:c>
      <x:c r="L217" s="24" t="str">
        <x:v>Included</x:v>
      </x:c>
    </x:row>
    <x:row r="218" ht="42" customHeight="1">
      <x:c r="A218" s="24" t="str">
        <x:v>SRC-217</x:v>
      </x:c>
      <x:c r="B218" s="24" t="str">
        <x:v>Grimgar of Fantasy and Ash</x:v>
      </x:c>
      <x:c r="C218" s="24" t="str">
        <x:v>Ao Jyumonji</x:v>
      </x:c>
      <x:c r="D218" s="24" t="str">
        <x:v>Light Novel / Anime</x:v>
      </x:c>
      <x:c r="E218" s="24" t="str">
        <x:v>Japan</x:v>
      </x:c>
      <x:c r="F218" s="24" t="str">
        <x:v>2013</x:v>
      </x:c>
      <x:c r="G218" s="24" t="str">
        <x:v>Novel and anime adaptation</x:v>
      </x:c>
      <x:c r="H218" s="24" t="str">
        <x:v>Tier 2</x:v>
      </x:c>
      <x:c r="I218" s="24" t="str">
        <x:v>Isekai amnesia, guild-taught classes, low-level party roles, death and precarious labor.</x:v>
      </x:c>
      <x:c r="J218" s="24" t="str">
        <x:v>Treat adaptations/editions separately when taxonomically material.</x:v>
      </x:c>
      <x:c r="K218" s="84" t="str">
        <x:v>https://en.wikipedia.org/wiki/Grimgar_of_Fantasy_and_Ash</x:v>
      </x:c>
      <x:c r="L218" s="24" t="str">
        <x:v>Included</x:v>
      </x:c>
    </x:row>
    <x:row r="219" ht="42" customHeight="1">
      <x:c r="A219" s="24" t="str">
        <x:v>SRC-218</x:v>
      </x:c>
      <x:c r="B219" s="24" t="str">
        <x:v>Goblin Slayer</x:v>
      </x:c>
      <x:c r="C219" s="24" t="str">
        <x:v>Kumo Kagyu</x:v>
      </x:c>
      <x:c r="D219" s="24" t="str">
        <x:v>Light Novel / Manga / Anime</x:v>
      </x:c>
      <x:c r="E219" s="24" t="str">
        <x:v>Japan</x:v>
      </x:c>
      <x:c r="F219" s="24" t="str">
        <x:v>2016</x:v>
      </x:c>
      <x:c r="G219" s="24" t="str">
        <x:v>Novel primary; adaptations</x:v>
      </x:c>
      <x:c r="H219" s="24" t="str">
        <x:v>Tier 2</x:v>
      </x:c>
      <x:c r="I219" s="24" t="str">
        <x:v>Adventurer guild ranks, specialist monster hunter, classic classes, tactical low-level combat.</x:v>
      </x:c>
      <x:c r="J219" s="24" t="str">
        <x:v>Treat adaptations/editions separately when taxonomically material.</x:v>
      </x:c>
      <x:c r="K219" s="84" t="str">
        <x:v>https://en.wikipedia.org/wiki/Goblin_Slayer</x:v>
      </x:c>
      <x:c r="L219" s="24" t="str">
        <x:v>Included</x:v>
      </x:c>
    </x:row>
    <x:row r="220" ht="42" customHeight="1">
      <x:c r="A220" s="24" t="str">
        <x:v>SRC-219</x:v>
      </x:c>
      <x:c r="B220" s="24" t="str">
        <x:v>The Ancient Magus' Bride</x:v>
      </x:c>
      <x:c r="C220" s="24" t="str">
        <x:v>Kore Yamazaki</x:v>
      </x:c>
      <x:c r="D220" s="24" t="str">
        <x:v>Manga / Anime</x:v>
      </x:c>
      <x:c r="E220" s="24" t="str">
        <x:v>Japan</x:v>
      </x:c>
      <x:c r="F220" s="24" t="str">
        <x:v>2013</x:v>
      </x:c>
      <x:c r="G220" s="24" t="str">
        <x:v>Manga and anime adaptation</x:v>
      </x:c>
      <x:c r="H220" s="24" t="str">
        <x:v>Tier 1</x:v>
      </x:c>
      <x:c r="I220" s="24" t="str">
        <x:v>Fae ontology, mage versus sorcerer traditions, familiar bond, folklore-rich British setting.</x:v>
      </x:c>
      <x:c r="J220" s="24" t="str">
        <x:v>Treat adaptations/editions separately when taxonomically material.</x:v>
      </x:c>
      <x:c r="K220" s="84" t="str">
        <x:v>https://en.wikipedia.org/wiki/The_Ancient_Magus'_Bride</x:v>
      </x:c>
      <x:c r="L220" s="24" t="str">
        <x:v>Included</x:v>
      </x:c>
    </x:row>
    <x:row r="221" ht="42" customHeight="1">
      <x:c r="A221" s="24" t="str">
        <x:v>SRC-220</x:v>
      </x:c>
      <x:c r="B221" s="24" t="str">
        <x:v>Ranking of Kings</x:v>
      </x:c>
      <x:c r="C221" s="24" t="str">
        <x:v>Sōsuke Tōka</x:v>
      </x:c>
      <x:c r="D221" s="24" t="str">
        <x:v>Manga / Anime</x:v>
      </x:c>
      <x:c r="E221" s="24" t="str">
        <x:v>Japan</x:v>
      </x:c>
      <x:c r="F221" s="24" t="str">
        <x:v>2017</x:v>
      </x:c>
      <x:c r="G221" s="24" t="str">
        <x:v>Manga and anime adaptation</x:v>
      </x:c>
      <x:c r="H221" s="24" t="str">
        <x:v>Tier 2</x:v>
      </x:c>
      <x:c r="I221" s="24" t="str">
        <x:v>Small prince hero, giant lineage, shadow people, kingship ranking, curses and loyalty.</x:v>
      </x:c>
      <x:c r="J221" s="24" t="str">
        <x:v>Treat adaptations/editions separately when taxonomically material.</x:v>
      </x:c>
      <x:c r="K221" s="84" t="str">
        <x:v>https://en.wikipedia.org/wiki/Ranking_of_Kings</x:v>
      </x:c>
      <x:c r="L221" s="24" t="str">
        <x:v>Included</x:v>
      </x:c>
    </x:row>
    <x:row r="222" ht="42" customHeight="1">
      <x:c r="A222" s="24" t="str">
        <x:v>SRC-221</x:v>
      </x:c>
      <x:c r="B222" s="24" t="str">
        <x:v>Attack on Titan</x:v>
      </x:c>
      <x:c r="C222" s="24" t="str">
        <x:v>Hajime Isayama</x:v>
      </x:c>
      <x:c r="D222" s="24" t="str">
        <x:v>Manga / Anime</x:v>
      </x:c>
      <x:c r="E222" s="24" t="str">
        <x:v>Japan</x:v>
      </x:c>
      <x:c r="F222" s="24" t="str">
        <x:v>2009</x:v>
      </x:c>
      <x:c r="G222" s="24" t="str">
        <x:v>Manga primary; anime adaptation</x:v>
      </x:c>
      <x:c r="H222" s="24" t="str">
        <x:v>Tier 2</x:v>
      </x:c>
      <x:c r="I222" s="24" t="str">
        <x:v>Human-to-titan transformation, military branches, walls, inherited powers, historical revelation.</x:v>
      </x:c>
      <x:c r="J222" s="24" t="str">
        <x:v>Treat adaptations/editions separately when taxonomically material.</x:v>
      </x:c>
      <x:c r="K222" s="84" t="str">
        <x:v>https://en.wikipedia.org/wiki/Attack_on_Titan</x:v>
      </x:c>
      <x:c r="L222" s="24" t="str">
        <x:v>Included</x:v>
      </x:c>
    </x:row>
    <x:row r="223" ht="42" customHeight="1">
      <x:c r="A223" s="24" t="str">
        <x:v>SRC-222</x:v>
      </x:c>
      <x:c r="B223" s="24" t="str">
        <x:v>Dorohedoro</x:v>
      </x:c>
      <x:c r="C223" s="24" t="str">
        <x:v>Q Hayashida</x:v>
      </x:c>
      <x:c r="D223" s="24" t="str">
        <x:v>Manga / Anime</x:v>
      </x:c>
      <x:c r="E223" s="24" t="str">
        <x:v>Japan</x:v>
      </x:c>
      <x:c r="F223" s="24" t="str">
        <x:v>2000</x:v>
      </x:c>
      <x:c r="G223" s="24" t="str">
        <x:v>Manga and anime adaptation</x:v>
      </x:c>
      <x:c r="H223" s="24" t="str">
        <x:v>Tier 2</x:v>
      </x:c>
      <x:c r="I223" s="24" t="str">
        <x:v>Sorcerer species/class, smoke-based powers, body transformation, devils, violent city ecology.</x:v>
      </x:c>
      <x:c r="J223" s="24" t="str">
        <x:v>Treat adaptations/editions separately when taxonomically material.</x:v>
      </x:c>
      <x:c r="K223" s="84" t="str">
        <x:v>https://en.wikipedia.org/wiki/Dorohedoro</x:v>
      </x:c>
      <x:c r="L223" s="24" t="str">
        <x:v>Included</x:v>
      </x:c>
    </x:row>
    <x:row r="224" ht="42" customHeight="1">
      <x:c r="A224" s="24" t="str">
        <x:v>SRC-223</x:v>
      </x:c>
      <x:c r="B224" s="24" t="str">
        <x:v>Witch Hat Atelier</x:v>
      </x:c>
      <x:c r="C224" s="24" t="str">
        <x:v>Kamome Shirahama</x:v>
      </x:c>
      <x:c r="D224" s="24" t="str">
        <x:v>Manga / Anime</x:v>
      </x:c>
      <x:c r="E224" s="24" t="str">
        <x:v>Japan</x:v>
      </x:c>
      <x:c r="F224" s="24" t="str">
        <x:v>2016</x:v>
      </x:c>
      <x:c r="G224" s="24" t="str">
        <x:v>Manga; anime adaptation</x:v>
      </x:c>
      <x:c r="H224" s="24" t="str">
        <x:v>Tier 1</x:v>
      </x:c>
      <x:c r="I224" s="24" t="str">
        <x:v>Drawn-circle magic, institutional secrecy, witch apprenticeship, ethics of access and disability.</x:v>
      </x:c>
      <x:c r="J224" s="24" t="str">
        <x:v>Treat adaptations/editions separately when taxonomically material.</x:v>
      </x:c>
      <x:c r="K224" s="84" t="str">
        <x:v>https://en.wikipedia.org/wiki/Witch_Hat_Atelier</x:v>
      </x:c>
      <x:c r="L224" s="24" t="str">
        <x:v>Included</x:v>
      </x:c>
    </x:row>
    <x:row r="225" ht="42" customHeight="1">
      <x:c r="A225" s="24" t="str">
        <x:v>SRC-224</x:v>
      </x:c>
      <x:c r="B225" s="24" t="str">
        <x:v>The Faraway Paladin</x:v>
      </x:c>
      <x:c r="C225" s="24" t="str">
        <x:v>Kanata Yanagino</x:v>
      </x:c>
      <x:c r="D225" s="24" t="str">
        <x:v>Light Novel / Anime</x:v>
      </x:c>
      <x:c r="E225" s="24" t="str">
        <x:v>Japan</x:v>
      </x:c>
      <x:c r="F225" s="24" t="str">
        <x:v>2015</x:v>
      </x:c>
      <x:c r="G225" s="24" t="str">
        <x:v>Novel and anime adaptation</x:v>
      </x:c>
      <x:c r="H225" s="24" t="str">
        <x:v>Tier 2</x:v>
      </x:c>
      <x:c r="I225" s="24" t="str">
        <x:v>Reincarnated paladin, undead foster family, divine oath, frontier restoration.</x:v>
      </x:c>
      <x:c r="J225" s="24" t="str">
        <x:v>Treat adaptations/editions separately when taxonomically material.</x:v>
      </x:c>
      <x:c r="K225" s="84" t="str">
        <x:v>https://en.wikipedia.org/wiki/The_Faraway_Paladin</x:v>
      </x:c>
      <x:c r="L225" s="24" t="str">
        <x:v>Included</x:v>
      </x:c>
    </x:row>
    <x:row r="226" ht="42" customHeight="1">
      <x:c r="A226" s="24" t="str">
        <x:v>SRC-225</x:v>
      </x:c>
      <x:c r="B226" s="24" t="str">
        <x:v>The Seven Deadly Sins</x:v>
      </x:c>
      <x:c r="C226" s="24" t="str">
        <x:v>Nakaba Suzuki</x:v>
      </x:c>
      <x:c r="D226" s="24" t="str">
        <x:v>Manga / Anime</x:v>
      </x:c>
      <x:c r="E226" s="24" t="str">
        <x:v>Japan</x:v>
      </x:c>
      <x:c r="F226" s="24" t="str">
        <x:v>2012</x:v>
      </x:c>
      <x:c r="G226" s="24" t="str">
        <x:v>Manga and anime adaptation</x:v>
      </x:c>
      <x:c r="H226" s="24" t="str">
        <x:v>Tier 2</x:v>
      </x:c>
      <x:c r="I226" s="24" t="str">
        <x:v>Knight orders, demon/goddess/fairy/giant peoples, sins as identities, transformations.</x:v>
      </x:c>
      <x:c r="J226" s="24" t="str">
        <x:v>Treat adaptations/editions separately when taxonomically material.</x:v>
      </x:c>
      <x:c r="K226" s="84" t="str">
        <x:v>https://en.wikipedia.org/wiki/The_Seven_Deadly_Sins</x:v>
      </x:c>
      <x:c r="L226" s="24" t="str">
        <x:v>Included</x:v>
      </x:c>
    </x:row>
    <x:row r="227" ht="42" customHeight="1">
      <x:c r="A227" s="24" t="str">
        <x:v>SRC-226</x:v>
      </x:c>
      <x:c r="B227" s="24" t="str">
        <x:v>Black Clover</x:v>
      </x:c>
      <x:c r="C227" s="24" t="str">
        <x:v>Yūki Tabata</x:v>
      </x:c>
      <x:c r="D227" s="24" t="str">
        <x:v>Manga / Anime</x:v>
      </x:c>
      <x:c r="E227" s="24" t="str">
        <x:v>Japan</x:v>
      </x:c>
      <x:c r="F227" s="24" t="str">
        <x:v>2015</x:v>
      </x:c>
      <x:c r="G227" s="24" t="str">
        <x:v>Manga and anime adaptation</x:v>
      </x:c>
      <x:c r="H227" s="24" t="str">
        <x:v>Tier 2</x:v>
      </x:c>
      <x:c r="I227" s="24" t="str">
        <x:v>Magic knight squads, grimoires, anti-magic, elves, devils, rank and rivalry.</x:v>
      </x:c>
      <x:c r="J227" s="24" t="str">
        <x:v>Treat adaptations/editions separately when taxonomically material.</x:v>
      </x:c>
      <x:c r="K227" s="84" t="str">
        <x:v>https://en.wikipedia.org/wiki/Black_Clover</x:v>
      </x:c>
      <x:c r="L227" s="24" t="str">
        <x:v>Included</x:v>
      </x:c>
    </x:row>
    <x:row r="228" ht="42" customHeight="1">
      <x:c r="A228" s="24" t="str">
        <x:v>SRC-227</x:v>
      </x:c>
      <x:c r="B228" s="24" t="str">
        <x:v>Fairy Tail</x:v>
      </x:c>
      <x:c r="C228" s="24" t="str">
        <x:v>Hiro Mashima</x:v>
      </x:c>
      <x:c r="D228" s="24" t="str">
        <x:v>Manga / Anime</x:v>
      </x:c>
      <x:c r="E228" s="24" t="str">
        <x:v>Japan</x:v>
      </x:c>
      <x:c r="F228" s="24" t="str">
        <x:v>2006</x:v>
      </x:c>
      <x:c r="G228" s="24" t="str">
        <x:v>Manga and anime adaptation</x:v>
      </x:c>
      <x:c r="H228" s="24" t="str">
        <x:v>Tier 2</x:v>
      </x:c>
      <x:c r="I228" s="24" t="str">
        <x:v>Wizard guilds, magic types, dragon slayers, team bonds, ranked jobs.</x:v>
      </x:c>
      <x:c r="J228" s="24" t="str">
        <x:v>Treat adaptations/editions separately when taxonomically material.</x:v>
      </x:c>
      <x:c r="K228" s="84" t="str">
        <x:v>https://en.wikipedia.org/wiki/Fairy_Tail</x:v>
      </x:c>
      <x:c r="L228" s="24" t="str">
        <x:v>Included</x:v>
      </x:c>
    </x:row>
    <x:row r="229" ht="42" customHeight="1">
      <x:c r="A229" s="24" t="str">
        <x:v>SRC-228</x:v>
      </x:c>
      <x:c r="B229" s="24" t="str">
        <x:v>The Vision of Escaflowne</x:v>
      </x:c>
      <x:c r="C229" s="24" t="str">
        <x:v>Sunrise / Shoji Kawamori</x:v>
      </x:c>
      <x:c r="D229" s="24" t="str">
        <x:v>Anime / Manga</x:v>
      </x:c>
      <x:c r="E229" s="24" t="str">
        <x:v>Japan</x:v>
      </x:c>
      <x:c r="F229" s="24" t="str">
        <x:v>1996</x:v>
      </x:c>
      <x:c r="G229" s="24" t="str">
        <x:v>Anime primary and adaptations</x:v>
      </x:c>
      <x:c r="H229" s="24" t="str">
        <x:v>Tier 2</x:v>
      </x:c>
      <x:c r="I229" s="24" t="str">
        <x:v>Isekai, dragon-blooded warrior, mecha-fantasy knights, prophecy, kingdoms.</x:v>
      </x:c>
      <x:c r="J229" s="24" t="str">
        <x:v>Treat adaptations/editions separately when taxonomically material.</x:v>
      </x:c>
      <x:c r="K229" s="84" t="str">
        <x:v>https://en.wikipedia.org/wiki/The_Vision_of_Escaflowne</x:v>
      </x:c>
      <x:c r="L229" s="24" t="str">
        <x:v>Included</x:v>
      </x:c>
    </x:row>
    <x:row r="230" ht="42" customHeight="1">
      <x:c r="A230" s="24" t="str">
        <x:v>SRC-229</x:v>
      </x:c>
      <x:c r="B230" s="24" t="str">
        <x:v>Princess Mononoke</x:v>
      </x:c>
      <x:c r="C230" s="24" t="str">
        <x:v>Hayao Miyazaki / Studio Ghibli</x:v>
      </x:c>
      <x:c r="D230" s="24" t="str">
        <x:v>Animated Film</x:v>
      </x:c>
      <x:c r="E230" s="24" t="str">
        <x:v>Japan</x:v>
      </x:c>
      <x:c r="F230" s="24" t="str">
        <x:v>1997</x:v>
      </x:c>
      <x:c r="G230" s="24" t="str">
        <x:v>Film continuity</x:v>
      </x:c>
      <x:c r="H230" s="24" t="str">
        <x:v>Tier 1</x:v>
      </x:c>
      <x:c r="I230" s="24" t="str">
        <x:v>Animal gods, forest spirit, cursed warrior, industrial settlement, ecological conflict.</x:v>
      </x:c>
      <x:c r="J230" s="24" t="str">
        <x:v>Treat adaptations/editions separately when taxonomically material.</x:v>
      </x:c>
      <x:c r="K230" s="84" t="str">
        <x:v>https://en.wikipedia.org/wiki/Princess_Mononoke</x:v>
      </x:c>
      <x:c r="L230" s="24" t="str">
        <x:v>Included</x:v>
      </x:c>
    </x:row>
    <x:row r="231" ht="42" customHeight="1">
      <x:c r="A231" s="24" t="str">
        <x:v>SRC-230</x:v>
      </x:c>
      <x:c r="B231" s="24" t="str">
        <x:v>Nausicaä of the Valley of the Wind</x:v>
      </x:c>
      <x:c r="C231" s="24" t="str">
        <x:v>Hayao Miyazaki</x:v>
      </x:c>
      <x:c r="D231" s="24" t="str">
        <x:v>Manga / Animated Film</x:v>
      </x:c>
      <x:c r="E231" s="24" t="str">
        <x:v>Japan</x:v>
      </x:c>
      <x:c r="F231" s="24" t="str">
        <x:v>1982 manga / 1984 film</x:v>
      </x:c>
      <x:c r="G231" s="24" t="str">
        <x:v>Manga and film continuities</x:v>
      </x:c>
      <x:c r="H231" s="24" t="str">
        <x:v>Tier 1</x:v>
      </x:c>
      <x:c r="I231" s="24" t="str">
        <x:v>Post-apocalyptic ecology, princess mediator, giant warriors, insect world, toxic forest.</x:v>
      </x:c>
      <x:c r="J231" s="24" t="str">
        <x:v>Treat adaptations/editions separately when taxonomically material.</x:v>
      </x:c>
      <x:c r="K231" s="84" t="str">
        <x:v>https://en.wikipedia.org/wiki/Nausica%C3%A4_of_the_Valley_of_the_Wind</x:v>
      </x:c>
      <x:c r="L231" s="24" t="str">
        <x:v>Included</x:v>
      </x:c>
    </x:row>
    <x:row r="232" ht="42" customHeight="1">
      <x:c r="A232" s="24" t="str">
        <x:v>SRC-231</x:v>
      </x:c>
      <x:c r="B232" s="24" t="str">
        <x:v>Spirited Away</x:v>
      </x:c>
      <x:c r="C232" s="24" t="str">
        <x:v>Hayao Miyazaki / Studio Ghibli</x:v>
      </x:c>
      <x:c r="D232" s="24" t="str">
        <x:v>Animated Film</x:v>
      </x:c>
      <x:c r="E232" s="24" t="str">
        <x:v>Japan</x:v>
      </x:c>
      <x:c r="F232" s="24" t="str">
        <x:v>2001</x:v>
      </x:c>
      <x:c r="G232" s="24" t="str">
        <x:v>Film continuity</x:v>
      </x:c>
      <x:c r="H232" s="24" t="str">
        <x:v>Tier 1</x:v>
      </x:c>
      <x:c r="I232" s="24" t="str">
        <x:v>Spirit bathhouse institutions, name loss, transformation, kami/yōkai-inspired beings, labor.</x:v>
      </x:c>
      <x:c r="J232" s="24" t="str">
        <x:v>Treat adaptations/editions separately when taxonomically material.</x:v>
      </x:c>
      <x:c r="K232" s="84" t="str">
        <x:v>https://en.wikipedia.org/wiki/Spirited_Away</x:v>
      </x:c>
      <x:c r="L232" s="24" t="str">
        <x:v>Included</x:v>
      </x:c>
    </x:row>
    <x:row r="233" ht="42" customHeight="1">
      <x:c r="A233" s="24" t="str">
        <x:v>SRC-232</x:v>
      </x:c>
      <x:c r="B233" s="24" t="str">
        <x:v>Dragon Ball</x:v>
      </x:c>
      <x:c r="C233" s="24" t="str">
        <x:v>Akira Toriyama</x:v>
      </x:c>
      <x:c r="D233" s="24" t="str">
        <x:v>Manga / Anime</x:v>
      </x:c>
      <x:c r="E233" s="24" t="str">
        <x:v>Japan</x:v>
      </x:c>
      <x:c r="F233" s="24" t="str">
        <x:v>1984</x:v>
      </x:c>
      <x:c r="G233" s="24" t="str">
        <x:v>Multiple series and continuities</x:v>
      </x:c>
      <x:c r="H233" s="24" t="str">
        <x:v>Tier 2</x:v>
      </x:c>
      <x:c r="I233" s="24" t="str">
        <x:v>Martial ki, alien peoples, transformations, wish-granting dragons, tournament structure.</x:v>
      </x:c>
      <x:c r="J233" s="24" t="str">
        <x:v>Treat adaptations/editions separately when taxonomically material.</x:v>
      </x:c>
      <x:c r="K233" s="84" t="str">
        <x:v>https://en.wikipedia.org/wiki/Dragon_Ball</x:v>
      </x:c>
      <x:c r="L233" s="24" t="str">
        <x:v>Included</x:v>
      </x:c>
    </x:row>
    <x:row r="234" ht="42" customHeight="1">
      <x:c r="A234" s="24" t="str">
        <x:v>SRC-233</x:v>
      </x:c>
      <x:c r="B234" s="24" t="str">
        <x:v>Jujutsu Kaisen</x:v>
      </x:c>
      <x:c r="C234" s="24" t="str">
        <x:v>Gege Akutami</x:v>
      </x:c>
      <x:c r="D234" s="24" t="str">
        <x:v>Manga / Anime</x:v>
      </x:c>
      <x:c r="E234" s="24" t="str">
        <x:v>Japan</x:v>
      </x:c>
      <x:c r="F234" s="24" t="str">
        <x:v>2018</x:v>
      </x:c>
      <x:c r="G234" s="24" t="str">
        <x:v>Manga and anime adaptation</x:v>
      </x:c>
      <x:c r="H234" s="24" t="str">
        <x:v>Tier 2</x:v>
      </x:c>
      <x:c r="I234" s="24" t="str">
        <x:v>Cursed energy, sorcerer school, inherited techniques, spirits, domains, possession.</x:v>
      </x:c>
      <x:c r="J234" s="24" t="str">
        <x:v>Treat adaptations/editions separately when taxonomically material.</x:v>
      </x:c>
      <x:c r="K234" s="84" t="str">
        <x:v>https://en.wikipedia.org/wiki/Jujutsu_Kaisen</x:v>
      </x:c>
      <x:c r="L234" s="24" t="str">
        <x:v>Included</x:v>
      </x:c>
    </x:row>
    <x:row r="235" ht="42" customHeight="1">
      <x:c r="A235" s="24" t="str">
        <x:v>SRC-234</x:v>
      </x:c>
      <x:c r="B235" s="24" t="str">
        <x:v>Chainsaw Man</x:v>
      </x:c>
      <x:c r="C235" s="24" t="str">
        <x:v>Tatsuki Fujimoto</x:v>
      </x:c>
      <x:c r="D235" s="24" t="str">
        <x:v>Manga / Anime</x:v>
      </x:c>
      <x:c r="E235" s="24" t="str">
        <x:v>Japan</x:v>
      </x:c>
      <x:c r="F235" s="24" t="str">
        <x:v>2018</x:v>
      </x:c>
      <x:c r="G235" s="24" t="str">
        <x:v>Manga and anime adaptation</x:v>
      </x:c>
      <x:c r="H235" s="24" t="str">
        <x:v>Tier 2</x:v>
      </x:c>
      <x:c r="I235" s="24" t="str">
        <x:v>Devils as concepts, contracts, hybrid transformation, hunters, bureaucratic exploitation.</x:v>
      </x:c>
      <x:c r="J235" s="24" t="str">
        <x:v>Treat adaptations/editions separately when taxonomically material.</x:v>
      </x:c>
      <x:c r="K235" s="84" t="str">
        <x:v>https://en.wikipedia.org/wiki/Chainsaw_Man</x:v>
      </x:c>
      <x:c r="L235" s="24" t="str">
        <x:v>Included</x:v>
      </x:c>
    </x:row>
    <x:row r="236" ht="42" customHeight="1">
      <x:c r="A236" s="24" t="str">
        <x:v>SRC-235</x:v>
      </x:c>
      <x:c r="B236" s="24" t="str">
        <x:v>Solo Leveling</x:v>
      </x:c>
      <x:c r="C236" s="24" t="str">
        <x:v>Chugong and DUBU adaptation</x:v>
      </x:c>
      <x:c r="D236" s="24" t="str">
        <x:v>Web Novel / Manhwa / Anime</x:v>
      </x:c>
      <x:c r="E236" s="24" t="str">
        <x:v>South Korea</x:v>
      </x:c>
      <x:c r="F236" s="24" t="str">
        <x:v>2016</x:v>
      </x:c>
      <x:c r="G236" s="24" t="str">
        <x:v>Novel, manhwa, anime adaptations</x:v>
      </x:c>
      <x:c r="H236" s="24" t="str">
        <x:v>Tier 1</x:v>
      </x:c>
      <x:c r="I236" s="24" t="str">
        <x:v>Hunter ranks, gates, system user, hidden class, shadow army, power progression.</x:v>
      </x:c>
      <x:c r="J236" s="24" t="str">
        <x:v>Treat adaptations/editions separately when taxonomically material.</x:v>
      </x:c>
      <x:c r="K236" s="84" t="str">
        <x:v>https://en.wikipedia.org/wiki/Solo_Leveling</x:v>
      </x:c>
      <x:c r="L236" s="24" t="str">
        <x:v>Included</x:v>
      </x:c>
    </x:row>
    <x:row r="237" ht="42" customHeight="1">
      <x:c r="A237" s="24" t="str">
        <x:v>SRC-236</x:v>
      </x:c>
      <x:c r="B237" s="24" t="str">
        <x:v>Omniscient Reader's Viewpoint</x:v>
      </x:c>
      <x:c r="C237" s="24" t="str">
        <x:v>singNsong</x:v>
      </x:c>
      <x:c r="D237" s="24" t="str">
        <x:v>Web Novel / Manhwa</x:v>
      </x:c>
      <x:c r="E237" s="24" t="str">
        <x:v>South Korea</x:v>
      </x:c>
      <x:c r="F237" s="24" t="str">
        <x:v>2018</x:v>
      </x:c>
      <x:c r="G237" s="24" t="str">
        <x:v>Novel and adaptations</x:v>
      </x:c>
      <x:c r="H237" s="24" t="str">
        <x:v>Tier 1</x:v>
      </x:c>
      <x:c r="I237" s="24" t="str">
        <x:v>Scenario system, constellations, narrative knowledge, incarnations, sponsor powers, regressors.</x:v>
      </x:c>
      <x:c r="J237" s="24" t="str">
        <x:v>Treat adaptations/editions separately when taxonomically material.</x:v>
      </x:c>
      <x:c r="K237" s="84" t="str">
        <x:v>https://en.wikipedia.org/wiki/Omniscient_Reader's_Viewpoint</x:v>
      </x:c>
      <x:c r="L237" s="24" t="str">
        <x:v>Included</x:v>
      </x:c>
    </x:row>
    <x:row r="238" ht="42" customHeight="1">
      <x:c r="A238" s="24" t="str">
        <x:v>SRC-237</x:v>
      </x:c>
      <x:c r="B238" s="24" t="str">
        <x:v>Tower of God</x:v>
      </x:c>
      <x:c r="C238" s="24" t="str">
        <x:v>S.I.U.</x:v>
      </x:c>
      <x:c r="D238" s="24" t="str">
        <x:v>Webtoon / Anime</x:v>
      </x:c>
      <x:c r="E238" s="24" t="str">
        <x:v>South Korea</x:v>
      </x:c>
      <x:c r="F238" s="24" t="str">
        <x:v>2010</x:v>
      </x:c>
      <x:c r="G238" s="24" t="str">
        <x:v>Webtoon and anime adaptation</x:v>
      </x:c>
      <x:c r="H238" s="24" t="str">
        <x:v>Tier 2</x:v>
      </x:c>
      <x:c r="I238" s="24" t="str">
        <x:v>Tower tests, positions as classes, irregulars, species, families, rankers.</x:v>
      </x:c>
      <x:c r="J238" s="24" t="str">
        <x:v>Treat adaptations/editions separately when taxonomically material.</x:v>
      </x:c>
      <x:c r="K238" s="84" t="str">
        <x:v>https://en.wikipedia.org/wiki/Tower_of_God</x:v>
      </x:c>
      <x:c r="L238" s="24" t="str">
        <x:v>Included</x:v>
      </x:c>
    </x:row>
    <x:row r="239" ht="42" customHeight="1">
      <x:c r="A239" s="24" t="str">
        <x:v>SRC-238</x:v>
      </x:c>
      <x:c r="B239" s="24" t="str">
        <x:v>The God of High School</x:v>
      </x:c>
      <x:c r="C239" s="24" t="str">
        <x:v>Yongje Park</x:v>
      </x:c>
      <x:c r="D239" s="24" t="str">
        <x:v>Webtoon / Anime</x:v>
      </x:c>
      <x:c r="E239" s="24" t="str">
        <x:v>South Korea</x:v>
      </x:c>
      <x:c r="F239" s="24" t="str">
        <x:v>2011</x:v>
      </x:c>
      <x:c r="G239" s="24" t="str">
        <x:v>Webtoon and anime adaptation</x:v>
      </x:c>
      <x:c r="H239" s="24" t="str">
        <x:v>Tier 3</x:v>
      </x:c>
      <x:c r="I239" s="24" t="str">
        <x:v>Tournament, borrowed divine power, martial arts, gods, myth fusion.</x:v>
      </x:c>
      <x:c r="J239" s="24" t="str">
        <x:v>Treat adaptations/editions separately when taxonomically material.</x:v>
      </x:c>
      <x:c r="K239" s="84" t="str">
        <x:v>https://en.wikipedia.org/wiki/The_God_of_High_School</x:v>
      </x:c>
      <x:c r="L239" s="24" t="str">
        <x:v>Included</x:v>
      </x:c>
    </x:row>
    <x:row r="240" ht="42" customHeight="1">
      <x:c r="A240" s="24" t="str">
        <x:v>SRC-239</x:v>
      </x:c>
      <x:c r="B240" s="24" t="str">
        <x:v>The King's Avatar</x:v>
      </x:c>
      <x:c r="C240" s="24" t="str">
        <x:v>Hu Dielan</x:v>
      </x:c>
      <x:c r="D240" s="24" t="str">
        <x:v>Web Novel / Animation</x:v>
      </x:c>
      <x:c r="E240" s="24" t="str">
        <x:v>China</x:v>
      </x:c>
      <x:c r="F240" s="24" t="str">
        <x:v>2011</x:v>
      </x:c>
      <x:c r="G240" s="24" t="str">
        <x:v>Novel and adaptations</x:v>
      </x:c>
      <x:c r="H240" s="24" t="str">
        <x:v>Tier 2</x:v>
      </x:c>
      <x:c r="I240" s="24" t="str">
        <x:v>MMO classes, professional roles, guilds, esports rather than in-world fantasy ontology.</x:v>
      </x:c>
      <x:c r="J240" s="24" t="str">
        <x:v>Treat adaptations/editions separately when taxonomically material.</x:v>
      </x:c>
      <x:c r="K240" s="84" t="str">
        <x:v>https://en.wikipedia.org/wiki/The_King's_Avatar</x:v>
      </x:c>
      <x:c r="L240" s="24" t="str">
        <x:v>Included</x:v>
      </x:c>
    </x:row>
    <x:row r="241" ht="42" customHeight="1">
      <x:c r="A241" s="24" t="str">
        <x:v>SRC-240</x:v>
      </x:c>
      <x:c r="B241" s="24" t="str">
        <x:v>Soul Land / Douluo Dalu</x:v>
      </x:c>
      <x:c r="C241" s="24" t="str">
        <x:v>Tang Jia San Shao</x:v>
      </x:c>
      <x:c r="D241" s="24" t="str">
        <x:v>Web Novel / Donghua / Manhua</x:v>
      </x:c>
      <x:c r="E241" s="24" t="str">
        <x:v>China</x:v>
      </x:c>
      <x:c r="F241" s="24" t="str">
        <x:v>2008</x:v>
      </x:c>
      <x:c r="G241" s="24" t="str">
        <x:v>Novel and adaptations</x:v>
      </x:c>
      <x:c r="H241" s="24" t="str">
        <x:v>Tier 1</x:v>
      </x:c>
      <x:c r="I241" s="24" t="str">
        <x:v>Spirit masters, spirit rings, martial souls, ranks, sects, beasts, cultivation progression.</x:v>
      </x:c>
      <x:c r="J241" s="24" t="str">
        <x:v>Treat adaptations/editions separately when taxonomically material.</x:v>
      </x:c>
      <x:c r="K241" s="84" t="str">
        <x:v>https://en.wikipedia.org/wiki/Soul_Land_%2F_Douluo_Dalu</x:v>
      </x:c>
      <x:c r="L241" s="24" t="str">
        <x:v>Included</x:v>
      </x:c>
    </x:row>
    <x:row r="242" ht="42" customHeight="1">
      <x:c r="A242" s="24" t="str">
        <x:v>SRC-241</x:v>
      </x:c>
      <x:c r="B242" s="24" t="str">
        <x:v>Heaven Official's Blessing</x:v>
      </x:c>
      <x:c r="C242" s="24" t="str">
        <x:v>Mo Xiang Tong Xiu</x:v>
      </x:c>
      <x:c r="D242" s="24" t="str">
        <x:v>Web Novel / Donghua</x:v>
      </x:c>
      <x:c r="E242" s="24" t="str">
        <x:v>China</x:v>
      </x:c>
      <x:c r="F242" s="24" t="str">
        <x:v>2017</x:v>
      </x:c>
      <x:c r="G242" s="24" t="str">
        <x:v>Novel and adaptations</x:v>
      </x:c>
      <x:c r="H242" s="24" t="str">
        <x:v>Tier 2</x:v>
      </x:c>
      <x:c r="I242" s="24" t="str">
        <x:v>Ascended officials, ghosts, spiritual power, heavenly bureaucracy, devotion.</x:v>
      </x:c>
      <x:c r="J242" s="24" t="str">
        <x:v>Treat adaptations/editions separately when taxonomically material.</x:v>
      </x:c>
      <x:c r="K242" s="84" t="str">
        <x:v>https://en.wikipedia.org/wiki/Heaven_Official's_Blessing</x:v>
      </x:c>
      <x:c r="L242" s="24" t="str">
        <x:v>Included</x:v>
      </x:c>
    </x:row>
    <x:row r="243" ht="42" customHeight="1">
      <x:c r="A243" s="24" t="str">
        <x:v>SRC-242</x:v>
      </x:c>
      <x:c r="B243" s="24" t="str">
        <x:v>The Legend of Hei</x:v>
      </x:c>
      <x:c r="C243" s="24" t="str">
        <x:v>MTJJ</x:v>
      </x:c>
      <x:c r="D243" s="24" t="str">
        <x:v>Animated Film / Web Animation</x:v>
      </x:c>
      <x:c r="E243" s="24" t="str">
        <x:v>China</x:v>
      </x:c>
      <x:c r="F243" s="24" t="str">
        <x:v>2011 web / 2019 film</x:v>
      </x:c>
      <x:c r="G243" s="24" t="str">
        <x:v>Animation continuity</x:v>
      </x:c>
      <x:c r="H243" s="24" t="str">
        <x:v>Tier 2</x:v>
      </x:c>
      <x:c r="I243" s="24" t="str">
        <x:v>Spirits, human-spirit coexistence, elemental domains, guild-like enforcement.</x:v>
      </x:c>
      <x:c r="J243" s="24" t="str">
        <x:v>Treat adaptations/editions separately when taxonomically material.</x:v>
      </x:c>
      <x:c r="K243" s="84" t="str">
        <x:v>https://en.wikipedia.org/wiki/The_Legend_of_Hei</x:v>
      </x:c>
      <x:c r="L243" s="24" t="str">
        <x:v>Included</x:v>
      </x:c>
    </x:row>
    <x:row r="244" ht="42" customHeight="1">
      <x:c r="A244" s="24" t="str">
        <x:v>SRC-243</x:v>
      </x:c>
      <x:c r="B244" s="24" t="str">
        <x:v>The Apothecary Diaries</x:v>
      </x:c>
      <x:c r="C244" s="24" t="str">
        <x:v>Natsu Hyūga</x:v>
      </x:c>
      <x:c r="D244" s="24" t="str">
        <x:v>Light Novel / Manga / Anime</x:v>
      </x:c>
      <x:c r="E244" s="24" t="str">
        <x:v>Japan</x:v>
      </x:c>
      <x:c r="F244" s="24" t="str">
        <x:v>2011</x:v>
      </x:c>
      <x:c r="G244" s="24" t="str">
        <x:v>Novel and adaptations</x:v>
      </x:c>
      <x:c r="H244" s="24" t="str">
        <x:v>Tier 3</x:v>
      </x:c>
      <x:c r="I244" s="24" t="str">
        <x:v>Apothecary role, court institutions, poison expertise, low-supernatural analytical framework.</x:v>
      </x:c>
      <x:c r="J244" s="24" t="str">
        <x:v>Treat adaptations/editions separately when taxonomically material.</x:v>
      </x:c>
      <x:c r="K244" s="84" t="str">
        <x:v>https://en.wikipedia.org/wiki/The_Apothecary_Diaries</x:v>
      </x:c>
      <x:c r="L244" s="24" t="str">
        <x:v>Included</x:v>
      </x:c>
    </x:row>
    <x:row r="245" ht="42" customHeight="1">
      <x:c r="A245" s="24" t="str">
        <x:v>SRC-244</x:v>
      </x:c>
      <x:c r="B245" s="24" t="str">
        <x:v>Ascendance of a Bookworm</x:v>
      </x:c>
      <x:c r="C245" s="24" t="str">
        <x:v>Miya Kazuki</x:v>
      </x:c>
      <x:c r="D245" s="24" t="str">
        <x:v>Light Novel / Anime</x:v>
      </x:c>
      <x:c r="E245" s="24" t="str">
        <x:v>Japan</x:v>
      </x:c>
      <x:c r="F245" s="24" t="str">
        <x:v>2013</x:v>
      </x:c>
      <x:c r="G245" s="24" t="str">
        <x:v>Novel and adaptations</x:v>
      </x:c>
      <x:c r="H245" s="24" t="str">
        <x:v>Tier 2</x:v>
      </x:c>
      <x:c r="I245" s="24" t="str">
        <x:v>Reincarnation, craft progression, temple/noble castes, mana, institution building.</x:v>
      </x:c>
      <x:c r="J245" s="24" t="str">
        <x:v>Treat adaptations/editions separately when taxonomically material.</x:v>
      </x:c>
      <x:c r="K245" s="84" t="str">
        <x:v>https://en.wikipedia.org/wiki/Ascendance_of_a_Bookworm</x:v>
      </x:c>
      <x:c r="L245" s="24" t="str">
        <x:v>Included</x:v>
      </x:c>
    </x:row>
    <x:row r="246" ht="42" customHeight="1">
      <x:c r="A246" s="24" t="str">
        <x:v>SRC-245</x:v>
      </x:c>
      <x:c r="B246" s="24" t="str">
        <x:v>So I'm a Spider, So What?</x:v>
      </x:c>
      <x:c r="C246" s="24" t="str">
        <x:v>Okina Baba</x:v>
      </x:c>
      <x:c r="D246" s="24" t="str">
        <x:v>Light Novel / Anime</x:v>
      </x:c>
      <x:c r="E246" s="24" t="str">
        <x:v>Japan</x:v>
      </x:c>
      <x:c r="F246" s="24" t="str">
        <x:v>2015</x:v>
      </x:c>
      <x:c r="G246" s="24" t="str">
        <x:v>Novel and adaptation</x:v>
      </x:c>
      <x:c r="H246" s="24" t="str">
        <x:v>Tier 2</x:v>
      </x:c>
      <x:c r="I246" s="24" t="str">
        <x:v>Monster reincarnation, evolution tree, system classes, parallel protagonists.</x:v>
      </x:c>
      <x:c r="J246" s="24" t="str">
        <x:v>Treat adaptations/editions separately when taxonomically material.</x:v>
      </x:c>
      <x:c r="K246" s="84" t="str">
        <x:v>https://en.wikipedia.org/wiki/So_I'm_a_Spider,_So_What%3F</x:v>
      </x:c>
      <x:c r="L246" s="24" t="str">
        <x:v>Included</x:v>
      </x:c>
    </x:row>
    <x:row r="247" ht="42" customHeight="1">
      <x:c r="A247" s="24" t="str">
        <x:v>SRC-246</x:v>
      </x:c>
      <x:c r="B247" s="24" t="str">
        <x:v>The Eminence in Shadow</x:v>
      </x:c>
      <x:c r="C247" s="24" t="str">
        <x:v>Daisuke Aizawa</x:v>
      </x:c>
      <x:c r="D247" s="24" t="str">
        <x:v>Light Novel / Anime</x:v>
      </x:c>
      <x:c r="E247" s="24" t="str">
        <x:v>Japan</x:v>
      </x:c>
      <x:c r="F247" s="24" t="str">
        <x:v>2018</x:v>
      </x:c>
      <x:c r="G247" s="24" t="str">
        <x:v>Novel and adaptations</x:v>
      </x:c>
      <x:c r="H247" s="24" t="str">
        <x:v>Tier 3</x:v>
      </x:c>
      <x:c r="I247" s="24" t="str">
        <x:v>Isekai role-play becoming reality, secret organization, overpowered protagonist, cult conspiracy.</x:v>
      </x:c>
      <x:c r="J247" s="24" t="str">
        <x:v>Treat adaptations/editions separately when taxonomically material.</x:v>
      </x:c>
      <x:c r="K247" s="84" t="str">
        <x:v>https://en.wikipedia.org/wiki/The_Eminence_in_Shadow</x:v>
      </x:c>
      <x:c r="L247" s="24" t="str">
        <x:v>Included</x:v>
      </x:c>
    </x:row>
    <x:row r="248" ht="42" customHeight="1">
      <x:c r="A248" s="24" t="str">
        <x:v>SRC-247</x:v>
      </x:c>
      <x:c r="B248" s="24" t="str">
        <x:v>The Dark Crystal</x:v>
      </x:c>
      <x:c r="C248" s="24" t="str">
        <x:v>Jim Henson and Frank Oz</x:v>
      </x:c>
      <x:c r="D248" s="24" t="str">
        <x:v>Film / Television</x:v>
      </x:c>
      <x:c r="E248" s="24" t="str">
        <x:v>United States / Britain</x:v>
      </x:c>
      <x:c r="F248" s="24" t="str">
        <x:v>1982</x:v>
      </x:c>
      <x:c r="G248" s="24" t="str">
        <x:v>Film and Age of Resistance series</x:v>
      </x:c>
      <x:c r="H248" s="24" t="str">
        <x:v>Tier 1</x:v>
      </x:c>
      <x:c r="I248" s="24" t="str">
        <x:v>Nonhuman-only world, Gelfling clans, Skeksis/Mystics, ecological cosmology, puppetry species design.</x:v>
      </x:c>
      <x:c r="J248" s="24" t="str">
        <x:v>Treat adaptations/editions separately when taxonomically material.</x:v>
      </x:c>
      <x:c r="K248" s="84" t="str">
        <x:v>https://en.wikipedia.org/wiki/The_Dark_Crystal</x:v>
      </x:c>
      <x:c r="L248" s="24" t="str">
        <x:v>Included</x:v>
      </x:c>
    </x:row>
    <x:row r="249" ht="42" customHeight="1">
      <x:c r="A249" s="24" t="str">
        <x:v>SRC-248</x:v>
      </x:c>
      <x:c r="B249" s="24" t="str">
        <x:v>Labyrinth</x:v>
      </x:c>
      <x:c r="C249" s="24" t="str">
        <x:v>Jim Henson</x:v>
      </x:c>
      <x:c r="D249" s="24" t="str">
        <x:v>Film</x:v>
      </x:c>
      <x:c r="E249" s="24" t="str">
        <x:v>Britain / United States</x:v>
      </x:c>
      <x:c r="F249" s="24" t="str">
        <x:v>1986</x:v>
      </x:c>
      <x:c r="G249" s="24" t="str">
        <x:v>Film continuity</x:v>
      </x:c>
      <x:c r="H249" s="24" t="str">
        <x:v>Tier 2</x:v>
      </x:c>
      <x:c r="I249" s="24" t="str">
        <x:v>Goblin king, maze as antagonist, fairy-tale bargain, creature society, coming-of-age quest.</x:v>
      </x:c>
      <x:c r="J249" s="24" t="str">
        <x:v>Treat adaptations/editions separately when taxonomically material.</x:v>
      </x:c>
      <x:c r="K249" s="84" t="str">
        <x:v>https://en.wikipedia.org/wiki/Labyrinth</x:v>
      </x:c>
      <x:c r="L249" s="24" t="str">
        <x:v>Included</x:v>
      </x:c>
    </x:row>
    <x:row r="250" ht="42" customHeight="1">
      <x:c r="A250" s="24" t="str">
        <x:v>SRC-249</x:v>
      </x:c>
      <x:c r="B250" s="24" t="str">
        <x:v>Willow</x:v>
      </x:c>
      <x:c r="C250" s="24" t="str">
        <x:v>George Lucas / Ron Howard and later Lucasfilm</x:v>
      </x:c>
      <x:c r="D250" s="24" t="str">
        <x:v>Film / Television</x:v>
      </x:c>
      <x:c r="E250" s="24" t="str">
        <x:v>United States</x:v>
      </x:c>
      <x:c r="F250" s="24" t="str">
        <x:v>1988</x:v>
      </x:c>
      <x:c r="G250" s="24" t="str">
        <x:v>Film and sequel series</x:v>
      </x:c>
      <x:c r="H250" s="24" t="str">
        <x:v>Tier 2</x:v>
      </x:c>
      <x:c r="I250" s="24" t="str">
        <x:v>Smallfolk hero, sorceress, warrior, prophecy, cursed transformation, quest party.</x:v>
      </x:c>
      <x:c r="J250" s="24" t="str">
        <x:v>Treat adaptations/editions separately when taxonomically material.</x:v>
      </x:c>
      <x:c r="K250" s="84" t="str">
        <x:v>https://en.wikipedia.org/wiki/Willow</x:v>
      </x:c>
      <x:c r="L250" s="24" t="str">
        <x:v>Included</x:v>
      </x:c>
    </x:row>
    <x:row r="251" ht="42" customHeight="1">
      <x:c r="A251" s="24" t="str">
        <x:v>SRC-250</x:v>
      </x:c>
      <x:c r="B251" s="24" t="str">
        <x:v>Legend</x:v>
      </x:c>
      <x:c r="C251" s="24" t="str">
        <x:v>Ridley Scott</x:v>
      </x:c>
      <x:c r="D251" s="24" t="str">
        <x:v>Film</x:v>
      </x:c>
      <x:c r="E251" s="24" t="str">
        <x:v>Britain / United States</x:v>
      </x:c>
      <x:c r="F251" s="24" t="str">
        <x:v>1985</x:v>
      </x:c>
      <x:c r="G251" s="24" t="str">
        <x:v>Film versions</x:v>
      </x:c>
      <x:c r="H251" s="24" t="str">
        <x:v>Tier 2</x:v>
      </x:c>
      <x:c r="I251" s="24" t="str">
        <x:v>Darkness sovereign, unicorns, forest beings, goblins, fairy-tale hero, light/dark symbolism.</x:v>
      </x:c>
      <x:c r="J251" s="24" t="str">
        <x:v>Treat adaptations/editions separately when taxonomically material.</x:v>
      </x:c>
      <x:c r="K251" s="84" t="str">
        <x:v>https://en.wikipedia.org/wiki/Legend</x:v>
      </x:c>
      <x:c r="L251" s="24" t="str">
        <x:v>Included</x:v>
      </x:c>
    </x:row>
    <x:row r="252" ht="42" customHeight="1">
      <x:c r="A252" s="24" t="str">
        <x:v>SRC-251</x:v>
      </x:c>
      <x:c r="B252" s="24" t="str">
        <x:v>The NeverEnding Story</x:v>
      </x:c>
      <x:c r="C252" s="24" t="str">
        <x:v>Wolfgang Petersen; based on Michael Ende</x:v>
      </x:c>
      <x:c r="D252" s="24" t="str">
        <x:v>Film</x:v>
      </x:c>
      <x:c r="E252" s="24" t="str">
        <x:v>Germany / United States</x:v>
      </x:c>
      <x:c r="F252" s="24" t="str">
        <x:v>1984</x:v>
      </x:c>
      <x:c r="G252" s="24" t="str">
        <x:v>Film adaptation continuity</x:v>
      </x:c>
      <x:c r="H252" s="24" t="str">
        <x:v>Tier 2</x:v>
      </x:c>
      <x:c r="I252" s="24" t="str">
        <x:v>Story world, child reader-hero, luckdragon, Nothing as threat, naming and imagination.</x:v>
      </x:c>
      <x:c r="J252" s="24" t="str">
        <x:v>Treat adaptations/editions separately when taxonomically material.</x:v>
      </x:c>
      <x:c r="K252" s="84" t="str">
        <x:v>https://en.wikipedia.org/wiki/The_NeverEnding_Story</x:v>
      </x:c>
      <x:c r="L252" s="24" t="str">
        <x:v>Included</x:v>
      </x:c>
    </x:row>
    <x:row r="253" ht="42" customHeight="1">
      <x:c r="A253" s="24" t="str">
        <x:v>SRC-252</x:v>
      </x:c>
      <x:c r="B253" s="24" t="str">
        <x:v>The Princess Bride</x:v>
      </x:c>
      <x:c r="C253" s="24" t="str">
        <x:v>Rob Reiner; William Goldman</x:v>
      </x:c>
      <x:c r="D253" s="24" t="str">
        <x:v>Film / Literature</x:v>
      </x:c>
      <x:c r="E253" s="24" t="str">
        <x:v>United States</x:v>
      </x:c>
      <x:c r="F253" s="24" t="str">
        <x:v>1987 film</x:v>
      </x:c>
      <x:c r="G253" s="24" t="str">
        <x:v>Film adaptation and novel</x:v>
      </x:c>
      <x:c r="H253" s="24" t="str">
        <x:v>Tier 2</x:v>
      </x:c>
      <x:c r="I253" s="24" t="str">
        <x:v>Swashbuckler, giant, mastermind, true love, fairy-tale parody, framed storytelling.</x:v>
      </x:c>
      <x:c r="J253" s="24" t="str">
        <x:v>Treat adaptations/editions separately when taxonomically material.</x:v>
      </x:c>
      <x:c r="K253" s="84" t="str">
        <x:v>https://en.wikipedia.org/wiki/The_Princess_Bride</x:v>
      </x:c>
      <x:c r="L253" s="24" t="str">
        <x:v>Included</x:v>
      </x:c>
    </x:row>
    <x:row r="254" ht="42" customHeight="1">
      <x:c r="A254" s="24" t="str">
        <x:v>SRC-253</x:v>
      </x:c>
      <x:c r="B254" s="24" t="str">
        <x:v>Conan the Barbarian Films</x:v>
      </x:c>
      <x:c r="C254" s="24" t="str">
        <x:v>John Milius and others; based on Robert E. Howard</x:v>
      </x:c>
      <x:c r="D254" s="24" t="str">
        <x:v>Film</x:v>
      </x:c>
      <x:c r="E254" s="24" t="str">
        <x:v>United States</x:v>
      </x:c>
      <x:c r="F254" s="24" t="str">
        <x:v>1982 onward</x:v>
      </x:c>
      <x:c r="G254" s="24" t="str">
        <x:v>Film continuities separate from stories</x:v>
      </x:c>
      <x:c r="H254" s="24" t="str">
        <x:v>Tier 2</x:v>
      </x:c>
      <x:c r="I254" s="24" t="str">
        <x:v>Barbarian iconography, cult, sorcerer, thief companions, sword-and-sorcery cinema.</x:v>
      </x:c>
      <x:c r="J254" s="24" t="str">
        <x:v>Treat adaptations/editions separately when taxonomically material.</x:v>
      </x:c>
      <x:c r="K254" s="84" t="str">
        <x:v>https://en.wikipedia.org/wiki/Conan_the_Barbarian_Films</x:v>
      </x:c>
      <x:c r="L254" s="24" t="str">
        <x:v>Included</x:v>
      </x:c>
    </x:row>
    <x:row r="255" ht="42" customHeight="1">
      <x:c r="A255" s="24" t="str">
        <x:v>SRC-254</x:v>
      </x:c>
      <x:c r="B255" s="24" t="str">
        <x:v>Excalibur</x:v>
      </x:c>
      <x:c r="C255" s="24" t="str">
        <x:v>John Boorman</x:v>
      </x:c>
      <x:c r="D255" s="24" t="str">
        <x:v>Film</x:v>
      </x:c>
      <x:c r="E255" s="24" t="str">
        <x:v>Britain / United States</x:v>
      </x:c>
      <x:c r="F255" s="24" t="str">
        <x:v>1981</x:v>
      </x:c>
      <x:c r="G255" s="24" t="str">
        <x:v>Arthurian film continuity</x:v>
      </x:c>
      <x:c r="H255" s="24" t="str">
        <x:v>Tier 2</x:v>
      </x:c>
      <x:c r="I255" s="24" t="str">
        <x:v>Arthurian roles, Merlin, sacred kingship, grail, knightly order, land and king.</x:v>
      </x:c>
      <x:c r="J255" s="24" t="str">
        <x:v>Treat adaptations/editions separately when taxonomically material.</x:v>
      </x:c>
      <x:c r="K255" s="84" t="str">
        <x:v>https://en.wikipedia.org/wiki/Excalibur</x:v>
      </x:c>
      <x:c r="L255" s="24" t="str">
        <x:v>Included</x:v>
      </x:c>
    </x:row>
    <x:row r="256" ht="42" customHeight="1">
      <x:c r="A256" s="24" t="str">
        <x:v>SRC-255</x:v>
      </x:c>
      <x:c r="B256" s="24" t="str">
        <x:v>Dragonheart</x:v>
      </x:c>
      <x:c r="C256" s="24" t="str">
        <x:v>Rob Cohen and franchise creators</x:v>
      </x:c>
      <x:c r="D256" s="24" t="str">
        <x:v>Film Franchise</x:v>
      </x:c>
      <x:c r="E256" s="24" t="str">
        <x:v>United States</x:v>
      </x:c>
      <x:c r="F256" s="24" t="str">
        <x:v>1996</x:v>
      </x:c>
      <x:c r="G256" s="24" t="str">
        <x:v>Film series</x:v>
      </x:c>
      <x:c r="H256" s="24" t="str">
        <x:v>Tier 2</x:v>
      </x:c>
      <x:c r="I256" s="24" t="str">
        <x:v>Dragon-human soul bond, knight redemption, last dragon, tyrant, draconic ethics.</x:v>
      </x:c>
      <x:c r="J256" s="24" t="str">
        <x:v>Treat adaptations/editions separately when taxonomically material.</x:v>
      </x:c>
      <x:c r="K256" s="84" t="str">
        <x:v>https://en.wikipedia.org/wiki/Dragonheart</x:v>
      </x:c>
      <x:c r="L256" s="24" t="str">
        <x:v>Included</x:v>
      </x:c>
    </x:row>
    <x:row r="257" ht="42" customHeight="1">
      <x:c r="A257" s="24" t="str">
        <x:v>SRC-256</x:v>
      </x:c>
      <x:c r="B257" s="24" t="str">
        <x:v>Pan's Labyrinth</x:v>
      </x:c>
      <x:c r="C257" s="24" t="str">
        <x:v>Guillermo del Toro</x:v>
      </x:c>
      <x:c r="D257" s="24" t="str">
        <x:v>Film</x:v>
      </x:c>
      <x:c r="E257" s="24" t="str">
        <x:v>Spain / Mexico</x:v>
      </x:c>
      <x:c r="F257" s="24" t="str">
        <x:v>2006</x:v>
      </x:c>
      <x:c r="G257" s="24" t="str">
        <x:v>Film continuity</x:v>
      </x:c>
      <x:c r="H257" s="24" t="str">
        <x:v>Tier 1</x:v>
      </x:c>
      <x:c r="I257" s="24" t="str">
        <x:v>Faun guide, underworld princess, fairy-tale trials, political violence, ambiguous fantasy.</x:v>
      </x:c>
      <x:c r="J257" s="24" t="str">
        <x:v>Treat adaptations/editions separately when taxonomically material.</x:v>
      </x:c>
      <x:c r="K257" s="84" t="str">
        <x:v>https://en.wikipedia.org/wiki/Pan's_Labyrinth</x:v>
      </x:c>
      <x:c r="L257" s="24" t="str">
        <x:v>Included</x:v>
      </x:c>
    </x:row>
    <x:row r="258" ht="42" customHeight="1">
      <x:c r="A258" s="24" t="str">
        <x:v>SRC-257</x:v>
      </x:c>
      <x:c r="B258" s="24" t="str">
        <x:v>Avatar: The Last Airbender</x:v>
      </x:c>
      <x:c r="C258" s="24" t="str">
        <x:v>Michael Dante DiMartino and Bryan Konietzko</x:v>
      </x:c>
      <x:c r="D258" s="24" t="str">
        <x:v>Animated Television</x:v>
      </x:c>
      <x:c r="E258" s="24" t="str">
        <x:v>United States</x:v>
      </x:c>
      <x:c r="F258" s="24" t="str">
        <x:v>2005</x:v>
      </x:c>
      <x:c r="G258" s="24" t="str">
        <x:v>Avatar universe and continuities</x:v>
      </x:c>
      <x:c r="H258" s="24" t="str">
        <x:v>Tier 1</x:v>
      </x:c>
      <x:c r="I258" s="24" t="str">
        <x:v>Elemental martial traditions, reincarnating Avatar, nations, spirit world, hybrid animals.</x:v>
      </x:c>
      <x:c r="J258" s="24" t="str">
        <x:v>Treat adaptations/editions separately when taxonomically material.</x:v>
      </x:c>
      <x:c r="K258" s="84" t="str">
        <x:v>https://en.wikipedia.org/wiki/Avatar:_The_Last_Airbender</x:v>
      </x:c>
      <x:c r="L258" s="24" t="str">
        <x:v>Included</x:v>
      </x:c>
    </x:row>
    <x:row r="259" ht="42" customHeight="1">
      <x:c r="A259" s="24" t="str">
        <x:v>SRC-258</x:v>
      </x:c>
      <x:c r="B259" s="24" t="str">
        <x:v>The Dragon Prince</x:v>
      </x:c>
      <x:c r="C259" s="24" t="str">
        <x:v>Aaron Ehasz and Justin Richmond</x:v>
      </x:c>
      <x:c r="D259" s="24" t="str">
        <x:v>Animated Television</x:v>
      </x:c>
      <x:c r="E259" s="24" t="str">
        <x:v>United States / Canada</x:v>
      </x:c>
      <x:c r="F259" s="24" t="str">
        <x:v>2018</x:v>
      </x:c>
      <x:c r="G259" s="24" t="str">
        <x:v>Series continuity</x:v>
      </x:c>
      <x:c r="H259" s="24" t="str">
        <x:v>Tier 1</x:v>
      </x:c>
      <x:c r="I259" s="24" t="str">
        <x:v>Elves by primal source, human dark magic, dragons, princes, mage roles, interspecies politics.</x:v>
      </x:c>
      <x:c r="J259" s="24" t="str">
        <x:v>Treat adaptations/editions separately when taxonomically material.</x:v>
      </x:c>
      <x:c r="K259" s="84" t="str">
        <x:v>https://en.wikipedia.org/wiki/The_Dragon_Prince</x:v>
      </x:c>
      <x:c r="L259" s="24" t="str">
        <x:v>Included</x:v>
      </x:c>
    </x:row>
    <x:row r="260" ht="42" customHeight="1">
      <x:c r="A260" s="24" t="str">
        <x:v>SRC-259</x:v>
      </x:c>
      <x:c r="B260" s="24" t="str">
        <x:v>Adventure Time</x:v>
      </x:c>
      <x:c r="C260" s="24" t="str">
        <x:v>Pendleton Ward</x:v>
      </x:c>
      <x:c r="D260" s="24" t="str">
        <x:v>Animated Television</x:v>
      </x:c>
      <x:c r="E260" s="24" t="str">
        <x:v>United States</x:v>
      </x:c>
      <x:c r="F260" s="24" t="str">
        <x:v>2010</x:v>
      </x:c>
      <x:c r="G260" s="24" t="str">
        <x:v>Land of Ooo continuity and spinoffs</x:v>
      </x:c>
      <x:c r="H260" s="24" t="str">
        <x:v>Tier 2</x:v>
      </x:c>
      <x:c r="I260" s="24" t="str">
        <x:v>Post-apocalyptic fantasy, candy people, vampires, wizards, elemental beings, genre recombination.</x:v>
      </x:c>
      <x:c r="J260" s="24" t="str">
        <x:v>Treat adaptations/editions separately when taxonomically material.</x:v>
      </x:c>
      <x:c r="K260" s="84" t="str">
        <x:v>https://en.wikipedia.org/wiki/Adventure_Time</x:v>
      </x:c>
      <x:c r="L260" s="24" t="str">
        <x:v>Included</x:v>
      </x:c>
    </x:row>
    <x:row r="261" ht="42" customHeight="1">
      <x:c r="A261" s="24" t="str">
        <x:v>SRC-260</x:v>
      </x:c>
      <x:c r="B261" s="24" t="str">
        <x:v>The Owl House</x:v>
      </x:c>
      <x:c r="C261" s="24" t="str">
        <x:v>Dana Terrace</x:v>
      </x:c>
      <x:c r="D261" s="24" t="str">
        <x:v>Animated Television</x:v>
      </x:c>
      <x:c r="E261" s="24" t="str">
        <x:v>United States</x:v>
      </x:c>
      <x:c r="F261" s="24" t="str">
        <x:v>2020</x:v>
      </x:c>
      <x:c r="G261" s="24" t="str">
        <x:v>Series continuity</x:v>
      </x:c>
      <x:c r="H261" s="24" t="str">
        <x:v>Tier 2</x:v>
      </x:c>
      <x:c r="I261" s="24" t="str">
        <x:v>Witch society, coven system, glyph magic, demon realm, school and authoritarian control.</x:v>
      </x:c>
      <x:c r="J261" s="24" t="str">
        <x:v>Treat adaptations/editions separately when taxonomically material.</x:v>
      </x:c>
      <x:c r="K261" s="84" t="str">
        <x:v>https://en.wikipedia.org/wiki/The_Owl_House</x:v>
      </x:c>
      <x:c r="L261" s="24" t="str">
        <x:v>Included</x:v>
      </x:c>
    </x:row>
    <x:row r="262" ht="42" customHeight="1">
      <x:c r="A262" s="24" t="str">
        <x:v>SRC-261</x:v>
      </x:c>
      <x:c r="B262" s="24" t="str">
        <x:v>She-Ra and the Princesses of Power</x:v>
      </x:c>
      <x:c r="C262" s="24" t="str">
        <x:v>Noelle Stevenson; DreamWorks</x:v>
      </x:c>
      <x:c r="D262" s="24" t="str">
        <x:v>Animated Television</x:v>
      </x:c>
      <x:c r="E262" s="24" t="str">
        <x:v>United States</x:v>
      </x:c>
      <x:c r="F262" s="24" t="str">
        <x:v>2018</x:v>
      </x:c>
      <x:c r="G262" s="24" t="str">
        <x:v>Reboot continuity</x:v>
      </x:c>
      <x:c r="H262" s="24" t="str">
        <x:v>Tier 2</x:v>
      </x:c>
      <x:c r="I262" s="24" t="str">
        <x:v>Transformation hero, princess power domains, rebellion, magical technology, chosen identity.</x:v>
      </x:c>
      <x:c r="J262" s="24" t="str">
        <x:v>Treat adaptations/editions separately when taxonomically material.</x:v>
      </x:c>
      <x:c r="K262" s="84" t="str">
        <x:v>https://en.wikipedia.org/wiki/She-Ra_and_the_Princesses_of_Power</x:v>
      </x:c>
      <x:c r="L262" s="24" t="str">
        <x:v>Included</x:v>
      </x:c>
    </x:row>
    <x:row r="263" ht="42" customHeight="1">
      <x:c r="A263" s="24" t="str">
        <x:v>SRC-262</x:v>
      </x:c>
      <x:c r="B263" s="24" t="str">
        <x:v>Castlevania Animated Universe</x:v>
      </x:c>
      <x:c r="C263" s="24" t="str">
        <x:v>Powerhouse Animation / Netflix; based on Konami</x:v>
      </x:c>
      <x:c r="D263" s="24" t="str">
        <x:v>Animated Television</x:v>
      </x:c>
      <x:c r="E263" s="24" t="str">
        <x:v>United States / Japan source</x:v>
      </x:c>
      <x:c r="F263" s="24" t="str">
        <x:v>2017</x:v>
      </x:c>
      <x:c r="G263" s="24" t="str">
        <x:v>Animated continuity</x:v>
      </x:c>
      <x:c r="H263" s="24" t="str">
        <x:v>Tier 2</x:v>
      </x:c>
      <x:c r="I263" s="24" t="str">
        <x:v>Vampire courts, forgemasters, monster hunters, magic speakers, church and rebellion.</x:v>
      </x:c>
      <x:c r="J263" s="24" t="str">
        <x:v>Treat adaptations/editions separately when taxonomically material.</x:v>
      </x:c>
      <x:c r="K263" s="84" t="str">
        <x:v>https://en.wikipedia.org/wiki/Castlevania_Animated_Universe</x:v>
      </x:c>
      <x:c r="L263" s="24" t="str">
        <x:v>Included</x:v>
      </x:c>
    </x:row>
    <x:row r="264" ht="42" customHeight="1">
      <x:c r="A264" s="24" t="str">
        <x:v>SRC-263</x:v>
      </x:c>
      <x:c r="B264" s="24" t="str">
        <x:v>Arcane</x:v>
      </x:c>
      <x:c r="C264" s="24" t="str">
        <x:v>Riot Games / Fortiche</x:v>
      </x:c>
      <x:c r="D264" s="24" t="str">
        <x:v>Animated Television</x:v>
      </x:c>
      <x:c r="E264" s="24" t="str">
        <x:v>United States / France</x:v>
      </x:c>
      <x:c r="F264" s="24" t="str">
        <x:v>2021</x:v>
      </x:c>
      <x:c r="G264" s="24" t="str">
        <x:v>League of Legends screen continuity</x:v>
      </x:c>
      <x:c r="H264" s="24" t="str">
        <x:v>Tier 1</x:v>
      </x:c>
      <x:c r="I264" s="24" t="str">
        <x:v>Magitech industrial cities, class conflict, inventors, enforcers, undercity factions, transformation.</x:v>
      </x:c>
      <x:c r="J264" s="24" t="str">
        <x:v>Treat adaptations/editions separately when taxonomically material.</x:v>
      </x:c>
      <x:c r="K264" s="84" t="str">
        <x:v>https://en.wikipedia.org/wiki/Arcane</x:v>
      </x:c>
      <x:c r="L264" s="24" t="str">
        <x:v>Included</x:v>
      </x:c>
    </x:row>
    <x:row r="265" ht="42" customHeight="1">
      <x:c r="A265" s="24" t="str">
        <x:v>SRC-264</x:v>
      </x:c>
      <x:c r="B265" s="24" t="str">
        <x:v>Game of Thrones</x:v>
      </x:c>
      <x:c r="C265" s="24" t="str">
        <x:v>HBO; based on George R. R. Martin</x:v>
      </x:c>
      <x:c r="D265" s="24" t="str">
        <x:v>Television</x:v>
      </x:c>
      <x:c r="E265" s="24" t="str">
        <x:v>United States</x:v>
      </x:c>
      <x:c r="F265" s="24" t="str">
        <x:v>2011</x:v>
      </x:c>
      <x:c r="G265" s="24" t="str">
        <x:v>Television adaptation continuity</x:v>
      </x:c>
      <x:c r="H265" s="24" t="str">
        <x:v>Tier 1</x:v>
      </x:c>
      <x:c r="I265" s="24" t="str">
        <x:v>Adapted Westerosi offices, cultures, magic, dragons, undead; significant divergences from books.</x:v>
      </x:c>
      <x:c r="J265" s="24" t="str">
        <x:v>Treat adaptations/editions separately when taxonomically material.</x:v>
      </x:c>
      <x:c r="K265" s="84" t="str">
        <x:v>https://en.wikipedia.org/wiki/Game_of_Thrones</x:v>
      </x:c>
      <x:c r="L265" s="24" t="str">
        <x:v>Included</x:v>
      </x:c>
    </x:row>
    <x:row r="266" ht="42" customHeight="1">
      <x:c r="A266" s="24" t="str">
        <x:v>SRC-265</x:v>
      </x:c>
      <x:c r="B266" s="24" t="str">
        <x:v>House of the Dragon</x:v>
      </x:c>
      <x:c r="C266" s="24" t="str">
        <x:v>HBO; based on George R. R. Martin</x:v>
      </x:c>
      <x:c r="D266" s="24" t="str">
        <x:v>Television</x:v>
      </x:c>
      <x:c r="E266" s="24" t="str">
        <x:v>United States</x:v>
      </x:c>
      <x:c r="F266" s="24" t="str">
        <x:v>2022</x:v>
      </x:c>
      <x:c r="G266" s="24" t="str">
        <x:v>Television adaptation continuity</x:v>
      </x:c>
      <x:c r="H266" s="24" t="str">
        <x:v>Tier 2</x:v>
      </x:c>
      <x:c r="I266" s="24" t="str">
        <x:v>Dragon-rider dynasty, succession war, court offices, family factions, prophetic legitimacy.</x:v>
      </x:c>
      <x:c r="J266" s="24" t="str">
        <x:v>Treat adaptations/editions separately when taxonomically material.</x:v>
      </x:c>
      <x:c r="K266" s="84" t="str">
        <x:v>https://en.wikipedia.org/wiki/House_of_the_Dragon</x:v>
      </x:c>
      <x:c r="L266" s="24" t="str">
        <x:v>Included</x:v>
      </x:c>
    </x:row>
    <x:row r="267" ht="42" customHeight="1">
      <x:c r="A267" s="24" t="str">
        <x:v>SRC-266</x:v>
      </x:c>
      <x:c r="B267" s="24" t="str">
        <x:v>The Lord of the Rings Film Trilogy</x:v>
      </x:c>
      <x:c r="C267" s="24" t="str">
        <x:v>Peter Jackson; New Line Cinema</x:v>
      </x:c>
      <x:c r="D267" s="24" t="str">
        <x:v>Film</x:v>
      </x:c>
      <x:c r="E267" s="24" t="str">
        <x:v>New Zealand / United States</x:v>
      </x:c>
      <x:c r="F267" s="24" t="str">
        <x:v>2001–2003</x:v>
      </x:c>
      <x:c r="G267" s="24" t="str">
        <x:v>Film adaptation continuity</x:v>
      </x:c>
      <x:c r="H267" s="24" t="str">
        <x:v>Tier 1</x:v>
      </x:c>
      <x:c r="I267" s="24" t="str">
        <x:v>Influential visual codification of Tolkien peoples, classes, monsters, and fellowship roles.</x:v>
      </x:c>
      <x:c r="J267" s="24" t="str">
        <x:v>Treat adaptations/editions separately when taxonomically material.</x:v>
      </x:c>
      <x:c r="K267" s="84" t="str">
        <x:v>https://en.wikipedia.org/wiki/The_Lord_of_the_Rings_Film_Trilogy</x:v>
      </x:c>
      <x:c r="L267" s="24" t="str">
        <x:v>Included</x:v>
      </x:c>
    </x:row>
    <x:row r="268" ht="42" customHeight="1">
      <x:c r="A268" s="24" t="str">
        <x:v>SRC-267</x:v>
      </x:c>
      <x:c r="B268" s="24" t="str">
        <x:v>The Rings of Power</x:v>
      </x:c>
      <x:c r="C268" s="24" t="str">
        <x:v>Amazon MGM Studios</x:v>
      </x:c>
      <x:c r="D268" s="24" t="str">
        <x:v>Television</x:v>
      </x:c>
      <x:c r="E268" s="24" t="str">
        <x:v>United States / New Zealand</x:v>
      </x:c>
      <x:c r="F268" s="24" t="str">
        <x:v>2022</x:v>
      </x:c>
      <x:c r="G268" s="24" t="str">
        <x:v>Licensed television continuity</x:v>
      </x:c>
      <x:c r="H268" s="24" t="str">
        <x:v>Tier 2</x:v>
      </x:c>
      <x:c r="I268" s="24" t="str">
        <x:v>Second Age adaptation, elves, dwarves, Númenor, proto-Harfoots, divine beings and forging.</x:v>
      </x:c>
      <x:c r="J268" s="24" t="str">
        <x:v>Treat adaptations/editions separately when taxonomically material.</x:v>
      </x:c>
      <x:c r="K268" s="84" t="str">
        <x:v>https://en.wikipedia.org/wiki/The_Rings_of_Power</x:v>
      </x:c>
      <x:c r="L268" s="24" t="str">
        <x:v>Included</x:v>
      </x:c>
    </x:row>
    <x:row r="269" ht="42" customHeight="1">
      <x:c r="A269" s="24" t="str">
        <x:v>SRC-268</x:v>
      </x:c>
      <x:c r="B269" s="24" t="str">
        <x:v>The Witcher Television Series</x:v>
      </x:c>
      <x:c r="C269" s="24" t="str">
        <x:v>Netflix; based on Andrzej Sapkowski</x:v>
      </x:c>
      <x:c r="D269" s="24" t="str">
        <x:v>Television</x:v>
      </x:c>
      <x:c r="E269" s="24" t="str">
        <x:v>United States / Poland source</x:v>
      </x:c>
      <x:c r="F269" s="24" t="str">
        <x:v>2019</x:v>
      </x:c>
      <x:c r="G269" s="24" t="str">
        <x:v>Television adaptation continuity</x:v>
      </x:c>
      <x:c r="H269" s="24" t="str">
        <x:v>Tier 2</x:v>
      </x:c>
      <x:c r="I269" s="24" t="str">
        <x:v>Adapted witchers, sorcerers, elves, monsters, timelines and schools; track divergences.</x:v>
      </x:c>
      <x:c r="J269" s="24" t="str">
        <x:v>Treat adaptations/editions separately when taxonomically material.</x:v>
      </x:c>
      <x:c r="K269" s="84" t="str">
        <x:v>https://en.wikipedia.org/wiki/The_Witcher_Television_Series</x:v>
      </x:c>
      <x:c r="L269" s="24" t="str">
        <x:v>Included</x:v>
      </x:c>
    </x:row>
    <x:row r="270" ht="42" customHeight="1">
      <x:c r="A270" s="24" t="str">
        <x:v>SRC-269</x:v>
      </x:c>
      <x:c r="B270" s="24" t="str">
        <x:v>The Wheel of Time Television Series</x:v>
      </x:c>
      <x:c r="C270" s="24" t="str">
        <x:v>Amazon MGM Studios; based on Robert Jordan</x:v>
      </x:c>
      <x:c r="D270" s="24" t="str">
        <x:v>Television</x:v>
      </x:c>
      <x:c r="E270" s="24" t="str">
        <x:v>United States</x:v>
      </x:c>
      <x:c r="F270" s="24" t="str">
        <x:v>2021</x:v>
      </x:c>
      <x:c r="G270" s="24" t="str">
        <x:v>Television adaptation continuity</x:v>
      </x:c>
      <x:c r="H270" s="24" t="str">
        <x:v>Tier 2</x:v>
      </x:c>
      <x:c r="I270" s="24" t="str">
        <x:v>Adapted channelers, Ajahs, Warders, ta'veren, cultures and Shadow forces; track divergences.</x:v>
      </x:c>
      <x:c r="J270" s="24" t="str">
        <x:v>Treat adaptations/editions separately when taxonomically material.</x:v>
      </x:c>
      <x:c r="K270" s="84" t="str">
        <x:v>https://en.wikipedia.org/wiki/The_Wheel_of_Time_Television_Series</x:v>
      </x:c>
      <x:c r="L270" s="24" t="str">
        <x:v>Included</x:v>
      </x:c>
    </x:row>
    <x:row r="271" ht="42" customHeight="1">
      <x:c r="A271" s="24" t="str">
        <x:v>SRC-270</x:v>
      </x:c>
      <x:c r="B271" s="24" t="str">
        <x:v>Carnival Row</x:v>
      </x:c>
      <x:c r="C271" s="24" t="str">
        <x:v>René Echevarria and Travis Beacham</x:v>
      </x:c>
      <x:c r="D271" s="24" t="str">
        <x:v>Television</x:v>
      </x:c>
      <x:c r="E271" s="24" t="str">
        <x:v>United States</x:v>
      </x:c>
      <x:c r="F271" s="24" t="str">
        <x:v>2019</x:v>
      </x:c>
      <x:c r="G271" s="24" t="str">
        <x:v>Series continuity</x:v>
      </x:c>
      <x:c r="H271" s="24" t="str">
        <x:v>Tier 2</x:v>
      </x:c>
      <x:c r="I271" s="24" t="str">
        <x:v>Fae refugees, colonial war, urban prejudice, detective role, mixed ancestry, political factions.</x:v>
      </x:c>
      <x:c r="J271" s="24" t="str">
        <x:v>Treat adaptations/editions separately when taxonomically material.</x:v>
      </x:c>
      <x:c r="K271" s="84" t="str">
        <x:v>https://en.wikipedia.org/wiki/Carnival_Row</x:v>
      </x:c>
      <x:c r="L271" s="24" t="str">
        <x:v>Included</x:v>
      </x:c>
    </x:row>
    <x:row r="272" ht="42" customHeight="1">
      <x:c r="A272" s="24" t="str">
        <x:v>SRC-271</x:v>
      </x:c>
      <x:c r="B272" s="24" t="str">
        <x:v>The Legend of Vox Machina</x:v>
      </x:c>
      <x:c r="C272" s="24" t="str">
        <x:v>Critical Role / Titmouse</x:v>
      </x:c>
      <x:c r="D272" s="24" t="str">
        <x:v>Animated Television</x:v>
      </x:c>
      <x:c r="E272" s="24" t="str">
        <x:v>United States</x:v>
      </x:c>
      <x:c r="F272" s="24" t="str">
        <x:v>2022</x:v>
      </x:c>
      <x:c r="G272" s="24" t="str">
        <x:v>Animated adaptation of tabletop campaign</x:v>
      </x:c>
      <x:c r="H272" s="24" t="str">
        <x:v>Tier 2</x:v>
      </x:c>
      <x:c r="I272" s="24" t="str">
        <x:v>D&amp;D-derived party roles, bard, gunslinger, cleric, gnome, half-elf, dragon arc.</x:v>
      </x:c>
      <x:c r="J272" s="24" t="str">
        <x:v>Treat adaptations/editions separately when taxonomically material.</x:v>
      </x:c>
      <x:c r="K272" s="84" t="str">
        <x:v>https://en.wikipedia.org/wiki/The_Legend_of_Vox_Machina</x:v>
      </x:c>
      <x:c r="L272" s="24" t="str">
        <x:v>Included</x:v>
      </x:c>
    </x:row>
    <x:row r="273" ht="42" customHeight="1">
      <x:c r="A273" s="24" t="str">
        <x:v>SRC-272</x:v>
      </x:c>
      <x:c r="B273" s="24" t="str">
        <x:v>Dungeons &amp; Dragons: Honor Among Thieves</x:v>
      </x:c>
      <x:c r="C273" s="24" t="str">
        <x:v>Jonathan Goldstein and John Francis Daley</x:v>
      </x:c>
      <x:c r="D273" s="24" t="str">
        <x:v>Film</x:v>
      </x:c>
      <x:c r="E273" s="24" t="str">
        <x:v>United States</x:v>
      </x:c>
      <x:c r="F273" s="24" t="str">
        <x:v>2023</x:v>
      </x:c>
      <x:c r="G273" s="24" t="str">
        <x:v>Forgotten Realms film continuity</x:v>
      </x:c>
      <x:c r="H273" s="24" t="str">
        <x:v>Tier 2</x:v>
      </x:c>
      <x:c r="I273" s="24" t="str">
        <x:v>Bard/rogue lead, paladin, sorcerer, druid, barbarian, monsters and game-spell adaptation.</x:v>
      </x:c>
      <x:c r="J273" s="24" t="str">
        <x:v>Treat adaptations/editions separately when taxonomically material.</x:v>
      </x:c>
      <x:c r="K273" s="84" t="str">
        <x:v>https://en.wikipedia.org/wiki/Dungeons_%26_Dragons:_Honor_Among_Thieves</x:v>
      </x:c>
      <x:c r="L273" s="24" t="str">
        <x:v>Included</x:v>
      </x:c>
    </x:row>
    <x:row r="274" ht="42" customHeight="1">
      <x:c r="A274" s="24" t="str">
        <x:v>SRC-273</x:v>
      </x:c>
      <x:c r="B274" s="24" t="str">
        <x:v>Xena: Warrior Princess</x:v>
      </x:c>
      <x:c r="C274" s="24" t="str">
        <x:v>Robert Tapert and John Schulian</x:v>
      </x:c>
      <x:c r="D274" s="24" t="str">
        <x:v>Television</x:v>
      </x:c>
      <x:c r="E274" s="24" t="str">
        <x:v>United States / New Zealand</x:v>
      </x:c>
      <x:c r="F274" s="24" t="str">
        <x:v>1995</x:v>
      </x:c>
      <x:c r="G274" s="24" t="str">
        <x:v>Series continuity</x:v>
      </x:c>
      <x:c r="H274" s="24" t="str">
        <x:v>Tier 2</x:v>
      </x:c>
      <x:c r="I274" s="24" t="str">
        <x:v>Warrior heroine, companion bard, gods, Amazons, reincarnation, mythic syncretism.</x:v>
      </x:c>
      <x:c r="J274" s="24" t="str">
        <x:v>Treat adaptations/editions separately when taxonomically material.</x:v>
      </x:c>
      <x:c r="K274" s="84" t="str">
        <x:v>https://en.wikipedia.org/wiki/Xena:_Warrior_Princess</x:v>
      </x:c>
      <x:c r="L274" s="24" t="str">
        <x:v>Included</x:v>
      </x:c>
    </x:row>
    <x:row r="275" ht="42" customHeight="1">
      <x:c r="A275" s="24" t="str">
        <x:v>SRC-274</x:v>
      </x:c>
      <x:c r="B275" s="24" t="str">
        <x:v>Hercules: The Legendary Journeys</x:v>
      </x:c>
      <x:c r="C275" s="24" t="str">
        <x:v>Christian Williams and others</x:v>
      </x:c>
      <x:c r="D275" s="24" t="str">
        <x:v>Television</x:v>
      </x:c>
      <x:c r="E275" s="24" t="str">
        <x:v>United States / New Zealand</x:v>
      </x:c>
      <x:c r="F275" s="24" t="str">
        <x:v>1995</x:v>
      </x:c>
      <x:c r="G275" s="24" t="str">
        <x:v>Series continuity</x:v>
      </x:c>
      <x:c r="H275" s="24" t="str">
        <x:v>Tier 3</x:v>
      </x:c>
      <x:c r="I275" s="24" t="str">
        <x:v>Demigod hero, companion, gods, monsters, episodic myth adaptation.</x:v>
      </x:c>
      <x:c r="J275" s="24" t="str">
        <x:v>Treat adaptations/editions separately when taxonomically material.</x:v>
      </x:c>
      <x:c r="K275" s="84" t="str">
        <x:v>https://en.wikipedia.org/wiki/Hercules:_The_Legendary_Journeys</x:v>
      </x:c>
      <x:c r="L275" s="24" t="str">
        <x:v>Included</x:v>
      </x:c>
    </x:row>
    <x:row r="276" ht="42" customHeight="1">
      <x:c r="A276" s="24" t="str">
        <x:v>SRC-275</x:v>
      </x:c>
      <x:c r="B276" s="24" t="str">
        <x:v>The Shannara Chronicles</x:v>
      </x:c>
      <x:c r="C276" s="24" t="str">
        <x:v>MTV; based on Terry Brooks</x:v>
      </x:c>
      <x:c r="D276" s="24" t="str">
        <x:v>Television</x:v>
      </x:c>
      <x:c r="E276" s="24" t="str">
        <x:v>United States / New Zealand</x:v>
      </x:c>
      <x:c r="F276" s="24" t="str">
        <x:v>2016</x:v>
      </x:c>
      <x:c r="G276" s="24" t="str">
        <x:v>Television adaptation continuity</x:v>
      </x:c>
      <x:c r="H276" s="24" t="str">
        <x:v>Tier 3</x:v>
      </x:c>
      <x:c r="I276" s="24" t="str">
        <x:v>Post-apocalyptic elves, druids, chosen quest, demons, hybrid genre visual language.</x:v>
      </x:c>
      <x:c r="J276" s="24" t="str">
        <x:v>Treat adaptations/editions separately when taxonomically material.</x:v>
      </x:c>
      <x:c r="K276" s="84" t="str">
        <x:v>https://en.wikipedia.org/wiki/The_Shannara_Chronicles</x:v>
      </x:c>
      <x:c r="L276" s="24" t="str">
        <x:v>Included</x:v>
      </x:c>
    </x:row>
    <x:row r="277" ht="42" customHeight="1">
      <x:c r="A277" s="24" t="str">
        <x:v>SRC-276</x:v>
      </x:c>
      <x:c r="B277" s="24" t="str">
        <x:v>The Dark Crystal: Age of Resistance</x:v>
      </x:c>
      <x:c r="C277" s="24" t="str">
        <x:v>Netflix / Jim Henson Company</x:v>
      </x:c>
      <x:c r="D277" s="24" t="str">
        <x:v>Television</x:v>
      </x:c>
      <x:c r="E277" s="24" t="str">
        <x:v>United States / Britain</x:v>
      </x:c>
      <x:c r="F277" s="24" t="str">
        <x:v>2019</x:v>
      </x:c>
      <x:c r="G277" s="24" t="str">
        <x:v>Prequel continuity</x:v>
      </x:c>
      <x:c r="H277" s="24" t="str">
        <x:v>Tier 1</x:v>
      </x:c>
      <x:c r="I277" s="24" t="str">
        <x:v>Gelfling clans and vocations, Skeksis institutions, resistance, mystic ecology, puppetry.</x:v>
      </x:c>
      <x:c r="J277" s="24" t="str">
        <x:v>Treat adaptations/editions separately when taxonomically material.</x:v>
      </x:c>
      <x:c r="K277" s="84" t="str">
        <x:v>https://en.wikipedia.org/wiki/The_Dark_Crystal:_Age_of_Resistance</x:v>
      </x:c>
      <x:c r="L277" s="24" t="str">
        <x:v>Included</x:v>
      </x:c>
    </x:row>
    <x:row r="278" ht="42" customHeight="1">
      <x:c r="A278" s="119" t="str">
        <x:v>SRC-277</x:v>
      </x:c>
      <x:c r="B278" s="120" t="str">
        <x:v>Mahābhārata — BORI Critical Edition</x:v>
      </x:c>
      <x:c r="C278" s="120" t="str">
        <x:v>Bhandarkar Oriental Research Institute, Critical Edition project</x:v>
      </x:c>
      <x:c r="D278" s="120" t="str">
        <x:v>Critical Edition / Epic Literature</x:v>
      </x:c>
      <x:c r="E278" s="120" t="str">
        <x:v>South Asia / Sanskrit</x:v>
      </x:c>
      <x:c r="F278" s="120" t="str">
        <x:v>Editorial project 1919–1966</x:v>
      </x:c>
      <x:c r="G278" s="120" t="str">
        <x:v>BORI Critical Edition: 18 parvans published in 19 volumes</x:v>
      </x:c>
      <x:c r="H278" s="120" t="str">
        <x:v>Tier 1</x:v>
      </x:c>
      <x:c r="I278" s="120" t="str">
        <x:v>A critical-edition reference witness for source-faithful indexing of the Sanskrit epic's persons, beings, roles, vows, weapons, rituals, cosmology, and narrative structures.</x:v>
      </x:c>
      <x:c r="J278" s="120" t="str">
        <x:v>A scholarly reconstruction from many manuscript witnesses, not the sole, complete, or normatively superior form of the Mahābhārata in living, regional, vernacular, devotional, or performance traditions.</x:v>
      </x:c>
      <x:c r="K278" s="120" t="str">
        <x:v>https://bori.ac.in/department/mahabharata/</x:v>
      </x:c>
      <x:c r="L278" s="120" t="str">
        <x:v>Included</x:v>
      </x:c>
    </x:row>
    <x:row r="279" ht="42" customHeight="1">
      <x:c r="A279" s="119" t="str">
        <x:v>SRC-278</x:v>
      </x:c>
      <x:c r="B279" s="120" t="str">
        <x:v>Bhagavad Gītā (Mahābhārata, Bhīṣma Parva)</x:v>
      </x:c>
      <x:c r="C279" s="120" t="str">
        <x:v>Embedded Sanskrit dialogue within the Mahābhārata; multiple commentarial traditions</x:v>
      </x:c>
      <x:c r="D279" s="120" t="str">
        <x:v>Epic-Philosophical Text / Sacred Narrative</x:v>
      </x:c>
      <x:c r="E279" s="120" t="str">
        <x:v>South Asia / Sanskrit</x:v>
      </x:c>
      <x:c r="F279" s="120" t="str">
        <x:v>Part of the layered Mahābhārata tradition</x:v>
      </x:c>
      <x:c r="G279" s="120" t="str">
        <x:v>Embedded textual unit; editions, recensions, translations, and commentaries distinguished as needed</x:v>
      </x:c>
      <x:c r="H279" s="120" t="str">
        <x:v>Tier 1</x:v>
      </x:c>
      <x:c r="I279" s="120" t="str">
        <x:v>Battlefield revelation, divine manifestation, action and renunciation, disciplined paths, cosmic order, devotion, knowledge, and the relation between mortal agency and divine counsel.</x:v>
      </x:c>
      <x:c r="J279" s="120" t="str">
        <x:v>Use as an embedded textual unit rather than a stand-alone fantasy source. Do not collapse its philosophical and religious vocabulary into alignment, class, or spell-system analogues.</x:v>
      </x:c>
      <x:c r="K279" s="120" t="str">
        <x:v>https://www.gitasupersite.iitk.ac.in/</x:v>
      </x:c>
      <x:c r="L279" s="120" t="str">
        <x:v>Included</x:v>
      </x:c>
    </x:row>
    <x:row r="280" ht="42" customHeight="1">
      <x:c r="A280" s="119" t="str">
        <x:v>SRC-279</x:v>
      </x:c>
      <x:c r="B280" s="120" t="str">
        <x:v>Chinese Mythology and Religious Traditions</x:v>
      </x:c>
      <x:c r="C280" s="120" t="str">
        <x:v>Multiple regional, literary, ritual, philosophical, and religious traditions</x:v>
      </x:c>
      <x:c r="D280" s="120" t="str">
        <x:v>Mythology / Religion / Folklore</x:v>
      </x:c>
      <x:c r="E280" s="120" t="str">
        <x:v>China and Sinosphere</x:v>
      </x:c>
      <x:c r="F280" s="120" t="str">
        <x:v>Ancient to present</x:v>
      </x:c>
      <x:c r="G280" s="120" t="str">
        <x:v>Culture- and text-specific corpus; sources and regional traditions must be separated</x:v>
      </x:c>
      <x:c r="H280" s="120" t="str">
        <x:v>Tier 1</x:v>
      </x:c>
      <x:c r="I280" s="120" t="str">
        <x:v>Celestial bureaucracy, immortals, ancestors, dragon and fox traditions, underworld courts, talismans, registers, spirit officials, sacred mountains, transformations, and overlapping Daoist, Buddhist, popular, literary, and local systems.</x:v>
      </x:c>
      <x:c r="J280" s="120" t="str">
        <x:v>Research umbrella only. Do not collapse Chinese, Daoist, Buddhist, Confucian, local cultic, literary, regional, or diasporic materials into one mythology or treat later game taxonomies as primary evidence.</x:v>
      </x:c>
      <x:c r="K280" s="120" t="str">
        <x:v>https://ctext.org/</x:v>
      </x:c>
      <x:c r="L280" s="120" t="str">
        <x:v>Included</x:v>
      </x:c>
    </x:row>
    <x:row r="281" ht="42" customHeight="1">
      <x:c r="A281" s="119" t="str">
        <x:v>SRC-280</x:v>
      </x:c>
      <x:c r="B281" s="120" t="str">
        <x:v>Mexica (Aztec) Mythology and Ritual Traditions</x:v>
      </x:c>
      <x:c r="C281" s="120" t="str">
        <x:v>Nahua authors, ritual specialists, communities, and colonial-period textual witnesses</x:v>
      </x:c>
      <x:c r="D281" s="120" t="str">
        <x:v>Mythology / Religion / Sacred History</x:v>
      </x:c>
      <x:c r="E281" s="120" t="str">
        <x:v>Mesoamerica / Central Mexico / Nahua</x:v>
      </x:c>
      <x:c r="F281" s="120" t="str">
        <x:v>Pre-contact traditions with colonial-period textual and material witnesses</x:v>
      </x:c>
      <x:c r="G281" s="120" t="str">
        <x:v>Source-specific corpus; distinguish Mexica from broader Nahua and other Mesoamerican traditions</x:v>
      </x:c>
      <x:c r="H281" s="120" t="str">
        <x:v>Tier 1</x:v>
      </x:c>
      <x:c r="I281" s="120" t="str">
        <x:v>Layered heavens and underworlds, calendrical time, divine forces and embodiments, sacred warfare, offerings, cosmic maintenance, world ages, migration memory, place-based identity, and ritual-political authority.</x:v>
      </x:c>
      <x:c r="J281" s="120" t="str">
        <x:v>Use specialist, community-aware, archaeological, and primary textual sources. Avoid treating 'Aztec mythology' as a closed pantheon roster or merging it with Maya, generic Mesoamerican, or commercial adaptation categories.</x:v>
      </x:c>
      <x:c r="K281" s="120" t="str">
        <x:v>https://www.britishmuseum.org/collection/galleries/mexico</x:v>
      </x:c>
      <x:c r="L281" s="120" t="str">
        <x:v>Included</x:v>
      </x:c>
    </x:row>
    <x:row r="282" ht="42" customHeight="1">
      <x:c r="A282" s="119" t="str">
        <x:v>SRC-281</x:v>
      </x:c>
      <x:c r="B282" s="120" t="str">
        <x:v>Age of Mythology: Retold</x:v>
      </x:c>
      <x:c r="C282" s="120" t="str">
        <x:v>World's Edge, Forgotten Empires, and Xbox Game Studios</x:v>
      </x:c>
      <x:c r="D282" s="120" t="str">
        <x:v>Video Game / Real-Time Strategy</x:v>
      </x:c>
      <x:c r="E282" s="120" t="str">
        <x:v>United States / global commercial adaptation</x:v>
      </x:c>
      <x:c r="F282" s="120" t="str">
        <x:v>2024; Version 2.0 snapshot through August 2, 2026</x:v>
      </x:c>
      <x:c r="G282" s="120" t="str">
        <x:v>Retold base game plus dated official pantheon and god-pack expansions</x:v>
      </x:c>
      <x:c r="H282" s="120" t="str">
        <x:v>Tier 1</x:v>
      </x:c>
      <x:c r="I282" s="120" t="str">
        <x:v>A major adaptation laboratory that converts deities into faction and technology choices, worship into favor economies, myths into units and counters, divine intervention into activated god powers, relics into map objectives, and cosmic ages into progression tiers.</x:v>
      </x:c>
      <x:c r="J282" s="120" t="str">
        <x:v>Commercial game adaptation, not evidence for the source traditions it represents. Version-stamp pantheon rosters, expansions, balance changes, and names; analyze Greek, Egyptian, Norse, Atlantean, Chinese, Japanese, and Mexica/Aztec adaptation layers separately.</x:v>
      </x:c>
      <x:c r="K282" s="120" t="str">
        <x:v>https://www.ageofempires.com/games/age-of-mythology-retold/</x:v>
      </x:c>
      <x:c r="L282" s="120" t="str">
        <x:v>Included</x:v>
      </x:c>
    </x:row>
  </x:sheetData>
  <x:conditionalFormatting sqref="H2:H277">
    <x:cfRule type="expression" dxfId="8" priority="1">
      <x:formula>$H2="Tier 1"</x:formula>
    </x:cfRule>
    <x:cfRule type="expression" dxfId="9" priority="2">
      <x:formula>$H2="Tier 2"</x:formula>
    </x:cfRule>
    <x:cfRule type="expression" dxfId="10" priority="3">
      <x:formula>$H2="Tier 3"</x:formula>
    </x:cfRule>
  </x:conditionalFormatting>
  <x:dataValidations count="2">
    <x:dataValidation type="list" sqref="H2:H277">
      <x:formula1>"Tier 1,Tier 2,Tier 3"</x:formula1>
    </x:dataValidation>
    <x:dataValidation type="list" sqref="L2:L277">
      <x:formula1>"Included,Research queue,Deferred"</x:formula1>
    </x:dataValidation>
  </x:dataValidations>
  <x:pageMargins left="0.7" right="0.7" top="0.75" bottom="0.75" header="0.3" footer="0.3"/>
  <x:tableParts count="1">
    <x:tablePart xmlns:r="http://schemas.openxmlformats.org/officeDocument/2006/relationships" r:id="R6383c34e9a344e1d"/>
  </x:tableParts>
</x:worksheet>
</file>

<file path=xl/worksheets/sheet4.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30" hidden="0" customWidth="1"/>
    <x:col min="5" max="5" width="28" hidden="0" customWidth="1"/>
    <x:col min="6" max="6" width="24" hidden="0" customWidth="1"/>
    <x:col min="7" max="7" width="18" hidden="0" customWidth="1"/>
    <x:col min="8" max="8" width="28" hidden="0" customWidth="1"/>
    <x:col min="9" max="9" width="28" hidden="0" customWidth="1"/>
    <x:col min="10" max="10" width="38" hidden="0" customWidth="1"/>
    <x:col min="11" max="11" width="46" hidden="0" customWidth="1"/>
    <x:col min="12" max="12" width="46" hidden="0" customWidth="1"/>
    <x:col min="13" max="13" width="46" hidden="0" customWidth="1"/>
    <x:col min="14" max="14" width="46" hidden="0" customWidth="1"/>
    <x:col min="15" max="15" width="22" hidden="0" customWidth="1"/>
    <x:col min="16" max="16" width="22" hidden="0" customWidth="1"/>
    <x:col min="17" max="17" width="42" hidden="0" customWidth="1"/>
    <x:col min="18" max="18" width="46" hidden="0" customWidth="1"/>
    <x:col min="19" max="19" width="20" hidden="0" customWidth="1"/>
  </x:cols>
  <x:sheetData>
    <x:row r="1" ht="34" customHeight="1">
      <x:c r="A1" s="31" t="str">
        <x:v>Entry_ID</x:v>
      </x:c>
      <x:c r="B1" s="31" t="str">
        <x:v>Canonical_Name</x:v>
      </x:c>
      <x:c r="C1" s="31" t="str">
        <x:v>Source_ID</x:v>
      </x:c>
      <x:c r="D1" s="31" t="str">
        <x:v>Source_Title</x:v>
      </x:c>
      <x:c r="E1" s="31" t="str">
        <x:v>Continuity</x:v>
      </x:c>
      <x:c r="F1" s="31" t="str">
        <x:v>Native_Record_Type</x:v>
      </x:c>
      <x:c r="G1" s="31" t="str">
        <x:v>Primary_Archetype_ID</x:v>
      </x:c>
      <x:c r="H1" s="31" t="str">
        <x:v>Primary_Archetype_Name</x:v>
      </x:c>
      <x:c r="I1" s="31" t="str">
        <x:v>Additional_Archetype_IDs</x:v>
      </x:c>
      <x:c r="J1" s="31" t="str">
        <x:v>Additional_Archetype_Names</x:v>
      </x:c>
      <x:c r="K1" s="31" t="str">
        <x:v>Ontology_or_Role_Summary</x:v>
      </x:c>
      <x:c r="L1" s="31" t="str">
        <x:v>Power_Basis</x:v>
      </x:c>
      <x:c r="M1" s="31" t="str">
        <x:v>Key_Distinction</x:v>
      </x:c>
      <x:c r="N1" s="31" t="str">
        <x:v>Comparative_Notes</x:v>
      </x:c>
      <x:c r="O1" s="31" t="str">
        <x:v>Canon_Status</x:v>
      </x:c>
      <x:c r="P1" s="31" t="str">
        <x:v>Evidence_Level</x:v>
      </x:c>
      <x:c r="Q1" s="31" t="str">
        <x:v>Source_Reference</x:v>
      </x:c>
      <x:c r="R1" s="31" t="str">
        <x:v>Reference_URL</x:v>
      </x:c>
      <x:c r="S1" s="31" t="str">
        <x:v>Review_Status</x:v>
      </x:c>
    </x:row>
    <x:row r="2" ht="52" customHeight="1">
      <x:c r="A2" s="24" t="str">
        <x:v>ENT-0001</x:v>
      </x:c>
      <x:c r="B2" s="24" t="str">
        <x:v>Quendi (Elves)</x:v>
      </x:c>
      <x:c r="C2" s="24" t="str">
        <x:v>SRC-026</x:v>
      </x:c>
      <x:c r="D2" s="24" t="str">
        <x:v>Tolkien's Legendarium</x:v>
      </x:c>
      <x:c r="E2" s="24" t="str">
        <x:v>Legendarium (literary corpus)</x:v>
      </x:c>
      <x:c r="F2" s="24" t="str">
        <x:v>People / metaphysical kind</x:v>
      </x:c>
      <x:c r="G2" s="24" t="str">
        <x:v>PPL-102</x:v>
      </x:c>
      <x:c r="H2" s="24" t="str">
        <x:f>IFERROR(VLOOKUP(G2,'Master Taxonomy'!$A$2:$B$1656,2,FALSE),"")</x:f>
        <x:v>Elf-Derived Peoples</x:v>
      </x:c>
      <x:c r="I2" s="24" t="str"/>
      <x:c r="J2" s="24" t="str"/>
      <x:c r="K2" s="24" t="str">
        <x:v>The awakened Firstborn Children of Ilúvatar, with multiple historical and cultural divisions.</x:v>
      </x:c>
      <x:c r="L2" s="24" t="str">
        <x:v>Created people; embodied immortal life bound to Arda.</x:v>
      </x:c>
      <x:c r="M2" s="24" t="str">
        <x:v>Their immortality, fate, and relation to Arda differ fundamentally from most game-elves.</x:v>
      </x:c>
      <x:c r="N2" s="24" t="str">
        <x:v>Primary reference point for the modern high-fantasy elf family.</x:v>
      </x:c>
      <x:c r="O2" s="24" t="str">
        <x:v>Primary canon</x:v>
      </x:c>
      <x:c r="P2" s="24" t="str">
        <x:v>Official reference reviewed</x:v>
      </x:c>
      <x:c r="Q2" s="24" t="str">
        <x:v>Tolkien Estate setting overview and primary legendarium corpus.</x:v>
      </x:c>
      <x:c r="R2" s="84" t="str">
        <x:v>https://www.tolkienestate.com/writing/</x:v>
      </x:c>
      <x:c r="S2" s="24" t="str">
        <x:v>Seeded</x:v>
      </x:c>
    </x:row>
    <x:row r="3" ht="52" customHeight="1">
      <x:c r="A3" s="24" t="str">
        <x:v>ENT-0002</x:v>
      </x:c>
      <x:c r="B3" s="24" t="str">
        <x:v>Vanyar</x:v>
      </x:c>
      <x:c r="C3" s="24" t="str">
        <x:v>SRC-026</x:v>
      </x:c>
      <x:c r="D3" s="24" t="str">
        <x:v>Tolkien's Legendarium</x:v>
      </x:c>
      <x:c r="E3" s="24" t="str">
        <x:v>Legendarium (literary corpus)</x:v>
      </x:c>
      <x:c r="F3" s="24" t="str">
        <x:v>Elven people</x:v>
      </x:c>
      <x:c r="G3" s="24" t="str">
        <x:v>PPL-102</x:v>
      </x:c>
      <x:c r="H3" s="24" t="str">
        <x:f>IFERROR(VLOOKUP(G3,'Master Taxonomy'!$A$2:$B$1656,2,FALSE),"")</x:f>
        <x:v>Elf-Derived Peoples</x:v>
      </x:c>
      <x:c r="I3" s="24" t="str"/>
      <x:c r="J3" s="24" t="str"/>
      <x:c r="K3" s="24" t="str">
        <x:v>One of the principal Eldarin peoples, associated with Aman and the Valar.</x:v>
      </x:c>
      <x:c r="L3" s="24" t="str">
        <x:v>Lineage, migration history, and culture.</x:v>
      </x:c>
      <x:c r="M3" s="24" t="str">
        <x:v>A canonical subgroup, not a separate biological species.</x:v>
      </x:c>
      <x:c r="N3" s="24" t="str">
        <x:v>High or celestial elf analogues are only partial.</x:v>
      </x:c>
      <x:c r="O3" s="24" t="str">
        <x:v>Primary canon</x:v>
      </x:c>
      <x:c r="P3" s="24" t="str">
        <x:v>Official reference reviewed</x:v>
      </x:c>
      <x:c r="Q3" s="24" t="str">
        <x:v>Tolkien Estate setting overview and primary legendarium corpus.</x:v>
      </x:c>
      <x:c r="R3" s="84" t="str">
        <x:v>https://www.tolkienestate.com/writing/</x:v>
      </x:c>
      <x:c r="S3" s="24" t="str">
        <x:v>Seeded</x:v>
      </x:c>
    </x:row>
    <x:row r="4" ht="52" customHeight="1">
      <x:c r="A4" s="24" t="str">
        <x:v>ENT-0003</x:v>
      </x:c>
      <x:c r="B4" s="24" t="str">
        <x:v>Noldor</x:v>
      </x:c>
      <x:c r="C4" s="24" t="str">
        <x:v>SRC-026</x:v>
      </x:c>
      <x:c r="D4" s="24" t="str">
        <x:v>Tolkien's Legendarium</x:v>
      </x:c>
      <x:c r="E4" s="24" t="str">
        <x:v>Legendarium (literary corpus)</x:v>
      </x:c>
      <x:c r="F4" s="24" t="str">
        <x:v>Elven people</x:v>
      </x:c>
      <x:c r="G4" s="24" t="str">
        <x:v>PPL-102</x:v>
      </x:c>
      <x:c r="H4" s="24" t="str">
        <x:f>IFERROR(VLOOKUP(G4,'Master Taxonomy'!$A$2:$B$1656,2,FALSE),"")</x:f>
        <x:v>Elf-Derived Peoples</x:v>
      </x:c>
      <x:c r="I4" s="24" t="str">
        <x:v>ROL-306</x:v>
      </x:c>
      <x:c r="J4" s="24" t="str">
        <x:v>Magical Scholar</x:v>
      </x:c>
      <x:c r="K4" s="24" t="str">
        <x:v>An Eldarin people renowned for craft, knowledge, political tragedy, and exile.</x:v>
      </x:c>
      <x:c r="L4" s="24" t="str">
        <x:v>Cultural learning, craft, and personal spiritual stature.</x:v>
      </x:c>
      <x:c r="M4" s="24" t="str">
        <x:v>Their defining traits are historical and cultural rather than a game-stat package.</x:v>
      </x:c>
      <x:c r="N4" s="24" t="str">
        <x:v>Influential on learned, tragic, and high-elven archetypes.</x:v>
      </x:c>
      <x:c r="O4" s="24" t="str">
        <x:v>Primary canon</x:v>
      </x:c>
      <x:c r="P4" s="24" t="str">
        <x:v>Official reference reviewed</x:v>
      </x:c>
      <x:c r="Q4" s="24" t="str">
        <x:v>Tolkien Estate setting overview and primary legendarium corpus.</x:v>
      </x:c>
      <x:c r="R4" s="84" t="str">
        <x:v>https://www.tolkienestate.com/writing/</x:v>
      </x:c>
      <x:c r="S4" s="24" t="str">
        <x:v>Seeded</x:v>
      </x:c>
    </x:row>
    <x:row r="5" ht="52" customHeight="1">
      <x:c r="A5" s="24" t="str">
        <x:v>ENT-0004</x:v>
      </x:c>
      <x:c r="B5" s="24" t="str">
        <x:v>Teleri and Sindar</x:v>
      </x:c>
      <x:c r="C5" s="24" t="str">
        <x:v>SRC-026</x:v>
      </x:c>
      <x:c r="D5" s="24" t="str">
        <x:v>Tolkien's Legendarium</x:v>
      </x:c>
      <x:c r="E5" s="24" t="str">
        <x:v>Legendarium (literary corpus)</x:v>
      </x:c>
      <x:c r="F5" s="24" t="str">
        <x:v>Elven peoples</x:v>
      </x:c>
      <x:c r="G5" s="24" t="str">
        <x:v>PPL-102</x:v>
      </x:c>
      <x:c r="H5" s="24" t="str">
        <x:f>IFERROR(VLOOKUP(G5,'Master Taxonomy'!$A$2:$B$1656,2,FALSE),"")</x:f>
        <x:v>Elf-Derived Peoples</x:v>
      </x:c>
      <x:c r="I5" s="24" t="str"/>
      <x:c r="J5" s="24" t="str"/>
      <x:c r="K5" s="24" t="str">
        <x:v>Related Eldarin peoples whose histories include maritime, forest, and Beleriandic cultures.</x:v>
      </x:c>
      <x:c r="L5" s="24" t="str">
        <x:v>Kinship, migration, geography, and cultural development.</x:v>
      </x:c>
      <x:c r="M5" s="24" t="str">
        <x:v>The umbrella conceals several distinct peoples and political histories.</x:v>
      </x:c>
      <x:c r="N5" s="24" t="str">
        <x:v>Partial source for sea-elf and woodland-elf developments.</x:v>
      </x:c>
      <x:c r="O5" s="24" t="str">
        <x:v>Primary canon</x:v>
      </x:c>
      <x:c r="P5" s="24" t="str">
        <x:v>Official reference reviewed</x:v>
      </x:c>
      <x:c r="Q5" s="24" t="str">
        <x:v>Tolkien Estate setting overview and primary legendarium corpus.</x:v>
      </x:c>
      <x:c r="R5" s="84" t="str">
        <x:v>https://www.tolkienestate.com/writing/</x:v>
      </x:c>
      <x:c r="S5" s="24" t="str">
        <x:v>Seeded</x:v>
      </x:c>
    </x:row>
    <x:row r="6" ht="52" customHeight="1">
      <x:c r="A6" s="24" t="str">
        <x:v>ENT-0005</x:v>
      </x:c>
      <x:c r="B6" s="24" t="str">
        <x:v>Avari</x:v>
      </x:c>
      <x:c r="C6" s="24" t="str">
        <x:v>SRC-026</x:v>
      </x:c>
      <x:c r="D6" s="24" t="str">
        <x:v>Tolkien's Legendarium</x:v>
      </x:c>
      <x:c r="E6" s="24" t="str">
        <x:v>Legendarium (literary corpus)</x:v>
      </x:c>
      <x:c r="F6" s="24" t="str">
        <x:v>Elven peoples</x:v>
      </x:c>
      <x:c r="G6" s="24" t="str">
        <x:v>PPL-102</x:v>
      </x:c>
      <x:c r="H6" s="24" t="str">
        <x:f>IFERROR(VLOOKUP(G6,'Master Taxonomy'!$A$2:$B$1656,2,FALSE),"")</x:f>
        <x:v>Elf-Derived Peoples</x:v>
      </x:c>
      <x:c r="I6" s="24" t="str"/>
      <x:c r="J6" s="24" t="str"/>
      <x:c r="K6" s="24" t="str">
        <x:v>Elves who refused the Great Journey, comprising multiple unenumerated peoples.</x:v>
      </x:c>
      <x:c r="L6" s="24" t="str">
        <x:v>Historical choice and later cultural divergence.</x:v>
      </x:c>
      <x:c r="M6" s="24" t="str">
        <x:v>Not synonymous with evil, dark, or subterranean elves.</x:v>
      </x:c>
      <x:c r="N6" s="24" t="str">
        <x:v>Useful corrective to moralized elf subrace taxonomies.</x:v>
      </x:c>
      <x:c r="O6" s="24" t="str">
        <x:v>Primary canon</x:v>
      </x:c>
      <x:c r="P6" s="24" t="str">
        <x:v>Official reference reviewed</x:v>
      </x:c>
      <x:c r="Q6" s="24" t="str">
        <x:v>Tolkien Estate setting overview and primary legendarium corpus.</x:v>
      </x:c>
      <x:c r="R6" s="84" t="str">
        <x:v>https://www.tolkienestate.com/writing/</x:v>
      </x:c>
      <x:c r="S6" s="24" t="str">
        <x:v>Seeded</x:v>
      </x:c>
    </x:row>
    <x:row r="7" ht="52" customHeight="1">
      <x:c r="A7" s="24" t="str">
        <x:v>ENT-0006</x:v>
      </x:c>
      <x:c r="B7" s="24" t="str">
        <x:v>Khazâd (Dwarves)</x:v>
      </x:c>
      <x:c r="C7" s="24" t="str">
        <x:v>SRC-026</x:v>
      </x:c>
      <x:c r="D7" s="24" t="str">
        <x:v>Tolkien's Legendarium</x:v>
      </x:c>
      <x:c r="E7" s="24" t="str">
        <x:v>Legendarium (literary corpus)</x:v>
      </x:c>
      <x:c r="F7" s="24" t="str">
        <x:v>Created people</x:v>
      </x:c>
      <x:c r="G7" s="24" t="str">
        <x:v>PPL-103</x:v>
      </x:c>
      <x:c r="H7" s="24" t="str">
        <x:f>IFERROR(VLOOKUP(G7,'Master Taxonomy'!$A$2:$B$1656,2,FALSE),"")</x:f>
        <x:v>Dwarf-Derived Peoples</x:v>
      </x:c>
      <x:c r="I7" s="24" t="str"/>
      <x:c r="J7" s="24" t="str"/>
      <x:c r="K7" s="24" t="str">
        <x:v>A people fashioned by Aulë and adopted into Ilúvatar's design, organized in kindreds and houses.</x:v>
      </x:c>
      <x:c r="L7" s="24" t="str">
        <x:v>Created ancestry, craft tradition, kinship, and long memory.</x:v>
      </x:c>
      <x:c r="M7" s="24" t="str">
        <x:v>Their origin and eschatology are specific to Tolkien's cosmology.</x:v>
      </x:c>
      <x:c r="N7" s="24" t="str">
        <x:v>Central modern template for dwarven peoples.</x:v>
      </x:c>
      <x:c r="O7" s="24" t="str">
        <x:v>Primary canon</x:v>
      </x:c>
      <x:c r="P7" s="24" t="str">
        <x:v>Official reference reviewed</x:v>
      </x:c>
      <x:c r="Q7" s="24" t="str">
        <x:v>Tolkien Estate setting overview and primary legendarium corpus.</x:v>
      </x:c>
      <x:c r="R7" s="84" t="str">
        <x:v>https://www.tolkienestate.com/writing/</x:v>
      </x:c>
      <x:c r="S7" s="24" t="str">
        <x:v>Seeded</x:v>
      </x:c>
    </x:row>
    <x:row r="8" ht="52" customHeight="1">
      <x:c r="A8" s="24" t="str">
        <x:v>ENT-0007</x:v>
      </x:c>
      <x:c r="B8" s="24" t="str">
        <x:v>Hobbits</x:v>
      </x:c>
      <x:c r="C8" s="24" t="str">
        <x:v>SRC-026</x:v>
      </x:c>
      <x:c r="D8" s="24" t="str">
        <x:v>Tolkien's Legendarium</x:v>
      </x:c>
      <x:c r="E8" s="24" t="str">
        <x:v>Legendarium (literary corpus)</x:v>
      </x:c>
      <x:c r="F8" s="24" t="str">
        <x:v>Human-related people</x:v>
      </x:c>
      <x:c r="G8" s="24" t="str">
        <x:v>PPL-104</x:v>
      </x:c>
      <x:c r="H8" s="24" t="str">
        <x:f>IFERROR(VLOOKUP(G8,'Master Taxonomy'!$A$2:$B$1656,2,FALSE),"")</x:f>
        <x:v>Halfling and Smallfolk Peoples</x:v>
      </x:c>
      <x:c r="I8" s="24" t="str"/>
      <x:c r="J8" s="24" t="str"/>
      <x:c r="K8" s="24" t="str">
        <x:v>A small-statured people associated with agrarian domesticity, resilience, and obscurity.</x:v>
      </x:c>
      <x:c r="L8" s="24" t="str">
        <x:v>Natural people with cultural and regional branches.</x:v>
      </x:c>
      <x:c r="M8" s="24" t="str">
        <x:v>They are a people and culture, not inherently an adventuring class.</x:v>
      </x:c>
      <x:c r="N8" s="24" t="str">
        <x:v>Primary model for halflings and domestic smallfolk.</x:v>
      </x:c>
      <x:c r="O8" s="24" t="str">
        <x:v>Primary canon</x:v>
      </x:c>
      <x:c r="P8" s="24" t="str">
        <x:v>Official reference reviewed</x:v>
      </x:c>
      <x:c r="Q8" s="24" t="str">
        <x:v>Tolkien Estate setting overview and primary legendarium corpus.</x:v>
      </x:c>
      <x:c r="R8" s="84" t="str">
        <x:v>https://www.tolkienestate.com/writing/</x:v>
      </x:c>
      <x:c r="S8" s="24" t="str">
        <x:v>Seeded</x:v>
      </x:c>
    </x:row>
    <x:row r="9" ht="52" customHeight="1">
      <x:c r="A9" s="24" t="str">
        <x:v>ENT-0008</x:v>
      </x:c>
      <x:c r="B9" s="24" t="str">
        <x:v>Men (Atani and later peoples)</x:v>
      </x:c>
      <x:c r="C9" s="24" t="str">
        <x:v>SRC-026</x:v>
      </x:c>
      <x:c r="D9" s="24" t="str">
        <x:v>Tolkien's Legendarium</x:v>
      </x:c>
      <x:c r="E9" s="24" t="str">
        <x:v>Legendarium (literary corpus)</x:v>
      </x:c>
      <x:c r="F9" s="24" t="str">
        <x:v>Mortal people</x:v>
      </x:c>
      <x:c r="G9" s="24" t="str">
        <x:v>PPL-101</x:v>
      </x:c>
      <x:c r="H9" s="24" t="str">
        <x:f>IFERROR(VLOOKUP(G9,'Master Taxonomy'!$A$2:$B$1656,2,FALSE),"")</x:f>
        <x:v>Human and Near-Human Peoples</x:v>
      </x:c>
      <x:c r="I9" s="24" t="str"/>
      <x:c r="J9" s="24" t="str"/>
      <x:c r="K9" s="24" t="str">
        <x:v>The mortal Secondborn Children of Ilúvatar, divided across many nations and histories.</x:v>
      </x:c>
      <x:c r="L9" s="24" t="str">
        <x:v>Natural people; mortality is metaphysically significant.</x:v>
      </x:c>
      <x:c r="M9" s="24" t="str">
        <x:v>Human cultures must not be collapsed into one archetypal society.</x:v>
      </x:c>
      <x:c r="N9" s="24" t="str">
        <x:v>Baseline human plurality in epic fantasy.</x:v>
      </x:c>
      <x:c r="O9" s="24" t="str">
        <x:v>Primary canon</x:v>
      </x:c>
      <x:c r="P9" s="24" t="str">
        <x:v>Official reference reviewed</x:v>
      </x:c>
      <x:c r="Q9" s="24" t="str">
        <x:v>Tolkien Estate setting overview and primary legendarium corpus.</x:v>
      </x:c>
      <x:c r="R9" s="84" t="str">
        <x:v>https://www.tolkienestate.com/writing/</x:v>
      </x:c>
      <x:c r="S9" s="24" t="str">
        <x:v>Seeded</x:v>
      </x:c>
    </x:row>
    <x:row r="10" ht="52" customHeight="1">
      <x:c r="A10" s="24" t="str">
        <x:v>ENT-0009</x:v>
      </x:c>
      <x:c r="B10" s="24" t="str">
        <x:v>Dúnedain</x:v>
      </x:c>
      <x:c r="C10" s="24" t="str">
        <x:v>SRC-026</x:v>
      </x:c>
      <x:c r="D10" s="24" t="str">
        <x:v>Tolkien's Legendarium</x:v>
      </x:c>
      <x:c r="E10" s="24" t="str">
        <x:v>Legendarium (literary corpus)</x:v>
      </x:c>
      <x:c r="F10" s="24" t="str">
        <x:v>Human lineage and culture</x:v>
      </x:c>
      <x:c r="G10" s="24" t="str">
        <x:v>PPL-101</x:v>
      </x:c>
      <x:c r="H10" s="24" t="str">
        <x:f>IFERROR(VLOOKUP(G10,'Master Taxonomy'!$A$2:$B$1656,2,FALSE),"")</x:f>
        <x:v>Human and Near-Human Peoples</x:v>
      </x:c>
      <x:c r="I10" s="24" t="str">
        <x:v>ROL-125</x:v>
      </x:c>
      <x:c r="J10" s="24" t="str">
        <x:v>Ranger</x:v>
      </x:c>
      <x:c r="K10" s="24" t="str">
        <x:v>Long-lived Númenórean-descended human peoples, including northern and southern branches.</x:v>
      </x:c>
      <x:c r="L10" s="24" t="str">
        <x:v>Lineage, inherited longevity, culture, and historical institutions.</x:v>
      </x:c>
      <x:c r="M10" s="24" t="str">
        <x:v>Not a separate species; 'ranger' applies especially to a later northern role.</x:v>
      </x:c>
      <x:c r="N10" s="24" t="str">
        <x:v>Long-lived lost-kingdom human and ranger analogues.</x:v>
      </x:c>
      <x:c r="O10" s="24" t="str">
        <x:v>Primary canon</x:v>
      </x:c>
      <x:c r="P10" s="24" t="str">
        <x:v>Official reference reviewed</x:v>
      </x:c>
      <x:c r="Q10" s="24" t="str">
        <x:v>Tolkien Estate setting overview and primary legendarium corpus.</x:v>
      </x:c>
      <x:c r="R10" s="84" t="str">
        <x:v>https://www.tolkienestate.com/writing/</x:v>
      </x:c>
      <x:c r="S10" s="24" t="str">
        <x:v>Seeded</x:v>
      </x:c>
    </x:row>
    <x:row r="11" ht="52" customHeight="1">
      <x:c r="A11" s="24" t="str">
        <x:v>ENT-0010</x:v>
      </x:c>
      <x:c r="B11" s="24" t="str">
        <x:v>Ents</x:v>
      </x:c>
      <x:c r="C11" s="24" t="str">
        <x:v>SRC-026</x:v>
      </x:c>
      <x:c r="D11" s="24" t="str">
        <x:v>Tolkien's Legendarium</x:v>
      </x:c>
      <x:c r="E11" s="24" t="str">
        <x:v>Legendarium (literary corpus)</x:v>
      </x:c>
      <x:c r="F11" s="24" t="str">
        <x:v>Nonhuman people</x:v>
      </x:c>
      <x:c r="G11" s="24" t="str">
        <x:v>PPL-901</x:v>
      </x:c>
      <x:c r="H11" s="24" t="str">
        <x:f>IFERROR(VLOOKUP(G11,'Master Taxonomy'!$A$2:$B$1656,2,FALSE),"")</x:f>
        <x:v>Plantfolk</x:v>
      </x:c>
      <x:c r="I11" s="24" t="str">
        <x:v>PPL-203</x:v>
      </x:c>
      <x:c r="J11" s="24" t="str">
        <x:v>Dryads and Tree-Bound Beings</x:v>
      </x:c>
      <x:c r="K11" s="24" t="str">
        <x:v>Ancient tree-shepherds with personhood, language, memory, and ecological vocation.</x:v>
      </x:c>
      <x:c r="L11" s="24" t="str">
        <x:v>Created or awakened nature-associated beings.</x:v>
      </x:c>
      <x:c r="M11" s="24" t="str">
        <x:v>Not simply animated trees or generic elementals.</x:v>
      </x:c>
      <x:c r="N11" s="24" t="str">
        <x:v>Major treefolk and ecological guardian archetype.</x:v>
      </x:c>
      <x:c r="O11" s="24" t="str">
        <x:v>Primary canon</x:v>
      </x:c>
      <x:c r="P11" s="24" t="str">
        <x:v>Official reference reviewed</x:v>
      </x:c>
      <x:c r="Q11" s="24" t="str">
        <x:v>Tolkien Estate setting overview and primary legendarium corpus.</x:v>
      </x:c>
      <x:c r="R11" s="84" t="str">
        <x:v>https://www.tolkienestate.com/writing/</x:v>
      </x:c>
      <x:c r="S11" s="24" t="str">
        <x:v>Seeded</x:v>
      </x:c>
    </x:row>
    <x:row r="12" ht="52" customHeight="1">
      <x:c r="A12" s="24" t="str">
        <x:v>ENT-0011</x:v>
      </x:c>
      <x:c r="B12" s="24" t="str">
        <x:v>Ainur</x:v>
      </x:c>
      <x:c r="C12" s="24" t="str">
        <x:v>SRC-026</x:v>
      </x:c>
      <x:c r="D12" s="24" t="str">
        <x:v>Tolkien's Legendarium</x:v>
      </x:c>
      <x:c r="E12" s="24" t="str">
        <x:v>Legendarium (literary corpus)</x:v>
      </x:c>
      <x:c r="F12" s="24" t="str">
        <x:v>Primordial spiritual beings</x:v>
      </x:c>
      <x:c r="G12" s="24" t="str">
        <x:v>PPL-400</x:v>
      </x:c>
      <x:c r="H12" s="24" t="str">
        <x:f>IFERROR(VLOOKUP(G12,'Master Taxonomy'!$A$2:$B$1656,2,FALSE),"")</x:f>
        <x:v>Divine and Celestial Beings</x:v>
      </x:c>
      <x:c r="I12" s="24" t="str"/>
      <x:c r="J12" s="24" t="str"/>
      <x:c r="K12" s="24" t="str">
        <x:v>Pre-cosmic spirits who participate in the shaping and governance of the created world.</x:v>
      </x:c>
      <x:c r="L12" s="24" t="str">
        <x:v>Created spiritual nature and delegated cosmic authority.</x:v>
      </x:c>
      <x:c r="M12" s="24" t="str">
        <x:v>They are neither a biological race nor a single moral faction.</x:v>
      </x:c>
      <x:c r="N12" s="24" t="str">
        <x:v>Comparable to angelic or demiurgic orders only with caution.</x:v>
      </x:c>
      <x:c r="O12" s="24" t="str">
        <x:v>Primary canon</x:v>
      </x:c>
      <x:c r="P12" s="24" t="str">
        <x:v>Official reference reviewed</x:v>
      </x:c>
      <x:c r="Q12" s="24" t="str">
        <x:v>Tolkien Estate setting overview and primary legendarium corpus.</x:v>
      </x:c>
      <x:c r="R12" s="84" t="str">
        <x:v>https://www.tolkienestate.com/writing/</x:v>
      </x:c>
      <x:c r="S12" s="24" t="str">
        <x:v>Seeded</x:v>
      </x:c>
    </x:row>
    <x:row r="13" ht="52" customHeight="1">
      <x:c r="A13" s="24" t="str">
        <x:v>ENT-0012</x:v>
      </x:c>
      <x:c r="B13" s="24" t="str">
        <x:v>Valar</x:v>
      </x:c>
      <x:c r="C13" s="24" t="str">
        <x:v>SRC-026</x:v>
      </x:c>
      <x:c r="D13" s="24" t="str">
        <x:v>Tolkien's Legendarium</x:v>
      </x:c>
      <x:c r="E13" s="24" t="str">
        <x:v>Legendarium (literary corpus)</x:v>
      </x:c>
      <x:c r="F13" s="24" t="str">
        <x:v>Divine governing order</x:v>
      </x:c>
      <x:c r="G13" s="24" t="str">
        <x:v>PPL-401</x:v>
      </x:c>
      <x:c r="H13" s="24" t="str">
        <x:f>IFERROR(VLOOKUP(G13,'Master Taxonomy'!$A$2:$B$1656,2,FALSE),"")</x:f>
        <x:v>Deities</x:v>
      </x:c>
      <x:c r="I13" s="24" t="str">
        <x:v>PPL-405</x:v>
      </x:c>
      <x:c r="J13" s="24" t="str">
        <x:v>Divine Servitors</x:v>
      </x:c>
      <x:c r="K13" s="24" t="str">
        <x:v>The greatest Ainur who enter Arda and exercise delegated guardianship over it.</x:v>
      </x:c>
      <x:c r="L13" s="24" t="str">
        <x:v>Spiritual nature and divinely delegated authority.</x:v>
      </x:c>
      <x:c r="M13" s="24" t="str">
        <x:v>Often called gods by inhabitants, but subordinate to Ilúvatar.</x:v>
      </x:c>
      <x:c r="N13" s="24" t="str">
        <x:v>Functional analogue to pantheons, not exact polytheistic deities.</x:v>
      </x:c>
      <x:c r="O13" s="24" t="str">
        <x:v>Primary canon</x:v>
      </x:c>
      <x:c r="P13" s="24" t="str">
        <x:v>Official reference reviewed</x:v>
      </x:c>
      <x:c r="Q13" s="24" t="str">
        <x:v>Tolkien Estate setting overview and primary legendarium corpus.</x:v>
      </x:c>
      <x:c r="R13" s="84" t="str">
        <x:v>https://www.tolkienestate.com/writing/</x:v>
      </x:c>
      <x:c r="S13" s="24" t="str">
        <x:v>Seeded</x:v>
      </x:c>
    </x:row>
    <x:row r="14" ht="52" customHeight="1">
      <x:c r="A14" s="24" t="str">
        <x:v>ENT-0013</x:v>
      </x:c>
      <x:c r="B14" s="24" t="str">
        <x:v>Maiar</x:v>
      </x:c>
      <x:c r="C14" s="24" t="str">
        <x:v>SRC-026</x:v>
      </x:c>
      <x:c r="D14" s="24" t="str">
        <x:v>Tolkien's Legendarium</x:v>
      </x:c>
      <x:c r="E14" s="24" t="str">
        <x:v>Legendarium (literary corpus)</x:v>
      </x:c>
      <x:c r="F14" s="24" t="str">
        <x:v>Lesser Ainur</x:v>
      </x:c>
      <x:c r="G14" s="24" t="str">
        <x:v>PPL-404</x:v>
      </x:c>
      <x:c r="H14" s="24" t="str">
        <x:f>IFERROR(VLOOKUP(G14,'Master Taxonomy'!$A$2:$B$1656,2,FALSE),"")</x:f>
        <x:v>Celestials and Angelic Beings</x:v>
      </x:c>
      <x:c r="I14" s="24" t="str">
        <x:v>PPL-405</x:v>
      </x:c>
      <x:c r="J14" s="24" t="str">
        <x:v>Divine Servitors</x:v>
      </x:c>
      <x:c r="K14" s="24" t="str">
        <x:v>Ainur of lesser order who serve, teach, rule, tempt, or oppose within Arda.</x:v>
      </x:c>
      <x:c r="L14" s="24" t="str">
        <x:v>Spiritual nature; variable embodiment and allegiance.</x:v>
      </x:c>
      <x:c r="M14" s="24" t="str">
        <x:v>Includes radically different figures and cannot be treated as one profession.</x:v>
      </x:c>
      <x:c r="N14" s="24" t="str">
        <x:v>Angel, spirit-lord, and embodied emissary analogues.</x:v>
      </x:c>
      <x:c r="O14" s="24" t="str">
        <x:v>Primary canon</x:v>
      </x:c>
      <x:c r="P14" s="24" t="str">
        <x:v>Official reference reviewed</x:v>
      </x:c>
      <x:c r="Q14" s="24" t="str">
        <x:v>Tolkien Estate setting overview and primary legendarium corpus.</x:v>
      </x:c>
      <x:c r="R14" s="84" t="str">
        <x:v>https://www.tolkienestate.com/writing/</x:v>
      </x:c>
      <x:c r="S14" s="24" t="str">
        <x:v>Seeded</x:v>
      </x:c>
    </x:row>
    <x:row r="15" ht="52" customHeight="1">
      <x:c r="A15" s="24" t="str">
        <x:v>ENT-0014</x:v>
      </x:c>
      <x:c r="B15" s="24" t="str">
        <x:v>Istari (Wizards)</x:v>
      </x:c>
      <x:c r="C15" s="24" t="str">
        <x:v>SRC-026</x:v>
      </x:c>
      <x:c r="D15" s="24" t="str">
        <x:v>Tolkien's Legendarium</x:v>
      </x:c>
      <x:c r="E15" s="24" t="str">
        <x:v>Legendarium (literary corpus)</x:v>
      </x:c>
      <x:c r="F15" s="24" t="str">
        <x:v>Invested emissary order</x:v>
      </x:c>
      <x:c r="G15" s="24" t="str">
        <x:v>ROL-301</x:v>
      </x:c>
      <x:c r="H15" s="24" t="str">
        <x:f>IFERROR(VLOOKUP(G15,'Master Taxonomy'!$A$2:$B$1656,2,FALSE),"")</x:f>
        <x:v>Mage and Wizard</x:v>
      </x:c>
      <x:c r="I15" s="24" t="str">
        <x:v>PPL-405</x:v>
      </x:c>
      <x:c r="J15" s="24" t="str">
        <x:v>Divine Servitors</x:v>
      </x:c>
      <x:c r="K15" s="24" t="str">
        <x:v>Maiar sent in constrained embodied form to counsel resistance against Sauron.</x:v>
      </x:c>
      <x:c r="L15" s="24" t="str">
        <x:v>Delegated mission, spiritual nature, knowledge, and limited embodied power.</x:v>
      </x:c>
      <x:c r="M15" s="24" t="str">
        <x:v>‘Wizard’ here denotes an order and identity, not merely a learned spellcaster class.</x:v>
      </x:c>
      <x:c r="N15" s="24" t="str">
        <x:v>A key example of one source term crossing role, being-type, and institution.</x:v>
      </x:c>
      <x:c r="O15" s="24" t="str">
        <x:v>Primary canon</x:v>
      </x:c>
      <x:c r="P15" s="24" t="str">
        <x:v>Official reference reviewed</x:v>
      </x:c>
      <x:c r="Q15" s="24" t="str">
        <x:v>Tolkien Estate setting overview and primary legendarium corpus.</x:v>
      </x:c>
      <x:c r="R15" s="84" t="str">
        <x:v>https://www.tolkienestate.com/writing/</x:v>
      </x:c>
      <x:c r="S15" s="24" t="str">
        <x:v>Seeded</x:v>
      </x:c>
    </x:row>
    <x:row r="16" ht="52" customHeight="1">
      <x:c r="A16" s="24" t="str">
        <x:v>ENT-0015</x:v>
      </x:c>
      <x:c r="B16" s="24" t="str">
        <x:v>Orcs</x:v>
      </x:c>
      <x:c r="C16" s="24" t="str">
        <x:v>SRC-026</x:v>
      </x:c>
      <x:c r="D16" s="24" t="str">
        <x:v>Tolkien's Legendarium</x:v>
      </x:c>
      <x:c r="E16" s="24" t="str">
        <x:v>Legendarium (literary corpus)</x:v>
      </x:c>
      <x:c r="F16" s="24" t="str">
        <x:v>Corrupted or bred people</x:v>
      </x:c>
      <x:c r="G16" s="24" t="str">
        <x:v>PPL-106</x:v>
      </x:c>
      <x:c r="H16" s="24" t="str">
        <x:f>IFERROR(VLOOKUP(G16,'Master Taxonomy'!$A$2:$B$1656,2,FALSE),"")</x:f>
        <x:v>Orc-Derived Peoples</x:v>
      </x:c>
      <x:c r="I16" s="24" t="str"/>
      <x:c r="J16" s="24" t="str"/>
      <x:c r="K16" s="24" t="str">
        <x:v>Hostile speaking peoples associated with the powers of Morgoth and Sauron.</x:v>
      </x:c>
      <x:c r="L16" s="24" t="str">
        <x:v>Corruption, breeding, domination, and disputed textual origins.</x:v>
      </x:c>
      <x:c r="M16" s="24" t="str">
        <x:v>Their ultimate origin varies across Tolkien's developing conceptions.</x:v>
      </x:c>
      <x:c r="N16" s="24" t="str">
        <x:v>Foundational but ethically contested model for fantasy orcs.</x:v>
      </x:c>
      <x:c r="O16" s="24" t="str">
        <x:v>Primary canon</x:v>
      </x:c>
      <x:c r="P16" s="24" t="str">
        <x:v>Official reference reviewed</x:v>
      </x:c>
      <x:c r="Q16" s="24" t="str">
        <x:v>Tolkien Estate setting overview and primary legendarium corpus.</x:v>
      </x:c>
      <x:c r="R16" s="84" t="str">
        <x:v>https://www.tolkienestate.com/writing/</x:v>
      </x:c>
      <x:c r="S16" s="24" t="str">
        <x:v>Seeded</x:v>
      </x:c>
    </x:row>
    <x:row r="17" ht="52" customHeight="1">
      <x:c r="A17" s="24" t="str">
        <x:v>ENT-0016</x:v>
      </x:c>
      <x:c r="B17" s="24" t="str">
        <x:v>Trolls</x:v>
      </x:c>
      <x:c r="C17" s="24" t="str">
        <x:v>SRC-026</x:v>
      </x:c>
      <x:c r="D17" s="24" t="str">
        <x:v>Tolkien's Legendarium</x:v>
      </x:c>
      <x:c r="E17" s="24" t="str">
        <x:v>Legendarium (literary corpus)</x:v>
      </x:c>
      <x:c r="F17" s="24" t="str">
        <x:v>Created or corrupted beings</x:v>
      </x:c>
      <x:c r="G17" s="24" t="str">
        <x:v>PPL-110</x:v>
      </x:c>
      <x:c r="H17" s="24" t="str">
        <x:f>IFERROR(VLOOKUP(G17,'Master Taxonomy'!$A$2:$B$1656,2,FALSE),"")</x:f>
        <x:v>Trollkin Peoples</x:v>
      </x:c>
      <x:c r="I17" s="24" t="str"/>
      <x:c r="J17" s="24" t="str"/>
      <x:c r="K17" s="24" t="str">
        <x:v>Large hostile beings appearing in several forms and periods.</x:v>
      </x:c>
      <x:c r="L17" s="24" t="str">
        <x:v>Corruptive making, imitation, and physical might.</x:v>
      </x:c>
      <x:c r="M17" s="24" t="str">
        <x:v>Different troll kinds have different intelligence and vulnerabilities.</x:v>
      </x:c>
      <x:c r="N17" s="24" t="str">
        <x:v>Influential giant-brute and troll archetype.</x:v>
      </x:c>
      <x:c r="O17" s="24" t="str">
        <x:v>Primary canon</x:v>
      </x:c>
      <x:c r="P17" s="24" t="str">
        <x:v>Official reference reviewed</x:v>
      </x:c>
      <x:c r="Q17" s="24" t="str">
        <x:v>Tolkien Estate setting overview and primary legendarium corpus.</x:v>
      </x:c>
      <x:c r="R17" s="84" t="str">
        <x:v>https://www.tolkienestate.com/writing/</x:v>
      </x:c>
      <x:c r="S17" s="24" t="str">
        <x:v>Seeded</x:v>
      </x:c>
    </x:row>
    <x:row r="18" ht="52" customHeight="1">
      <x:c r="A18" s="24" t="str">
        <x:v>ENT-0017</x:v>
      </x:c>
      <x:c r="B18" s="24" t="str">
        <x:v>Balrogs</x:v>
      </x:c>
      <x:c r="C18" s="24" t="str">
        <x:v>SRC-026</x:v>
      </x:c>
      <x:c r="D18" s="24" t="str">
        <x:v>Tolkien's Legendarium</x:v>
      </x:c>
      <x:c r="E18" s="24" t="str">
        <x:v>Legendarium (literary corpus)</x:v>
      </x:c>
      <x:c r="F18" s="24" t="str">
        <x:v>Fallen primordial spirits</x:v>
      </x:c>
      <x:c r="G18" s="24" t="str">
        <x:v>PPL-504</x:v>
      </x:c>
      <x:c r="H18" s="24" t="str">
        <x:f>IFERROR(VLOOKUP(G18,'Master Taxonomy'!$A$2:$B$1656,2,FALSE),"")</x:f>
        <x:v>Fallen Celestials</x:v>
      </x:c>
      <x:c r="I18" s="24" t="str">
        <x:v>PPL-501</x:v>
      </x:c>
      <x:c r="J18" s="24" t="str">
        <x:v>Demons</x:v>
      </x:c>
      <x:c r="K18" s="24" t="str">
        <x:v>Corrupted Maiar of fire and shadow serving Morgoth.</x:v>
      </x:c>
      <x:c r="L18" s="24" t="str">
        <x:v>Spiritual nature, corruption, terror, and elemental manifestation.</x:v>
      </x:c>
      <x:c r="M18" s="24" t="str">
        <x:v>Not a biological demon species or generic fire monster.</x:v>
      </x:c>
      <x:c r="N18" s="24" t="str">
        <x:v>Major fallen-angelic demon and ancient lieutenant archetype.</x:v>
      </x:c>
      <x:c r="O18" s="24" t="str">
        <x:v>Primary canon</x:v>
      </x:c>
      <x:c r="P18" s="24" t="str">
        <x:v>Official reference reviewed</x:v>
      </x:c>
      <x:c r="Q18" s="24" t="str">
        <x:v>Tolkien Estate setting overview and primary legendarium corpus.</x:v>
      </x:c>
      <x:c r="R18" s="84" t="str">
        <x:v>https://www.tolkienestate.com/writing/</x:v>
      </x:c>
      <x:c r="S18" s="24" t="str">
        <x:v>Seeded</x:v>
      </x:c>
    </x:row>
    <x:row r="19" ht="52" customHeight="1">
      <x:c r="A19" s="24" t="str">
        <x:v>ENT-0018</x:v>
      </x:c>
      <x:c r="B19" s="24" t="str">
        <x:v>Dragons</x:v>
      </x:c>
      <x:c r="C19" s="24" t="str">
        <x:v>SRC-026</x:v>
      </x:c>
      <x:c r="D19" s="24" t="str">
        <x:v>Tolkien's Legendarium</x:v>
      </x:c>
      <x:c r="E19" s="24" t="str">
        <x:v>Legendarium (literary corpus)</x:v>
      </x:c>
      <x:c r="F19" s="24" t="str">
        <x:v>Created monster-kind</x:v>
      </x:c>
      <x:c r="G19" s="24" t="str">
        <x:v>PPL-801</x:v>
      </x:c>
      <x:c r="H19" s="24" t="str">
        <x:f>IFERROR(VLOOKUP(G19,'Master Taxonomy'!$A$2:$B$1656,2,FALSE),"")</x:f>
        <x:v>True Dragons</x:v>
      </x:c>
      <x:c r="I19" s="24" t="str"/>
      <x:c r="J19" s="24" t="str"/>
      <x:c r="K19" s="24" t="str">
        <x:v>Powerful intelligent draconic beings first bred by Morgoth, including winged and wingless forms.</x:v>
      </x:c>
      <x:c r="L19" s="24" t="str">
        <x:v>Created monstrous lineage, cunning, physical power, and often speech.</x:v>
      </x:c>
      <x:c r="M19" s="24" t="str">
        <x:v>The corpus distinguishes individuals and forms rather than a game taxonomy of colors.</x:v>
      </x:c>
      <x:c r="N19" s="24" t="str">
        <x:v>Central Western literary dragon lineage.</x:v>
      </x:c>
      <x:c r="O19" s="24" t="str">
        <x:v>Primary canon</x:v>
      </x:c>
      <x:c r="P19" s="24" t="str">
        <x:v>Official reference reviewed</x:v>
      </x:c>
      <x:c r="Q19" s="24" t="str">
        <x:v>Tolkien Estate setting overview and primary legendarium corpus.</x:v>
      </x:c>
      <x:c r="R19" s="84" t="str">
        <x:v>https://www.tolkienestate.com/writing/</x:v>
      </x:c>
      <x:c r="S19" s="24" t="str">
        <x:v>Seeded</x:v>
      </x:c>
    </x:row>
    <x:row r="20" ht="52" customHeight="1">
      <x:c r="A20" s="24" t="str">
        <x:v>ENT-0019</x:v>
      </x:c>
      <x:c r="B20" s="24" t="str">
        <x:v>Great Eagles</x:v>
      </x:c>
      <x:c r="C20" s="24" t="str">
        <x:v>SRC-026</x:v>
      </x:c>
      <x:c r="D20" s="24" t="str">
        <x:v>Tolkien's Legendarium</x:v>
      </x:c>
      <x:c r="E20" s="24" t="str">
        <x:v>Legendarium (literary corpus)</x:v>
      </x:c>
      <x:c r="F20" s="24" t="str">
        <x:v>Sapient great beasts</x:v>
      </x:c>
      <x:c r="G20" s="24" t="str">
        <x:v>PPL-820</x:v>
      </x:c>
      <x:c r="H20" s="24" t="str">
        <x:f>IFERROR(VLOOKUP(G20,'Master Taxonomy'!$A$2:$B$1656,2,FALSE),"")</x:f>
        <x:v>Sacred Guardian Beasts</x:v>
      </x:c>
      <x:c r="I20" s="24" t="str"/>
      <x:c r="J20" s="24" t="str"/>
      <x:c r="K20" s="24" t="str">
        <x:v>Enormous intelligent eagles associated with Manwë and decisive interventions.</x:v>
      </x:c>
      <x:c r="L20" s="24" t="str">
        <x:v>Natural or spiritually elevated beasthood and divine association.</x:v>
      </x:c>
      <x:c r="M20" s="24" t="str">
        <x:v>They are agents with their own limits, not a routine transport mechanism.</x:v>
      </x:c>
      <x:c r="N20" s="24" t="str">
        <x:v>Divine messenger and rescue-beast analogue.</x:v>
      </x:c>
      <x:c r="O20" s="24" t="str">
        <x:v>Primary canon</x:v>
      </x:c>
      <x:c r="P20" s="24" t="str">
        <x:v>Official reference reviewed</x:v>
      </x:c>
      <x:c r="Q20" s="24" t="str">
        <x:v>Tolkien Estate setting overview and primary legendarium corpus.</x:v>
      </x:c>
      <x:c r="R20" s="84" t="str">
        <x:v>https://www.tolkienestate.com/writing/</x:v>
      </x:c>
      <x:c r="S20" s="24" t="str">
        <x:v>Seeded</x:v>
      </x:c>
    </x:row>
    <x:row r="21" ht="52" customHeight="1">
      <x:c r="A21" s="24" t="str">
        <x:v>ENT-0020</x:v>
      </x:c>
      <x:c r="B21" s="24" t="str">
        <x:v>Great Spiders</x:v>
      </x:c>
      <x:c r="C21" s="24" t="str">
        <x:v>SRC-026</x:v>
      </x:c>
      <x:c r="D21" s="24" t="str">
        <x:v>Tolkien's Legendarium</x:v>
      </x:c>
      <x:c r="E21" s="24" t="str">
        <x:v>Legendarium (literary corpus)</x:v>
      </x:c>
      <x:c r="F21" s="24" t="str">
        <x:v>Monstrous lineage</x:v>
      </x:c>
      <x:c r="G21" s="24" t="str">
        <x:v>PPL-818</x:v>
      </x:c>
      <x:c r="H21" s="24" t="str">
        <x:f>IFERROR(VLOOKUP(G21,'Master Taxonomy'!$A$2:$B$1656,2,FALSE),"")</x:f>
        <x:v>Giant Spiders and Web Sovereigns</x:v>
      </x:c>
      <x:c r="I21" s="24" t="str"/>
      <x:c r="J21" s="24" t="str"/>
      <x:c r="K21" s="24" t="str">
        <x:v>Predatory giant spiders descending from or echoing Ungoliant's monstrous lineage.</x:v>
      </x:c>
      <x:c r="L21" s="24" t="str">
        <x:v>Monstrous descent, appetite, poison, webs, and dark ecology.</x:v>
      </x:c>
      <x:c r="M21" s="24" t="str">
        <x:v>Ungoliant's own ontology remains exceptional and obscure.</x:v>
      </x:c>
      <x:c r="N21" s="24" t="str">
        <x:v>Foundational giant-spider and devouring-darkness archetype.</x:v>
      </x:c>
      <x:c r="O21" s="24" t="str">
        <x:v>Primary canon</x:v>
      </x:c>
      <x:c r="P21" s="24" t="str">
        <x:v>Official reference reviewed</x:v>
      </x:c>
      <x:c r="Q21" s="24" t="str">
        <x:v>Tolkien Estate setting overview and primary legendarium corpus.</x:v>
      </x:c>
      <x:c r="R21" s="84" t="str">
        <x:v>https://www.tolkienestate.com/writing/</x:v>
      </x:c>
      <x:c r="S21" s="24" t="str">
        <x:v>Seeded</x:v>
      </x:c>
    </x:row>
    <x:row r="22" ht="52" customHeight="1">
      <x:c r="A22" s="24" t="str">
        <x:v>ENT-0021</x:v>
      </x:c>
      <x:c r="B22" s="24" t="str">
        <x:v>Nazgûl (Ringwraiths)</x:v>
      </x:c>
      <x:c r="C22" s="24" t="str">
        <x:v>SRC-026</x:v>
      </x:c>
      <x:c r="D22" s="24" t="str">
        <x:v>Tolkien's Legendarium</x:v>
      </x:c>
      <x:c r="E22" s="24" t="str">
        <x:v>Legendarium (literary corpus)</x:v>
      </x:c>
      <x:c r="F22" s="24" t="str">
        <x:v>Transformed undead-like servants</x:v>
      </x:c>
      <x:c r="G22" s="24" t="str">
        <x:v>PPL-606</x:v>
      </x:c>
      <x:c r="H22" s="24" t="str">
        <x:f>IFERROR(VLOOKUP(G22,'Master Taxonomy'!$A$2:$B$1656,2,FALSE),"")</x:f>
        <x:v>Wights and Wraiths</x:v>
      </x:c>
      <x:c r="I22" s="24" t="str">
        <x:v>STA-402</x:v>
      </x:c>
      <x:c r="J22" s="24" t="str">
        <x:v>Relic Bearer</x:v>
      </x:c>
      <x:c r="K22" s="24" t="str">
        <x:v>Human kings and lords reduced to spectral servitude through Rings of Power.</x:v>
      </x:c>
      <x:c r="L22" s="24" t="str">
        <x:v>Artifact-mediated corruption, prolonged life, domination, and disembodiment.</x:v>
      </x:c>
      <x:c r="M22" s="24" t="str">
        <x:v>They are neither generic ghosts nor self-directed undead.</x:v>
      </x:c>
      <x:c r="N22" s="24" t="str">
        <x:v>Primary cursed-relic wraith and dark-lieutenant model.</x:v>
      </x:c>
      <x:c r="O22" s="24" t="str">
        <x:v>Primary canon</x:v>
      </x:c>
      <x:c r="P22" s="24" t="str">
        <x:v>Official reference reviewed</x:v>
      </x:c>
      <x:c r="Q22" s="24" t="str">
        <x:v>Tolkien Estate setting overview and primary legendarium corpus.</x:v>
      </x:c>
      <x:c r="R22" s="84" t="str">
        <x:v>https://www.tolkienestate.com/writing/</x:v>
      </x:c>
      <x:c r="S22" s="24" t="str">
        <x:v>Seeded</x:v>
      </x:c>
    </x:row>
    <x:row r="23" ht="52" customHeight="1">
      <x:c r="A23" s="24" t="str">
        <x:v>ENT-0022</x:v>
      </x:c>
      <x:c r="B23" s="24" t="str">
        <x:v>Barrow-wights</x:v>
      </x:c>
      <x:c r="C23" s="24" t="str">
        <x:v>SRC-026</x:v>
      </x:c>
      <x:c r="D23" s="24" t="str">
        <x:v>Tolkien's Legendarium</x:v>
      </x:c>
      <x:c r="E23" s="24" t="str">
        <x:v>Legendarium (literary corpus)</x:v>
      </x:c>
      <x:c r="F23" s="24" t="str">
        <x:v>Malignant undead spirits</x:v>
      </x:c>
      <x:c r="G23" s="24" t="str">
        <x:v>PPL-606</x:v>
      </x:c>
      <x:c r="H23" s="24" t="str">
        <x:f>IFERROR(VLOOKUP(G23,'Master Taxonomy'!$A$2:$B$1656,2,FALSE),"")</x:f>
        <x:v>Wights and Wraiths</x:v>
      </x:c>
      <x:c r="I23" s="24" t="str"/>
      <x:c r="J23" s="24" t="str"/>
      <x:c r="K23" s="24" t="str">
        <x:v>Hostile spirits inhabiting ancient burial places and remains.</x:v>
      </x:c>
      <x:c r="L23" s="24" t="str">
        <x:v>Necromantic occupation of tombs and corpse-associated haunting.</x:v>
      </x:c>
      <x:c r="M23" s="24" t="str">
        <x:v>Distinct from the Nazgûl despite the shared English term 'wight.'</x:v>
      </x:c>
      <x:c r="N23" s="24" t="str">
        <x:v>Barrow-dead and tomb guardian undead analogue.</x:v>
      </x:c>
      <x:c r="O23" s="24" t="str">
        <x:v>Primary canon</x:v>
      </x:c>
      <x:c r="P23" s="24" t="str">
        <x:v>Official reference reviewed</x:v>
      </x:c>
      <x:c r="Q23" s="24" t="str">
        <x:v>Tolkien Estate setting overview and primary legendarium corpus.</x:v>
      </x:c>
      <x:c r="R23" s="84" t="str">
        <x:v>https://www.tolkienestate.com/writing/</x:v>
      </x:c>
      <x:c r="S23" s="24" t="str">
        <x:v>Seeded</x:v>
      </x:c>
    </x:row>
    <x:row r="24" ht="52" customHeight="1">
      <x:c r="A24" s="24" t="str">
        <x:v>ENT-0023</x:v>
      </x:c>
      <x:c r="B24" s="24" t="str">
        <x:v>Beornings and skin-changers</x:v>
      </x:c>
      <x:c r="C24" s="24" t="str">
        <x:v>SRC-026</x:v>
      </x:c>
      <x:c r="D24" s="24" t="str">
        <x:v>Tolkien's Legendarium</x:v>
      </x:c>
      <x:c r="E24" s="24" t="str">
        <x:v>Legendarium (literary corpus)</x:v>
      </x:c>
      <x:c r="F24" s="24" t="str">
        <x:v>Human lineage / shapeshifters</x:v>
      </x:c>
      <x:c r="G24" s="24" t="str">
        <x:v>PPL-1001</x:v>
      </x:c>
      <x:c r="H24" s="24" t="str">
        <x:f>IFERROR(VLOOKUP(G24,'Master Taxonomy'!$A$2:$B$1656,2,FALSE),"")</x:f>
        <x:v>General Shapeshifters</x:v>
      </x:c>
      <x:c r="I24" s="24" t="str">
        <x:v>ROL-511</x:v>
      </x:c>
      <x:c r="J24" s="24" t="str">
        <x:v>Shapeshifting Warden</x:v>
      </x:c>
      <x:c r="K24" s="24" t="str">
        <x:v>Human-associated people or lineage linked to voluntary bear transformation and wilderness guardianship.</x:v>
      </x:c>
      <x:c r="L24" s="24" t="str">
        <x:v>Innate or inherited shapeshifting.</x:v>
      </x:c>
      <x:c r="M24" s="24" t="str">
        <x:v>Not presented as a conventional contagious were-creature curse.</x:v>
      </x:c>
      <x:c r="N24" s="24" t="str">
        <x:v>Positive guardian-shapeshifter and werebear analogue.</x:v>
      </x:c>
      <x:c r="O24" s="24" t="str">
        <x:v>Primary canon</x:v>
      </x:c>
      <x:c r="P24" s="24" t="str">
        <x:v>Official reference reviewed</x:v>
      </x:c>
      <x:c r="Q24" s="24" t="str">
        <x:v>Tolkien Estate setting overview and primary legendarium corpus.</x:v>
      </x:c>
      <x:c r="R24" s="84" t="str">
        <x:v>https://www.tolkienestate.com/writing/</x:v>
      </x:c>
      <x:c r="S24" s="24" t="str">
        <x:v>Seeded</x:v>
      </x:c>
    </x:row>
    <x:row r="25" ht="52" customHeight="1">
      <x:c r="A25" s="24" t="str">
        <x:v>ENT-0024</x:v>
      </x:c>
      <x:c r="B25" s="24" t="str">
        <x:v>Rangers of the North</x:v>
      </x:c>
      <x:c r="C25" s="24" t="str">
        <x:v>SRC-026</x:v>
      </x:c>
      <x:c r="D25" s="24" t="str">
        <x:v>Tolkien's Legendarium</x:v>
      </x:c>
      <x:c r="E25" s="24" t="str">
        <x:v>Legendarium (literary corpus)</x:v>
      </x:c>
      <x:c r="F25" s="24" t="str">
        <x:v>Martial vocation and remnant institution</x:v>
      </x:c>
      <x:c r="G25" s="24" t="str">
        <x:v>ROL-125</x:v>
      </x:c>
      <x:c r="H25" s="24" t="str">
        <x:f>IFERROR(VLOOKUP(G25,'Master Taxonomy'!$A$2:$B$1656,2,FALSE),"")</x:f>
        <x:v>Ranger</x:v>
      </x:c>
      <x:c r="I25" s="24" t="str">
        <x:v>INS-220</x:v>
      </x:c>
      <x:c r="J25" s="24" t="str">
        <x:v>Adventuring Company</x:v>
      </x:c>
      <x:c r="K25" s="24" t="str">
        <x:v>Dúnedain guardians operating in dispersed secrecy across the former northern kingdom.</x:v>
      </x:c>
      <x:c r="L25" s="24" t="str">
        <x:v>Training, lineage, fieldcraft, and inherited political duty.</x:v>
      </x:c>
      <x:c r="M25" s="24" t="str">
        <x:v>Ranger is a historical vocation here, not a spellcasting class.</x:v>
      </x:c>
      <x:c r="N25" s="24" t="str">
        <x:v>Influential wilderness guardian and hidden-heir support archetype.</x:v>
      </x:c>
      <x:c r="O25" s="24" t="str">
        <x:v>Primary canon</x:v>
      </x:c>
      <x:c r="P25" s="24" t="str">
        <x:v>Official reference reviewed</x:v>
      </x:c>
      <x:c r="Q25" s="24" t="str">
        <x:v>Tolkien Estate setting overview and primary legendarium corpus.</x:v>
      </x:c>
      <x:c r="R25" s="84" t="str">
        <x:v>https://www.tolkienestate.com/writing/</x:v>
      </x:c>
      <x:c r="S25" s="24" t="str">
        <x:v>Seeded</x:v>
      </x:c>
    </x:row>
    <x:row r="26" ht="52" customHeight="1">
      <x:c r="A26" s="24" t="str">
        <x:v>ENT-0025</x:v>
      </x:c>
      <x:c r="B26" s="24" t="str">
        <x:v>Rohirrim</x:v>
      </x:c>
      <x:c r="C26" s="24" t="str">
        <x:v>SRC-026</x:v>
      </x:c>
      <x:c r="D26" s="24" t="str">
        <x:v>Tolkien's Legendarium</x:v>
      </x:c>
      <x:c r="E26" s="24" t="str">
        <x:v>Legendarium (literary corpus)</x:v>
      </x:c>
      <x:c r="F26" s="24" t="str">
        <x:v>Human culture and military tradition</x:v>
      </x:c>
      <x:c r="G26" s="24" t="str">
        <x:v>ROL-116</x:v>
      </x:c>
      <x:c r="H26" s="24" t="str">
        <x:f>IFERROR(VLOOKUP(G26,'Master Taxonomy'!$A$2:$B$1656,2,FALSE),"")</x:f>
        <x:v>Cavalier and Mounted Knight</x:v>
      </x:c>
      <x:c r="I26" s="24" t="str">
        <x:v>CIV-205</x:v>
      </x:c>
      <x:c r="J26" s="24" t="str">
        <x:v>Nomadic Horse Culture</x:v>
      </x:c>
      <x:c r="K26" s="24" t="str">
        <x:v>A settled human kingdom whose identity and warfare center strongly on horses and mounted retinues.</x:v>
      </x:c>
      <x:c r="L26" s="24" t="str">
        <x:v>Culture, horsemanship, fealty, and military organization.</x:v>
      </x:c>
      <x:c r="M26" s="24" t="str">
        <x:v>They are not strictly nomadic; the horse-culture tag is comparative, not exact.</x:v>
      </x:c>
      <x:c r="N26" s="24" t="str">
        <x:v>Mounted heroic culture and cavalry kingdom analogue.</x:v>
      </x:c>
      <x:c r="O26" s="24" t="str">
        <x:v>Primary canon</x:v>
      </x:c>
      <x:c r="P26" s="24" t="str">
        <x:v>Official reference reviewed</x:v>
      </x:c>
      <x:c r="Q26" s="24" t="str">
        <x:v>Tolkien Estate setting overview and primary legendarium corpus.</x:v>
      </x:c>
      <x:c r="R26" s="84" t="str">
        <x:v>https://www.tolkienestate.com/writing/</x:v>
      </x:c>
      <x:c r="S26" s="24" t="str">
        <x:v>Seeded</x:v>
      </x:c>
    </x:row>
    <x:row r="27" ht="52" customHeight="1">
      <x:c r="A27" s="24" t="str">
        <x:v>ENT-0026</x:v>
      </x:c>
      <x:c r="B27" s="24" t="str">
        <x:v>Children of the Forest</x:v>
      </x:c>
      <x:c r="C27" s="24" t="str">
        <x:v>SRC-046</x:v>
      </x:c>
      <x:c r="D27" s="24" t="str">
        <x:v>A Song of Ice and Fire</x:v>
      </x:c>
      <x:c r="E27" s="24" t="str">
        <x:v>Novel continuity</x:v>
      </x:c>
      <x:c r="F27" s="24" t="str">
        <x:v>Nonhuman people</x:v>
      </x:c>
      <x:c r="G27" s="24" t="str">
        <x:v>PPL-200</x:v>
      </x:c>
      <x:c r="H27" s="24" t="str">
        <x:f>IFERROR(VLOOKUP(G27,'Master Taxonomy'!$A$2:$B$1656,2,FALSE),"")</x:f>
        <x:v>Fae, Nature, and Liminal Beings</x:v>
      </x:c>
      <x:c r="I27" s="24" t="str">
        <x:v>PPL-206</x:v>
      </x:c>
      <x:c r="J27" s="24" t="str">
        <x:v>Land and Watershed Spirits</x:v>
      </x:c>
      <x:c r="K27" s="24" t="str">
        <x:v>An ancient nonhuman people associated with the forests, weirwoods, greenseeing, and deep history.</x:v>
      </x:c>
      <x:c r="L27" s="24" t="str">
        <x:v>Innate gifts, ritual knowledge, and ecological-cultural relationship.</x:v>
      </x:c>
      <x:c r="M27" s="24" t="str">
        <x:v>They are a distinct people, not simply fairies or Tolkien-style elves.</x:v>
      </x:c>
      <x:c r="N27" s="24" t="str">
        <x:v>Partial analogue to elder nature peoples and land-linked fae.</x:v>
      </x:c>
      <x:c r="O27" s="24" t="str">
        <x:v>Primary canon</x:v>
      </x:c>
      <x:c r="P27" s="24" t="str">
        <x:v>Primary text reviewed</x:v>
      </x:c>
      <x:c r="Q27" s="24" t="str">
        <x:v>George R. R. Martin's primary novel corpus and official world-book listings.</x:v>
      </x:c>
      <x:c r="R27" s="84" t="str">
        <x:v>https://georgerrmartin.com/all-books/cover-gallery/a-song-of-ice-and-fire/</x:v>
      </x:c>
      <x:c r="S27" s="24" t="str">
        <x:v>Seeded</x:v>
      </x:c>
    </x:row>
    <x:row r="28" ht="52" customHeight="1">
      <x:c r="A28" s="24" t="str">
        <x:v>ENT-0027</x:v>
      </x:c>
      <x:c r="B28" s="24" t="str">
        <x:v>Giants</x:v>
      </x:c>
      <x:c r="C28" s="24" t="str">
        <x:v>SRC-046</x:v>
      </x:c>
      <x:c r="D28" s="24" t="str">
        <x:v>A Song of Ice and Fire</x:v>
      </x:c>
      <x:c r="E28" s="24" t="str">
        <x:v>Novel continuity</x:v>
      </x:c>
      <x:c r="F28" s="24" t="str">
        <x:v>Nonhuman people</x:v>
      </x:c>
      <x:c r="G28" s="24" t="str">
        <x:v>PPL-108</x:v>
      </x:c>
      <x:c r="H28" s="24" t="str">
        <x:f>IFERROR(VLOOKUP(G28,'Master Taxonomy'!$A$2:$B$1656,2,FALSE),"")</x:f>
        <x:v>Giantkin Peoples</x:v>
      </x:c>
      <x:c r="I28" s="24" t="str"/>
      <x:c r="J28" s="24" t="str"/>
      <x:c r="K28" s="24" t="str">
        <x:v>Large sapient beings of the far North with their own language and culture.</x:v>
      </x:c>
      <x:c r="L28" s="24" t="str">
        <x:v>Natural ancestry and northern ecology.</x:v>
      </x:c>
      <x:c r="M28" s="24" t="str">
        <x:v>They are a people rather than interchangeable giant monsters.</x:v>
      </x:c>
      <x:c r="N28" s="24" t="str">
        <x:v>Giantfolk and remnant elder-people analogue.</x:v>
      </x:c>
      <x:c r="O28" s="24" t="str">
        <x:v>Primary canon</x:v>
      </x:c>
      <x:c r="P28" s="24" t="str">
        <x:v>Primary text reviewed</x:v>
      </x:c>
      <x:c r="Q28" s="24" t="str">
        <x:v>George R. R. Martin's primary novel corpus and official world-book listings.</x:v>
      </x:c>
      <x:c r="R28" s="84" t="str">
        <x:v>https://georgerrmartin.com/all-books/cover-gallery/a-song-of-ice-and-fire/</x:v>
      </x:c>
      <x:c r="S28" s="24" t="str">
        <x:v>Seeded</x:v>
      </x:c>
    </x:row>
    <x:row r="29" ht="52" customHeight="1">
      <x:c r="A29" s="24" t="str">
        <x:v>ENT-0028</x:v>
      </x:c>
      <x:c r="B29" s="24" t="str">
        <x:v>The Others</x:v>
      </x:c>
      <x:c r="C29" s="24" t="str">
        <x:v>SRC-046</x:v>
      </x:c>
      <x:c r="D29" s="24" t="str">
        <x:v>A Song of Ice and Fire</x:v>
      </x:c>
      <x:c r="E29" s="24" t="str">
        <x:v>Novel continuity</x:v>
      </x:c>
      <x:c r="F29" s="24" t="str">
        <x:v>Mysterious nonhuman beings</x:v>
      </x:c>
      <x:c r="G29" s="24" t="str">
        <x:v>PPL-200</x:v>
      </x:c>
      <x:c r="H29" s="24" t="str">
        <x:f>IFERROR(VLOOKUP(G29,'Master Taxonomy'!$A$2:$B$1656,2,FALSE),"")</x:f>
        <x:v>Fae, Nature, and Liminal Beings</x:v>
      </x:c>
      <x:c r="I29" s="24" t="str">
        <x:v>PWR-203</x:v>
      </x:c>
      <x:c r="J29" s="24" t="str">
        <x:v>Ice and Cold Magic</x:v>
      </x:c>
      <x:c r="K29" s="24" t="str">
        <x:v>Elegant, deadly beings of supernatural cold whose origin and full nature remain unresolved in the novels.</x:v>
      </x:c>
      <x:c r="L29" s="24" t="str">
        <x:v>Unknown or disputed supernatural ontology; cold-associated power.</x:v>
      </x:c>
      <x:c r="M29" s="24" t="str">
        <x:v>They should not be classified as undead merely because they animate wights.</x:v>
      </x:c>
      <x:c r="N29" s="24" t="str">
        <x:v>Ice-fae, deathly outsider, and apocalyptic elder-being analogues.</x:v>
      </x:c>
      <x:c r="O29" s="24" t="str">
        <x:v>Primary canon</x:v>
      </x:c>
      <x:c r="P29" s="24" t="str">
        <x:v>Primary text reviewed</x:v>
      </x:c>
      <x:c r="Q29" s="24" t="str">
        <x:v>George R. R. Martin's primary novel corpus and official world-book listings.</x:v>
      </x:c>
      <x:c r="R29" s="84" t="str">
        <x:v>https://georgerrmartin.com/all-books/cover-gallery/a-song-of-ice-and-fire/</x:v>
      </x:c>
      <x:c r="S29" s="24" t="str">
        <x:v>Seeded</x:v>
      </x:c>
    </x:row>
    <x:row r="30" ht="52" customHeight="1">
      <x:c r="A30" s="24" t="str">
        <x:v>ENT-0029</x:v>
      </x:c>
      <x:c r="B30" s="24" t="str">
        <x:v>Wights</x:v>
      </x:c>
      <x:c r="C30" s="24" t="str">
        <x:v>SRC-046</x:v>
      </x:c>
      <x:c r="D30" s="24" t="str">
        <x:v>A Song of Ice and Fire</x:v>
      </x:c>
      <x:c r="E30" s="24" t="str">
        <x:v>Novel continuity</x:v>
      </x:c>
      <x:c r="F30" s="24" t="str">
        <x:v>Animated dead</x:v>
      </x:c>
      <x:c r="G30" s="24" t="str">
        <x:v>PPL-604</x:v>
      </x:c>
      <x:c r="H30" s="24" t="str">
        <x:f>IFERROR(VLOOKUP(G30,'Master Taxonomy'!$A$2:$B$1656,2,FALSE),"")</x:f>
        <x:v>Zombies</x:v>
      </x:c>
      <x:c r="I30" s="24" t="str">
        <x:v>STA-115</x:v>
      </x:c>
      <x:c r="J30" s="24" t="str">
        <x:v>Undead Servitude</x:v>
      </x:c>
      <x:c r="K30" s="24" t="str">
        <x:v>Corpses reanimated as servants or extensions of the Others' power.</x:v>
      </x:c>
      <x:c r="L30" s="24" t="str">
        <x:v>External supernatural animation.</x:v>
      </x:c>
      <x:c r="M30" s="24" t="str">
        <x:v>Their agency and mechanics differ from disease-based zombies.</x:v>
      </x:c>
      <x:c r="N30" s="24" t="str">
        <x:v>Puppet-undead and necromantic army analogue.</x:v>
      </x:c>
      <x:c r="O30" s="24" t="str">
        <x:v>Primary canon</x:v>
      </x:c>
      <x:c r="P30" s="24" t="str">
        <x:v>Primary text reviewed</x:v>
      </x:c>
      <x:c r="Q30" s="24" t="str">
        <x:v>George R. R. Martin's primary novel corpus and official world-book listings.</x:v>
      </x:c>
      <x:c r="R30" s="84" t="str">
        <x:v>https://georgerrmartin.com/all-books/cover-gallery/a-song-of-ice-and-fire/</x:v>
      </x:c>
      <x:c r="S30" s="24" t="str">
        <x:v>Seeded</x:v>
      </x:c>
    </x:row>
    <x:row r="31" ht="52" customHeight="1">
      <x:c r="A31" s="24" t="str">
        <x:v>ENT-0030</x:v>
      </x:c>
      <x:c r="B31" s="24" t="str">
        <x:v>Dragons</x:v>
      </x:c>
      <x:c r="C31" s="24" t="str">
        <x:v>SRC-046</x:v>
      </x:c>
      <x:c r="D31" s="24" t="str">
        <x:v>A Song of Ice and Fire</x:v>
      </x:c>
      <x:c r="E31" s="24" t="str">
        <x:v>Novel continuity</x:v>
      </x:c>
      <x:c r="F31" s="24" t="str">
        <x:v>Magical animal species</x:v>
      </x:c>
      <x:c r="G31" s="24" t="str">
        <x:v>PPL-801</x:v>
      </x:c>
      <x:c r="H31" s="24" t="str">
        <x:f>IFERROR(VLOOKUP(G31,'Master Taxonomy'!$A$2:$B$1656,2,FALSE),"")</x:f>
        <x:v>True Dragons</x:v>
      </x:c>
      <x:c r="I31" s="24" t="str"/>
      <x:c r="J31" s="24" t="str"/>
      <x:c r="K31" s="24" t="str">
        <x:v>Rare fire-breathing dragons linked to Valyrian power, conquest, and magical resurgence.</x:v>
      </x:c>
      <x:c r="L31" s="24" t="str">
        <x:v>Biology intertwined with magic, breeding, and uncertain ritual conditions.</x:v>
      </x:c>
      <x:c r="M31" s="24" t="str">
        <x:v>They are animal-like yet intelligent and symbolically dynastic, not conventional speaking sages.</x:v>
      </x:c>
      <x:c r="N31" s="24" t="str">
        <x:v>War-dragon, dynastic weapon, and returning-magic archetype.</x:v>
      </x:c>
      <x:c r="O31" s="24" t="str">
        <x:v>Primary canon</x:v>
      </x:c>
      <x:c r="P31" s="24" t="str">
        <x:v>Primary text reviewed</x:v>
      </x:c>
      <x:c r="Q31" s="24" t="str">
        <x:v>George R. R. Martin's primary novel corpus and official world-book listings.</x:v>
      </x:c>
      <x:c r="R31" s="84" t="str">
        <x:v>https://georgerrmartin.com/all-books/cover-gallery/a-song-of-ice-and-fire/</x:v>
      </x:c>
      <x:c r="S31" s="24" t="str">
        <x:v>Seeded</x:v>
      </x:c>
    </x:row>
    <x:row r="32" ht="52" customHeight="1">
      <x:c r="A32" s="24" t="str">
        <x:v>ENT-0031</x:v>
      </x:c>
      <x:c r="B32" s="24" t="str">
        <x:v>Direwolves</x:v>
      </x:c>
      <x:c r="C32" s="24" t="str">
        <x:v>SRC-046</x:v>
      </x:c>
      <x:c r="D32" s="24" t="str">
        <x:v>A Song of Ice and Fire</x:v>
      </x:c>
      <x:c r="E32" s="24" t="str">
        <x:v>Novel continuity</x:v>
      </x:c>
      <x:c r="F32" s="24" t="str">
        <x:v>Megafaunal species</x:v>
      </x:c>
      <x:c r="G32" s="24" t="str">
        <x:v>PPL-819</x:v>
      </x:c>
      <x:c r="H32" s="24" t="str">
        <x:f>IFERROR(VLOOKUP(G32,'Master Taxonomy'!$A$2:$B$1656,2,FALSE),"")</x:f>
        <x:v>Dire and Mythic Megafauna</x:v>
      </x:c>
      <x:c r="I32" s="24" t="str"/>
      <x:c r="J32" s="24" t="str"/>
      <x:c r="K32" s="24" t="str">
        <x:v>Oversized wolves of northern ecology and Stark symbolism.</x:v>
      </x:c>
      <x:c r="L32" s="24" t="str">
        <x:v>Natural species with possible magical bonds.</x:v>
      </x:c>
      <x:c r="M32" s="24" t="str">
        <x:v>Their narrative role combines animal companion, omen, and heraldic identity.</x:v>
      </x:c>
      <x:c r="N32" s="24" t="str">
        <x:v>Dire animal and soul-bonded companion analogue.</x:v>
      </x:c>
      <x:c r="O32" s="24" t="str">
        <x:v>Primary canon</x:v>
      </x:c>
      <x:c r="P32" s="24" t="str">
        <x:v>Primary text reviewed</x:v>
      </x:c>
      <x:c r="Q32" s="24" t="str">
        <x:v>George R. R. Martin's primary novel corpus and official world-book listings.</x:v>
      </x:c>
      <x:c r="R32" s="84" t="str">
        <x:v>https://georgerrmartin.com/all-books/cover-gallery/a-song-of-ice-and-fire/</x:v>
      </x:c>
      <x:c r="S32" s="24" t="str">
        <x:v>Seeded</x:v>
      </x:c>
    </x:row>
    <x:row r="33" ht="52" customHeight="1">
      <x:c r="A33" s="24" t="str">
        <x:v>ENT-0032</x:v>
      </x:c>
      <x:c r="B33" s="24" t="str">
        <x:v>Skinchangers</x:v>
      </x:c>
      <x:c r="C33" s="24" t="str">
        <x:v>SRC-046</x:v>
      </x:c>
      <x:c r="D33" s="24" t="str">
        <x:v>A Song of Ice and Fire</x:v>
      </x:c>
      <x:c r="E33" s="24" t="str">
        <x:v>Novel continuity</x:v>
      </x:c>
      <x:c r="F33" s="24" t="str">
        <x:v>Innate magical practitioners</x:v>
      </x:c>
      <x:c r="G33" s="24" t="str">
        <x:v>ROL-511</x:v>
      </x:c>
      <x:c r="H33" s="24" t="str">
        <x:f>IFERROR(VLOOKUP(G33,'Master Taxonomy'!$A$2:$B$1656,2,FALSE),"")</x:f>
        <x:v>Shapeshifting Warden</x:v>
      </x:c>
      <x:c r="I33" s="24" t="str">
        <x:v>PWR-310</x:v>
      </x:c>
      <x:c r="J33" s="24" t="str">
        <x:v>Shapeshifting</x:v>
      </x:c>
      <x:c r="K33" s="24" t="str">
        <x:v>People able to enter and influence animal minds, sometimes called wargs when linked to wolves.</x:v>
      </x:c>
      <x:c r="L33" s="24" t="str">
        <x:v>Innate gift, psychic projection, and animal bond.</x:v>
      </x:c>
      <x:c r="M33" s="24" t="str">
        <x:v>This is mind-transference, not bodily transformation.</x:v>
      </x:c>
      <x:c r="N33" s="24" t="str">
        <x:v>Warg, beast-mind, and animal-possession archetype.</x:v>
      </x:c>
      <x:c r="O33" s="24" t="str">
        <x:v>Primary canon</x:v>
      </x:c>
      <x:c r="P33" s="24" t="str">
        <x:v>Primary text reviewed</x:v>
      </x:c>
      <x:c r="Q33" s="24" t="str">
        <x:v>George R. R. Martin's primary novel corpus and official world-book listings.</x:v>
      </x:c>
      <x:c r="R33" s="84" t="str">
        <x:v>https://georgerrmartin.com/all-books/cover-gallery/a-song-of-ice-and-fire/</x:v>
      </x:c>
      <x:c r="S33" s="24" t="str">
        <x:v>Seeded</x:v>
      </x:c>
    </x:row>
    <x:row r="34" ht="52" customHeight="1">
      <x:c r="A34" s="24" t="str">
        <x:v>ENT-0033</x:v>
      </x:c>
      <x:c r="B34" s="24" t="str">
        <x:v>Greenseers</x:v>
      </x:c>
      <x:c r="C34" s="24" t="str">
        <x:v>SRC-046</x:v>
      </x:c>
      <x:c r="D34" s="24" t="str">
        <x:v>A Song of Ice and Fire</x:v>
      </x:c>
      <x:c r="E34" s="24" t="str">
        <x:v>Novel continuity</x:v>
      </x:c>
      <x:c r="F34" s="24" t="str">
        <x:v>Visionary magical role</x:v>
      </x:c>
      <x:c r="G34" s="24" t="str">
        <x:v>ROL-316</x:v>
      </x:c>
      <x:c r="H34" s="24" t="str">
        <x:f>IFERROR(VLOOKUP(G34,'Master Taxonomy'!$A$2:$B$1656,2,FALSE),"")</x:f>
        <x:v>Diviner and Seer</x:v>
      </x:c>
      <x:c r="I34" s="24" t="str">
        <x:v>PPL-206</x:v>
      </x:c>
      <x:c r="J34" s="24" t="str">
        <x:v>Land and Watershed Spirits</x:v>
      </x:c>
      <x:c r="K34" s="24" t="str">
        <x:v>Rare gifted figures associated with green dreams, weirwoods, memory, and remote perception.</x:v>
      </x:c>
      <x:c r="L34" s="24" t="str">
        <x:v>Innate vision mediated by living sacred networks.</x:v>
      </x:c>
      <x:c r="M34" s="24" t="str">
        <x:v>They are not generic druids; prophecy and memory are central.</x:v>
      </x:c>
      <x:c r="N34" s="24" t="str">
        <x:v>Ecological oracle and world-memory seer analogue.</x:v>
      </x:c>
      <x:c r="O34" s="24" t="str">
        <x:v>Primary canon</x:v>
      </x:c>
      <x:c r="P34" s="24" t="str">
        <x:v>Primary text reviewed</x:v>
      </x:c>
      <x:c r="Q34" s="24" t="str">
        <x:v>George R. R. Martin's primary novel corpus and official world-book listings.</x:v>
      </x:c>
      <x:c r="R34" s="84" t="str">
        <x:v>https://georgerrmartin.com/all-books/cover-gallery/a-song-of-ice-and-fire/</x:v>
      </x:c>
      <x:c r="S34" s="24" t="str">
        <x:v>Seeded</x:v>
      </x:c>
    </x:row>
    <x:row r="35" ht="52" customHeight="1">
      <x:c r="A35" s="24" t="str">
        <x:v>ENT-0034</x:v>
      </x:c>
      <x:c r="B35" s="24" t="str">
        <x:v>Maesters</x:v>
      </x:c>
      <x:c r="C35" s="24" t="str">
        <x:v>SRC-046</x:v>
      </x:c>
      <x:c r="D35" s="24" t="str">
        <x:v>A Song of Ice and Fire</x:v>
      </x:c>
      <x:c r="E35" s="24" t="str">
        <x:v>Novel continuity</x:v>
      </x:c>
      <x:c r="F35" s="24" t="str">
        <x:v>Scholarly professional order</x:v>
      </x:c>
      <x:c r="G35" s="24" t="str">
        <x:v>ROL-624</x:v>
      </x:c>
      <x:c r="H35" s="24" t="str">
        <x:f>IFERROR(VLOOKUP(G35,'Master Taxonomy'!$A$2:$B$1656,2,FALSE),"")</x:f>
        <x:v>Scholar</x:v>
      </x:c>
      <x:c r="I35" s="24" t="str">
        <x:v>MEC-112; INS-108</x:v>
      </x:c>
      <x:c r="J35" s="24" t="str">
        <x:v>Healer; Scholarly Society</x:v>
      </x:c>
      <x:c r="K35" s="24" t="str">
        <x:v>A trained order serving noble households in medicine, letters, counsel, and specialized learning.</x:v>
      </x:c>
      <x:c r="L35" s="24" t="str">
        <x:v>Institutional education and chains denoting fields of study.</x:v>
      </x:c>
      <x:c r="M35" s="24" t="str">
        <x:v>Mostly nonmagical despite operating in a fantasy world.</x:v>
      </x:c>
      <x:c r="N35" s="24" t="str">
        <x:v>Scholar-bureaucrat, court physician, and learned order archetype.</x:v>
      </x:c>
      <x:c r="O35" s="24" t="str">
        <x:v>Primary canon</x:v>
      </x:c>
      <x:c r="P35" s="24" t="str">
        <x:v>Primary text reviewed</x:v>
      </x:c>
      <x:c r="Q35" s="24" t="str">
        <x:v>George R. R. Martin's primary novel corpus and official world-book listings.</x:v>
      </x:c>
      <x:c r="R35" s="84" t="str">
        <x:v>https://georgerrmartin.com/all-books/cover-gallery/a-song-of-ice-and-fire/</x:v>
      </x:c>
      <x:c r="S35" s="24" t="str">
        <x:v>Seeded</x:v>
      </x:c>
    </x:row>
    <x:row r="36" ht="52" customHeight="1">
      <x:c r="A36" s="24" t="str">
        <x:v>ENT-0035</x:v>
      </x:c>
      <x:c r="B36" s="24" t="str">
        <x:v>Faceless Men</x:v>
      </x:c>
      <x:c r="C36" s="24" t="str">
        <x:v>SRC-046</x:v>
      </x:c>
      <x:c r="D36" s="24" t="str">
        <x:v>A Song of Ice and Fire</x:v>
      </x:c>
      <x:c r="E36" s="24" t="str">
        <x:v>Novel continuity</x:v>
      </x:c>
      <x:c r="F36" s="24" t="str">
        <x:v>Religious assassin order</x:v>
      </x:c>
      <x:c r="G36" s="24" t="str">
        <x:v>ROL-835</x:v>
      </x:c>
      <x:c r="H36" s="24" t="str">
        <x:f>IFERROR(VLOOKUP(G36,'Master Taxonomy'!$A$2:$B$1656,2,FALSE),"")</x:f>
        <x:v>Ritual Assassin</x:v>
      </x:c>
      <x:c r="I36" s="24" t="str">
        <x:v>INS-211</x:v>
      </x:c>
      <x:c r="J36" s="24" t="str">
        <x:v>Assassin Order</x:v>
      </x:c>
      <x:c r="K36" s="24" t="str">
        <x:v>An esoteric assassins' order combining disguise, death ritual, theology, and paid service.</x:v>
      </x:c>
      <x:c r="L36" s="24" t="str">
        <x:v>Training, identity effacement, poisons, disguise, and sacred ideology.</x:v>
      </x:c>
      <x:c r="M36" s="24" t="str">
        <x:v>They are not reducible to a thieves' guild or stealth class.</x:v>
      </x:c>
      <x:c r="N36" s="24" t="str">
        <x:v>Ritual assassin, death cult, and identity-erasure order analogue.</x:v>
      </x:c>
      <x:c r="O36" s="24" t="str">
        <x:v>Primary canon</x:v>
      </x:c>
      <x:c r="P36" s="24" t="str">
        <x:v>Primary text reviewed</x:v>
      </x:c>
      <x:c r="Q36" s="24" t="str">
        <x:v>George R. R. Martin's primary novel corpus and official world-book listings.</x:v>
      </x:c>
      <x:c r="R36" s="84" t="str">
        <x:v>https://georgerrmartin.com/all-books/cover-gallery/a-song-of-ice-and-fire/</x:v>
      </x:c>
      <x:c r="S36" s="24" t="str">
        <x:v>Seeded</x:v>
      </x:c>
    </x:row>
    <x:row r="37" ht="52" customHeight="1">
      <x:c r="A37" s="24" t="str">
        <x:v>ENT-0036</x:v>
      </x:c>
      <x:c r="B37" s="24" t="str">
        <x:v>Night's Watch</x:v>
      </x:c>
      <x:c r="C37" s="24" t="str">
        <x:v>SRC-046</x:v>
      </x:c>
      <x:c r="D37" s="24" t="str">
        <x:v>A Song of Ice and Fire</x:v>
      </x:c>
      <x:c r="E37" s="24" t="str">
        <x:v>Novel continuity</x:v>
      </x:c>
      <x:c r="F37" s="24" t="str">
        <x:v>Military-protective order</x:v>
      </x:c>
      <x:c r="G37" s="24" t="str">
        <x:v>INS-200</x:v>
      </x:c>
      <x:c r="H37" s="24" t="str">
        <x:f>IFERROR(VLOOKUP(G37,'Master Taxonomy'!$A$2:$B$1656,2,FALSE),"")</x:f>
        <x:v>Martial and Protective Organizations</x:v>
      </x:c>
      <x:c r="I37" s="24" t="str">
        <x:v>ROL-125</x:v>
      </x:c>
      <x:c r="J37" s="24" t="str">
        <x:v>Ranger</x:v>
      </x:c>
      <x:c r="K37" s="24" t="str">
        <x:v>A sworn frontier brotherhood tasked with guarding the Wall and realms of men.</x:v>
      </x:c>
      <x:c r="L37" s="24" t="str">
        <x:v>Oaths, institutional roles, fortifications, and fieldcraft.</x:v>
      </x:c>
      <x:c r="M37" s="24" t="str">
        <x:v>Its members include stewards and builders as well as rangers.</x:v>
      </x:c>
      <x:c r="N37" s="24" t="str">
        <x:v>Frontier order, penal brotherhood, and monster-border guard archetype.</x:v>
      </x:c>
      <x:c r="O37" s="24" t="str">
        <x:v>Primary canon</x:v>
      </x:c>
      <x:c r="P37" s="24" t="str">
        <x:v>Primary text reviewed</x:v>
      </x:c>
      <x:c r="Q37" s="24" t="str">
        <x:v>George R. R. Martin's primary novel corpus and official world-book listings.</x:v>
      </x:c>
      <x:c r="R37" s="84" t="str">
        <x:v>https://georgerrmartin.com/all-books/cover-gallery/a-song-of-ice-and-fire/</x:v>
      </x:c>
      <x:c r="S37" s="24" t="str">
        <x:v>Seeded</x:v>
      </x:c>
    </x:row>
    <x:row r="38" ht="52" customHeight="1">
      <x:c r="A38" s="24" t="str">
        <x:v>ENT-0037</x:v>
      </x:c>
      <x:c r="B38" s="24" t="str">
        <x:v>Kingsguard</x:v>
      </x:c>
      <x:c r="C38" s="24" t="str">
        <x:v>SRC-046</x:v>
      </x:c>
      <x:c r="D38" s="24" t="str">
        <x:v>A Song of Ice and Fire</x:v>
      </x:c>
      <x:c r="E38" s="24" t="str">
        <x:v>Novel continuity</x:v>
      </x:c>
      <x:c r="F38" s="24" t="str">
        <x:v>Royal knightly order</x:v>
      </x:c>
      <x:c r="G38" s="24" t="str">
        <x:v>INS-202</x:v>
      </x:c>
      <x:c r="H38" s="24" t="str">
        <x:f>IFERROR(VLOOKUP(G38,'Master Taxonomy'!$A$2:$B$1656,2,FALSE),"")</x:f>
        <x:v>Royal Guard</x:v>
      </x:c>
      <x:c r="I38" s="24" t="str">
        <x:v>ROL-115</x:v>
      </x:c>
      <x:c r="J38" s="24" t="str">
        <x:v>Knight</x:v>
      </x:c>
      <x:c r="K38" s="24" t="str">
        <x:v>Seven sworn knights charged with lifelong protection of the monarch and royal family.</x:v>
      </x:c>
      <x:c r="L38" s="24" t="str">
        <x:v>Oath, elite martial status, court office, and celibate service.</x:v>
      </x:c>
      <x:c r="M38" s="24" t="str">
        <x:v>The role is simultaneously honor ideal, political institution, and narrative test of vows.</x:v>
      </x:c>
      <x:c r="N38" s="24" t="str">
        <x:v>Elite royal bodyguard and oath-conflict archetype.</x:v>
      </x:c>
      <x:c r="O38" s="24" t="str">
        <x:v>Primary canon</x:v>
      </x:c>
      <x:c r="P38" s="24" t="str">
        <x:v>Primary text reviewed</x:v>
      </x:c>
      <x:c r="Q38" s="24" t="str">
        <x:v>George R. R. Martin's primary novel corpus and official world-book listings.</x:v>
      </x:c>
      <x:c r="R38" s="84" t="str">
        <x:v>https://georgerrmartin.com/all-books/cover-gallery/a-song-of-ice-and-fire/</x:v>
      </x:c>
      <x:c r="S38" s="24" t="str">
        <x:v>Seeded</x:v>
      </x:c>
    </x:row>
    <x:row r="39" ht="52" customHeight="1">
      <x:c r="A39" s="24" t="str">
        <x:v>ENT-0038</x:v>
      </x:c>
      <x:c r="B39" s="24" t="str">
        <x:v>Red Priests and Priestesses</x:v>
      </x:c>
      <x:c r="C39" s="24" t="str">
        <x:v>SRC-046</x:v>
      </x:c>
      <x:c r="D39" s="24" t="str">
        <x:v>A Song of Ice and Fire</x:v>
      </x:c>
      <x:c r="E39" s="24" t="str">
        <x:v>Novel continuity</x:v>
      </x:c>
      <x:c r="F39" s="24" t="str">
        <x:v>Religious magical vocation</x:v>
      </x:c>
      <x:c r="G39" s="24" t="str">
        <x:v>ROL-401</x:v>
      </x:c>
      <x:c r="H39" s="24" t="str">
        <x:f>IFERROR(VLOOKUP(G39,'Master Taxonomy'!$A$2:$B$1656,2,FALSE),"")</x:f>
        <x:v>Priest</x:v>
      </x:c>
      <x:c r="I39" s="24" t="str">
        <x:v>PWR-201; ROL-409</x:v>
      </x:c>
      <x:c r="J39" s="24" t="str">
        <x:v>Fire Magic; Prophet</x:v>
      </x:c>
      <x:c r="K39" s="24" t="str">
        <x:v>Clergy of R'hllor associated with fire ritual, visions, conversion, and occasional miracles.</x:v>
      </x:c>
      <x:c r="L39" s="24" t="str">
        <x:v>Faith, ritual fire, sacrifice, prophecy, and uncertain divine agency.</x:v>
      </x:c>
      <x:c r="M39" s="24" t="str">
        <x:v>Individual capabilities vary; theology and magic cannot be assumed identical.</x:v>
      </x:c>
      <x:c r="N39" s="24" t="str">
        <x:v>Fire priest, apocalyptic missionary, and miracle-worker analogue.</x:v>
      </x:c>
      <x:c r="O39" s="24" t="str">
        <x:v>Primary canon</x:v>
      </x:c>
      <x:c r="P39" s="24" t="str">
        <x:v>Primary text reviewed</x:v>
      </x:c>
      <x:c r="Q39" s="24" t="str">
        <x:v>George R. R. Martin's primary novel corpus and official world-book listings.</x:v>
      </x:c>
      <x:c r="R39" s="84" t="str">
        <x:v>https://georgerrmartin.com/all-books/cover-gallery/a-song-of-ice-and-fire/</x:v>
      </x:c>
      <x:c r="S39" s="24" t="str">
        <x:v>Seeded</x:v>
      </x:c>
    </x:row>
    <x:row r="40" ht="52" customHeight="1">
      <x:c r="A40" s="24" t="str">
        <x:v>ENT-0039</x:v>
      </x:c>
      <x:c r="B40" s="24" t="str">
        <x:v>Warlocks of Qarth</x:v>
      </x:c>
      <x:c r="C40" s="24" t="str">
        <x:v>SRC-046</x:v>
      </x:c>
      <x:c r="D40" s="24" t="str">
        <x:v>A Song of Ice and Fire</x:v>
      </x:c>
      <x:c r="E40" s="24" t="str">
        <x:v>Novel continuity</x:v>
      </x:c>
      <x:c r="F40" s="24" t="str">
        <x:v>Arcane fraternity</x:v>
      </x:c>
      <x:c r="G40" s="24" t="str">
        <x:v>ROL-304</x:v>
      </x:c>
      <x:c r="H40" s="24" t="str">
        <x:f>IFERROR(VLOOKUP(G40,'Master Taxonomy'!$A$2:$B$1656,2,FALSE),"")</x:f>
        <x:v>Warlock</x:v>
      </x:c>
      <x:c r="I40" s="24" t="str">
        <x:v>INS-102</x:v>
      </x:c>
      <x:c r="J40" s="24" t="str">
        <x:v>Mage Guild</x:v>
      </x:c>
      <x:c r="K40" s="24" t="str">
        <x:v>A Qartheen magical fraternity associated with the House of the Undying and shade of the evening.</x:v>
      </x:c>
      <x:c r="L40" s="24" t="str">
        <x:v>Ritual initiation, altered perception, and institutional lore.</x:v>
      </x:c>
      <x:c r="M40" s="24" t="str">
        <x:v>Their title is source-specific and not equivalent to pact magic in every game.</x:v>
      </x:c>
      <x:c r="N40" s="24" t="str">
        <x:v>Esoteric mage guild and decadent occult order analogue.</x:v>
      </x:c>
      <x:c r="O40" s="24" t="str">
        <x:v>Primary canon</x:v>
      </x:c>
      <x:c r="P40" s="24" t="str">
        <x:v>Primary text reviewed</x:v>
      </x:c>
      <x:c r="Q40" s="24" t="str">
        <x:v>George R. R. Martin's primary novel corpus and official world-book listings.</x:v>
      </x:c>
      <x:c r="R40" s="84" t="str">
        <x:v>https://georgerrmartin.com/all-books/cover-gallery/a-song-of-ice-and-fire/</x:v>
      </x:c>
      <x:c r="S40" s="24" t="str">
        <x:v>Seeded</x:v>
      </x:c>
    </x:row>
    <x:row r="41" ht="52" customHeight="1">
      <x:c r="A41" s="24" t="str">
        <x:v>ENT-0040</x:v>
      </x:c>
      <x:c r="B41" s="24" t="str">
        <x:v>Shadowbinders</x:v>
      </x:c>
      <x:c r="C41" s="24" t="str">
        <x:v>SRC-046</x:v>
      </x:c>
      <x:c r="D41" s="24" t="str">
        <x:v>A Song of Ice and Fire</x:v>
      </x:c>
      <x:c r="E41" s="24" t="str">
        <x:v>Novel continuity</x:v>
      </x:c>
      <x:c r="F41" s="24" t="str">
        <x:v>Occult magical role</x:v>
      </x:c>
      <x:c r="G41" s="24" t="str">
        <x:v>ROL-328</x:v>
      </x:c>
      <x:c r="H41" s="24" t="str">
        <x:f>IFERROR(VLOOKUP(G41,'Master Taxonomy'!$A$2:$B$1656,2,FALSE),"")</x:f>
        <x:v>Shadow Mage</x:v>
      </x:c>
      <x:c r="I41" s="24" t="str">
        <x:v>PWR-208</x:v>
      </x:c>
      <x:c r="J41" s="24" t="str">
        <x:v>Shadow and Darkness Magic</x:v>
      </x:c>
      <x:c r="K41" s="24" t="str">
        <x:v>Practitioners associated with Asshai, shadows, glamours, and dangerous ritual arts.</x:v>
      </x:c>
      <x:c r="L41" s="24" t="str">
        <x:v>Ritual knowledge, shadow manipulation, sacrifice, and obscure traditions.</x:v>
      </x:c>
      <x:c r="M41" s="24" t="str">
        <x:v>The novels intentionally leave mechanisms and limits uncertain.</x:v>
      </x:c>
      <x:c r="N41" s="24" t="str">
        <x:v>Shadow mage and forbidden ritualist analogue.</x:v>
      </x:c>
      <x:c r="O41" s="24" t="str">
        <x:v>Primary canon</x:v>
      </x:c>
      <x:c r="P41" s="24" t="str">
        <x:v>Primary text reviewed</x:v>
      </x:c>
      <x:c r="Q41" s="24" t="str">
        <x:v>George R. R. Martin's primary novel corpus and official world-book listings.</x:v>
      </x:c>
      <x:c r="R41" s="84" t="str">
        <x:v>https://georgerrmartin.com/all-books/cover-gallery/a-song-of-ice-and-fire/</x:v>
      </x:c>
      <x:c r="S41" s="24" t="str">
        <x:v>Seeded</x:v>
      </x:c>
    </x:row>
    <x:row r="42" ht="52" customHeight="1">
      <x:c r="A42" s="24" t="str">
        <x:v>ENT-0041</x:v>
      </x:c>
      <x:c r="B42" s="24" t="str">
        <x:v>Guild of Alchemists (Pyromancers)</x:v>
      </x:c>
      <x:c r="C42" s="24" t="str">
        <x:v>SRC-046</x:v>
      </x:c>
      <x:c r="D42" s="24" t="str">
        <x:v>A Song of Ice and Fire</x:v>
      </x:c>
      <x:c r="E42" s="24" t="str">
        <x:v>Novel continuity</x:v>
      </x:c>
      <x:c r="F42" s="24" t="str">
        <x:v>Artificer-alchemist guild</x:v>
      </x:c>
      <x:c r="G42" s="24" t="str">
        <x:v>ROL-338</x:v>
      </x:c>
      <x:c r="H42" s="24" t="str">
        <x:f>IFERROR(VLOOKUP(G42,'Master Taxonomy'!$A$2:$B$1656,2,FALSE),"")</x:f>
        <x:v>Alchemist</x:v>
      </x:c>
      <x:c r="I42" s="24" t="str">
        <x:v>ROL-321; INS-102</x:v>
      </x:c>
      <x:c r="J42" s="24" t="str">
        <x:v>Pyromancer; Mage Guild</x:v>
      </x:c>
      <x:c r="K42" s="24" t="str">
        <x:v>A King's Landing guild that manufactures and controls volatile wildfire.</x:v>
      </x:c>
      <x:c r="L42" s="24" t="str">
        <x:v>Specialized chemistry or magic, guarded formulae, and urban privilege.</x:v>
      </x:c>
      <x:c r="M42" s="24" t="str">
        <x:v>‘Pyromancer’ here is an institutional title, not merely a fire-spell caster.</x:v>
      </x:c>
      <x:c r="N42" s="24" t="str">
        <x:v>Explosives guild, state alchemist, and secretive artificer analogue.</x:v>
      </x:c>
      <x:c r="O42" s="24" t="str">
        <x:v>Primary canon</x:v>
      </x:c>
      <x:c r="P42" s="24" t="str">
        <x:v>Primary text reviewed</x:v>
      </x:c>
      <x:c r="Q42" s="24" t="str">
        <x:v>George R. R. Martin's primary novel corpus and official world-book listings.</x:v>
      </x:c>
      <x:c r="R42" s="84" t="str">
        <x:v>https://georgerrmartin.com/all-books/cover-gallery/a-song-of-ice-and-fire/</x:v>
      </x:c>
      <x:c r="S42" s="24" t="str">
        <x:v>Seeded</x:v>
      </x:c>
    </x:row>
    <x:row r="43" ht="52" customHeight="1">
      <x:c r="A43" s="24" t="str">
        <x:v>ENT-0042</x:v>
      </x:c>
      <x:c r="B43" s="24" t="str">
        <x:v>Dothraki bloodriders and mounted warriors</x:v>
      </x:c>
      <x:c r="C43" s="24" t="str">
        <x:v>SRC-046</x:v>
      </x:c>
      <x:c r="D43" s="24" t="str">
        <x:v>A Song of Ice and Fire</x:v>
      </x:c>
      <x:c r="E43" s="24" t="str">
        <x:v>Novel continuity</x:v>
      </x:c>
      <x:c r="F43" s="24" t="str">
        <x:v>Martial-cultural role</x:v>
      </x:c>
      <x:c r="G43" s="24" t="str">
        <x:v>ROL-132</x:v>
      </x:c>
      <x:c r="H43" s="24" t="str">
        <x:f>IFERROR(VLOOKUP(G43,'Master Taxonomy'!$A$2:$B$1656,2,FALSE),"")</x:f>
        <x:v>Mounted Archer</x:v>
      </x:c>
      <x:c r="I43" s="24" t="str">
        <x:v>CIV-205</x:v>
      </x:c>
      <x:c r="J43" s="24" t="str">
        <x:v>Nomadic Horse Culture</x:v>
      </x:c>
      <x:c r="K43" s="24" t="str">
        <x:v>Mounted warriors embedded in a mobile pastoral and raiding culture, with bloodriders bound personally to a khal.</x:v>
      </x:c>
      <x:c r="L43" s="24" t="str">
        <x:v>Horsemanship, bows, arakhs, kinship, and personal loyalty.</x:v>
      </x:c>
      <x:c r="M43" s="24" t="str">
        <x:v>A complex fictional culture should not be reduced to a generic barbarian class.</x:v>
      </x:c>
      <x:c r="N43" s="24" t="str">
        <x:v>Steppe-inspired cavalry and oath-companion analogue.</x:v>
      </x:c>
      <x:c r="O43" s="24" t="str">
        <x:v>Primary canon</x:v>
      </x:c>
      <x:c r="P43" s="24" t="str">
        <x:v>Primary text reviewed</x:v>
      </x:c>
      <x:c r="Q43" s="24" t="str">
        <x:v>George R. R. Martin's primary novel corpus and official world-book listings.</x:v>
      </x:c>
      <x:c r="R43" s="84" t="str">
        <x:v>https://georgerrmartin.com/all-books/cover-gallery/a-song-of-ice-and-fire/</x:v>
      </x:c>
      <x:c r="S43" s="24" t="str">
        <x:v>Seeded</x:v>
      </x:c>
    </x:row>
    <x:row r="44" ht="52" customHeight="1">
      <x:c r="A44" s="24" t="str">
        <x:v>ENT-0043</x:v>
      </x:c>
      <x:c r="B44" s="24" t="str">
        <x:v>Unsullied</x:v>
      </x:c>
      <x:c r="C44" s="24" t="str">
        <x:v>SRC-046</x:v>
      </x:c>
      <x:c r="D44" s="24" t="str">
        <x:v>A Song of Ice and Fire</x:v>
      </x:c>
      <x:c r="E44" s="24" t="str">
        <x:v>Novel continuity</x:v>
      </x:c>
      <x:c r="F44" s="24" t="str">
        <x:v>Engineered military caste</x:v>
      </x:c>
      <x:c r="G44" s="24" t="str">
        <x:v>ROL-104</x:v>
      </x:c>
      <x:c r="H44" s="24" t="str">
        <x:f>IFERROR(VLOOKUP(G44,'Master Taxonomy'!$A$2:$B$1656,2,FALSE),"")</x:f>
        <x:v>Heavy Infantry</x:v>
      </x:c>
      <x:c r="I44" s="24" t="str">
        <x:v>ROL-102</x:v>
      </x:c>
      <x:c r="J44" s="24" t="str">
        <x:v>Soldier</x:v>
      </x:c>
      <x:c r="K44" s="24" t="str">
        <x:v>Slave soldiers trained from childhood for formation discipline and obedience.</x:v>
      </x:c>
      <x:c r="L44" s="24" t="str">
        <x:v>Coercive institutional conditioning, drill, spear-and-shield tactics.</x:v>
      </x:c>
      <x:c r="M44" s="24" t="str">
        <x:v>Their identity is a produced social condition, not a biological people.</x:v>
      </x:c>
      <x:c r="N44" s="24" t="str">
        <x:v>Elite conditioned infantry and eunuch guard analogue.</x:v>
      </x:c>
      <x:c r="O44" s="24" t="str">
        <x:v>Primary canon</x:v>
      </x:c>
      <x:c r="P44" s="24" t="str">
        <x:v>Primary text reviewed</x:v>
      </x:c>
      <x:c r="Q44" s="24" t="str">
        <x:v>George R. R. Martin's primary novel corpus and official world-book listings.</x:v>
      </x:c>
      <x:c r="R44" s="84" t="str">
        <x:v>https://georgerrmartin.com/all-books/cover-gallery/a-song-of-ice-and-fire/</x:v>
      </x:c>
      <x:c r="S44" s="24" t="str">
        <x:v>Seeded</x:v>
      </x:c>
    </x:row>
    <x:row r="45" ht="52" customHeight="1">
      <x:c r="A45" s="24" t="str">
        <x:v>ENT-0044</x:v>
      </x:c>
      <x:c r="B45" s="24" t="str">
        <x:v>Ironborn reavers</x:v>
      </x:c>
      <x:c r="C45" s="24" t="str">
        <x:v>SRC-046</x:v>
      </x:c>
      <x:c r="D45" s="24" t="str">
        <x:v>A Song of Ice and Fire</x:v>
      </x:c>
      <x:c r="E45" s="24" t="str">
        <x:v>Novel continuity</x:v>
      </x:c>
      <x:c r="F45" s="24" t="str">
        <x:v>Maritime warrior tradition</x:v>
      </x:c>
      <x:c r="G45" s="24" t="str">
        <x:v>ROL-136</x:v>
      </x:c>
      <x:c r="H45" s="24" t="str">
        <x:f>IFERROR(VLOOKUP(G45,'Master Taxonomy'!$A$2:$B$1656,2,FALSE),"")</x:f>
        <x:v>Raider</x:v>
      </x:c>
      <x:c r="I45" s="24" t="str">
        <x:v>CIV-206</x:v>
      </x:c>
      <x:c r="J45" s="24" t="str">
        <x:v>Seafaring Raider Culture</x:v>
      </x:c>
      <x:c r="K45" s="24" t="str">
        <x:v>Seaborne raiders shaped by island ecology, hereditary lordship, and the Old Way ideology.</x:v>
      </x:c>
      <x:c r="L45" s="24" t="str">
        <x:v>Naval skill, raiding, religion, and status economy.</x:v>
      </x:c>
      <x:c r="M45" s="24" t="str">
        <x:v>Ironborn society includes farmers, thralls, priests, rulers, and reformers beyond reaving.</x:v>
      </x:c>
      <x:c r="N45" s="24" t="str">
        <x:v>Maritime raider culture and pirate aristocracy analogue.</x:v>
      </x:c>
      <x:c r="O45" s="24" t="str">
        <x:v>Primary canon</x:v>
      </x:c>
      <x:c r="P45" s="24" t="str">
        <x:v>Primary text reviewed</x:v>
      </x:c>
      <x:c r="Q45" s="24" t="str">
        <x:v>George R. R. Martin's primary novel corpus and official world-book listings.</x:v>
      </x:c>
      <x:c r="R45" s="84" t="str">
        <x:v>https://georgerrmartin.com/all-books/cover-gallery/a-song-of-ice-and-fire/</x:v>
      </x:c>
      <x:c r="S45" s="24" t="str">
        <x:v>Seeded</x:v>
      </x:c>
    </x:row>
    <x:row r="46" ht="52" customHeight="1">
      <x:c r="A46" s="24" t="str">
        <x:v>ENT-0045</x:v>
      </x:c>
      <x:c r="B46" s="24" t="str">
        <x:v>Brotherhood Without Banners</x:v>
      </x:c>
      <x:c r="C46" s="24" t="str">
        <x:v>SRC-046</x:v>
      </x:c>
      <x:c r="D46" s="24" t="str">
        <x:v>A Song of Ice and Fire</x:v>
      </x:c>
      <x:c r="E46" s="24" t="str">
        <x:v>Novel continuity</x:v>
      </x:c>
      <x:c r="F46" s="24" t="str">
        <x:v>Irregular armed company</x:v>
      </x:c>
      <x:c r="G46" s="24" t="str">
        <x:v>INS-220</x:v>
      </x:c>
      <x:c r="H46" s="24" t="str">
        <x:f>IFERROR(VLOOKUP(G46,'Master Taxonomy'!$A$2:$B$1656,2,FALSE),"")</x:f>
        <x:v>Adventuring Company</x:v>
      </x:c>
      <x:c r="I46" s="24" t="str">
        <x:v>ROL-137</x:v>
      </x:c>
      <x:c r="J46" s="24" t="str">
        <x:v>Mercenary</x:v>
      </x:c>
      <x:c r="K46" s="24" t="str">
        <x:v>A mobile outlaw brotherhood fighting under a changing ideal of royal justice and popular protection.</x:v>
      </x:c>
      <x:c r="L46" s="24" t="str">
        <x:v>Small-unit warfare, charismatic authority, local support, and shifting legitimacy.</x:v>
      </x:c>
      <x:c r="M46" s="24" t="str">
        <x:v>Not a conventional mercenary company because its stated mission is political and protective.</x:v>
      </x:c>
      <x:c r="N46" s="24" t="str">
        <x:v>Robin-Hood band, resistance cell, and morally unstable adventuring company analogue.</x:v>
      </x:c>
      <x:c r="O46" s="24" t="str">
        <x:v>Primary canon</x:v>
      </x:c>
      <x:c r="P46" s="24" t="str">
        <x:v>Primary text reviewed</x:v>
      </x:c>
      <x:c r="Q46" s="24" t="str">
        <x:v>George R. R. Martin's primary novel corpus and official world-book listings.</x:v>
      </x:c>
      <x:c r="R46" s="84" t="str">
        <x:v>https://georgerrmartin.com/all-books/cover-gallery/a-song-of-ice-and-fire/</x:v>
      </x:c>
      <x:c r="S46" s="24" t="str">
        <x:v>Seeded</x:v>
      </x:c>
    </x:row>
    <x:row r="47" ht="52" customHeight="1">
      <x:c r="A47" s="24" t="str">
        <x:v>ENT-0046</x:v>
      </x:c>
      <x:c r="B47" s="24" t="str">
        <x:v>Melisandre-style glamours</x:v>
      </x:c>
      <x:c r="C47" s="24" t="str">
        <x:v>SRC-046</x:v>
      </x:c>
      <x:c r="D47" s="24" t="str">
        <x:v>A Song of Ice and Fire</x:v>
      </x:c>
      <x:c r="E47" s="24" t="str">
        <x:v>Novel continuity</x:v>
      </x:c>
      <x:c r="F47" s="24" t="str">
        <x:v>Magical technique</x:v>
      </x:c>
      <x:c r="G47" s="24" t="str">
        <x:v>PWR-404</x:v>
      </x:c>
      <x:c r="H47" s="24" t="str">
        <x:f>IFERROR(VLOOKUP(G47,'Master Taxonomy'!$A$2:$B$1656,2,FALSE),"")</x:f>
        <x:v>Illusion and Glamour</x:v>
      </x:c>
      <x:c r="I47" s="24" t="str">
        <x:v>STA-402</x:v>
      </x:c>
      <x:c r="J47" s="24" t="str">
        <x:v>Relic Bearer</x:v>
      </x:c>
      <x:c r="K47" s="24" t="str">
        <x:v>Appearance-altering magic mediated by ritual, light, shadow, and possibly enchanted objects.</x:v>
      </x:c>
      <x:c r="L47" s="24" t="str">
        <x:v>Ritual practice and artifact support.</x:v>
      </x:c>
      <x:c r="M47" s="24" t="str">
        <x:v>The mechanism remains intentionally ambiguous and should not be over-systematized.</x:v>
      </x:c>
      <x:c r="N47" s="24" t="str">
        <x:v>Glamour magic and identity concealment technique.</x:v>
      </x:c>
      <x:c r="O47" s="24" t="str">
        <x:v>Primary canon</x:v>
      </x:c>
      <x:c r="P47" s="24" t="str">
        <x:v>Primary text reviewed</x:v>
      </x:c>
      <x:c r="Q47" s="24" t="str">
        <x:v>George R. R. Martin's primary novel corpus and official world-book listings.</x:v>
      </x:c>
      <x:c r="R47" s="84" t="str">
        <x:v>https://georgerrmartin.com/all-books/cover-gallery/a-song-of-ice-and-fire/</x:v>
      </x:c>
      <x:c r="S47" s="24" t="str">
        <x:v>Seeded</x:v>
      </x:c>
    </x:row>
    <x:row r="48" ht="52" customHeight="1">
      <x:c r="A48" s="24" t="str">
        <x:v>ENT-0047</x:v>
      </x:c>
      <x:c r="B48" s="24" t="str">
        <x:v>Valyrian dragonlords</x:v>
      </x:c>
      <x:c r="C48" s="24" t="str">
        <x:v>SRC-046</x:v>
      </x:c>
      <x:c r="D48" s="24" t="str">
        <x:v>A Song of Ice and Fire</x:v>
      </x:c>
      <x:c r="E48" s="24" t="str">
        <x:v>Novel continuity</x:v>
      </x:c>
      <x:c r="F48" s="24" t="str">
        <x:v>Ruling magical culture</x:v>
      </x:c>
      <x:c r="G48" s="24" t="str">
        <x:v>CIV-110</x:v>
      </x:c>
      <x:c r="H48" s="24" t="str">
        <x:f>IFERROR(VLOOKUP(G48,'Master Taxonomy'!$A$2:$B$1656,2,FALSE),"")</x:f>
        <x:v>Dragon-Ruled Realm</x:v>
      </x:c>
      <x:c r="I48" s="24" t="str">
        <x:v>ROL-150</x:v>
      </x:c>
      <x:c r="J48" s="24" t="str">
        <x:v>Dragon Rider</x:v>
      </x:c>
      <x:c r="K48" s="24" t="str">
        <x:v>An aristocratic civilization whose military and political dominance depended heavily on dragons.</x:v>
      </x:c>
      <x:c r="L48" s="24" t="str">
        <x:v>Bloodline ideology, dragon mastery, sorcery, slavery, and imperial institutions.</x:v>
      </x:c>
      <x:c r="M48" s="24" t="str">
        <x:v>This is a civilizational formation, not a player class.</x:v>
      </x:c>
      <x:c r="N48" s="24" t="str">
        <x:v>Dragon-rider empire and magical imperial elite archetype.</x:v>
      </x:c>
      <x:c r="O48" s="24" t="str">
        <x:v>Primary canon</x:v>
      </x:c>
      <x:c r="P48" s="24" t="str">
        <x:v>Primary text reviewed</x:v>
      </x:c>
      <x:c r="Q48" s="24" t="str">
        <x:v>George R. R. Martin's primary novel corpus and official world-book listings.</x:v>
      </x:c>
      <x:c r="R48" s="84" t="str">
        <x:v>https://georgerrmartin.com/all-books/cover-gallery/a-song-of-ice-and-fire/</x:v>
      </x:c>
      <x:c r="S48" s="24" t="str">
        <x:v>Seeded</x:v>
      </x:c>
    </x:row>
    <x:row r="49" ht="52" customHeight="1">
      <x:c r="A49" s="24" t="str">
        <x:v>ENT-0048</x:v>
      </x:c>
      <x:c r="B49" s="24" t="str">
        <x:v>Humans</x:v>
      </x:c>
      <x:c r="C49" s="24" t="str">
        <x:v>SRC-047</x:v>
      </x:c>
      <x:c r="D49" s="24" t="str">
        <x:v>The Witcher</x:v>
      </x:c>
      <x:c r="E49" s="24" t="str">
        <x:v>Book continuity</x:v>
      </x:c>
      <x:c r="F49" s="24" t="str">
        <x:v>People</x:v>
      </x:c>
      <x:c r="G49" s="24" t="str">
        <x:v>PPL-101</x:v>
      </x:c>
      <x:c r="H49" s="24" t="str">
        <x:f>IFERROR(VLOOKUP(G49,'Master Taxonomy'!$A$2:$B$1656,2,FALSE),"")</x:f>
        <x:v>Human and Near-Human Peoples</x:v>
      </x:c>
      <x:c r="I49" s="24" t="str"/>
      <x:c r="J49" s="24" t="str"/>
      <x:c r="K49" s="24" t="str">
        <x:v>The dominant mortal population across many Northern Kingdoms and Nilfgaardian territories.</x:v>
      </x:c>
      <x:c r="L49" s="24" t="str">
        <x:v>Natural ancestry and diverse cultures.</x:v>
      </x:c>
      <x:c r="M49" s="24" t="str">
        <x:v>Human political communities are not one culture or moral bloc.</x:v>
      </x:c>
      <x:c r="N49" s="24" t="str">
        <x:v>Baseline human plurality.</x:v>
      </x:c>
      <x:c r="O49" s="24" t="str">
        <x:v>Primary canon</x:v>
      </x:c>
      <x:c r="P49" s="24" t="str">
        <x:v>Official reference reviewed</x:v>
      </x:c>
      <x:c r="Q49" s="24" t="str">
        <x:v>Sapkowski's primary book continuity; official franchise material used for orientation.</x:v>
      </x:c>
      <x:c r="R49" s="84" t="str">
        <x:v>https://www.andrzejsapkowski.pl/</x:v>
      </x:c>
      <x:c r="S49" s="24" t="str">
        <x:v>Seeded</x:v>
      </x:c>
    </x:row>
    <x:row r="50" ht="52" customHeight="1">
      <x:c r="A50" s="24" t="str">
        <x:v>ENT-0049</x:v>
      </x:c>
      <x:c r="B50" s="24" t="str">
        <x:v>Aen Seidhe</x:v>
      </x:c>
      <x:c r="C50" s="24" t="str">
        <x:v>SRC-047</x:v>
      </x:c>
      <x:c r="D50" s="24" t="str">
        <x:v>The Witcher</x:v>
      </x:c>
      <x:c r="E50" s="24" t="str">
        <x:v>Book continuity</x:v>
      </x:c>
      <x:c r="F50" s="24" t="str">
        <x:v>Elven people</x:v>
      </x:c>
      <x:c r="G50" s="24" t="str">
        <x:v>PPL-102</x:v>
      </x:c>
      <x:c r="H50" s="24" t="str">
        <x:f>IFERROR(VLOOKUP(G50,'Master Taxonomy'!$A$2:$B$1656,2,FALSE),"")</x:f>
        <x:v>Elf-Derived Peoples</x:v>
      </x:c>
      <x:c r="I50" s="24" t="str"/>
      <x:c r="J50" s="24" t="str"/>
      <x:c r="K50" s="24" t="str">
        <x:v>Elves of the Continent, marked by long life, dispossession, political division, and cultural memory.</x:v>
      </x:c>
      <x:c r="L50" s="24" t="str">
        <x:v>Natural or otherworldly ancestry, longevity, and historical culture.</x:v>
      </x:c>
      <x:c r="M50" s="24" t="str">
        <x:v>Not interchangeable with Tolkien's Elves or generic woodland elves.</x:v>
      </x:c>
      <x:c r="N50" s="24" t="str">
        <x:v>Dispossessed elder people and long-lived minority analogue.</x:v>
      </x:c>
      <x:c r="O50" s="24" t="str">
        <x:v>Primary canon</x:v>
      </x:c>
      <x:c r="P50" s="24" t="str">
        <x:v>Official reference reviewed</x:v>
      </x:c>
      <x:c r="Q50" s="24" t="str">
        <x:v>Sapkowski's primary book continuity; official franchise material used for orientation.</x:v>
      </x:c>
      <x:c r="R50" s="84" t="str">
        <x:v>https://www.andrzejsapkowski.pl/</x:v>
      </x:c>
      <x:c r="S50" s="24" t="str">
        <x:v>Seeded</x:v>
      </x:c>
    </x:row>
    <x:row r="51" ht="52" customHeight="1">
      <x:c r="A51" s="24" t="str">
        <x:v>ENT-0050</x:v>
      </x:c>
      <x:c r="B51" s="24" t="str">
        <x:v>Aen Elle</x:v>
      </x:c>
      <x:c r="C51" s="24" t="str">
        <x:v>SRC-047</x:v>
      </x:c>
      <x:c r="D51" s="24" t="str">
        <x:v>The Witcher</x:v>
      </x:c>
      <x:c r="E51" s="24" t="str">
        <x:v>Book continuity</x:v>
      </x:c>
      <x:c r="F51" s="24" t="str">
        <x:v>Otherworldly elven people</x:v>
      </x:c>
      <x:c r="G51" s="24" t="str">
        <x:v>PPL-102</x:v>
      </x:c>
      <x:c r="H51" s="24" t="str">
        <x:f>IFERROR(VLOOKUP(G51,'Master Taxonomy'!$A$2:$B$1656,2,FALSE),"")</x:f>
        <x:v>Elf-Derived Peoples</x:v>
      </x:c>
      <x:c r="I51" s="24" t="str">
        <x:v>PPL-211</x:v>
      </x:c>
      <x:c r="J51" s="24" t="str">
        <x:v>Wild Hunt Beings</x:v>
      </x:c>
      <x:c r="K51" s="24" t="str">
        <x:v>An elven people inhabiting another world and linked to the riders known as the Wild Hunt.</x:v>
      </x:c>
      <x:c r="L51" s="24" t="str">
        <x:v>Otherworldly ancestry, interworld travel, and imperial power.</x:v>
      </x:c>
      <x:c r="M51" s="24" t="str">
        <x:v>Their social position and cosmology differ sharply from the Aen Seidhe.</x:v>
      </x:c>
      <x:c r="N51" s="24" t="str">
        <x:v>Otherworld elf, faerie host, and planar empire analogue.</x:v>
      </x:c>
      <x:c r="O51" s="24" t="str">
        <x:v>Primary canon</x:v>
      </x:c>
      <x:c r="P51" s="24" t="str">
        <x:v>Official reference reviewed</x:v>
      </x:c>
      <x:c r="Q51" s="24" t="str">
        <x:v>Sapkowski's primary book continuity; official franchise material used for orientation.</x:v>
      </x:c>
      <x:c r="R51" s="84" t="str">
        <x:v>https://www.andrzejsapkowski.pl/</x:v>
      </x:c>
      <x:c r="S51" s="24" t="str">
        <x:v>Seeded</x:v>
      </x:c>
    </x:row>
    <x:row r="52" ht="52" customHeight="1">
      <x:c r="A52" s="24" t="str">
        <x:v>ENT-0051</x:v>
      </x:c>
      <x:c r="B52" s="24" t="str">
        <x:v>Dwarves</x:v>
      </x:c>
      <x:c r="C52" s="24" t="str">
        <x:v>SRC-047</x:v>
      </x:c>
      <x:c r="D52" s="24" t="str">
        <x:v>The Witcher</x:v>
      </x:c>
      <x:c r="E52" s="24" t="str">
        <x:v>Book continuity</x:v>
      </x:c>
      <x:c r="F52" s="24" t="str">
        <x:v>People</x:v>
      </x:c>
      <x:c r="G52" s="24" t="str">
        <x:v>PPL-103</x:v>
      </x:c>
      <x:c r="H52" s="24" t="str">
        <x:f>IFERROR(VLOOKUP(G52,'Master Taxonomy'!$A$2:$B$1656,2,FALSE),"")</x:f>
        <x:v>Dwarf-Derived Peoples</x:v>
      </x:c>
      <x:c r="I52" s="24" t="str"/>
      <x:c r="J52" s="24" t="str"/>
      <x:c r="K52" s="24" t="str">
        <x:v>Long-lived nonhuman people integrated unevenly into human realms and trades.</x:v>
      </x:c>
      <x:c r="L52" s="24" t="str">
        <x:v>Natural ancestry, community networks, craft, commerce, and military service.</x:v>
      </x:c>
      <x:c r="M52" s="24" t="str">
        <x:v>Their social history is shaped by racism and coexistence, not only mining stereotypes.</x:v>
      </x:c>
      <x:c r="N52" s="24" t="str">
        <x:v>Urbanized and diasporic dwarf analogue.</x:v>
      </x:c>
      <x:c r="O52" s="24" t="str">
        <x:v>Primary canon</x:v>
      </x:c>
      <x:c r="P52" s="24" t="str">
        <x:v>Official reference reviewed</x:v>
      </x:c>
      <x:c r="Q52" s="24" t="str">
        <x:v>Sapkowski's primary book continuity; official franchise material used for orientation.</x:v>
      </x:c>
      <x:c r="R52" s="84" t="str">
        <x:v>https://www.andrzejsapkowski.pl/</x:v>
      </x:c>
      <x:c r="S52" s="24" t="str">
        <x:v>Seeded</x:v>
      </x:c>
    </x:row>
    <x:row r="53" ht="52" customHeight="1">
      <x:c r="A53" s="24" t="str">
        <x:v>ENT-0052</x:v>
      </x:c>
      <x:c r="B53" s="24" t="str">
        <x:v>Gnomes</x:v>
      </x:c>
      <x:c r="C53" s="24" t="str">
        <x:v>SRC-047</x:v>
      </x:c>
      <x:c r="D53" s="24" t="str">
        <x:v>The Witcher</x:v>
      </x:c>
      <x:c r="E53" s="24" t="str">
        <x:v>Book continuity</x:v>
      </x:c>
      <x:c r="F53" s="24" t="str">
        <x:v>People</x:v>
      </x:c>
      <x:c r="G53" s="24" t="str">
        <x:v>PPL-105</x:v>
      </x:c>
      <x:c r="H53" s="24" t="str">
        <x:f>IFERROR(VLOOKUP(G53,'Master Taxonomy'!$A$2:$B$1656,2,FALSE),"")</x:f>
        <x:v>Gnome and Tinkerfolk Peoples</x:v>
      </x:c>
      <x:c r="I53" s="24" t="str"/>
      <x:c r="J53" s="24" t="str"/>
      <x:c r="K53" s="24" t="str">
        <x:v>An old nonhuman people associated with craftsmanship and settlement before later arrivals.</x:v>
      </x:c>
      <x:c r="L53" s="24" t="str">
        <x:v>Natural ancestry and cultural history.</x:v>
      </x:c>
      <x:c r="M53" s="24" t="str">
        <x:v>They are distinct from dwarves despite overlapping craft associations.</x:v>
      </x:c>
      <x:c r="N53" s="24" t="str">
        <x:v>Small elder-craft people analogue.</x:v>
      </x:c>
      <x:c r="O53" s="24" t="str">
        <x:v>Primary canon</x:v>
      </x:c>
      <x:c r="P53" s="24" t="str">
        <x:v>Official reference reviewed</x:v>
      </x:c>
      <x:c r="Q53" s="24" t="str">
        <x:v>Sapkowski's primary book continuity; official franchise material used for orientation.</x:v>
      </x:c>
      <x:c r="R53" s="84" t="str">
        <x:v>https://www.andrzejsapkowski.pl/</x:v>
      </x:c>
      <x:c r="S53" s="24" t="str">
        <x:v>Seeded</x:v>
      </x:c>
    </x:row>
    <x:row r="54" ht="52" customHeight="1">
      <x:c r="A54" s="24" t="str">
        <x:v>ENT-0053</x:v>
      </x:c>
      <x:c r="B54" s="24" t="str">
        <x:v>Halflings</x:v>
      </x:c>
      <x:c r="C54" s="24" t="str">
        <x:v>SRC-047</x:v>
      </x:c>
      <x:c r="D54" s="24" t="str">
        <x:v>The Witcher</x:v>
      </x:c>
      <x:c r="E54" s="24" t="str">
        <x:v>Book continuity</x:v>
      </x:c>
      <x:c r="F54" s="24" t="str">
        <x:v>People</x:v>
      </x:c>
      <x:c r="G54" s="24" t="str">
        <x:v>PPL-104</x:v>
      </x:c>
      <x:c r="H54" s="24" t="str">
        <x:f>IFERROR(VLOOKUP(G54,'Master Taxonomy'!$A$2:$B$1656,2,FALSE),"")</x:f>
        <x:v>Halfling and Smallfolk Peoples</x:v>
      </x:c>
      <x:c r="I54" s="24" t="str"/>
      <x:c r="J54" s="24" t="str"/>
      <x:c r="K54" s="24" t="str">
        <x:v>Small-statured nonhuman people living within the Continent's mixed societies.</x:v>
      </x:c>
      <x:c r="L54" s="24" t="str">
        <x:v>Natural ancestry and local culture.</x:v>
      </x:c>
      <x:c r="M54" s="24" t="str">
        <x:v>Not defined solely by pastoral domesticity or stealth mechanics.</x:v>
      </x:c>
      <x:c r="N54" s="24" t="str">
        <x:v>Halfling and integrated smallfolk analogue.</x:v>
      </x:c>
      <x:c r="O54" s="24" t="str">
        <x:v>Primary canon</x:v>
      </x:c>
      <x:c r="P54" s="24" t="str">
        <x:v>Official reference reviewed</x:v>
      </x:c>
      <x:c r="Q54" s="24" t="str">
        <x:v>Sapkowski's primary book continuity; official franchise material used for orientation.</x:v>
      </x:c>
      <x:c r="R54" s="84" t="str">
        <x:v>https://www.andrzejsapkowski.pl/</x:v>
      </x:c>
      <x:c r="S54" s="24" t="str">
        <x:v>Seeded</x:v>
      </x:c>
    </x:row>
    <x:row r="55" ht="52" customHeight="1">
      <x:c r="A55" s="24" t="str">
        <x:v>ENT-0054</x:v>
      </x:c>
      <x:c r="B55" s="24" t="str">
        <x:v>Dryads of Brokilon</x:v>
      </x:c>
      <x:c r="C55" s="24" t="str">
        <x:v>SRC-047</x:v>
      </x:c>
      <x:c r="D55" s="24" t="str">
        <x:v>The Witcher</x:v>
      </x:c>
      <x:c r="E55" s="24" t="str">
        <x:v>Book continuity</x:v>
      </x:c>
      <x:c r="F55" s="24" t="str">
        <x:v>Forest people / transformed community</x:v>
      </x:c>
      <x:c r="G55" s="24" t="str">
        <x:v>PPL-203</x:v>
      </x:c>
      <x:c r="H55" s="24" t="str">
        <x:f>IFERROR(VLOOKUP(G55,'Master Taxonomy'!$A$2:$B$1656,2,FALSE),"")</x:f>
        <x:v>Dryads and Tree-Bound Beings</x:v>
      </x:c>
      <x:c r="I55" s="24" t="str">
        <x:v>ROL-512</x:v>
      </x:c>
      <x:c r="J55" s="24" t="str">
        <x:v>Forest Warden</x:v>
      </x:c>
      <x:c r="K55" s="24" t="str">
        <x:v>A female forest society defending Brokilon and incorporating outsiders through distinctive practices.</x:v>
      </x:c>
      <x:c r="L55" s="24" t="str">
        <x:v>Forest-linked identity, archery, ritual, and community reproduction.</x:v>
      </x:c>
      <x:c r="M55" s="24" t="str">
        <x:v>The source combines peoplehood, culture, and transformation rather than a simple plant species.</x:v>
      </x:c>
      <x:c r="N55" s="24" t="str">
        <x:v>Militant forest guardian and liminal dryad society analogue.</x:v>
      </x:c>
      <x:c r="O55" s="24" t="str">
        <x:v>Primary canon</x:v>
      </x:c>
      <x:c r="P55" s="24" t="str">
        <x:v>Official reference reviewed</x:v>
      </x:c>
      <x:c r="Q55" s="24" t="str">
        <x:v>Sapkowski's primary book continuity; official franchise material used for orientation.</x:v>
      </x:c>
      <x:c r="R55" s="84" t="str">
        <x:v>https://www.andrzejsapkowski.pl/</x:v>
      </x:c>
      <x:c r="S55" s="24" t="str">
        <x:v>Seeded</x:v>
      </x:c>
    </x:row>
    <x:row r="56" ht="52" customHeight="1">
      <x:c r="A56" s="24" t="str">
        <x:v>ENT-0055</x:v>
      </x:c>
      <x:c r="B56" s="24" t="str">
        <x:v>Witchers</x:v>
      </x:c>
      <x:c r="C56" s="24" t="str">
        <x:v>SRC-047</x:v>
      </x:c>
      <x:c r="D56" s="24" t="str">
        <x:v>The Witcher</x:v>
      </x:c>
      <x:c r="E56" s="24" t="str">
        <x:v>Book continuity</x:v>
      </x:c>
      <x:c r="F56" s="24" t="str">
        <x:v>Transformed professional order</x:v>
      </x:c>
      <x:c r="G56" s="24" t="str">
        <x:v>ROL-810</x:v>
      </x:c>
      <x:c r="H56" s="24" t="str">
        <x:f>IFERROR(VLOOKUP(G56,'Master Taxonomy'!$A$2:$B$1656,2,FALSE),"")</x:f>
        <x:v>Witcher and Alchemical Monster Hunter</x:v>
      </x:c>
      <x:c r="I56" s="24" t="str">
        <x:v>STA-206; INS-208</x:v>
      </x:c>
      <x:c r="J56" s="24" t="str">
        <x:v>Alchemical Enhancement; Monster-Hunter Order</x:v>
      </x:c>
      <x:c r="K56" s="24" t="str">
        <x:v>Professionally trained and alchemically mutated monster hunters using swords, potions, signs, and field knowledge.</x:v>
      </x:c>
      <x:c r="L56" s="24" t="str">
        <x:v>Training, mutation, alchemy, equipment, and school traditions.</x:v>
      </x:c>
      <x:c r="M56" s="24" t="str">
        <x:v>Witcher is simultaneously profession, transformed condition, and institutional lineage—not a species.</x:v>
      </x:c>
      <x:c r="N56" s="24" t="str">
        <x:v>Canonical alchemical monster-hunter archetype.</x:v>
      </x:c>
      <x:c r="O56" s="24" t="str">
        <x:v>Primary canon</x:v>
      </x:c>
      <x:c r="P56" s="24" t="str">
        <x:v>Official reference reviewed</x:v>
      </x:c>
      <x:c r="Q56" s="24" t="str">
        <x:v>Sapkowski's primary book continuity; official franchise material used for orientation.</x:v>
      </x:c>
      <x:c r="R56" s="84" t="str">
        <x:v>https://www.andrzejsapkowski.pl/</x:v>
      </x:c>
      <x:c r="S56" s="24" t="str">
        <x:v>Seeded</x:v>
      </x:c>
    </x:row>
    <x:row r="57" ht="52" customHeight="1">
      <x:c r="A57" s="24" t="str">
        <x:v>ENT-0056</x:v>
      </x:c>
      <x:c r="B57" s="24" t="str">
        <x:v>Witcher schools</x:v>
      </x:c>
      <x:c r="C57" s="24" t="str">
        <x:v>SRC-047</x:v>
      </x:c>
      <x:c r="D57" s="24" t="str">
        <x:v>The Witcher</x:v>
      </x:c>
      <x:c r="E57" s="24" t="str">
        <x:v>Franchise-spanning institutional layer</x:v>
      </x:c>
      <x:c r="F57" s="24" t="str">
        <x:v>Training orders</x:v>
      </x:c>
      <x:c r="G57" s="24" t="str">
        <x:v>INS-209</x:v>
      </x:c>
      <x:c r="H57" s="24" t="str">
        <x:f>IFERROR(VLOOKUP(G57,'Master Taxonomy'!$A$2:$B$1656,2,FALSE),"")</x:f>
        <x:v>Witcher School</x:v>
      </x:c>
      <x:c r="I57" s="24" t="str">
        <x:v>INS-208</x:v>
      </x:c>
      <x:c r="J57" s="24" t="str">
        <x:v>Monster-Hunter Order</x:v>
      </x:c>
      <x:c r="K57" s="24" t="str">
        <x:v>Distinct training lineages or institutions associated with witcher creation and practice.</x:v>
      </x:c>
      <x:c r="L57" s="24" t="str">
        <x:v>Institutional inheritance, techniques, symbols, and regional histories.</x:v>
      </x:c>
      <x:c r="M57" s="24" t="str">
        <x:v>The number, status, and detail of schools vary across books, games, and licensed adaptations.</x:v>
      </x:c>
      <x:c r="N57" s="24" t="str">
        <x:v>Monster-hunter school and prestige tradition analogue.</x:v>
      </x:c>
      <x:c r="O57" s="24" t="str">
        <x:v>Primary canon</x:v>
      </x:c>
      <x:c r="P57" s="24" t="str">
        <x:v>Official reference reviewed</x:v>
      </x:c>
      <x:c r="Q57" s="24" t="str">
        <x:v>Sapkowski's primary book continuity; official franchise material used for orientation.</x:v>
      </x:c>
      <x:c r="R57" s="84" t="str">
        <x:v>https://www.andrzejsapkowski.pl/</x:v>
      </x:c>
      <x:c r="S57" s="24" t="str">
        <x:v>Seeded</x:v>
      </x:c>
    </x:row>
    <x:row r="58" ht="52" customHeight="1">
      <x:c r="A58" s="24" t="str">
        <x:v>ENT-0057</x:v>
      </x:c>
      <x:c r="B58" s="24" t="str">
        <x:v>Sorcerers and sorceresses</x:v>
      </x:c>
      <x:c r="C58" s="24" t="str">
        <x:v>SRC-047</x:v>
      </x:c>
      <x:c r="D58" s="24" t="str">
        <x:v>The Witcher</x:v>
      </x:c>
      <x:c r="E58" s="24" t="str">
        <x:v>Book continuity</x:v>
      </x:c>
      <x:c r="F58" s="24" t="str">
        <x:v>Magical profession and elite</x:v>
      </x:c>
      <x:c r="G58" s="24" t="str">
        <x:v>ROL-301</x:v>
      </x:c>
      <x:c r="H58" s="24" t="str">
        <x:f>IFERROR(VLOOKUP(G58,'Master Taxonomy'!$A$2:$B$1656,2,FALSE),"")</x:f>
        <x:v>Mage and Wizard</x:v>
      </x:c>
      <x:c r="I58" s="24" t="str">
        <x:v>INS-102</x:v>
      </x:c>
      <x:c r="J58" s="24" t="str">
        <x:v>Mage Guild</x:v>
      </x:c>
      <x:c r="K58" s="24" t="str">
        <x:v>Highly trained magic users who often combine scholarship, court service, politics, and personal ambition.</x:v>
      </x:c>
      <x:c r="L58" s="24" t="str">
        <x:v>Education, innate aptitude, magical theory, and institutions.</x:v>
      </x:c>
      <x:c r="M58" s="24" t="str">
        <x:v>Gendered titles do not imply different power systems.</x:v>
      </x:c>
      <x:c r="N58" s="24" t="str">
        <x:v>Court mage, academy wizard, and transnational magical elite analogue.</x:v>
      </x:c>
      <x:c r="O58" s="24" t="str">
        <x:v>Primary canon</x:v>
      </x:c>
      <x:c r="P58" s="24" t="str">
        <x:v>Official reference reviewed</x:v>
      </x:c>
      <x:c r="Q58" s="24" t="str">
        <x:v>Sapkowski's primary book continuity; official franchise material used for orientation.</x:v>
      </x:c>
      <x:c r="R58" s="84" t="str">
        <x:v>https://www.andrzejsapkowski.pl/</x:v>
      </x:c>
      <x:c r="S58" s="24" t="str">
        <x:v>Seeded</x:v>
      </x:c>
    </x:row>
    <x:row r="59" ht="52" customHeight="1">
      <x:c r="A59" s="24" t="str">
        <x:v>ENT-0058</x:v>
      </x:c>
      <x:c r="B59" s="24" t="str">
        <x:v>Aretuza</x:v>
      </x:c>
      <x:c r="C59" s="24" t="str">
        <x:v>SRC-047</x:v>
      </x:c>
      <x:c r="D59" s="24" t="str">
        <x:v>The Witcher</x:v>
      </x:c>
      <x:c r="E59" s="24" t="str">
        <x:v>Book continuity</x:v>
      </x:c>
      <x:c r="F59" s="24" t="str">
        <x:v>Mage academy</x:v>
      </x:c>
      <x:c r="G59" s="24" t="str">
        <x:v>INS-308</x:v>
      </x:c>
      <x:c r="H59" s="24" t="str">
        <x:f>IFERROR(VLOOKUP(G59,'Master Taxonomy'!$A$2:$B$1656,2,FALSE),"")</x:f>
        <x:v>Mage Academy</x:v>
      </x:c>
      <x:c r="I59" s="24" t="str">
        <x:v>INS-102</x:v>
      </x:c>
      <x:c r="J59" s="24" t="str">
        <x:v>Mage Guild</x:v>
      </x:c>
      <x:c r="K59" s="24" t="str">
        <x:v>An elite institution for training female magic users and socializing them into political networks.</x:v>
      </x:c>
      <x:c r="L59" s="24" t="str">
        <x:v>Formal education, discipline, patronage, and institutional authority.</x:v>
      </x:c>
      <x:c r="M59" s="24" t="str">
        <x:v>It is an institution rather than a class or spell tradition.</x:v>
      </x:c>
      <x:c r="N59" s="24" t="str">
        <x:v>Magical boarding academy and elite professional network analogue.</x:v>
      </x:c>
      <x:c r="O59" s="24" t="str">
        <x:v>Primary canon</x:v>
      </x:c>
      <x:c r="P59" s="24" t="str">
        <x:v>Official reference reviewed</x:v>
      </x:c>
      <x:c r="Q59" s="24" t="str">
        <x:v>Sapkowski's primary book continuity; official franchise material used for orientation.</x:v>
      </x:c>
      <x:c r="R59" s="84" t="str">
        <x:v>https://www.andrzejsapkowski.pl/</x:v>
      </x:c>
      <x:c r="S59" s="24" t="str">
        <x:v>Seeded</x:v>
      </x:c>
    </x:row>
    <x:row r="60" ht="52" customHeight="1">
      <x:c r="A60" s="24" t="str">
        <x:v>ENT-0059</x:v>
      </x:c>
      <x:c r="B60" s="24" t="str">
        <x:v>Ban Ard</x:v>
      </x:c>
      <x:c r="C60" s="24" t="str">
        <x:v>SRC-047</x:v>
      </x:c>
      <x:c r="D60" s="24" t="str">
        <x:v>The Witcher</x:v>
      </x:c>
      <x:c r="E60" s="24" t="str">
        <x:v>Book continuity</x:v>
      </x:c>
      <x:c r="F60" s="24" t="str">
        <x:v>Mage academy</x:v>
      </x:c>
      <x:c r="G60" s="24" t="str">
        <x:v>INS-308</x:v>
      </x:c>
      <x:c r="H60" s="24" t="str">
        <x:f>IFERROR(VLOOKUP(G60,'Master Taxonomy'!$A$2:$B$1656,2,FALSE),"")</x:f>
        <x:v>Mage Academy</x:v>
      </x:c>
      <x:c r="I60" s="24" t="str">
        <x:v>INS-102</x:v>
      </x:c>
      <x:c r="J60" s="24" t="str">
        <x:v>Mage Guild</x:v>
      </x:c>
      <x:c r="K60" s="24" t="str">
        <x:v>A major institution associated with the education of male mages.</x:v>
      </x:c>
      <x:c r="L60" s="24" t="str">
        <x:v>Formal magical education and professional networking.</x:v>
      </x:c>
      <x:c r="M60" s="24" t="str">
        <x:v>Adaptations may change its prominence or details.</x:v>
      </x:c>
      <x:c r="N60" s="24" t="str">
        <x:v>Parallel mage-academy archetype.</x:v>
      </x:c>
      <x:c r="O60" s="24" t="str">
        <x:v>Primary canon</x:v>
      </x:c>
      <x:c r="P60" s="24" t="str">
        <x:v>Official reference reviewed</x:v>
      </x:c>
      <x:c r="Q60" s="24" t="str">
        <x:v>Sapkowski's primary book continuity; official franchise material used for orientation.</x:v>
      </x:c>
      <x:c r="R60" s="84" t="str">
        <x:v>https://www.andrzejsapkowski.pl/</x:v>
      </x:c>
      <x:c r="S60" s="24" t="str">
        <x:v>Seeded</x:v>
      </x:c>
    </x:row>
    <x:row r="61" ht="52" customHeight="1">
      <x:c r="A61" s="24" t="str">
        <x:v>ENT-0060</x:v>
      </x:c>
      <x:c r="B61" s="24" t="str">
        <x:v>Druids</x:v>
      </x:c>
      <x:c r="C61" s="24" t="str">
        <x:v>SRC-047</x:v>
      </x:c>
      <x:c r="D61" s="24" t="str">
        <x:v>The Witcher</x:v>
      </x:c>
      <x:c r="E61" s="24" t="str">
        <x:v>Book continuity</x:v>
      </x:c>
      <x:c r="F61" s="24" t="str">
        <x:v>Nature-spiritual vocation</x:v>
      </x:c>
      <x:c r="G61" s="24" t="str">
        <x:v>ROL-501</x:v>
      </x:c>
      <x:c r="H61" s="24" t="str">
        <x:f>IFERROR(VLOOKUP(G61,'Master Taxonomy'!$A$2:$B$1656,2,FALSE),"")</x:f>
        <x:v>Druid</x:v>
      </x:c>
      <x:c r="I61" s="24" t="str">
        <x:v>INS-307</x:v>
      </x:c>
      <x:c r="J61" s="24" t="str">
        <x:v>Druid Circle</x:v>
      </x:c>
      <x:c r="K61" s="24" t="str">
        <x:v>Practitioners organized in groves and circles, associated with nature, healing, wisdom, and local authority.</x:v>
      </x:c>
      <x:c r="L61" s="24" t="str">
        <x:v>Training, spiritual practice, herbal knowledge, and nature magic.</x:v>
      </x:c>
      <x:c r="M61" s="24" t="str">
        <x:v>They are not merely shapeshifting game druids.</x:v>
      </x:c>
      <x:c r="N61" s="24" t="str">
        <x:v>Druidic college, healer, and ecological mediator analogue.</x:v>
      </x:c>
      <x:c r="O61" s="24" t="str">
        <x:v>Primary canon</x:v>
      </x:c>
      <x:c r="P61" s="24" t="str">
        <x:v>Official reference reviewed</x:v>
      </x:c>
      <x:c r="Q61" s="24" t="str">
        <x:v>Sapkowski's primary book continuity; official franchise material used for orientation.</x:v>
      </x:c>
      <x:c r="R61" s="84" t="str">
        <x:v>https://www.andrzejsapkowski.pl/</x:v>
      </x:c>
      <x:c r="S61" s="24" t="str">
        <x:v>Seeded</x:v>
      </x:c>
    </x:row>
    <x:row r="62" ht="52" customHeight="1">
      <x:c r="A62" s="24" t="str">
        <x:v>ENT-0061</x:v>
      </x:c>
      <x:c r="B62" s="24" t="str">
        <x:v>Higher vampires</x:v>
      </x:c>
      <x:c r="C62" s="24" t="str">
        <x:v>SRC-047</x:v>
      </x:c>
      <x:c r="D62" s="24" t="str">
        <x:v>The Witcher</x:v>
      </x:c>
      <x:c r="E62" s="24" t="str">
        <x:v>Book and game continuities distinguished</x:v>
      </x:c>
      <x:c r="F62" s="24" t="str">
        <x:v>Nonhuman people / monster kind</x:v>
      </x:c>
      <x:c r="G62" s="24" t="str">
        <x:v>PPL-607</x:v>
      </x:c>
      <x:c r="H62" s="24" t="str">
        <x:f>IFERROR(VLOOKUP(G62,'Master Taxonomy'!$A$2:$B$1656,2,FALSE),"")</x:f>
        <x:v>Vampires</x:v>
      </x:c>
      <x:c r="I62" s="24" t="str"/>
      <x:c r="J62" s="24" t="str"/>
      <x:c r="K62" s="24" t="str">
        <x:v>Powerful intelligent beings called vampires whose origin and biology differ from conventional human undead.</x:v>
      </x:c>
      <x:c r="L62" s="24" t="str">
        <x:v>Post-Conjunction or otherworldly species, innate powers, and long life.</x:v>
      </x:c>
      <x:c r="M62" s="24" t="str">
        <x:v>They should not automatically be treated as reanimated corpses or contagious undead.</x:v>
      </x:c>
      <x:c r="N62" s="24" t="str">
        <x:v>Vampire-by-function but species-like in ontology.</x:v>
      </x:c>
      <x:c r="O62" s="24" t="str">
        <x:v>Primary canon</x:v>
      </x:c>
      <x:c r="P62" s="24" t="str">
        <x:v>Official reference reviewed</x:v>
      </x:c>
      <x:c r="Q62" s="24" t="str">
        <x:v>Sapkowski's primary book continuity; official franchise material used for orientation.</x:v>
      </x:c>
      <x:c r="R62" s="84" t="str">
        <x:v>https://www.andrzejsapkowski.pl/</x:v>
      </x:c>
      <x:c r="S62" s="24" t="str">
        <x:v>Seeded</x:v>
      </x:c>
    </x:row>
    <x:row r="63" ht="52" customHeight="1">
      <x:c r="A63" s="24" t="str">
        <x:v>ENT-0062</x:v>
      </x:c>
      <x:c r="B63" s="24" t="str">
        <x:v>Bruxae and related vampire kinds</x:v>
      </x:c>
      <x:c r="C63" s="24" t="str">
        <x:v>SRC-047</x:v>
      </x:c>
      <x:c r="D63" s="24" t="str">
        <x:v>The Witcher</x:v>
      </x:c>
      <x:c r="E63" s="24" t="str">
        <x:v>Book continuity</x:v>
      </x:c>
      <x:c r="F63" s="24" t="str">
        <x:v>Monster kind</x:v>
      </x:c>
      <x:c r="G63" s="24" t="str">
        <x:v>PPL-607</x:v>
      </x:c>
      <x:c r="H63" s="24" t="str">
        <x:f>IFERROR(VLOOKUP(G63,'Master Taxonomy'!$A$2:$B$1656,2,FALSE),"")</x:f>
        <x:v>Vampires</x:v>
      </x:c>
      <x:c r="I63" s="24" t="str"/>
      <x:c r="J63" s="24" t="str"/>
      <x:c r="K63" s="24" t="str">
        <x:v>Predatory vampire forms combining humanoid intelligence, transformation, speed, and sonic or blood-associated traits.</x:v>
      </x:c>
      <x:c r="L63" s="24" t="str">
        <x:v>Innate monster physiology and predation.</x:v>
      </x:c>
      <x:c r="M63" s="24" t="str">
        <x:v>The setting's vampire taxonomy is plural rather than one universal template.</x:v>
      </x:c>
      <x:c r="N63" s="24" t="str">
        <x:v>Monstrous vampire subtype analogue.</x:v>
      </x:c>
      <x:c r="O63" s="24" t="str">
        <x:v>Primary canon</x:v>
      </x:c>
      <x:c r="P63" s="24" t="str">
        <x:v>Official reference reviewed</x:v>
      </x:c>
      <x:c r="Q63" s="24" t="str">
        <x:v>Sapkowski's primary book continuity; official franchise material used for orientation.</x:v>
      </x:c>
      <x:c r="R63" s="84" t="str">
        <x:v>https://www.andrzejsapkowski.pl/</x:v>
      </x:c>
      <x:c r="S63" s="24" t="str">
        <x:v>Seeded</x:v>
      </x:c>
    </x:row>
    <x:row r="64" ht="52" customHeight="1">
      <x:c r="A64" s="24" t="str">
        <x:v>ENT-0063</x:v>
      </x:c>
      <x:c r="B64" s="24" t="str">
        <x:v>Dopplers</x:v>
      </x:c>
      <x:c r="C64" s="24" t="str">
        <x:v>SRC-047</x:v>
      </x:c>
      <x:c r="D64" s="24" t="str">
        <x:v>The Witcher</x:v>
      </x:c>
      <x:c r="E64" s="24" t="str">
        <x:v>Book continuity</x:v>
      </x:c>
      <x:c r="F64" s="24" t="str">
        <x:v>Mutable people</x:v>
      </x:c>
      <x:c r="G64" s="24" t="str">
        <x:v>PPL-1002</x:v>
      </x:c>
      <x:c r="H64" s="24" t="str">
        <x:f>IFERROR(VLOOKUP(G64,'Master Taxonomy'!$A$2:$B$1656,2,FALSE),"")</x:f>
        <x:v>Doppelgangers and Identity Mimics</x:v>
      </x:c>
      <x:c r="I64" s="24" t="str"/>
      <x:c r="J64" s="24" t="str"/>
      <x:c r="K64" s="24" t="str">
        <x:v>Intelligent shapeshifters able to imitate other persons with remarkable physical and behavioral precision.</x:v>
      </x:c>
      <x:c r="L64" s="24" t="str">
        <x:v>Innate transformation and mimicry.</x:v>
      </x:c>
      <x:c r="M64" s="24" t="str">
        <x:v>They possess personhood and moral agency; disguise does not define them as inherently villainous.</x:v>
      </x:c>
      <x:c r="N64" s="24" t="str">
        <x:v>Ethical doppelganger and identity-mimic analogue.</x:v>
      </x:c>
      <x:c r="O64" s="24" t="str">
        <x:v>Primary canon</x:v>
      </x:c>
      <x:c r="P64" s="24" t="str">
        <x:v>Official reference reviewed</x:v>
      </x:c>
      <x:c r="Q64" s="24" t="str">
        <x:v>Sapkowski's primary book continuity; official franchise material used for orientation.</x:v>
      </x:c>
      <x:c r="R64" s="84" t="str">
        <x:v>https://www.andrzejsapkowski.pl/</x:v>
      </x:c>
      <x:c r="S64" s="24" t="str">
        <x:v>Seeded</x:v>
      </x:c>
    </x:row>
    <x:row r="65" ht="52" customHeight="1">
      <x:c r="A65" s="24" t="str">
        <x:v>ENT-0064</x:v>
      </x:c>
      <x:c r="B65" s="24" t="str">
        <x:v>Werewolves</x:v>
      </x:c>
      <x:c r="C65" s="24" t="str">
        <x:v>SRC-047</x:v>
      </x:c>
      <x:c r="D65" s="24" t="str">
        <x:v>The Witcher</x:v>
      </x:c>
      <x:c r="E65" s="24" t="str">
        <x:v>Book continuity</x:v>
      </x:c>
      <x:c r="F65" s="24" t="str">
        <x:v>Cursed shapeshifters</x:v>
      </x:c>
      <x:c r="G65" s="24" t="str">
        <x:v>PPL-1003</x:v>
      </x:c>
      <x:c r="H65" s="24" t="str">
        <x:f>IFERROR(VLOOKUP(G65,'Master Taxonomy'!$A$2:$B$1656,2,FALSE),"")</x:f>
        <x:v>Therianthropes</x:v>
      </x:c>
      <x:c r="I65" s="24" t="str">
        <x:v>STA-201</x:v>
      </x:c>
      <x:c r="J65" s="24" t="str">
        <x:v>Lycanthropy and Therianthropic Curse</x:v>
      </x:c>
      <x:c r="K65" s="24" t="str">
        <x:v>Humans or humanlike beings affected by lupine transformation through curse or condition.</x:v>
      </x:c>
      <x:c r="L65" s="24" t="str">
        <x:v>Curse, transformation, predatory impulse, and possible ritual cures.</x:v>
      </x:c>
      <x:c r="M65" s="24" t="str">
        <x:v>Cases vary and should not be forced into one infection model.</x:v>
      </x:c>
      <x:c r="N65" s="24" t="str">
        <x:v>Lycanthrope and curse-remediation archetype.</x:v>
      </x:c>
      <x:c r="O65" s="24" t="str">
        <x:v>Primary canon</x:v>
      </x:c>
      <x:c r="P65" s="24" t="str">
        <x:v>Official reference reviewed</x:v>
      </x:c>
      <x:c r="Q65" s="24" t="str">
        <x:v>Sapkowski's primary book continuity; official franchise material used for orientation.</x:v>
      </x:c>
      <x:c r="R65" s="84" t="str">
        <x:v>https://www.andrzejsapkowski.pl/</x:v>
      </x:c>
      <x:c r="S65" s="24" t="str">
        <x:v>Seeded</x:v>
      </x:c>
    </x:row>
    <x:row r="66" ht="52" customHeight="1">
      <x:c r="A66" s="24" t="str">
        <x:v>ENT-0065</x:v>
      </x:c>
      <x:c r="B66" s="24" t="str">
        <x:v>Leshens</x:v>
      </x:c>
      <x:c r="C66" s="24" t="str">
        <x:v>SRC-047</x:v>
      </x:c>
      <x:c r="D66" s="24" t="str">
        <x:v>The Witcher</x:v>
      </x:c>
      <x:c r="E66" s="24" t="str">
        <x:v>Book/game franchise</x:v>
      </x:c>
      <x:c r="F66" s="24" t="str">
        <x:v>Forest monster or spirit</x:v>
      </x:c>
      <x:c r="G66" s="24" t="str">
        <x:v>PPL-206</x:v>
      </x:c>
      <x:c r="H66" s="24" t="str">
        <x:f>IFERROR(VLOOKUP(G66,'Master Taxonomy'!$A$2:$B$1656,2,FALSE),"")</x:f>
        <x:v>Land and Watershed Spirits</x:v>
      </x:c>
      <x:c r="I66" s="24" t="str">
        <x:v>ROL-512</x:v>
      </x:c>
      <x:c r="J66" s="24" t="str">
        <x:v>Forest Warden</x:v>
      </x:c>
      <x:c r="K66" s="24" t="str">
        <x:v>Ancient forest-associated entities that command animals, roots, fear, and territorial power.</x:v>
      </x:c>
      <x:c r="L66" s="24" t="str">
        <x:v>Place-bound nature power and predatory guardianship.</x:v>
      </x:c>
      <x:c r="M66" s="24" t="str">
        <x:v>Game portrayals are more systematized than sparse literary references.</x:v>
      </x:c>
      <x:c r="N66" s="24" t="str">
        <x:v>Dark forest guardian and hostile genius-loci analogue.</x:v>
      </x:c>
      <x:c r="O66" s="24" t="str">
        <x:v>Primary canon</x:v>
      </x:c>
      <x:c r="P66" s="24" t="str">
        <x:v>Official reference reviewed</x:v>
      </x:c>
      <x:c r="Q66" s="24" t="str">
        <x:v>Sapkowski's primary book continuity; official franchise material used for orientation.</x:v>
      </x:c>
      <x:c r="R66" s="84" t="str">
        <x:v>https://www.andrzejsapkowski.pl/</x:v>
      </x:c>
      <x:c r="S66" s="24" t="str">
        <x:v>Seeded</x:v>
      </x:c>
    </x:row>
    <x:row r="67" ht="52" customHeight="1">
      <x:c r="A67" s="24" t="str">
        <x:v>ENT-0066</x:v>
      </x:c>
      <x:c r="B67" s="24" t="str">
        <x:v>Noonwraiths and nightwraiths</x:v>
      </x:c>
      <x:c r="C67" s="24" t="str">
        <x:v>SRC-047</x:v>
      </x:c>
      <x:c r="D67" s="24" t="str">
        <x:v>The Witcher</x:v>
      </x:c>
      <x:c r="E67" s="24" t="str">
        <x:v>Game continuity</x:v>
      </x:c>
      <x:c r="F67" s="24" t="str">
        <x:v>Spectral cursed dead</x:v>
      </x:c>
      <x:c r="G67" s="24" t="str">
        <x:v>PPL-601</x:v>
      </x:c>
      <x:c r="H67" s="24" t="str">
        <x:f>IFERROR(VLOOKUP(G67,'Master Taxonomy'!$A$2:$B$1656,2,FALSE),"")</x:f>
        <x:v>Ghosts</x:v>
      </x:c>
      <x:c r="I67" s="24" t="str">
        <x:v>STA-311</x:v>
      </x:c>
      <x:c r="J67" s="24" t="str">
        <x:v>Cursed State</x:v>
      </x:c>
      <x:c r="K67" s="24" t="str">
        <x:v>Spectral beings tied to traumatic death, place, time, and unresolved grievance.</x:v>
      </x:c>
      <x:c r="L67" s="24" t="str">
        <x:v>Curse, haunting, memory, and environmental conditions.</x:v>
      </x:c>
      <x:c r="M67" s="24" t="str">
        <x:v>These are game-system monster categories, not a universal book taxonomy.</x:v>
      </x:c>
      <x:c r="N67" s="24" t="str">
        <x:v>Time-bound revenant and tragic haunting analogue.</x:v>
      </x:c>
      <x:c r="O67" s="24" t="str">
        <x:v>Primary canon</x:v>
      </x:c>
      <x:c r="P67" s="24" t="str">
        <x:v>Official reference reviewed</x:v>
      </x:c>
      <x:c r="Q67" s="24" t="str">
        <x:v>Sapkowski's primary book continuity; official franchise material used for orientation.</x:v>
      </x:c>
      <x:c r="R67" s="84" t="str">
        <x:v>https://www.andrzejsapkowski.pl/</x:v>
      </x:c>
      <x:c r="S67" s="24" t="str">
        <x:v>Seeded</x:v>
      </x:c>
    </x:row>
    <x:row r="68" ht="52" customHeight="1">
      <x:c r="A68" s="24" t="str">
        <x:v>ENT-0067</x:v>
      </x:c>
      <x:c r="B68" s="24" t="str">
        <x:v>Botchlings</x:v>
      </x:c>
      <x:c r="C68" s="24" t="str">
        <x:v>SRC-047</x:v>
      </x:c>
      <x:c r="D68" s="24" t="str">
        <x:v>The Witcher</x:v>
      </x:c>
      <x:c r="E68" s="24" t="str">
        <x:v>Book/game franchise</x:v>
      </x:c>
      <x:c r="F68" s="24" t="str">
        <x:v>Cursed revenant-like monster</x:v>
      </x:c>
      <x:c r="G68" s="24" t="str">
        <x:v>PPL-602</x:v>
      </x:c>
      <x:c r="H68" s="24" t="str">
        <x:f>IFERROR(VLOOKUP(G68,'Master Taxonomy'!$A$2:$B$1656,2,FALSE),"")</x:f>
        <x:v>Revenants</x:v>
      </x:c>
      <x:c r="I68" s="24" t="str">
        <x:v>STA-311</x:v>
      </x:c>
      <x:c r="J68" s="24" t="str">
        <x:v>Cursed State</x:v>
      </x:c>
      <x:c r="K68" s="24" t="str">
        <x:v>Grotesque beings associated with improperly buried or rejected infants and potentially transformable ritual outcomes.</x:v>
      </x:c>
      <x:c r="L68" s="24" t="str">
        <x:v>Curse, burial failure, family trauma, and ritual response.</x:v>
      </x:c>
      <x:c r="M68" s="24" t="str">
        <x:v>Their classification blends folklore, tragedy, and monster mechanics.</x:v>
      </x:c>
      <x:c r="N68" s="24" t="str">
        <x:v>Domestic revenant and burial-taboo monster analogue.</x:v>
      </x:c>
      <x:c r="O68" s="24" t="str">
        <x:v>Primary canon</x:v>
      </x:c>
      <x:c r="P68" s="24" t="str">
        <x:v>Official reference reviewed</x:v>
      </x:c>
      <x:c r="Q68" s="24" t="str">
        <x:v>Sapkowski's primary book continuity; official franchise material used for orientation.</x:v>
      </x:c>
      <x:c r="R68" s="84" t="str">
        <x:v>https://www.andrzejsapkowski.pl/</x:v>
      </x:c>
      <x:c r="S68" s="24" t="str">
        <x:v>Seeded</x:v>
      </x:c>
    </x:row>
    <x:row r="69" ht="52" customHeight="1">
      <x:c r="A69" s="24" t="str">
        <x:v>ENT-0068</x:v>
      </x:c>
      <x:c r="B69" s="24" t="str">
        <x:v>Djinn</x:v>
      </x:c>
      <x:c r="C69" s="24" t="str">
        <x:v>SRC-047</x:v>
      </x:c>
      <x:c r="D69" s="24" t="str">
        <x:v>The Witcher</x:v>
      </x:c>
      <x:c r="E69" s="24" t="str">
        <x:v>Book continuity</x:v>
      </x:c>
      <x:c r="F69" s="24" t="str">
        <x:v>Elemental otherworldly being</x:v>
      </x:c>
      <x:c r="G69" s="24" t="str">
        <x:v>PPL-302</x:v>
      </x:c>
      <x:c r="H69" s="24" t="str">
        <x:f>IFERROR(VLOOKUP(G69,'Master Taxonomy'!$A$2:$B$1656,2,FALSE),"")</x:f>
        <x:v>Genies and Djinn-Derived Beings</x:v>
      </x:c>
      <x:c r="I69" s="24" t="str"/>
      <x:c r="J69" s="24" t="str"/>
      <x:c r="K69" s="24" t="str">
        <x:v>Extremely powerful air-associated beings subject to magical binding and wishes.</x:v>
      </x:c>
      <x:c r="L69" s="24" t="str">
        <x:v>Innate elemental power and coercive binding.</x:v>
      </x:c>
      <x:c r="M69" s="24" t="str">
        <x:v>Their wish function emerges through captivity rather than benevolent service.</x:v>
      </x:c>
      <x:c r="N69" s="24" t="str">
        <x:v>Dangerous bound-genie analogue.</x:v>
      </x:c>
      <x:c r="O69" s="24" t="str">
        <x:v>Primary canon</x:v>
      </x:c>
      <x:c r="P69" s="24" t="str">
        <x:v>Official reference reviewed</x:v>
      </x:c>
      <x:c r="Q69" s="24" t="str">
        <x:v>Sapkowski's primary book continuity; official franchise material used for orientation.</x:v>
      </x:c>
      <x:c r="R69" s="84" t="str">
        <x:v>https://www.andrzejsapkowski.pl/</x:v>
      </x:c>
      <x:c r="S69" s="24" t="str">
        <x:v>Seeded</x:v>
      </x:c>
    </x:row>
    <x:row r="70" ht="52" customHeight="1">
      <x:c r="A70" s="24" t="str">
        <x:v>ENT-0069</x:v>
      </x:c>
      <x:c r="B70" s="24" t="str">
        <x:v>Dragons</x:v>
      </x:c>
      <x:c r="C70" s="24" t="str">
        <x:v>SRC-047</x:v>
      </x:c>
      <x:c r="D70" s="24" t="str">
        <x:v>The Witcher</x:v>
      </x:c>
      <x:c r="E70" s="24" t="str">
        <x:v>Book continuity</x:v>
      </x:c>
      <x:c r="F70" s="24" t="str">
        <x:v>Rare intelligent creatures</x:v>
      </x:c>
      <x:c r="G70" s="24" t="str">
        <x:v>PPL-801</x:v>
      </x:c>
      <x:c r="H70" s="24" t="str">
        <x:f>IFERROR(VLOOKUP(G70,'Master Taxonomy'!$A$2:$B$1656,2,FALSE),"")</x:f>
        <x:v>True Dragons</x:v>
      </x:c>
      <x:c r="I70" s="24" t="str"/>
      <x:c r="J70" s="24" t="str"/>
      <x:c r="K70" s="24" t="str">
        <x:v>Rare draconic beings including differentiated kinds and exceptionally intelligent golden dragons.</x:v>
      </x:c>
      <x:c r="L70" s="24" t="str">
        <x:v>Natural or magical species, flight, breath, and intelligence.</x:v>
      </x:c>
      <x:c r="M70" s="24" t="str">
        <x:v>Witcher ethics distinguish sapient or rare creatures from indiscriminate monster targets.</x:v>
      </x:c>
      <x:c r="N70" s="24" t="str">
        <x:v>Protected dragon, monster-hunting dilemma, and polymorphic dragon analogue.</x:v>
      </x:c>
      <x:c r="O70" s="24" t="str">
        <x:v>Primary canon</x:v>
      </x:c>
      <x:c r="P70" s="24" t="str">
        <x:v>Official reference reviewed</x:v>
      </x:c>
      <x:c r="Q70" s="24" t="str">
        <x:v>Sapkowski's primary book continuity; official franchise material used for orientation.</x:v>
      </x:c>
      <x:c r="R70" s="84" t="str">
        <x:v>https://www.andrzejsapkowski.pl/</x:v>
      </x:c>
      <x:c r="S70" s="24" t="str">
        <x:v>Seeded</x:v>
      </x:c>
    </x:row>
    <x:row r="71" ht="52" customHeight="1">
      <x:c r="A71" s="24" t="str">
        <x:v>ENT-0070</x:v>
      </x:c>
      <x:c r="B71" s="24" t="str">
        <x:v>The Wild Hunt</x:v>
      </x:c>
      <x:c r="C71" s="24" t="str">
        <x:v>SRC-047</x:v>
      </x:c>
      <x:c r="D71" s="24" t="str">
        <x:v>The Witcher</x:v>
      </x:c>
      <x:c r="E71" s="24" t="str">
        <x:v>Book and game continuities distinguished</x:v>
      </x:c>
      <x:c r="F71" s="24" t="str">
        <x:v>Otherworldly host and military formation</x:v>
      </x:c>
      <x:c r="G71" s="24" t="str">
        <x:v>PPL-211</x:v>
      </x:c>
      <x:c r="H71" s="24" t="str">
        <x:f>IFERROR(VLOOKUP(G71,'Master Taxonomy'!$A$2:$B$1656,2,FALSE),"")</x:f>
        <x:v>Wild Hunt Beings</x:v>
      </x:c>
      <x:c r="I71" s="24" t="str">
        <x:v>INS-200</x:v>
      </x:c>
      <x:c r="J71" s="24" t="str">
        <x:v>Martial and Protective Organizations</x:v>
      </x:c>
      <x:c r="K71" s="24" t="str">
        <x:v>A terrifying spectral-seeming host linked to the Aen Elle and interworld raiding.</x:v>
      </x:c>
      <x:c r="L71" s="24" t="str">
        <x:v>Otherworldly technology or magic, cavalry, illusion, and organized power.</x:v>
      </x:c>
      <x:c r="M71" s="24" t="str">
        <x:v>Its apparent spectrality can conceal embodied political actors.</x:v>
      </x:c>
      <x:c r="N71" s="24" t="str">
        <x:v>Faerie host, death cavalry, and planar raider analogue.</x:v>
      </x:c>
      <x:c r="O71" s="24" t="str">
        <x:v>Primary canon</x:v>
      </x:c>
      <x:c r="P71" s="24" t="str">
        <x:v>Official reference reviewed</x:v>
      </x:c>
      <x:c r="Q71" s="24" t="str">
        <x:v>Sapkowski's primary book continuity; official franchise material used for orientation.</x:v>
      </x:c>
      <x:c r="R71" s="84" t="str">
        <x:v>https://www.andrzejsapkowski.pl/</x:v>
      </x:c>
      <x:c r="S71" s="24" t="str">
        <x:v>Seeded</x:v>
      </x:c>
    </x:row>
    <x:row r="72" ht="52" customHeight="1">
      <x:c r="A72" s="24" t="str">
        <x:v>ENT-0071</x:v>
      </x:c>
      <x:c r="B72" s="24" t="str">
        <x:v>Signs</x:v>
      </x:c>
      <x:c r="C72" s="24" t="str">
        <x:v>SRC-047</x:v>
      </x:c>
      <x:c r="D72" s="24" t="str">
        <x:v>The Witcher</x:v>
      </x:c>
      <x:c r="E72" s="24" t="str">
        <x:v>Book/game franchise</x:v>
      </x:c>
      <x:c r="F72" s="24" t="str">
        <x:v>Compact magical technique</x:v>
      </x:c>
      <x:c r="G72" s="24" t="str">
        <x:v>PWR-502</x:v>
      </x:c>
      <x:c r="H72" s="24" t="str">
        <x:f>IFERROR(VLOOKUP(G72,'Master Taxonomy'!$A$2:$B$1656,2,FALSE),"")</x:f>
        <x:v>Sigils, Seals, and Wards</x:v>
      </x:c>
      <x:c r="I72" s="24" t="str"/>
      <x:c r="J72" s="24" t="str"/>
      <x:c r="K72" s="24" t="str">
        <x:v>Simple or rapidly executed magical signs used by witchers for limited tactical effects.</x:v>
      </x:c>
      <x:c r="L72" s="24" t="str">
        <x:v>Training, gesture, concentration, and modest magical aptitude.</x:v>
      </x:c>
      <x:c r="M72" s="24" t="str">
        <x:v>They are not equivalent to full sorcerous spellcasting.</x:v>
      </x:c>
      <x:c r="N72" s="24" t="str">
        <x:v>Martial cantrip and utility-sign system analogue.</x:v>
      </x:c>
      <x:c r="O72" s="24" t="str">
        <x:v>Primary canon</x:v>
      </x:c>
      <x:c r="P72" s="24" t="str">
        <x:v>Official reference reviewed</x:v>
      </x:c>
      <x:c r="Q72" s="24" t="str">
        <x:v>Sapkowski's primary book continuity; official franchise material used for orientation.</x:v>
      </x:c>
      <x:c r="R72" s="84" t="str">
        <x:v>https://www.andrzejsapkowski.pl/</x:v>
      </x:c>
      <x:c r="S72" s="24" t="str">
        <x:v>Seeded</x:v>
      </x:c>
    </x:row>
    <x:row r="73" ht="52" customHeight="1">
      <x:c r="A73" s="24" t="str">
        <x:v>ENT-0072</x:v>
      </x:c>
      <x:c r="B73" s="24" t="str">
        <x:v>Witcher potions and decoctions</x:v>
      </x:c>
      <x:c r="C73" s="24" t="str">
        <x:v>SRC-047</x:v>
      </x:c>
      <x:c r="D73" s="24" t="str">
        <x:v>The Witcher</x:v>
      </x:c>
      <x:c r="E73" s="24" t="str">
        <x:v>Book/game franchise</x:v>
      </x:c>
      <x:c r="F73" s="24" t="str">
        <x:v>Alchemical power tradition</x:v>
      </x:c>
      <x:c r="G73" s="24" t="str">
        <x:v>PWR-513</x:v>
      </x:c>
      <x:c r="H73" s="24" t="str">
        <x:f>IFERROR(VLOOKUP(G73,'Master Taxonomy'!$A$2:$B$1656,2,FALSE),"")</x:f>
        <x:v>Alchemy</x:v>
      </x:c>
      <x:c r="I73" s="24" t="str">
        <x:v>STA-206</x:v>
      </x:c>
      <x:c r="J73" s="24" t="str">
        <x:v>Alchemical Enhancement</x:v>
      </x:c>
      <x:c r="K73" s="24" t="str">
        <x:v>Toxic preparations designed for witcher physiology, enhancing combat and sensory performance.</x:v>
      </x:c>
      <x:c r="L73" s="24" t="str">
        <x:v>Specialized ingredients, recipes, mutation tolerance, and toxicity management.</x:v>
      </x:c>
      <x:c r="M73" s="24" t="str">
        <x:v>Game inventories systematize a literary practice differently across titles.</x:v>
      </x:c>
      <x:c r="N73" s="24" t="str">
        <x:v>Restricted combat alchemy and risk-resource system analogue.</x:v>
      </x:c>
      <x:c r="O73" s="24" t="str">
        <x:v>Primary canon</x:v>
      </x:c>
      <x:c r="P73" s="24" t="str">
        <x:v>Official reference reviewed</x:v>
      </x:c>
      <x:c r="Q73" s="24" t="str">
        <x:v>Sapkowski's primary book continuity; official franchise material used for orientation.</x:v>
      </x:c>
      <x:c r="R73" s="84" t="str">
        <x:v>https://www.andrzejsapkowski.pl/</x:v>
      </x:c>
      <x:c r="S73" s="24" t="str">
        <x:v>Seeded</x:v>
      </x:c>
    </x:row>
    <x:row r="74" ht="52" customHeight="1">
      <x:c r="A74" s="24" t="str">
        <x:v>ENT-0073</x:v>
      </x:c>
      <x:c r="B74" s="24" t="str">
        <x:v>Barbarian</x:v>
      </x:c>
      <x:c r="C74" s="24" t="str">
        <x:v>SRC-089</x:v>
      </x:c>
      <x:c r="D74" s="24" t="str">
        <x:v>Dungeons &amp; Dragons</x:v>
      </x:c>
      <x:c r="E74" s="24" t="str">
        <x:v>2024 core rules</x:v>
      </x:c>
      <x:c r="F74" s="24" t="str">
        <x:v>Playable class</x:v>
      </x:c>
      <x:c r="G74" s="24" t="str">
        <x:v>ROL-112</x:v>
      </x:c>
      <x:c r="H74" s="24" t="str">
        <x:f>IFERROR(VLOOKUP(G74,'Master Taxonomy'!$A$2:$B$1656,2,FALSE),"")</x:f>
        <x:v>Barbarian</x:v>
      </x:c>
      <x:c r="I74" s="24" t="str"/>
      <x:c r="J74" s="24" t="str"/>
      <x:c r="K74" s="24" t="str">
        <x:v>A martial class centered on rage, toughness, and forceful combat.</x:v>
      </x:c>
      <x:c r="L74" s="24" t="str">
        <x:v>Class features, Rage resource, weapon use, and subclass specialization.</x:v>
      </x:c>
      <x:c r="M74" s="24" t="str">
        <x:v>A mechanical class, not a claim that any culture is 'barbaric.'</x:v>
      </x:c>
      <x:c r="N74" s="24" t="str">
        <x:v>Berserker-style durable striker class.</x:v>
      </x:c>
      <x:c r="O74" s="24" t="str">
        <x:v>Primary canon</x:v>
      </x:c>
      <x:c r="P74" s="24" t="str">
        <x:v>Official reference reviewed</x:v>
      </x:c>
      <x:c r="Q74" s="24" t="str">
        <x:v>Official D&amp;D 2024 Basic Rules and Player's Handbook reference pages.</x:v>
      </x:c>
      <x:c r="R74" s="84" t="str">
        <x:v>https://www.dndbeyond.com/sources/dnd/br-2024/character-classes</x:v>
      </x:c>
      <x:c r="S74" s="24" t="str">
        <x:v>Seeded</x:v>
      </x:c>
    </x:row>
    <x:row r="75" ht="52" customHeight="1">
      <x:c r="A75" s="24" t="str">
        <x:v>ENT-0074</x:v>
      </x:c>
      <x:c r="B75" s="24" t="str">
        <x:v>Bard</x:v>
      </x:c>
      <x:c r="C75" s="24" t="str">
        <x:v>SRC-089</x:v>
      </x:c>
      <x:c r="D75" s="24" t="str">
        <x:v>Dungeons &amp; Dragons</x:v>
      </x:c>
      <x:c r="E75" s="24" t="str">
        <x:v>2024 core rules</x:v>
      </x:c>
      <x:c r="F75" s="24" t="str">
        <x:v>Playable class</x:v>
      </x:c>
      <x:c r="G75" s="24" t="str">
        <x:v>ROL-606</x:v>
      </x:c>
      <x:c r="H75" s="24" t="str">
        <x:f>IFERROR(VLOOKUP(G75,'Master Taxonomy'!$A$2:$B$1656,2,FALSE),"")</x:f>
        <x:v>Bard</x:v>
      </x:c>
      <x:c r="I75" s="24" t="str"/>
      <x:c r="J75" s="24" t="str"/>
      <x:c r="K75" s="24" t="str">
        <x:v>A versatile spellcasting and expertise class using inspiration, performance, lore, and social capability.</x:v>
      </x:c>
      <x:c r="L75" s="24" t="str">
        <x:v>Learned magic, Bardic Inspiration, skills, and subclass.</x:v>
      </x:c>
      <x:c r="M75" s="24" t="str">
        <x:v>Not every in-world musician is a Bard class member.</x:v>
      </x:c>
      <x:c r="N75" s="24" t="str">
        <x:v>Support-caster, trickster, and lorekeeper hybrid.</x:v>
      </x:c>
      <x:c r="O75" s="24" t="str">
        <x:v>Primary canon</x:v>
      </x:c>
      <x:c r="P75" s="24" t="str">
        <x:v>Official reference reviewed</x:v>
      </x:c>
      <x:c r="Q75" s="24" t="str">
        <x:v>Official D&amp;D 2024 Basic Rules and Player's Handbook reference pages.</x:v>
      </x:c>
      <x:c r="R75" s="84" t="str">
        <x:v>https://www.dndbeyond.com/sources/dnd/br-2024/character-classes</x:v>
      </x:c>
      <x:c r="S75" s="24" t="str">
        <x:v>Seeded</x:v>
      </x:c>
    </x:row>
    <x:row r="76" ht="52" customHeight="1">
      <x:c r="A76" s="24" t="str">
        <x:v>ENT-0075</x:v>
      </x:c>
      <x:c r="B76" s="24" t="str">
        <x:v>Cleric</x:v>
      </x:c>
      <x:c r="C76" s="24" t="str">
        <x:v>SRC-089</x:v>
      </x:c>
      <x:c r="D76" s="24" t="str">
        <x:v>Dungeons &amp; Dragons</x:v>
      </x:c>
      <x:c r="E76" s="24" t="str">
        <x:v>2024 core rules</x:v>
      </x:c>
      <x:c r="F76" s="24" t="str">
        <x:v>Playable class</x:v>
      </x:c>
      <x:c r="G76" s="24" t="str">
        <x:v>ROL-402</x:v>
      </x:c>
      <x:c r="H76" s="24" t="str">
        <x:f>IFERROR(VLOOKUP(G76,'Master Taxonomy'!$A$2:$B$1656,2,FALSE),"")</x:f>
        <x:v>Cleric</x:v>
      </x:c>
      <x:c r="I76" s="24" t="str">
        <x:v>ROL-401</x:v>
      </x:c>
      <x:c r="J76" s="24" t="str">
        <x:v>Priest</x:v>
      </x:c>
      <x:c r="K76" s="24" t="str">
        <x:v>A divine spellcasting class shaped mechanically by sacred power and domain choices.</x:v>
      </x:c>
      <x:c r="L76" s="24" t="str">
        <x:v>Divine magic, prepared spells, Channel Divinity, and subclass.</x:v>
      </x:c>
      <x:c r="M76" s="24" t="str">
        <x:v>Class membership is not identical to holding a priestly office.</x:v>
      </x:c>
      <x:c r="N76" s="24" t="str">
        <x:v>Armored divine caster and miracle-worker role.</x:v>
      </x:c>
      <x:c r="O76" s="24" t="str">
        <x:v>Primary canon</x:v>
      </x:c>
      <x:c r="P76" s="24" t="str">
        <x:v>Official reference reviewed</x:v>
      </x:c>
      <x:c r="Q76" s="24" t="str">
        <x:v>Official D&amp;D 2024 Basic Rules and Player's Handbook reference pages.</x:v>
      </x:c>
      <x:c r="R76" s="84" t="str">
        <x:v>https://www.dndbeyond.com/sources/dnd/br-2024/character-classes</x:v>
      </x:c>
      <x:c r="S76" s="24" t="str">
        <x:v>Seeded</x:v>
      </x:c>
    </x:row>
    <x:row r="77" ht="52" customHeight="1">
      <x:c r="A77" s="24" t="str">
        <x:v>ENT-0076</x:v>
      </x:c>
      <x:c r="B77" s="24" t="str">
        <x:v>Druid</x:v>
      </x:c>
      <x:c r="C77" s="24" t="str">
        <x:v>SRC-089</x:v>
      </x:c>
      <x:c r="D77" s="24" t="str">
        <x:v>Dungeons &amp; Dragons</x:v>
      </x:c>
      <x:c r="E77" s="24" t="str">
        <x:v>2024 core rules</x:v>
      </x:c>
      <x:c r="F77" s="24" t="str">
        <x:v>Playable class</x:v>
      </x:c>
      <x:c r="G77" s="24" t="str">
        <x:v>ROL-501</x:v>
      </x:c>
      <x:c r="H77" s="24" t="str">
        <x:f>IFERROR(VLOOKUP(G77,'Master Taxonomy'!$A$2:$B$1656,2,FALSE),"")</x:f>
        <x:v>Druid</x:v>
      </x:c>
      <x:c r="I77" s="24" t="str"/>
      <x:c r="J77" s="24" t="str"/>
      <x:c r="K77" s="24" t="str">
        <x:v>A nature-oriented spellcaster with Wild Shape and circle specialization.</x:v>
      </x:c>
      <x:c r="L77" s="24" t="str">
        <x:v>Primal magic, transformation, nature knowledge, and subclass.</x:v>
      </x:c>
      <x:c r="M77" s="24" t="str">
        <x:v>The class synthesizes multiple historical and fictional nature-mage traditions.</x:v>
      </x:c>
      <x:c r="N77" s="24" t="str">
        <x:v>Nature caster and shapeshifting controller.</x:v>
      </x:c>
      <x:c r="O77" s="24" t="str">
        <x:v>Primary canon</x:v>
      </x:c>
      <x:c r="P77" s="24" t="str">
        <x:v>Official reference reviewed</x:v>
      </x:c>
      <x:c r="Q77" s="24" t="str">
        <x:v>Official D&amp;D 2024 Basic Rules and Player's Handbook reference pages.</x:v>
      </x:c>
      <x:c r="R77" s="84" t="str">
        <x:v>https://www.dndbeyond.com/sources/dnd/br-2024/character-classes</x:v>
      </x:c>
      <x:c r="S77" s="24" t="str">
        <x:v>Seeded</x:v>
      </x:c>
    </x:row>
    <x:row r="78" ht="52" customHeight="1">
      <x:c r="A78" s="24" t="str">
        <x:v>ENT-0077</x:v>
      </x:c>
      <x:c r="B78" s="24" t="str">
        <x:v>Fighter</x:v>
      </x:c>
      <x:c r="C78" s="24" t="str">
        <x:v>SRC-089</x:v>
      </x:c>
      <x:c r="D78" s="24" t="str">
        <x:v>Dungeons &amp; Dragons</x:v>
      </x:c>
      <x:c r="E78" s="24" t="str">
        <x:v>2024 core rules</x:v>
      </x:c>
      <x:c r="F78" s="24" t="str">
        <x:v>Playable class</x:v>
      </x:c>
      <x:c r="G78" s="24" t="str">
        <x:v>ROL-101</x:v>
      </x:c>
      <x:c r="H78" s="24" t="str">
        <x:f>IFERROR(VLOOKUP(G78,'Master Taxonomy'!$A$2:$B$1656,2,FALSE),"")</x:f>
        <x:v>Warrior or Fighter</x:v>
      </x:c>
      <x:c r="I78" s="24" t="str"/>
      <x:c r="J78" s="24" t="str"/>
      <x:c r="K78" s="24" t="str">
        <x:v>A highly customizable martial class defined by weapon mastery, tactical resilience, and subclass.</x:v>
      </x:c>
      <x:c r="L78" s="24" t="str">
        <x:v>Training, equipment, extra attacks, and fighting specialization.</x:v>
      </x:c>
      <x:c r="M78" s="24" t="str">
        <x:v>The mechanical class is narrower than every person who fights.</x:v>
      </x:c>
      <x:c r="N78" s="24" t="str">
        <x:v>Baseline martial class and build platform.</x:v>
      </x:c>
      <x:c r="O78" s="24" t="str">
        <x:v>Primary canon</x:v>
      </x:c>
      <x:c r="P78" s="24" t="str">
        <x:v>Official reference reviewed</x:v>
      </x:c>
      <x:c r="Q78" s="24" t="str">
        <x:v>Official D&amp;D 2024 Basic Rules and Player's Handbook reference pages.</x:v>
      </x:c>
      <x:c r="R78" s="84" t="str">
        <x:v>https://www.dndbeyond.com/sources/dnd/br-2024/character-classes</x:v>
      </x:c>
      <x:c r="S78" s="24" t="str">
        <x:v>Seeded</x:v>
      </x:c>
    </x:row>
    <x:row r="79" ht="52" customHeight="1">
      <x:c r="A79" s="24" t="str">
        <x:v>ENT-0078</x:v>
      </x:c>
      <x:c r="B79" s="24" t="str">
        <x:v>Monk</x:v>
      </x:c>
      <x:c r="C79" s="24" t="str">
        <x:v>SRC-089</x:v>
      </x:c>
      <x:c r="D79" s="24" t="str">
        <x:v>Dungeons &amp; Dragons</x:v>
      </x:c>
      <x:c r="E79" s="24" t="str">
        <x:v>2024 core rules</x:v>
      </x:c>
      <x:c r="F79" s="24" t="str">
        <x:v>Playable class</x:v>
      </x:c>
      <x:c r="G79" s="24" t="str">
        <x:v>ROL-123</x:v>
      </x:c>
      <x:c r="H79" s="24" t="str">
        <x:f>IFERROR(VLOOKUP(G79,'Master Taxonomy'!$A$2:$B$1656,2,FALSE),"")</x:f>
        <x:v>Monk and Martial Artist</x:v>
      </x:c>
      <x:c r="I79" s="24" t="str"/>
      <x:c r="J79" s="24" t="str"/>
      <x:c r="K79" s="24" t="str">
        <x:v>A mobile unarmed or specialized-weapon martial class using disciplined focus.</x:v>
      </x:c>
      <x:c r="L79" s="24" t="str">
        <x:v>Training, Focus Points, movement, strikes, and subclass.</x:v>
      </x:c>
      <x:c r="M79" s="24" t="str">
        <x:v>Combines monastic and martial-arts imagery that should be treated as a game synthesis.</x:v>
      </x:c>
      <x:c r="N79" s="24" t="str">
        <x:v>Mobile martial artist and resource-based skirmisher.</x:v>
      </x:c>
      <x:c r="O79" s="24" t="str">
        <x:v>Primary canon</x:v>
      </x:c>
      <x:c r="P79" s="24" t="str">
        <x:v>Official reference reviewed</x:v>
      </x:c>
      <x:c r="Q79" s="24" t="str">
        <x:v>Official D&amp;D 2024 Basic Rules and Player's Handbook reference pages.</x:v>
      </x:c>
      <x:c r="R79" s="84" t="str">
        <x:v>https://www.dndbeyond.com/sources/dnd/br-2024/character-classes</x:v>
      </x:c>
      <x:c r="S79" s="24" t="str">
        <x:v>Seeded</x:v>
      </x:c>
    </x:row>
    <x:row r="80" ht="52" customHeight="1">
      <x:c r="A80" s="24" t="str">
        <x:v>ENT-0079</x:v>
      </x:c>
      <x:c r="B80" s="24" t="str">
        <x:v>Paladin</x:v>
      </x:c>
      <x:c r="C80" s="24" t="str">
        <x:v>SRC-089</x:v>
      </x:c>
      <x:c r="D80" s="24" t="str">
        <x:v>Dungeons &amp; Dragons</x:v>
      </x:c>
      <x:c r="E80" s="24" t="str">
        <x:v>2024 core rules</x:v>
      </x:c>
      <x:c r="F80" s="24" t="str">
        <x:v>Playable class</x:v>
      </x:c>
      <x:c r="G80" s="24" t="str">
        <x:v>ROL-117</x:v>
      </x:c>
      <x:c r="H80" s="24" t="str">
        <x:f>IFERROR(VLOOKUP(G80,'Master Taxonomy'!$A$2:$B$1656,2,FALSE),"")</x:f>
        <x:v>Paladin and Holy Knight</x:v>
      </x:c>
      <x:c r="I80" s="24" t="str"/>
      <x:c r="J80" s="24" t="str"/>
      <x:c r="K80" s="24" t="str">
        <x:v>An oath-defined armored class combining martial combat, healing, and divine magic.</x:v>
      </x:c>
      <x:c r="L80" s="24" t="str">
        <x:v>Sacred oath, Lay on Hands, smites, spells, and aura features.</x:v>
      </x:c>
      <x:c r="M80" s="24" t="str">
        <x:v>Faith, morality, and institutional membership vary by setting and subclass.</x:v>
      </x:c>
      <x:c r="N80" s="24" t="str">
        <x:v>Holy knight, oath warrior, and support tank.</x:v>
      </x:c>
      <x:c r="O80" s="24" t="str">
        <x:v>Primary canon</x:v>
      </x:c>
      <x:c r="P80" s="24" t="str">
        <x:v>Official reference reviewed</x:v>
      </x:c>
      <x:c r="Q80" s="24" t="str">
        <x:v>Official D&amp;D 2024 Basic Rules and Player's Handbook reference pages.</x:v>
      </x:c>
      <x:c r="R80" s="84" t="str">
        <x:v>https://www.dndbeyond.com/sources/dnd/br-2024/character-classes</x:v>
      </x:c>
      <x:c r="S80" s="24" t="str">
        <x:v>Seeded</x:v>
      </x:c>
    </x:row>
    <x:row r="81" ht="52" customHeight="1">
      <x:c r="A81" s="24" t="str">
        <x:v>ENT-0080</x:v>
      </x:c>
      <x:c r="B81" s="24" t="str">
        <x:v>Ranger</x:v>
      </x:c>
      <x:c r="C81" s="24" t="str">
        <x:v>SRC-089</x:v>
      </x:c>
      <x:c r="D81" s="24" t="str">
        <x:v>Dungeons &amp; Dragons</x:v>
      </x:c>
      <x:c r="E81" s="24" t="str">
        <x:v>2024 core rules</x:v>
      </x:c>
      <x:c r="F81" s="24" t="str">
        <x:v>Playable class</x:v>
      </x:c>
      <x:c r="G81" s="24" t="str">
        <x:v>ROL-125</x:v>
      </x:c>
      <x:c r="H81" s="24" t="str">
        <x:f>IFERROR(VLOOKUP(G81,'Master Taxonomy'!$A$2:$B$1656,2,FALSE),"")</x:f>
        <x:v>Ranger</x:v>
      </x:c>
      <x:c r="I81" s="24" t="str"/>
      <x:c r="J81" s="24" t="str"/>
      <x:c r="K81" s="24" t="str">
        <x:v>A wilderness-oriented martial-spellcasting class specializing in tracking, exploration, and chosen tactics.</x:v>
      </x:c>
      <x:c r="L81" s="24" t="str">
        <x:v>Training, nature magic, Hunter's Mark, skills, and subclass.</x:v>
      </x:c>
      <x:c r="M81" s="24" t="str">
        <x:v>It is a rules package rather than one universal social profession.</x:v>
      </x:c>
      <x:c r="N81" s="24" t="str">
        <x:v>Wilderness scout, hunter, and martial-primal hybrid.</x:v>
      </x:c>
      <x:c r="O81" s="24" t="str">
        <x:v>Primary canon</x:v>
      </x:c>
      <x:c r="P81" s="24" t="str">
        <x:v>Official reference reviewed</x:v>
      </x:c>
      <x:c r="Q81" s="24" t="str">
        <x:v>Official D&amp;D 2024 Basic Rules and Player's Handbook reference pages.</x:v>
      </x:c>
      <x:c r="R81" s="84" t="str">
        <x:v>https://www.dndbeyond.com/sources/dnd/br-2024/character-classes</x:v>
      </x:c>
      <x:c r="S81" s="24" t="str">
        <x:v>Seeded</x:v>
      </x:c>
    </x:row>
    <x:row r="82" ht="52" customHeight="1">
      <x:c r="A82" s="24" t="str">
        <x:v>ENT-0081</x:v>
      </x:c>
      <x:c r="B82" s="24" t="str">
        <x:v>Rogue</x:v>
      </x:c>
      <x:c r="C82" s="24" t="str">
        <x:v>SRC-089</x:v>
      </x:c>
      <x:c r="D82" s="24" t="str">
        <x:v>Dungeons &amp; Dragons</x:v>
      </x:c>
      <x:c r="E82" s="24" t="str">
        <x:v>2024 core rules</x:v>
      </x:c>
      <x:c r="F82" s="24" t="str">
        <x:v>Playable class</x:v>
      </x:c>
      <x:c r="G82" s="24" t="str">
        <x:v>ROL-205</x:v>
      </x:c>
      <x:c r="H82" s="24" t="str">
        <x:f>IFERROR(VLOOKUP(G82,'Master Taxonomy'!$A$2:$B$1656,2,FALSE),"")</x:f>
        <x:v>Rogue</x:v>
      </x:c>
      <x:c r="I82" s="24" t="str"/>
      <x:c r="J82" s="24" t="str"/>
      <x:c r="K82" s="24" t="str">
        <x:v>A skill-focused class using precision, mobility, expertise, and opportunistic attacks.</x:v>
      </x:c>
      <x:c r="L82" s="24" t="str">
        <x:v>Training, Expertise, Sneak Attack, cunning actions, and subclass.</x:v>
      </x:c>
      <x:c r="M82" s="24" t="str">
        <x:v>Rogue does not inherently mean criminal or thief.</x:v>
      </x:c>
      <x:c r="N82" s="24" t="str">
        <x:v>Skill specialist and precision striker.</x:v>
      </x:c>
      <x:c r="O82" s="24" t="str">
        <x:v>Primary canon</x:v>
      </x:c>
      <x:c r="P82" s="24" t="str">
        <x:v>Official reference reviewed</x:v>
      </x:c>
      <x:c r="Q82" s="24" t="str">
        <x:v>Official D&amp;D 2024 Basic Rules and Player's Handbook reference pages.</x:v>
      </x:c>
      <x:c r="R82" s="84" t="str">
        <x:v>https://www.dndbeyond.com/sources/dnd/br-2024/character-classes</x:v>
      </x:c>
      <x:c r="S82" s="24" t="str">
        <x:v>Seeded</x:v>
      </x:c>
    </x:row>
    <x:row r="83" ht="52" customHeight="1">
      <x:c r="A83" s="24" t="str">
        <x:v>ENT-0082</x:v>
      </x:c>
      <x:c r="B83" s="24" t="str">
        <x:v>Sorcerer</x:v>
      </x:c>
      <x:c r="C83" s="24" t="str">
        <x:v>SRC-089</x:v>
      </x:c>
      <x:c r="D83" s="24" t="str">
        <x:v>Dungeons &amp; Dragons</x:v>
      </x:c>
      <x:c r="E83" s="24" t="str">
        <x:v>2024 core rules</x:v>
      </x:c>
      <x:c r="F83" s="24" t="str">
        <x:v>Playable class</x:v>
      </x:c>
      <x:c r="G83" s="24" t="str">
        <x:v>ROL-302</x:v>
      </x:c>
      <x:c r="H83" s="24" t="str">
        <x:f>IFERROR(VLOOKUP(G83,'Master Taxonomy'!$A$2:$B$1656,2,FALSE),"")</x:f>
        <x:v>Sorcerer</x:v>
      </x:c>
      <x:c r="I83" s="24" t="str">
        <x:v>PWR-102</x:v>
      </x:c>
      <x:c r="J83" s="24" t="str">
        <x:v>Innate Sorcery</x:v>
      </x:c>
      <x:c r="K83" s="24" t="str">
        <x:v>An arcane spellcaster whose magic is framed as inherent or internal and reshaped through metamagic.</x:v>
      </x:c>
      <x:c r="L83" s="24" t="str">
        <x:v>Innate power, Sorcery Points, metamagic, and subclass origin.</x:v>
      </x:c>
      <x:c r="M83" s="24" t="str">
        <x:v>The class's innate/learned contrast is system-specific.</x:v>
      </x:c>
      <x:c r="N83" s="24" t="str">
        <x:v>Innate flexible caster.</x:v>
      </x:c>
      <x:c r="O83" s="24" t="str">
        <x:v>Primary canon</x:v>
      </x:c>
      <x:c r="P83" s="24" t="str">
        <x:v>Official reference reviewed</x:v>
      </x:c>
      <x:c r="Q83" s="24" t="str">
        <x:v>Official D&amp;D 2024 Basic Rules and Player's Handbook reference pages.</x:v>
      </x:c>
      <x:c r="R83" s="84" t="str">
        <x:v>https://www.dndbeyond.com/sources/dnd/br-2024/character-classes</x:v>
      </x:c>
      <x:c r="S83" s="24" t="str">
        <x:v>Seeded</x:v>
      </x:c>
    </x:row>
    <x:row r="84" ht="52" customHeight="1">
      <x:c r="A84" s="24" t="str">
        <x:v>ENT-0083</x:v>
      </x:c>
      <x:c r="B84" s="24" t="str">
        <x:v>Warlock</x:v>
      </x:c>
      <x:c r="C84" s="24" t="str">
        <x:v>SRC-089</x:v>
      </x:c>
      <x:c r="D84" s="24" t="str">
        <x:v>Dungeons &amp; Dragons</x:v>
      </x:c>
      <x:c r="E84" s="24" t="str">
        <x:v>2024 core rules</x:v>
      </x:c>
      <x:c r="F84" s="24" t="str">
        <x:v>Playable class</x:v>
      </x:c>
      <x:c r="G84" s="24" t="str">
        <x:v>ROL-304</x:v>
      </x:c>
      <x:c r="H84" s="24" t="str">
        <x:f>IFERROR(VLOOKUP(G84,'Master Taxonomy'!$A$2:$B$1656,2,FALSE),"")</x:f>
        <x:v>Warlock</x:v>
      </x:c>
      <x:c r="I84" s="24" t="str">
        <x:v>PWR-104</x:v>
      </x:c>
      <x:c r="J84" s="24" t="str">
        <x:v>Pact and Contract Magic</x:v>
      </x:c>
      <x:c r="K84" s="24" t="str">
        <x:v>An occult spellcaster defined by a pact or patron relationship, invocations, and distinctive spell recovery.</x:v>
      </x:c>
      <x:c r="L84" s="24" t="str">
        <x:v>Patron-granted power, pact choices, invocations, and spells.</x:v>
      </x:c>
      <x:c r="M84" s="24" t="str">
        <x:v>‘Warlock’ has very different meanings across fantasy works.</x:v>
      </x:c>
      <x:c r="N84" s="24" t="str">
        <x:v>Pact caster and customizable occult specialist.</x:v>
      </x:c>
      <x:c r="O84" s="24" t="str">
        <x:v>Primary canon</x:v>
      </x:c>
      <x:c r="P84" s="24" t="str">
        <x:v>Official reference reviewed</x:v>
      </x:c>
      <x:c r="Q84" s="24" t="str">
        <x:v>Official D&amp;D 2024 Basic Rules and Player's Handbook reference pages.</x:v>
      </x:c>
      <x:c r="R84" s="84" t="str">
        <x:v>https://www.dndbeyond.com/sources/dnd/br-2024/character-classes</x:v>
      </x:c>
      <x:c r="S84" s="24" t="str">
        <x:v>Seeded</x:v>
      </x:c>
    </x:row>
    <x:row r="85" ht="52" customHeight="1">
      <x:c r="A85" s="24" t="str">
        <x:v>ENT-0084</x:v>
      </x:c>
      <x:c r="B85" s="24" t="str">
        <x:v>Wizard</x:v>
      </x:c>
      <x:c r="C85" s="24" t="str">
        <x:v>SRC-089</x:v>
      </x:c>
      <x:c r="D85" s="24" t="str">
        <x:v>Dungeons &amp; Dragons</x:v>
      </x:c>
      <x:c r="E85" s="24" t="str">
        <x:v>2024 core rules</x:v>
      </x:c>
      <x:c r="F85" s="24" t="str">
        <x:v>Playable class</x:v>
      </x:c>
      <x:c r="G85" s="24" t="str">
        <x:v>ROL-301</x:v>
      </x:c>
      <x:c r="H85" s="24" t="str">
        <x:f>IFERROR(VLOOKUP(G85,'Master Taxonomy'!$A$2:$B$1656,2,FALSE),"")</x:f>
        <x:v>Mage and Wizard</x:v>
      </x:c>
      <x:c r="I85" s="24" t="str">
        <x:v>ROL-306</x:v>
      </x:c>
      <x:c r="J85" s="24" t="str">
        <x:v>Magical Scholar</x:v>
      </x:c>
      <x:c r="K85" s="24" t="str">
        <x:v>A learned arcane spellcaster using a spellbook, broad preparation, and school or tradition specialization.</x:v>
      </x:c>
      <x:c r="L85" s="24" t="str">
        <x:v>Study, notation, spell acquisition, preparation, and subclass.</x:v>
      </x:c>
      <x:c r="M85" s="24" t="str">
        <x:v>The learned wizard model is a game convention, not the only meaning of wizard.</x:v>
      </x:c>
      <x:c r="N85" s="24" t="str">
        <x:v>Scholarly generalist caster.</x:v>
      </x:c>
      <x:c r="O85" s="24" t="str">
        <x:v>Primary canon</x:v>
      </x:c>
      <x:c r="P85" s="24" t="str">
        <x:v>Official reference reviewed</x:v>
      </x:c>
      <x:c r="Q85" s="24" t="str">
        <x:v>Official D&amp;D 2024 Basic Rules and Player's Handbook reference pages.</x:v>
      </x:c>
      <x:c r="R85" s="84" t="str">
        <x:v>https://www.dndbeyond.com/sources/dnd/br-2024/character-classes</x:v>
      </x:c>
      <x:c r="S85" s="24" t="str">
        <x:v>Seeded</x:v>
      </x:c>
    </x:row>
    <x:row r="86" ht="52" customHeight="1">
      <x:c r="A86" s="24" t="str">
        <x:v>ENT-0085</x:v>
      </x:c>
      <x:c r="B86" s="24" t="str">
        <x:v>Aasimar</x:v>
      </x:c>
      <x:c r="C86" s="24" t="str">
        <x:v>SRC-089</x:v>
      </x:c>
      <x:c r="D86" s="24" t="str">
        <x:v>Dungeons &amp; Dragons</x:v>
      </x:c>
      <x:c r="E86" s="24" t="str">
        <x:v>2024 core rules</x:v>
      </x:c>
      <x:c r="F86" s="24" t="str">
        <x:v>Playable species</x:v>
      </x:c>
      <x:c r="G86" s="24" t="str">
        <x:v>PPL-402</x:v>
      </x:c>
      <x:c r="H86" s="24" t="str">
        <x:f>IFERROR(VLOOKUP(G86,'Master Taxonomy'!$A$2:$B$1656,2,FALSE),"")</x:f>
        <x:v>Demigods and Divine-Blooded Beings</x:v>
      </x:c>
      <x:c r="I86" s="24" t="str"/>
      <x:c r="J86" s="24" t="str"/>
      <x:c r="K86" s="24" t="str">
        <x:v>A playable people marked by celestial influence and supernatural manifestations.</x:v>
      </x:c>
      <x:c r="L86" s="24" t="str">
        <x:v>Ancestry or metaphysical heritage represented through species traits.</x:v>
      </x:c>
      <x:c r="M86" s="24" t="str">
        <x:v>They are not necessarily literal demigods; this is the closest normalized family.</x:v>
      </x:c>
      <x:c r="N86" s="24" t="str">
        <x:v>Celestial-touched or divine-blooded people.</x:v>
      </x:c>
      <x:c r="O86" s="24" t="str">
        <x:v>Primary canon</x:v>
      </x:c>
      <x:c r="P86" s="24" t="str">
        <x:v>Official reference reviewed</x:v>
      </x:c>
      <x:c r="Q86" s="24" t="str">
        <x:v>Official D&amp;D 2024 Basic Rules and Player's Handbook reference pages.</x:v>
      </x:c>
      <x:c r="R86" s="84" t="str">
        <x:v>https://www.dndbeyond.com/sources/dnd/br-2024/character-classes</x:v>
      </x:c>
      <x:c r="S86" s="24" t="str">
        <x:v>Seeded</x:v>
      </x:c>
    </x:row>
    <x:row r="87" ht="52" customHeight="1">
      <x:c r="A87" s="24" t="str">
        <x:v>ENT-0086</x:v>
      </x:c>
      <x:c r="B87" s="24" t="str">
        <x:v>Dragonborn</x:v>
      </x:c>
      <x:c r="C87" s="24" t="str">
        <x:v>SRC-089</x:v>
      </x:c>
      <x:c r="D87" s="24" t="str">
        <x:v>Dungeons &amp; Dragons</x:v>
      </x:c>
      <x:c r="E87" s="24" t="str">
        <x:v>2024 core rules</x:v>
      </x:c>
      <x:c r="F87" s="24" t="str">
        <x:v>Playable species</x:v>
      </x:c>
      <x:c r="G87" s="24" t="str">
        <x:v>PPL-114</x:v>
      </x:c>
      <x:c r="H87" s="24" t="str">
        <x:f>IFERROR(VLOOKUP(G87,'Master Taxonomy'!$A$2:$B$1656,2,FALSE),"")</x:f>
        <x:v>Draconic Humanoid Peoples</x:v>
      </x:c>
      <x:c r="I87" s="24" t="str"/>
      <x:c r="J87" s="24" t="str"/>
      <x:c r="K87" s="24" t="str">
        <x:v>A playable draconic humanoid people with breath weapons and draconic traits.</x:v>
      </x:c>
      <x:c r="L87" s="24" t="str">
        <x:v>Ancestry, elemental breath, and lineage choice.</x:v>
      </x:c>
      <x:c r="M87" s="24" t="str">
        <x:v>They are distinct from dragons, half-dragons, and unrelated reptilian peoples.</x:v>
      </x:c>
      <x:c r="N87" s="24" t="str">
        <x:v>Draconic humanoid ancestry.</x:v>
      </x:c>
      <x:c r="O87" s="24" t="str">
        <x:v>Primary canon</x:v>
      </x:c>
      <x:c r="P87" s="24" t="str">
        <x:v>Official reference reviewed</x:v>
      </x:c>
      <x:c r="Q87" s="24" t="str">
        <x:v>Official D&amp;D 2024 Basic Rules and Player's Handbook reference pages.</x:v>
      </x:c>
      <x:c r="R87" s="84" t="str">
        <x:v>https://www.dndbeyond.com/sources/dnd/br-2024/character-classes</x:v>
      </x:c>
      <x:c r="S87" s="24" t="str">
        <x:v>Seeded</x:v>
      </x:c>
    </x:row>
    <x:row r="88" ht="52" customHeight="1">
      <x:c r="A88" s="24" t="str">
        <x:v>ENT-0087</x:v>
      </x:c>
      <x:c r="B88" s="24" t="str">
        <x:v>Dwarf</x:v>
      </x:c>
      <x:c r="C88" s="24" t="str">
        <x:v>SRC-089</x:v>
      </x:c>
      <x:c r="D88" s="24" t="str">
        <x:v>Dungeons &amp; Dragons</x:v>
      </x:c>
      <x:c r="E88" s="24" t="str">
        <x:v>2024 core rules</x:v>
      </x:c>
      <x:c r="F88" s="24" t="str">
        <x:v>Playable species</x:v>
      </x:c>
      <x:c r="G88" s="24" t="str">
        <x:v>PPL-103</x:v>
      </x:c>
      <x:c r="H88" s="24" t="str">
        <x:f>IFERROR(VLOOKUP(G88,'Master Taxonomy'!$A$2:$B$1656,2,FALSE),"")</x:f>
        <x:v>Dwarf-Derived Peoples</x:v>
      </x:c>
      <x:c r="I88" s="24" t="str"/>
      <x:c r="J88" s="24" t="str"/>
      <x:c r="K88" s="24" t="str">
        <x:v>A playable dwarf people represented through resilience and culturally familiar fantasy traits.</x:v>
      </x:c>
      <x:c r="L88" s="24" t="str">
        <x:v>Species rules and setting-dependent culture.</x:v>
      </x:c>
      <x:c r="M88" s="24" t="str">
        <x:v>Rules traits should not be mistaken for universal dwarven culture.</x:v>
      </x:c>
      <x:c r="N88" s="24" t="str">
        <x:v>Game-mechanical dwarf ancestry.</x:v>
      </x:c>
      <x:c r="O88" s="24" t="str">
        <x:v>Primary canon</x:v>
      </x:c>
      <x:c r="P88" s="24" t="str">
        <x:v>Official reference reviewed</x:v>
      </x:c>
      <x:c r="Q88" s="24" t="str">
        <x:v>Official D&amp;D 2024 Basic Rules and Player's Handbook reference pages.</x:v>
      </x:c>
      <x:c r="R88" s="84" t="str">
        <x:v>https://www.dndbeyond.com/sources/dnd/br-2024/character-classes</x:v>
      </x:c>
      <x:c r="S88" s="24" t="str">
        <x:v>Seeded</x:v>
      </x:c>
    </x:row>
    <x:row r="89" ht="52" customHeight="1">
      <x:c r="A89" s="24" t="str">
        <x:v>ENT-0088</x:v>
      </x:c>
      <x:c r="B89" s="24" t="str">
        <x:v>Elf</x:v>
      </x:c>
      <x:c r="C89" s="24" t="str">
        <x:v>SRC-089</x:v>
      </x:c>
      <x:c r="D89" s="24" t="str">
        <x:v>Dungeons &amp; Dragons</x:v>
      </x:c>
      <x:c r="E89" s="24" t="str">
        <x:v>2024 core rules</x:v>
      </x:c>
      <x:c r="F89" s="24" t="str">
        <x:v>Playable species</x:v>
      </x:c>
      <x:c r="G89" s="24" t="str">
        <x:v>PPL-102</x:v>
      </x:c>
      <x:c r="H89" s="24" t="str">
        <x:f>IFERROR(VLOOKUP(G89,'Master Taxonomy'!$A$2:$B$1656,2,FALSE),"")</x:f>
        <x:v>Elf-Derived Peoples</x:v>
      </x:c>
      <x:c r="I89" s="24" t="str"/>
      <x:c r="J89" s="24" t="str"/>
      <x:c r="K89" s="24" t="str">
        <x:v>A playable long-lived, fey-associated people with lineages and innate magical traits.</x:v>
      </x:c>
      <x:c r="L89" s="24" t="str">
        <x:v>Species rules, lineage, perception, and setting lore.</x:v>
      </x:c>
      <x:c r="M89" s="24" t="str">
        <x:v>D&amp;D elves are not canonically identical to Tolkien's Quendi.</x:v>
      </x:c>
      <x:c r="N89" s="24" t="str">
        <x:v>Game-mechanical elf ancestry.</x:v>
      </x:c>
      <x:c r="O89" s="24" t="str">
        <x:v>Primary canon</x:v>
      </x:c>
      <x:c r="P89" s="24" t="str">
        <x:v>Official reference reviewed</x:v>
      </x:c>
      <x:c r="Q89" s="24" t="str">
        <x:v>Official D&amp;D 2024 Basic Rules and Player's Handbook reference pages.</x:v>
      </x:c>
      <x:c r="R89" s="84" t="str">
        <x:v>https://www.dndbeyond.com/sources/dnd/br-2024/character-classes</x:v>
      </x:c>
      <x:c r="S89" s="24" t="str">
        <x:v>Seeded</x:v>
      </x:c>
    </x:row>
    <x:row r="90" ht="52" customHeight="1">
      <x:c r="A90" s="24" t="str">
        <x:v>ENT-0089</x:v>
      </x:c>
      <x:c r="B90" s="24" t="str">
        <x:v>Gnome</x:v>
      </x:c>
      <x:c r="C90" s="24" t="str">
        <x:v>SRC-089</x:v>
      </x:c>
      <x:c r="D90" s="24" t="str">
        <x:v>Dungeons &amp; Dragons</x:v>
      </x:c>
      <x:c r="E90" s="24" t="str">
        <x:v>2024 core rules</x:v>
      </x:c>
      <x:c r="F90" s="24" t="str">
        <x:v>Playable species</x:v>
      </x:c>
      <x:c r="G90" s="24" t="str">
        <x:v>PPL-105</x:v>
      </x:c>
      <x:c r="H90" s="24" t="str">
        <x:f>IFERROR(VLOOKUP(G90,'Master Taxonomy'!$A$2:$B$1656,2,FALSE),"")</x:f>
        <x:v>Gnome and Tinkerfolk Peoples</x:v>
      </x:c>
      <x:c r="I90" s="24" t="str"/>
      <x:c r="J90" s="24" t="str"/>
      <x:c r="K90" s="24" t="str">
        <x:v>A playable small people with magical resilience and lineage-associated abilities.</x:v>
      </x:c>
      <x:c r="L90" s="24" t="str">
        <x:v>Species traits, lineage, and setting-dependent culture.</x:v>
      </x:c>
      <x:c r="M90" s="24" t="str">
        <x:v>The normalized label includes a tinkerfolk pattern that does not describe every D&amp;D gnome.</x:v>
      </x:c>
      <x:c r="N90" s="24" t="str">
        <x:v>Game-mechanical gnome ancestry.</x:v>
      </x:c>
      <x:c r="O90" s="24" t="str">
        <x:v>Primary canon</x:v>
      </x:c>
      <x:c r="P90" s="24" t="str">
        <x:v>Official reference reviewed</x:v>
      </x:c>
      <x:c r="Q90" s="24" t="str">
        <x:v>Official D&amp;D 2024 Basic Rules and Player's Handbook reference pages.</x:v>
      </x:c>
      <x:c r="R90" s="84" t="str">
        <x:v>https://www.dndbeyond.com/sources/dnd/br-2024/character-classes</x:v>
      </x:c>
      <x:c r="S90" s="24" t="str">
        <x:v>Seeded</x:v>
      </x:c>
    </x:row>
    <x:row r="91" ht="52" customHeight="1">
      <x:c r="A91" s="24" t="str">
        <x:v>ENT-0090</x:v>
      </x:c>
      <x:c r="B91" s="24" t="str">
        <x:v>Goliath</x:v>
      </x:c>
      <x:c r="C91" s="24" t="str">
        <x:v>SRC-089</x:v>
      </x:c>
      <x:c r="D91" s="24" t="str">
        <x:v>Dungeons &amp; Dragons</x:v>
      </x:c>
      <x:c r="E91" s="24" t="str">
        <x:v>2024 core rules</x:v>
      </x:c>
      <x:c r="F91" s="24" t="str">
        <x:v>Playable species</x:v>
      </x:c>
      <x:c r="G91" s="24" t="str">
        <x:v>PPL-108</x:v>
      </x:c>
      <x:c r="H91" s="24" t="str">
        <x:f>IFERROR(VLOOKUP(G91,'Master Taxonomy'!$A$2:$B$1656,2,FALSE),"")</x:f>
        <x:v>Giantkin Peoples</x:v>
      </x:c>
      <x:c r="I91" s="24" t="str"/>
      <x:c r="J91" s="24" t="str"/>
      <x:c r="K91" s="24" t="str">
        <x:v>A playable giant-descended or giant-associated humanoid people with size and giant-ancestry traits.</x:v>
      </x:c>
      <x:c r="L91" s="24" t="str">
        <x:v>Species traits and giant lineage.</x:v>
      </x:c>
      <x:c r="M91" s="24" t="str">
        <x:v>They are not generic giants or necessarily one culture.</x:v>
      </x:c>
      <x:c r="N91" s="24" t="str">
        <x:v>Playable giantkin ancestry.</x:v>
      </x:c>
      <x:c r="O91" s="24" t="str">
        <x:v>Primary canon</x:v>
      </x:c>
      <x:c r="P91" s="24" t="str">
        <x:v>Official reference reviewed</x:v>
      </x:c>
      <x:c r="Q91" s="24" t="str">
        <x:v>Official D&amp;D 2024 Basic Rules and Player's Handbook reference pages.</x:v>
      </x:c>
      <x:c r="R91" s="84" t="str">
        <x:v>https://www.dndbeyond.com/sources/dnd/br-2024/character-classes</x:v>
      </x:c>
      <x:c r="S91" s="24" t="str">
        <x:v>Seeded</x:v>
      </x:c>
    </x:row>
    <x:row r="92" ht="52" customHeight="1">
      <x:c r="A92" s="24" t="str">
        <x:v>ENT-0091</x:v>
      </x:c>
      <x:c r="B92" s="24" t="str">
        <x:v>Halfling</x:v>
      </x:c>
      <x:c r="C92" s="24" t="str">
        <x:v>SRC-089</x:v>
      </x:c>
      <x:c r="D92" s="24" t="str">
        <x:v>Dungeons &amp; Dragons</x:v>
      </x:c>
      <x:c r="E92" s="24" t="str">
        <x:v>2024 core rules</x:v>
      </x:c>
      <x:c r="F92" s="24" t="str">
        <x:v>Playable species</x:v>
      </x:c>
      <x:c r="G92" s="24" t="str">
        <x:v>PPL-104</x:v>
      </x:c>
      <x:c r="H92" s="24" t="str">
        <x:f>IFERROR(VLOOKUP(G92,'Master Taxonomy'!$A$2:$B$1656,2,FALSE),"")</x:f>
        <x:v>Halfling and Smallfolk Peoples</x:v>
      </x:c>
      <x:c r="I92" s="24" t="str"/>
      <x:c r="J92" s="24" t="str"/>
      <x:c r="K92" s="24" t="str">
        <x:v>A playable small people associated mechanically with luck, bravery, and nimbleness.</x:v>
      </x:c>
      <x:c r="L92" s="24" t="str">
        <x:v>Species traits and setting-dependent culture.</x:v>
      </x:c>
      <x:c r="M92" s="24" t="str">
        <x:v>D&amp;D halflings evolved from but are not identical to Tolkien's Hobbits.</x:v>
      </x:c>
      <x:c r="N92" s="24" t="str">
        <x:v>Game-mechanical halfling ancestry.</x:v>
      </x:c>
      <x:c r="O92" s="24" t="str">
        <x:v>Primary canon</x:v>
      </x:c>
      <x:c r="P92" s="24" t="str">
        <x:v>Official reference reviewed</x:v>
      </x:c>
      <x:c r="Q92" s="24" t="str">
        <x:v>Official D&amp;D 2024 Basic Rules and Player's Handbook reference pages.</x:v>
      </x:c>
      <x:c r="R92" s="84" t="str">
        <x:v>https://www.dndbeyond.com/sources/dnd/br-2024/character-classes</x:v>
      </x:c>
      <x:c r="S92" s="24" t="str">
        <x:v>Seeded</x:v>
      </x:c>
    </x:row>
    <x:row r="93" ht="52" customHeight="1">
      <x:c r="A93" s="24" t="str">
        <x:v>ENT-0092</x:v>
      </x:c>
      <x:c r="B93" s="24" t="str">
        <x:v>Human</x:v>
      </x:c>
      <x:c r="C93" s="24" t="str">
        <x:v>SRC-089</x:v>
      </x:c>
      <x:c r="D93" s="24" t="str">
        <x:v>Dungeons &amp; Dragons</x:v>
      </x:c>
      <x:c r="E93" s="24" t="str">
        <x:v>2024 core rules</x:v>
      </x:c>
      <x:c r="F93" s="24" t="str">
        <x:v>Playable species</x:v>
      </x:c>
      <x:c r="G93" s="24" t="str">
        <x:v>PPL-101</x:v>
      </x:c>
      <x:c r="H93" s="24" t="str">
        <x:f>IFERROR(VLOOKUP(G93,'Master Taxonomy'!$A$2:$B$1656,2,FALSE),"")</x:f>
        <x:v>Human and Near-Human Peoples</x:v>
      </x:c>
      <x:c r="I93" s="24" t="str"/>
      <x:c r="J93" s="24" t="str"/>
      <x:c r="K93" s="24" t="str">
        <x:v>A flexible playable human option represented through general adaptability.</x:v>
      </x:c>
      <x:c r="L93" s="24" t="str">
        <x:v>Species rules and player-selected capabilities.</x:v>
      </x:c>
      <x:c r="M93" s="24" t="str">
        <x:v>Mechanical flexibility is not an essential claim about real humans.</x:v>
      </x:c>
      <x:c r="N93" s="24" t="str">
        <x:v>Baseline adaptable ancestry.</x:v>
      </x:c>
      <x:c r="O93" s="24" t="str">
        <x:v>Primary canon</x:v>
      </x:c>
      <x:c r="P93" s="24" t="str">
        <x:v>Official reference reviewed</x:v>
      </x:c>
      <x:c r="Q93" s="24" t="str">
        <x:v>Official D&amp;D 2024 Basic Rules and Player's Handbook reference pages.</x:v>
      </x:c>
      <x:c r="R93" s="84" t="str">
        <x:v>https://www.dndbeyond.com/sources/dnd/br-2024/character-classes</x:v>
      </x:c>
      <x:c r="S93" s="24" t="str">
        <x:v>Seeded</x:v>
      </x:c>
    </x:row>
    <x:row r="94" ht="52" customHeight="1">
      <x:c r="A94" s="24" t="str">
        <x:v>ENT-0093</x:v>
      </x:c>
      <x:c r="B94" s="24" t="str">
        <x:v>Orc</x:v>
      </x:c>
      <x:c r="C94" s="24" t="str">
        <x:v>SRC-089</x:v>
      </x:c>
      <x:c r="D94" s="24" t="str">
        <x:v>Dungeons &amp; Dragons</x:v>
      </x:c>
      <x:c r="E94" s="24" t="str">
        <x:v>2024 core rules</x:v>
      </x:c>
      <x:c r="F94" s="24" t="str">
        <x:v>Playable species</x:v>
      </x:c>
      <x:c r="G94" s="24" t="str">
        <x:v>PPL-106</x:v>
      </x:c>
      <x:c r="H94" s="24" t="str">
        <x:f>IFERROR(VLOOKUP(G94,'Master Taxonomy'!$A$2:$B$1656,2,FALSE),"")</x:f>
        <x:v>Orc-Derived Peoples</x:v>
      </x:c>
      <x:c r="I94" s="24" t="str"/>
      <x:c r="J94" s="24" t="str"/>
      <x:c r="K94" s="24" t="str">
        <x:v>A playable orc people represented with endurance, mobility, and powerful build.</x:v>
      </x:c>
      <x:c r="L94" s="24" t="str">
        <x:v>Species traits and setting-dependent culture.</x:v>
      </x:c>
      <x:c r="M94" s="24" t="str">
        <x:v>Modern playable orcs should not be collapsed into inherently evil monster populations.</x:v>
      </x:c>
      <x:c r="N94" s="24" t="str">
        <x:v>Playable orc ancestry.</x:v>
      </x:c>
      <x:c r="O94" s="24" t="str">
        <x:v>Primary canon</x:v>
      </x:c>
      <x:c r="P94" s="24" t="str">
        <x:v>Official reference reviewed</x:v>
      </x:c>
      <x:c r="Q94" s="24" t="str">
        <x:v>Official D&amp;D 2024 Basic Rules and Player's Handbook reference pages.</x:v>
      </x:c>
      <x:c r="R94" s="84" t="str">
        <x:v>https://www.dndbeyond.com/sources/dnd/br-2024/character-classes</x:v>
      </x:c>
      <x:c r="S94" s="24" t="str">
        <x:v>Seeded</x:v>
      </x:c>
    </x:row>
    <x:row r="95" ht="52" customHeight="1">
      <x:c r="A95" s="24" t="str">
        <x:v>ENT-0094</x:v>
      </x:c>
      <x:c r="B95" s="24" t="str">
        <x:v>Tiefling</x:v>
      </x:c>
      <x:c r="C95" s="24" t="str">
        <x:v>SRC-089</x:v>
      </x:c>
      <x:c r="D95" s="24" t="str">
        <x:v>Dungeons &amp; Dragons</x:v>
      </x:c>
      <x:c r="E95" s="24" t="str">
        <x:v>2024 core rules</x:v>
      </x:c>
      <x:c r="F95" s="24" t="str">
        <x:v>Playable species</x:v>
      </x:c>
      <x:c r="G95" s="24" t="str">
        <x:v>PPL-500</x:v>
      </x:c>
      <x:c r="H95" s="24" t="str">
        <x:f>IFERROR(VLOOKUP(G95,'Master Taxonomy'!$A$2:$B$1656,2,FALSE),"")</x:f>
        <x:v>Infernal and Corruptive Beings</x:v>
      </x:c>
      <x:c r="I95" s="24" t="str">
        <x:v>PPL-1006</x:v>
      </x:c>
      <x:c r="J95" s="24" t="str">
        <x:v>Mixed-Ancestry and Half-Blood Peoples</x:v>
      </x:c>
      <x:c r="K95" s="24" t="str">
        <x:v>A playable people marked by fiendish legacy, infernal options, and supernatural traits.</x:v>
      </x:c>
      <x:c r="L95" s="24" t="str">
        <x:v>Ancestral or metaphysical legacy represented through species traits.</x:v>
      </x:c>
      <x:c r="M95" s="24" t="str">
        <x:v>Tieflings are people, not fiends, and need not be corrupt or evil.</x:v>
      </x:c>
      <x:c r="N95" s="24" t="str">
        <x:v>Fiend-touched or infernal-descended people.</x:v>
      </x:c>
      <x:c r="O95" s="24" t="str">
        <x:v>Primary canon</x:v>
      </x:c>
      <x:c r="P95" s="24" t="str">
        <x:v>Official reference reviewed</x:v>
      </x:c>
      <x:c r="Q95" s="24" t="str">
        <x:v>Official D&amp;D 2024 Basic Rules and Player's Handbook reference pages.</x:v>
      </x:c>
      <x:c r="R95" s="84" t="str">
        <x:v>https://www.dndbeyond.com/sources/dnd/br-2024/character-classes</x:v>
      </x:c>
      <x:c r="S95" s="24" t="str">
        <x:v>Seeded</x:v>
      </x:c>
    </x:row>
    <x:row r="96" ht="52" customHeight="1">
      <x:c r="A96" s="24" t="str">
        <x:v>ENT-0095</x:v>
      </x:c>
      <x:c r="B96" s="24" t="str">
        <x:v>Subclass</x:v>
      </x:c>
      <x:c r="C96" s="24" t="str">
        <x:v>SRC-089</x:v>
      </x:c>
      <x:c r="D96" s="24" t="str">
        <x:v>Dungeons &amp; Dragons</x:v>
      </x:c>
      <x:c r="E96" s="24" t="str">
        <x:v>2024 core rules</x:v>
      </x:c>
      <x:c r="F96" s="24" t="str">
        <x:v>Character-build mechanic</x:v>
      </x:c>
      <x:c r="G96" s="24" t="str">
        <x:v>MEC-304</x:v>
      </x:c>
      <x:c r="H96" s="24" t="str">
        <x:f>IFERROR(VLOOKUP(G96,'Master Taxonomy'!$A$2:$B$1656,2,FALSE),"")</x:f>
        <x:v>Subclass Specialization</x:v>
      </x:c>
      <x:c r="I96" s="24" t="str"/>
      <x:c r="J96" s="24" t="str"/>
      <x:c r="K96" s="24" t="str">
        <x:v>A class specialization chosen within the core class framework.</x:v>
      </x:c>
      <x:c r="L96" s="24" t="str">
        <x:v>Rules progression and feature selection.</x:v>
      </x:c>
      <x:c r="M96" s="24" t="str">
        <x:v>Subclasses may represent schools, oaths, patrons, professions, bloodlines, or techniques depending on class.</x:v>
      </x:c>
      <x:c r="N96" s="24" t="str">
        <x:v>General specialization layer.</x:v>
      </x:c>
      <x:c r="O96" s="24" t="str">
        <x:v>Primary canon</x:v>
      </x:c>
      <x:c r="P96" s="24" t="str">
        <x:v>Official reference reviewed</x:v>
      </x:c>
      <x:c r="Q96" s="24" t="str">
        <x:v>Official D&amp;D 2024 Basic Rules and Player's Handbook reference pages.</x:v>
      </x:c>
      <x:c r="R96" s="84" t="str">
        <x:v>https://www.dndbeyond.com/sources/dnd/br-2024/character-classes</x:v>
      </x:c>
      <x:c r="S96" s="24" t="str">
        <x:v>Seeded</x:v>
      </x:c>
    </x:row>
    <x:row r="97" ht="52" customHeight="1">
      <x:c r="A97" s="24" t="str">
        <x:v>ENT-0096</x:v>
      </x:c>
      <x:c r="B97" s="24" t="str">
        <x:v>Background</x:v>
      </x:c>
      <x:c r="C97" s="24" t="str">
        <x:v>SRC-089</x:v>
      </x:c>
      <x:c r="D97" s="24" t="str">
        <x:v>Dungeons &amp; Dragons</x:v>
      </x:c>
      <x:c r="E97" s="24" t="str">
        <x:v>2024 core rules</x:v>
      </x:c>
      <x:c r="F97" s="24" t="str">
        <x:v>Character-build mechanic</x:v>
      </x:c>
      <x:c r="G97" s="24" t="str">
        <x:v>MEC-300</x:v>
      </x:c>
      <x:c r="H97" s="24" t="str">
        <x:f>IFERROR(VLOOKUP(G97,'Master Taxonomy'!$A$2:$B$1656,2,FALSE),"")</x:f>
        <x:v>Progression and Build Models</x:v>
      </x:c>
      <x:c r="I97" s="24" t="str"/>
      <x:c r="J97" s="24" t="str"/>
      <x:c r="K97" s="24" t="str">
        <x:v>A rules package representing prior life, aptitudes, proficiencies, and origin elements.</x:v>
      </x:c>
      <x:c r="L97" s="24" t="str">
        <x:v>Character creation choices and selected benefits.</x:v>
      </x:c>
      <x:c r="M97" s="24" t="str">
        <x:v>A background is not an ancestry or current class.</x:v>
      </x:c>
      <x:c r="N97" s="24" t="str">
        <x:v>Origin and prior-profession layer.</x:v>
      </x:c>
      <x:c r="O97" s="24" t="str">
        <x:v>Primary canon</x:v>
      </x:c>
      <x:c r="P97" s="24" t="str">
        <x:v>Official reference reviewed</x:v>
      </x:c>
      <x:c r="Q97" s="24" t="str">
        <x:v>Official D&amp;D 2024 Basic Rules and Player's Handbook reference pages.</x:v>
      </x:c>
      <x:c r="R97" s="84" t="str">
        <x:v>https://www.dndbeyond.com/sources/dnd/br-2024/character-classes</x:v>
      </x:c>
      <x:c r="S97" s="24" t="str">
        <x:v>Seeded</x:v>
      </x:c>
    </x:row>
    <x:row r="98" ht="52" customHeight="1">
      <x:c r="A98" s="24" t="str">
        <x:v>ENT-0097</x:v>
      </x:c>
      <x:c r="B98" s="24" t="str">
        <x:v>Multiclassing</x:v>
      </x:c>
      <x:c r="C98" s="24" t="str">
        <x:v>SRC-089</x:v>
      </x:c>
      <x:c r="D98" s="24" t="str">
        <x:v>Dungeons &amp; Dragons</x:v>
      </x:c>
      <x:c r="E98" s="24" t="str">
        <x:v>2024 core rules</x:v>
      </x:c>
      <x:c r="F98" s="24" t="str">
        <x:v>Character-build mechanic</x:v>
      </x:c>
      <x:c r="G98" s="24" t="str">
        <x:v>MEC-303</x:v>
      </x:c>
      <x:c r="H98" s="24" t="str">
        <x:f>IFERROR(VLOOKUP(G98,'Master Taxonomy'!$A$2:$B$1656,2,FALSE),"")</x:f>
        <x:v>Multiclassing</x:v>
      </x:c>
      <x:c r="I98" s="24" t="str"/>
      <x:c r="J98" s="24" t="str"/>
      <x:c r="K98" s="24" t="str">
        <x:v>A progression model in which a character combines levels from multiple classes.</x:v>
      </x:c>
      <x:c r="L98" s="24" t="str">
        <x:v>Level allocation and prerequisites.</x:v>
      </x:c>
      <x:c r="M98" s="24" t="str">
        <x:v>Mechanical combination does not automatically imply multiple social professions in the fiction.</x:v>
      </x:c>
      <x:c r="N98" s="24" t="str">
        <x:v>Hybrid build and cross-training model.</x:v>
      </x:c>
      <x:c r="O98" s="24" t="str">
        <x:v>Primary canon</x:v>
      </x:c>
      <x:c r="P98" s="24" t="str">
        <x:v>Official reference reviewed</x:v>
      </x:c>
      <x:c r="Q98" s="24" t="str">
        <x:v>Official D&amp;D 2024 Basic Rules and Player's Handbook reference pages.</x:v>
      </x:c>
      <x:c r="R98" s="84" t="str">
        <x:v>https://www.dndbeyond.com/sources/dnd/br-2024/character-classes</x:v>
      </x:c>
      <x:c r="S98" s="24" t="str">
        <x:v>Seeded</x:v>
      </x:c>
    </x:row>
    <x:row r="99" ht="52" customHeight="1">
      <x:c r="A99" s="24" t="str">
        <x:v>ENT-0098</x:v>
      </x:c>
      <x:c r="B99" s="24" t="str">
        <x:v>Human</x:v>
      </x:c>
      <x:c r="C99" s="24" t="str">
        <x:v>SRC-128</x:v>
      </x:c>
      <x:c r="D99" s="24" t="str">
        <x:v>Tactics Ogre: Reborn</x:v>
      </x:c>
      <x:c r="E99" s="24" t="str">
        <x:v>Reborn game continuity</x:v>
      </x:c>
      <x:c r="F99" s="24" t="str">
        <x:v>Playable people</x:v>
      </x:c>
      <x:c r="G99" s="24" t="str">
        <x:v>PPL-101</x:v>
      </x:c>
      <x:c r="H99" s="24" t="str">
        <x:f>IFERROR(VLOOKUP(G99,'Master Taxonomy'!$A$2:$B$1656,2,FALSE),"")</x:f>
        <x:v>Human and Near-Human Peoples</x:v>
      </x:c>
      <x:c r="I99" s="24" t="str"/>
      <x:c r="J99" s="24" t="str"/>
      <x:c r="K99" s="24" t="str">
        <x:v>The principal human peoples of the Valerian setting.</x:v>
      </x:c>
      <x:c r="L99" s="24" t="str">
        <x:v>Natural ancestry and regional culture.</x:v>
      </x:c>
      <x:c r="M99" s="24" t="str">
        <x:v>Human factions are politically and ethnically differentiated.</x:v>
      </x:c>
      <x:c r="N99" s="24" t="str">
        <x:v>Baseline human ancestry.</x:v>
      </x:c>
      <x:c r="O99" s="24" t="str">
        <x:v>Primary canon</x:v>
      </x:c>
      <x:c r="P99" s="24" t="str">
        <x:v>Official reference reviewed</x:v>
      </x:c>
      <x:c r="Q99" s="24" t="str">
        <x:v>Square Enix official character and class overview for Tactics Ogre: Reborn.</x:v>
      </x:c>
      <x:c r="R99" s="84" t="str">
        <x:v>https://www.square-enix-games.com/en_US/news/tactics-ogre-reborn-characters-classes</x:v>
      </x:c>
      <x:c r="S99" s="24" t="str">
        <x:v>Seeded</x:v>
      </x:c>
    </x:row>
    <x:row r="100" ht="52" customHeight="1">
      <x:c r="A100" s="24" t="str">
        <x:v>ENT-0099</x:v>
      </x:c>
      <x:c r="B100" s="24" t="str">
        <x:v>Winged</x:v>
      </x:c>
      <x:c r="C100" s="24" t="str">
        <x:v>SRC-128</x:v>
      </x:c>
      <x:c r="D100" s="24" t="str">
        <x:v>Tactics Ogre: Reborn</x:v>
      </x:c>
      <x:c r="E100" s="24" t="str">
        <x:v>Reborn game continuity</x:v>
      </x:c>
      <x:c r="F100" s="24" t="str">
        <x:v>Playable people</x:v>
      </x:c>
      <x:c r="G100" s="24" t="str">
        <x:v>PPL-115</x:v>
      </x:c>
      <x:c r="H100" s="24" t="str">
        <x:f>IFERROR(VLOOKUP(G100,'Master Taxonomy'!$A$2:$B$1656,2,FALSE),"")</x:f>
        <x:v>Avian and Winged Humanoid Peoples</x:v>
      </x:c>
      <x:c r="I100" s="24" t="str"/>
      <x:c r="J100" s="24" t="str"/>
      <x:c r="K100" s="24" t="str">
        <x:v>Humanoids with functional wings and aerial mobility.</x:v>
      </x:c>
      <x:c r="L100" s="24" t="str">
        <x:v>Natural ancestry and flight.</x:v>
      </x:c>
      <x:c r="M100" s="24" t="str">
        <x:v>A setting-specific people rather than a universal angelic category.</x:v>
      </x:c>
      <x:c r="N100" s="24" t="str">
        <x:v>Winged humanoid and aerial unit analogue.</x:v>
      </x:c>
      <x:c r="O100" s="24" t="str">
        <x:v>Primary canon</x:v>
      </x:c>
      <x:c r="P100" s="24" t="str">
        <x:v>Official reference reviewed</x:v>
      </x:c>
      <x:c r="Q100" s="24" t="str">
        <x:v>Square Enix official character and class overview for Tactics Ogre: Reborn.</x:v>
      </x:c>
      <x:c r="R100" s="84" t="str">
        <x:v>https://www.square-enix-games.com/en_US/news/tactics-ogre-reborn-characters-classes</x:v>
      </x:c>
      <x:c r="S100" s="24" t="str">
        <x:v>Seeded</x:v>
      </x:c>
    </x:row>
    <x:row r="101" ht="52" customHeight="1">
      <x:c r="A101" s="24" t="str">
        <x:v>ENT-0100</x:v>
      </x:c>
      <x:c r="B101" s="24" t="str">
        <x:v>Lizardman</x:v>
      </x:c>
      <x:c r="C101" s="24" t="str">
        <x:v>SRC-128</x:v>
      </x:c>
      <x:c r="D101" s="24" t="str">
        <x:v>Tactics Ogre: Reborn</x:v>
      </x:c>
      <x:c r="E101" s="24" t="str">
        <x:v>Reborn game continuity</x:v>
      </x:c>
      <x:c r="F101" s="24" t="str">
        <x:v>Playable people</x:v>
      </x:c>
      <x:c r="G101" s="24" t="str">
        <x:v>PPL-112</x:v>
      </x:c>
      <x:c r="H101" s="24" t="str">
        <x:f>IFERROR(VLOOKUP(G101,'Master Taxonomy'!$A$2:$B$1656,2,FALSE),"")</x:f>
        <x:v>Lizardfolk and Reptilian Peoples</x:v>
      </x:c>
      <x:c r="I101" s="24" t="str"/>
      <x:c r="J101" s="24" t="str"/>
      <x:c r="K101" s="24" t="str">
        <x:v>Reptilian humanoids available in specialized martial roles.</x:v>
      </x:c>
      <x:c r="L101" s="24" t="str">
        <x:v>Natural ancestry and class access.</x:v>
      </x:c>
      <x:c r="M101" s="24" t="str">
        <x:v>Do not merge automatically with dragons or serpentfolk.</x:v>
      </x:c>
      <x:c r="N101" s="24" t="str">
        <x:v>Lizardfolk ancestry.</x:v>
      </x:c>
      <x:c r="O101" s="24" t="str">
        <x:v>Primary canon</x:v>
      </x:c>
      <x:c r="P101" s="24" t="str">
        <x:v>Official reference reviewed</x:v>
      </x:c>
      <x:c r="Q101" s="24" t="str">
        <x:v>Square Enix official character and class overview for Tactics Ogre: Reborn.</x:v>
      </x:c>
      <x:c r="R101" s="84" t="str">
        <x:v>https://www.square-enix-games.com/en_US/news/tactics-ogre-reborn-characters-classes</x:v>
      </x:c>
      <x:c r="S101" s="24" t="str">
        <x:v>Seeded</x:v>
      </x:c>
    </x:row>
    <x:row r="102" ht="52" customHeight="1">
      <x:c r="A102" s="24" t="str">
        <x:v>ENT-0101</x:v>
      </x:c>
      <x:c r="B102" s="24" t="str">
        <x:v>Lamia</x:v>
      </x:c>
      <x:c r="C102" s="24" t="str">
        <x:v>SRC-128</x:v>
      </x:c>
      <x:c r="D102" s="24" t="str">
        <x:v>Tactics Ogre: Reborn</x:v>
      </x:c>
      <x:c r="E102" s="24" t="str">
        <x:v>Reborn game continuity</x:v>
      </x:c>
      <x:c r="F102" s="24" t="str">
        <x:v>Playable people</x:v>
      </x:c>
      <x:c r="G102" s="24" t="str">
        <x:v>PPL-113</x:v>
      </x:c>
      <x:c r="H102" s="24" t="str">
        <x:f>IFERROR(VLOOKUP(G102,'Master Taxonomy'!$A$2:$B$1656,2,FALSE),"")</x:f>
        <x:v>Serpentfolk, Naga, and Lamia Peoples</x:v>
      </x:c>
      <x:c r="I102" s="24" t="str"/>
      <x:c r="J102" s="24" t="str"/>
      <x:c r="K102" s="24" t="str">
        <x:v>Serpentine humanoids with setting-specific class options.</x:v>
      </x:c>
      <x:c r="L102" s="24" t="str">
        <x:v>Natural ancestry and class access.</x:v>
      </x:c>
      <x:c r="M102" s="24" t="str">
        <x:v>The term has different meanings across myth and games.</x:v>
      </x:c>
      <x:c r="N102" s="24" t="str">
        <x:v>Lamia and serpentfolk ancestry.</x:v>
      </x:c>
      <x:c r="O102" s="24" t="str">
        <x:v>Primary canon</x:v>
      </x:c>
      <x:c r="P102" s="24" t="str">
        <x:v>Official reference reviewed</x:v>
      </x:c>
      <x:c r="Q102" s="24" t="str">
        <x:v>Square Enix official character and class overview for Tactics Ogre: Reborn.</x:v>
      </x:c>
      <x:c r="R102" s="84" t="str">
        <x:v>https://www.square-enix-games.com/en_US/news/tactics-ogre-reborn-characters-classes</x:v>
      </x:c>
      <x:c r="S102" s="24" t="str">
        <x:v>Seeded</x:v>
      </x:c>
    </x:row>
    <x:row r="103" ht="52" customHeight="1">
      <x:c r="A103" s="24" t="str">
        <x:v>ENT-0102</x:v>
      </x:c>
      <x:c r="B103" s="24" t="str">
        <x:v>Orc</x:v>
      </x:c>
      <x:c r="C103" s="24" t="str">
        <x:v>SRC-128</x:v>
      </x:c>
      <x:c r="D103" s="24" t="str">
        <x:v>Tactics Ogre: Reborn</x:v>
      </x:c>
      <x:c r="E103" s="24" t="str">
        <x:v>Reborn game continuity</x:v>
      </x:c>
      <x:c r="F103" s="24" t="str">
        <x:v>Playable people</x:v>
      </x:c>
      <x:c r="G103" s="24" t="str">
        <x:v>PPL-106</x:v>
      </x:c>
      <x:c r="H103" s="24" t="str">
        <x:f>IFERROR(VLOOKUP(G103,'Master Taxonomy'!$A$2:$B$1656,2,FALSE),"")</x:f>
        <x:v>Orc-Derived Peoples</x:v>
      </x:c>
      <x:c r="I103" s="24" t="str"/>
      <x:c r="J103" s="24" t="str"/>
      <x:c r="K103" s="24" t="str">
        <x:v>An orcish humanoid people participating in the setting's conflicts.</x:v>
      </x:c>
      <x:c r="L103" s="24" t="str">
        <x:v>Natural ancestry and class access.</x:v>
      </x:c>
      <x:c r="M103" s="24" t="str">
        <x:v>Playable peoplehood should be distinguished from generic monster status.</x:v>
      </x:c>
      <x:c r="N103" s="24" t="str">
        <x:v>Orc ancestry.</x:v>
      </x:c>
      <x:c r="O103" s="24" t="str">
        <x:v>Primary canon</x:v>
      </x:c>
      <x:c r="P103" s="24" t="str">
        <x:v>Official reference reviewed</x:v>
      </x:c>
      <x:c r="Q103" s="24" t="str">
        <x:v>Square Enix official character and class overview for Tactics Ogre: Reborn.</x:v>
      </x:c>
      <x:c r="R103" s="84" t="str">
        <x:v>https://www.square-enix-games.com/en_US/news/tactics-ogre-reborn-characters-classes</x:v>
      </x:c>
      <x:c r="S103" s="24" t="str">
        <x:v>Seeded</x:v>
      </x:c>
    </x:row>
    <x:row r="104" ht="52" customHeight="1">
      <x:c r="A104" s="24" t="str">
        <x:v>ENT-0103</x:v>
      </x:c>
      <x:c r="B104" s="24" t="str">
        <x:v>Faerie</x:v>
      </x:c>
      <x:c r="C104" s="24" t="str">
        <x:v>SRC-128</x:v>
      </x:c>
      <x:c r="D104" s="24" t="str">
        <x:v>Tactics Ogre: Reborn</x:v>
      </x:c>
      <x:c r="E104" s="24" t="str">
        <x:v>Reborn game continuity</x:v>
      </x:c>
      <x:c r="F104" s="24" t="str">
        <x:v>Playable small magical people</x:v>
      </x:c>
      <x:c r="G104" s="24" t="str">
        <x:v>PPL-200</x:v>
      </x:c>
      <x:c r="H104" s="24" t="str">
        <x:f>IFERROR(VLOOKUP(G104,'Master Taxonomy'!$A$2:$B$1656,2,FALSE),"")</x:f>
        <x:v>Fae, Nature, and Liminal Beings</x:v>
      </x:c>
      <x:c r="I104" s="24" t="str"/>
      <x:c r="J104" s="24" t="str"/>
      <x:c r="K104" s="24" t="str">
        <x:v>Small winged magical beings with distinctive class access.</x:v>
      </x:c>
      <x:c r="L104" s="24" t="str">
        <x:v>Innate magical nature and flight.</x:v>
      </x:c>
      <x:c r="M104" s="24" t="str">
        <x:v>Not equivalent to every folklore fairy tradition.</x:v>
      </x:c>
      <x:c r="N104" s="24" t="str">
        <x:v>Playable faerie ancestry.</x:v>
      </x:c>
      <x:c r="O104" s="24" t="str">
        <x:v>Primary canon</x:v>
      </x:c>
      <x:c r="P104" s="24" t="str">
        <x:v>Official reference reviewed</x:v>
      </x:c>
      <x:c r="Q104" s="24" t="str">
        <x:v>Square Enix official character and class overview for Tactics Ogre: Reborn.</x:v>
      </x:c>
      <x:c r="R104" s="84" t="str">
        <x:v>https://www.square-enix-games.com/en_US/news/tactics-ogre-reborn-characters-classes</x:v>
      </x:c>
      <x:c r="S104" s="24" t="str">
        <x:v>Seeded</x:v>
      </x:c>
    </x:row>
    <x:row r="105" ht="52" customHeight="1">
      <x:c r="A105" s="24" t="str">
        <x:v>ENT-0104</x:v>
      </x:c>
      <x:c r="B105" s="24" t="str">
        <x:v>Imp</x:v>
      </x:c>
      <x:c r="C105" s="24" t="str">
        <x:v>SRC-128</x:v>
      </x:c>
      <x:c r="D105" s="24" t="str">
        <x:v>Tactics Ogre: Reborn</x:v>
      </x:c>
      <x:c r="E105" s="24" t="str">
        <x:v>Reborn game continuity</x:v>
      </x:c>
      <x:c r="F105" s="24" t="str">
        <x:v>Playable fiendish being</x:v>
      </x:c>
      <x:c r="G105" s="24" t="str">
        <x:v>PPL-501</x:v>
      </x:c>
      <x:c r="H105" s="24" t="str">
        <x:f>IFERROR(VLOOKUP(G105,'Master Taxonomy'!$A$2:$B$1656,2,FALSE),"")</x:f>
        <x:v>Demons</x:v>
      </x:c>
      <x:c r="I105" s="24" t="str"/>
      <x:c r="J105" s="24" t="str"/>
      <x:c r="K105" s="24" t="str">
        <x:v>Small fiendish beings with magical and mobile combat functions.</x:v>
      </x:c>
      <x:c r="L105" s="24" t="str">
        <x:v>Innate supernatural nature.</x:v>
      </x:c>
      <x:c r="M105" s="24" t="str">
        <x:v>A tactical unit category rather than a complete demon cosmology.</x:v>
      </x:c>
      <x:c r="N105" s="24" t="str">
        <x:v>Imp and minor-fiend analogue.</x:v>
      </x:c>
      <x:c r="O105" s="24" t="str">
        <x:v>Primary canon</x:v>
      </x:c>
      <x:c r="P105" s="24" t="str">
        <x:v>Official reference reviewed</x:v>
      </x:c>
      <x:c r="Q105" s="24" t="str">
        <x:v>Square Enix official character and class overview for Tactics Ogre: Reborn.</x:v>
      </x:c>
      <x:c r="R105" s="84" t="str">
        <x:v>https://www.square-enix-games.com/en_US/news/tactics-ogre-reborn-characters-classes</x:v>
      </x:c>
      <x:c r="S105" s="24" t="str">
        <x:v>Seeded</x:v>
      </x:c>
    </x:row>
    <x:row r="106" ht="52" customHeight="1">
      <x:c r="A106" s="24" t="str">
        <x:v>ENT-0105</x:v>
      </x:c>
      <x:c r="B106" s="24" t="str">
        <x:v>Skeleton</x:v>
      </x:c>
      <x:c r="C106" s="24" t="str">
        <x:v>SRC-128</x:v>
      </x:c>
      <x:c r="D106" s="24" t="str">
        <x:v>Tactics Ogre: Reborn</x:v>
      </x:c>
      <x:c r="E106" s="24" t="str">
        <x:v>Reborn game continuity</x:v>
      </x:c>
      <x:c r="F106" s="24" t="str">
        <x:v>Undead unit</x:v>
      </x:c>
      <x:c r="G106" s="24" t="str">
        <x:v>PPL-603</x:v>
      </x:c>
      <x:c r="H106" s="24" t="str">
        <x:f>IFERROR(VLOOKUP(G106,'Master Taxonomy'!$A$2:$B$1656,2,FALSE),"")</x:f>
        <x:v>Skeletons</x:v>
      </x:c>
      <x:c r="I106" s="24" t="str"/>
      <x:c r="J106" s="24" t="str"/>
      <x:c r="K106" s="24" t="str">
        <x:v>Animated skeletal units capable of class participation.</x:v>
      </x:c>
      <x:c r="L106" s="24" t="str">
        <x:v>Necromancy and undead state.</x:v>
      </x:c>
      <x:c r="M106" s="24" t="str">
        <x:v>Rules for recruitment and revival are game-specific.</x:v>
      </x:c>
      <x:c r="N106" s="24" t="str">
        <x:v>Playable skeletal undead.</x:v>
      </x:c>
      <x:c r="O106" s="24" t="str">
        <x:v>Primary canon</x:v>
      </x:c>
      <x:c r="P106" s="24" t="str">
        <x:v>Official reference reviewed</x:v>
      </x:c>
      <x:c r="Q106" s="24" t="str">
        <x:v>Square Enix official character and class overview for Tactics Ogre: Reborn.</x:v>
      </x:c>
      <x:c r="R106" s="84" t="str">
        <x:v>https://www.square-enix-games.com/en_US/news/tactics-ogre-reborn-characters-classes</x:v>
      </x:c>
      <x:c r="S106" s="24" t="str">
        <x:v>Seeded</x:v>
      </x:c>
    </x:row>
    <x:row r="107" ht="52" customHeight="1">
      <x:c r="A107" s="24" t="str">
        <x:v>ENT-0106</x:v>
      </x:c>
      <x:c r="B107" s="24" t="str">
        <x:v>Ghost</x:v>
      </x:c>
      <x:c r="C107" s="24" t="str">
        <x:v>SRC-128</x:v>
      </x:c>
      <x:c r="D107" s="24" t="str">
        <x:v>Tactics Ogre: Reborn</x:v>
      </x:c>
      <x:c r="E107" s="24" t="str">
        <x:v>Reborn game continuity</x:v>
      </x:c>
      <x:c r="F107" s="24" t="str">
        <x:v>Undead unit</x:v>
      </x:c>
      <x:c r="G107" s="24" t="str">
        <x:v>PPL-601</x:v>
      </x:c>
      <x:c r="H107" s="24" t="str">
        <x:f>IFERROR(VLOOKUP(G107,'Master Taxonomy'!$A$2:$B$1656,2,FALSE),"")</x:f>
        <x:v>Ghosts</x:v>
      </x:c>
      <x:c r="I107" s="24" t="str"/>
      <x:c r="J107" s="24" t="str"/>
      <x:c r="K107" s="24" t="str">
        <x:v>Incorporeal undead units with magical affinities.</x:v>
      </x:c>
      <x:c r="L107" s="24" t="str">
        <x:v>Postmortem spiritual state.</x:v>
      </x:c>
      <x:c r="M107" s="24" t="str">
        <x:v>A mechanical unit type with specific movement and revival rules.</x:v>
      </x:c>
      <x:c r="N107" s="24" t="str">
        <x:v>Playable spectral undead.</x:v>
      </x:c>
      <x:c r="O107" s="24" t="str">
        <x:v>Primary canon</x:v>
      </x:c>
      <x:c r="P107" s="24" t="str">
        <x:v>Official reference reviewed</x:v>
      </x:c>
      <x:c r="Q107" s="24" t="str">
        <x:v>Square Enix official character and class overview for Tactics Ogre: Reborn.</x:v>
      </x:c>
      <x:c r="R107" s="84" t="str">
        <x:v>https://www.square-enix-games.com/en_US/news/tactics-ogre-reborn-characters-classes</x:v>
      </x:c>
      <x:c r="S107" s="24" t="str">
        <x:v>Seeded</x:v>
      </x:c>
    </x:row>
    <x:row r="108" ht="52" customHeight="1">
      <x:c r="A108" s="24" t="str">
        <x:v>ENT-0107</x:v>
      </x:c>
      <x:c r="B108" s="24" t="str">
        <x:v>Golem</x:v>
      </x:c>
      <x:c r="C108" s="24" t="str">
        <x:v>SRC-128</x:v>
      </x:c>
      <x:c r="D108" s="24" t="str">
        <x:v>Tactics Ogre: Reborn</x:v>
      </x:c>
      <x:c r="E108" s="24" t="str">
        <x:v>Reborn game continuity</x:v>
      </x:c>
      <x:c r="F108" s="24" t="str">
        <x:v>Construct unit</x:v>
      </x:c>
      <x:c r="G108" s="24" t="str">
        <x:v>PPL-701</x:v>
      </x:c>
      <x:c r="H108" s="24" t="str">
        <x:f>IFERROR(VLOOKUP(G108,'Master Taxonomy'!$A$2:$B$1656,2,FALSE),"")</x:f>
        <x:v>Golems</x:v>
      </x:c>
      <x:c r="I108" s="24" t="str"/>
      <x:c r="J108" s="24" t="str"/>
      <x:c r="K108" s="24" t="str">
        <x:v>Artificial heavy units built for durability and battlefield control.</x:v>
      </x:c>
      <x:c r="L108" s="24" t="str">
        <x:v>Construction, materials, and magical animation.</x:v>
      </x:c>
      <x:c r="M108" s="24" t="str">
        <x:v>Material variants are mechanical subtypes rather than separate universal peoples.</x:v>
      </x:c>
      <x:c r="N108" s="24" t="str">
        <x:v>Tank construct.</x:v>
      </x:c>
      <x:c r="O108" s="24" t="str">
        <x:v>Primary canon</x:v>
      </x:c>
      <x:c r="P108" s="24" t="str">
        <x:v>Official reference reviewed</x:v>
      </x:c>
      <x:c r="Q108" s="24" t="str">
        <x:v>Square Enix official character and class overview for Tactics Ogre: Reborn.</x:v>
      </x:c>
      <x:c r="R108" s="84" t="str">
        <x:v>https://www.square-enix-games.com/en_US/news/tactics-ogre-reborn-characters-classes</x:v>
      </x:c>
      <x:c r="S108" s="24" t="str">
        <x:v>Seeded</x:v>
      </x:c>
    </x:row>
    <x:row r="109" ht="52" customHeight="1">
      <x:c r="A109" s="24" t="str">
        <x:v>ENT-0108</x:v>
      </x:c>
      <x:c r="B109" s="24" t="str">
        <x:v>Dragon</x:v>
      </x:c>
      <x:c r="C109" s="24" t="str">
        <x:v>SRC-128</x:v>
      </x:c>
      <x:c r="D109" s="24" t="str">
        <x:v>Tactics Ogre: Reborn</x:v>
      </x:c>
      <x:c r="E109" s="24" t="str">
        <x:v>Reborn game continuity</x:v>
      </x:c>
      <x:c r="F109" s="24" t="str">
        <x:v>Monster unit</x:v>
      </x:c>
      <x:c r="G109" s="24" t="str">
        <x:v>PPL-801</x:v>
      </x:c>
      <x:c r="H109" s="24" t="str">
        <x:f>IFERROR(VLOOKUP(G109,'Master Taxonomy'!$A$2:$B$1656,2,FALSE),"")</x:f>
        <x:v>True Dragons</x:v>
      </x:c>
      <x:c r="I109" s="24" t="str"/>
      <x:c r="J109" s="24" t="str"/>
      <x:c r="K109" s="24" t="str">
        <x:v>Recruitable draconic monsters with elemental and battlefield variants.</x:v>
      </x:c>
      <x:c r="L109" s="24" t="str">
        <x:v>Natural or magical monster lineage.</x:v>
      </x:c>
      <x:c r="M109" s="24" t="str">
        <x:v>The tactical taxonomy emphasizes combat element and unit role.</x:v>
      </x:c>
      <x:c r="N109" s="24" t="str">
        <x:v>Recruitable dragon unit.</x:v>
      </x:c>
      <x:c r="O109" s="24" t="str">
        <x:v>Primary canon</x:v>
      </x:c>
      <x:c r="P109" s="24" t="str">
        <x:v>Official reference reviewed</x:v>
      </x:c>
      <x:c r="Q109" s="24" t="str">
        <x:v>Square Enix official character and class overview for Tactics Ogre: Reborn.</x:v>
      </x:c>
      <x:c r="R109" s="84" t="str">
        <x:v>https://www.square-enix-games.com/en_US/news/tactics-ogre-reborn-characters-classes</x:v>
      </x:c>
      <x:c r="S109" s="24" t="str">
        <x:v>Seeded</x:v>
      </x:c>
    </x:row>
    <x:row r="110" ht="52" customHeight="1">
      <x:c r="A110" s="24" t="str">
        <x:v>ENT-0109</x:v>
      </x:c>
      <x:c r="B110" s="24" t="str">
        <x:v>Hydra</x:v>
      </x:c>
      <x:c r="C110" s="24" t="str">
        <x:v>SRC-128</x:v>
      </x:c>
      <x:c r="D110" s="24" t="str">
        <x:v>Tactics Ogre: Reborn</x:v>
      </x:c>
      <x:c r="E110" s="24" t="str">
        <x:v>Reborn game continuity</x:v>
      </x:c>
      <x:c r="F110" s="24" t="str">
        <x:v>Monster unit</x:v>
      </x:c>
      <x:c r="G110" s="24" t="str">
        <x:v>PPL-805</x:v>
      </x:c>
      <x:c r="H110" s="24" t="str">
        <x:f>IFERROR(VLOOKUP(G110,'Master Taxonomy'!$A$2:$B$1656,2,FALSE),"")</x:f>
        <x:v>Hydras</x:v>
      </x:c>
      <x:c r="I110" s="24" t="str"/>
      <x:c r="J110" s="24" t="str"/>
      <x:c r="K110" s="24" t="str">
        <x:v>Multiheaded draconic monster units with specialized attacks.</x:v>
      </x:c>
      <x:c r="L110" s="24" t="str">
        <x:v>Monster physiology and elemental variants.</x:v>
      </x:c>
      <x:c r="M110" s="24" t="str">
        <x:v>Classified separately from ordinary dragons in the game.</x:v>
      </x:c>
      <x:c r="N110" s="24" t="str">
        <x:v>Hydra unit.</x:v>
      </x:c>
      <x:c r="O110" s="24" t="str">
        <x:v>Primary canon</x:v>
      </x:c>
      <x:c r="P110" s="24" t="str">
        <x:v>Official reference reviewed</x:v>
      </x:c>
      <x:c r="Q110" s="24" t="str">
        <x:v>Square Enix official character and class overview for Tactics Ogre: Reborn.</x:v>
      </x:c>
      <x:c r="R110" s="84" t="str">
        <x:v>https://www.square-enix-games.com/en_US/news/tactics-ogre-reborn-characters-classes</x:v>
      </x:c>
      <x:c r="S110" s="24" t="str">
        <x:v>Seeded</x:v>
      </x:c>
    </x:row>
    <x:row r="111" ht="52" customHeight="1">
      <x:c r="A111" s="24" t="str">
        <x:v>ENT-0110</x:v>
      </x:c>
      <x:c r="B111" s="24" t="str">
        <x:v>Gryphon</x:v>
      </x:c>
      <x:c r="C111" s="24" t="str">
        <x:v>SRC-128</x:v>
      </x:c>
      <x:c r="D111" s="24" t="str">
        <x:v>Tactics Ogre: Reborn</x:v>
      </x:c>
      <x:c r="E111" s="24" t="str">
        <x:v>Reborn game continuity</x:v>
      </x:c>
      <x:c r="F111" s="24" t="str">
        <x:v>Monster unit</x:v>
      </x:c>
      <x:c r="G111" s="24" t="str">
        <x:v>PPL-807</x:v>
      </x:c>
      <x:c r="H111" s="24" t="str">
        <x:f>IFERROR(VLOOKUP(G111,'Master Taxonomy'!$A$2:$B$1656,2,FALSE),"")</x:f>
        <x:v>Griffins and Hippogriffs</x:v>
      </x:c>
      <x:c r="I111" s="24" t="str"/>
      <x:c r="J111" s="24" t="str"/>
      <x:c r="K111" s="24" t="str">
        <x:v>Flying leonine-avian monsters used as mobile combat units.</x:v>
      </x:c>
      <x:c r="L111" s="24" t="str">
        <x:v>Natural monster physiology and flight.</x:v>
      </x:c>
      <x:c r="M111" s="24" t="str">
        <x:v>The source spelling and mechanics are game-specific.</x:v>
      </x:c>
      <x:c r="N111" s="24" t="str">
        <x:v>Griffin aerial beast.</x:v>
      </x:c>
      <x:c r="O111" s="24" t="str">
        <x:v>Primary canon</x:v>
      </x:c>
      <x:c r="P111" s="24" t="str">
        <x:v>Official reference reviewed</x:v>
      </x:c>
      <x:c r="Q111" s="24" t="str">
        <x:v>Square Enix official character and class overview for Tactics Ogre: Reborn.</x:v>
      </x:c>
      <x:c r="R111" s="84" t="str">
        <x:v>https://www.square-enix-games.com/en_US/news/tactics-ogre-reborn-characters-classes</x:v>
      </x:c>
      <x:c r="S111" s="24" t="str">
        <x:v>Seeded</x:v>
      </x:c>
    </x:row>
    <x:row r="112" ht="52" customHeight="1">
      <x:c r="A112" s="24" t="str">
        <x:v>ENT-0111</x:v>
      </x:c>
      <x:c r="B112" s="24" t="str">
        <x:v>Cockatrice</x:v>
      </x:c>
      <x:c r="C112" s="24" t="str">
        <x:v>SRC-128</x:v>
      </x:c>
      <x:c r="D112" s="24" t="str">
        <x:v>Tactics Ogre: Reborn</x:v>
      </x:c>
      <x:c r="E112" s="24" t="str">
        <x:v>Reborn game continuity</x:v>
      </x:c>
      <x:c r="F112" s="24" t="str">
        <x:v>Monster unit</x:v>
      </x:c>
      <x:c r="G112" s="24" t="str">
        <x:v>PPL-813</x:v>
      </x:c>
      <x:c r="H112" s="24" t="str">
        <x:f>IFERROR(VLOOKUP(G112,'Master Taxonomy'!$A$2:$B$1656,2,FALSE),"")</x:f>
        <x:v>Basilisks and Cockatrices</x:v>
      </x:c>
      <x:c r="I112" s="24" t="str"/>
      <x:c r="J112" s="24" t="str"/>
      <x:c r="K112" s="24" t="str">
        <x:v>Winged monster units associated with petrifying or disabling attacks.</x:v>
      </x:c>
      <x:c r="L112" s="24" t="str">
        <x:v>Monster physiology and status effects.</x:v>
      </x:c>
      <x:c r="M112" s="24" t="str">
        <x:v>Mechanical status role is central to its game identity.</x:v>
      </x:c>
      <x:c r="N112" s="24" t="str">
        <x:v>Petrifying beast analogue.</x:v>
      </x:c>
      <x:c r="O112" s="24" t="str">
        <x:v>Primary canon</x:v>
      </x:c>
      <x:c r="P112" s="24" t="str">
        <x:v>Official reference reviewed</x:v>
      </x:c>
      <x:c r="Q112" s="24" t="str">
        <x:v>Square Enix official character and class overview for Tactics Ogre: Reborn.</x:v>
      </x:c>
      <x:c r="R112" s="84" t="str">
        <x:v>https://www.square-enix-games.com/en_US/news/tactics-ogre-reborn-characters-classes</x:v>
      </x:c>
      <x:c r="S112" s="24" t="str">
        <x:v>Seeded</x:v>
      </x:c>
    </x:row>
    <x:row r="113" ht="52" customHeight="1">
      <x:c r="A113" s="24" t="str">
        <x:v>ENT-0112</x:v>
      </x:c>
      <x:c r="B113" s="24" t="str">
        <x:v>Octopus</x:v>
      </x:c>
      <x:c r="C113" s="24" t="str">
        <x:v>SRC-128</x:v>
      </x:c>
      <x:c r="D113" s="24" t="str">
        <x:v>Tactics Ogre: Reborn</x:v>
      </x:c>
      <x:c r="E113" s="24" t="str">
        <x:v>Reborn game continuity</x:v>
      </x:c>
      <x:c r="F113" s="24" t="str">
        <x:v>Monster unit</x:v>
      </x:c>
      <x:c r="G113" s="24" t="str">
        <x:v>PPL-815</x:v>
      </x:c>
      <x:c r="H113" s="24" t="str">
        <x:f>IFERROR(VLOOKUP(G113,'Master Taxonomy'!$A$2:$B$1656,2,FALSE),"")</x:f>
        <x:v>Krakens and Leviathans</x:v>
      </x:c>
      <x:c r="I113" s="24" t="str"/>
      <x:c r="J113" s="24" t="str"/>
      <x:c r="K113" s="24" t="str">
        <x:v>Large aquatic cephalopod units especially effective in water terrain.</x:v>
      </x:c>
      <x:c r="L113" s="24" t="str">
        <x:v>Natural monster physiology and terrain affinity.</x:v>
      </x:c>
      <x:c r="M113" s="24" t="str">
        <x:v>Closest normalized family is kraken-like, though scale and intelligence vary.</x:v>
      </x:c>
      <x:c r="N113" s="24" t="str">
        <x:v>Aquatic control-beast analogue.</x:v>
      </x:c>
      <x:c r="O113" s="24" t="str">
        <x:v>Primary canon</x:v>
      </x:c>
      <x:c r="P113" s="24" t="str">
        <x:v>Official reference reviewed</x:v>
      </x:c>
      <x:c r="Q113" s="24" t="str">
        <x:v>Square Enix official character and class overview for Tactics Ogre: Reborn.</x:v>
      </x:c>
      <x:c r="R113" s="84" t="str">
        <x:v>https://www.square-enix-games.com/en_US/news/tactics-ogre-reborn-characters-classes</x:v>
      </x:c>
      <x:c r="S113" s="24" t="str">
        <x:v>Seeded</x:v>
      </x:c>
    </x:row>
    <x:row r="114" ht="52" customHeight="1">
      <x:c r="A114" s="24" t="str">
        <x:v>ENT-0113</x:v>
      </x:c>
      <x:c r="B114" s="24" t="str">
        <x:v>Warrior</x:v>
      </x:c>
      <x:c r="C114" s="24" t="str">
        <x:v>SRC-128</x:v>
      </x:c>
      <x:c r="D114" s="24" t="str">
        <x:v>Tactics Ogre: Reborn</x:v>
      </x:c>
      <x:c r="E114" s="24" t="str">
        <x:v>Reborn game continuity</x:v>
      </x:c>
      <x:c r="F114" s="24" t="str">
        <x:v>Playable class</x:v>
      </x:c>
      <x:c r="G114" s="24" t="str">
        <x:v>ROL-101</x:v>
      </x:c>
      <x:c r="H114" s="24" t="str">
        <x:f>IFERROR(VLOOKUP(G114,'Master Taxonomy'!$A$2:$B$1656,2,FALSE),"")</x:f>
        <x:v>Warrior or Fighter</x:v>
      </x:c>
      <x:c r="I114" s="24" t="str"/>
      <x:c r="J114" s="24" t="str"/>
      <x:c r="K114" s="24" t="str">
        <x:v>General martial class with broad weapon access.</x:v>
      </x:c>
      <x:c r="L114" s="24" t="str">
        <x:v>Training, equipment, and statistics.</x:v>
      </x:c>
      <x:c r="M114" s="24" t="str">
        <x:v>A starting class rather than every armed person's profession.</x:v>
      </x:c>
      <x:c r="N114" s="24" t="str">
        <x:v>Baseline martial class.</x:v>
      </x:c>
      <x:c r="O114" s="24" t="str">
        <x:v>Primary canon</x:v>
      </x:c>
      <x:c r="P114" s="24" t="str">
        <x:v>Official reference reviewed</x:v>
      </x:c>
      <x:c r="Q114" s="24" t="str">
        <x:v>Square Enix official character and class overview for Tactics Ogre: Reborn.</x:v>
      </x:c>
      <x:c r="R114" s="84" t="str">
        <x:v>https://www.square-enix-games.com/en_US/news/tactics-ogre-reborn-characters-classes</x:v>
      </x:c>
      <x:c r="S114" s="24" t="str">
        <x:v>Seeded</x:v>
      </x:c>
    </x:row>
    <x:row r="115" ht="52" customHeight="1">
      <x:c r="A115" s="24" t="str">
        <x:v>ENT-0114</x:v>
      </x:c>
      <x:c r="B115" s="24" t="str">
        <x:v>Archer</x:v>
      </x:c>
      <x:c r="C115" s="24" t="str">
        <x:v>SRC-128</x:v>
      </x:c>
      <x:c r="D115" s="24" t="str">
        <x:v>Tactics Ogre: Reborn</x:v>
      </x:c>
      <x:c r="E115" s="24" t="str">
        <x:v>Reborn game continuity</x:v>
      </x:c>
      <x:c r="F115" s="24" t="str">
        <x:v>Playable class</x:v>
      </x:c>
      <x:c r="G115" s="24" t="str">
        <x:v>ROL-127</x:v>
      </x:c>
      <x:c r="H115" s="24" t="str">
        <x:f>IFERROR(VLOOKUP(G115,'Master Taxonomy'!$A$2:$B$1656,2,FALSE),"")</x:f>
        <x:v>Archer</x:v>
      </x:c>
      <x:c r="I115" s="24" t="str"/>
      <x:c r="J115" s="24" t="str"/>
      <x:c r="K115" s="24" t="str">
        <x:v>Ranged physical class specializing in bows and target selection.</x:v>
      </x:c>
      <x:c r="L115" s="24" t="str">
        <x:v>Training, ranged weapons, positioning.</x:v>
      </x:c>
      <x:c r="M115" s="24" t="str">
        <x:v>Its performance is tightly coupled to the game's armor and trajectory systems.</x:v>
      </x:c>
      <x:c r="N115" s="24" t="str">
        <x:v>Ranged striker.</x:v>
      </x:c>
      <x:c r="O115" s="24" t="str">
        <x:v>Primary canon</x:v>
      </x:c>
      <x:c r="P115" s="24" t="str">
        <x:v>Official reference reviewed</x:v>
      </x:c>
      <x:c r="Q115" s="24" t="str">
        <x:v>Square Enix official character and class overview for Tactics Ogre: Reborn.</x:v>
      </x:c>
      <x:c r="R115" s="84" t="str">
        <x:v>https://www.square-enix-games.com/en_US/news/tactics-ogre-reborn-characters-classes</x:v>
      </x:c>
      <x:c r="S115" s="24" t="str">
        <x:v>Seeded</x:v>
      </x:c>
    </x:row>
    <x:row r="116" ht="52" customHeight="1">
      <x:c r="A116" s="24" t="str">
        <x:v>ENT-0115</x:v>
      </x:c>
      <x:c r="B116" s="24" t="str">
        <x:v>Wizard / Witch</x:v>
      </x:c>
      <x:c r="C116" s="24" t="str">
        <x:v>SRC-128</x:v>
      </x:c>
      <x:c r="D116" s="24" t="str">
        <x:v>Tactics Ogre: Reborn</x:v>
      </x:c>
      <x:c r="E116" s="24" t="str">
        <x:v>Reborn game continuity</x:v>
      </x:c>
      <x:c r="F116" s="24" t="str">
        <x:v>Playable class</x:v>
      </x:c>
      <x:c r="G116" s="24" t="str">
        <x:v>ROL-301</x:v>
      </x:c>
      <x:c r="H116" s="24" t="str">
        <x:f>IFERROR(VLOOKUP(G116,'Master Taxonomy'!$A$2:$B$1656,2,FALSE),"")</x:f>
        <x:v>Mage and Wizard</x:v>
      </x:c>
      <x:c r="I116" s="24" t="str">
        <x:v>ROL-303</x:v>
      </x:c>
      <x:c r="J116" s="24" t="str">
        <x:v>Witch</x:v>
      </x:c>
      <x:c r="K116" s="24" t="str">
        <x:v>General offensive and utility spellcasting class.</x:v>
      </x:c>
      <x:c r="L116" s="24" t="str">
        <x:v>Learned spell use and elemental access.</x:v>
      </x:c>
      <x:c r="M116" s="24" t="str">
        <x:v>Wizard and Witch are paired mechanical labels rather than universal gendered ontologies.</x:v>
      </x:c>
      <x:c r="N116" s="24" t="str">
        <x:v>General arcane caster.</x:v>
      </x:c>
      <x:c r="O116" s="24" t="str">
        <x:v>Primary canon</x:v>
      </x:c>
      <x:c r="P116" s="24" t="str">
        <x:v>Official reference reviewed</x:v>
      </x:c>
      <x:c r="Q116" s="24" t="str">
        <x:v>Square Enix official character and class overview for Tactics Ogre: Reborn.</x:v>
      </x:c>
      <x:c r="R116" s="84" t="str">
        <x:v>https://www.square-enix-games.com/en_US/news/tactics-ogre-reborn-characters-classes</x:v>
      </x:c>
      <x:c r="S116" s="24" t="str">
        <x:v>Seeded</x:v>
      </x:c>
    </x:row>
    <x:row r="117" ht="52" customHeight="1">
      <x:c r="A117" s="24" t="str">
        <x:v>ENT-0116</x:v>
      </x:c>
      <x:c r="B117" s="24" t="str">
        <x:v>Cleric</x:v>
      </x:c>
      <x:c r="C117" s="24" t="str">
        <x:v>SRC-128</x:v>
      </x:c>
      <x:c r="D117" s="24" t="str">
        <x:v>Tactics Ogre: Reborn</x:v>
      </x:c>
      <x:c r="E117" s="24" t="str">
        <x:v>Reborn game continuity</x:v>
      </x:c>
      <x:c r="F117" s="24" t="str">
        <x:v>Playable class</x:v>
      </x:c>
      <x:c r="G117" s="24" t="str">
        <x:v>ROL-402</x:v>
      </x:c>
      <x:c r="H117" s="24" t="str">
        <x:f>IFERROR(VLOOKUP(G117,'Master Taxonomy'!$A$2:$B$1656,2,FALSE),"")</x:f>
        <x:v>Cleric</x:v>
      </x:c>
      <x:c r="I117" s="24" t="str">
        <x:v>MEC-112</x:v>
      </x:c>
      <x:c r="J117" s="24" t="str">
        <x:v>Healer</x:v>
      </x:c>
      <x:c r="K117" s="24" t="str">
        <x:v>Divine-support class emphasizing recovery and anti-undead functions.</x:v>
      </x:c>
      <x:c r="L117" s="24" t="str">
        <x:v>Sacred magic and support actions.</x:v>
      </x:c>
      <x:c r="M117" s="24" t="str">
        <x:v>Its exorcism function is unusually important in the game's undead rules.</x:v>
      </x:c>
      <x:c r="N117" s="24" t="str">
        <x:v>Healer and anti-undead support.</x:v>
      </x:c>
      <x:c r="O117" s="24" t="str">
        <x:v>Primary canon</x:v>
      </x:c>
      <x:c r="P117" s="24" t="str">
        <x:v>Official reference reviewed</x:v>
      </x:c>
      <x:c r="Q117" s="24" t="str">
        <x:v>Square Enix official character and class overview for Tactics Ogre: Reborn.</x:v>
      </x:c>
      <x:c r="R117" s="84" t="str">
        <x:v>https://www.square-enix-games.com/en_US/news/tactics-ogre-reborn-characters-classes</x:v>
      </x:c>
      <x:c r="S117" s="24" t="str">
        <x:v>Seeded</x:v>
      </x:c>
    </x:row>
    <x:row r="118" ht="52" customHeight="1">
      <x:c r="A118" s="24" t="str">
        <x:v>ENT-0117</x:v>
      </x:c>
      <x:c r="B118" s="24" t="str">
        <x:v>Rune Fencer / Valkyrie</x:v>
      </x:c>
      <x:c r="C118" s="24" t="str">
        <x:v>SRC-128</x:v>
      </x:c>
      <x:c r="D118" s="24" t="str">
        <x:v>Tactics Ogre: Reborn</x:v>
      </x:c>
      <x:c r="E118" s="24" t="str">
        <x:v>Reborn game continuity</x:v>
      </x:c>
      <x:c r="F118" s="24" t="str">
        <x:v>Playable class</x:v>
      </x:c>
      <x:c r="G118" s="24" t="str">
        <x:v>ROL-801</x:v>
      </x:c>
      <x:c r="H118" s="24" t="str">
        <x:f>IFERROR(VLOOKUP(G118,'Master Taxonomy'!$A$2:$B$1656,2,FALSE),"")</x:f>
        <x:v>Spellblade or Gish</x:v>
      </x:c>
      <x:c r="I118" s="24" t="str">
        <x:v>ROL-803</x:v>
      </x:c>
      <x:c r="J118" s="24" t="str">
        <x:v>Rune Knight</x:v>
      </x:c>
      <x:c r="K118" s="24" t="str">
        <x:v>Hybrid weapon-and-magic class with mobile elemental utility.</x:v>
      </x:c>
      <x:c r="L118" s="24" t="str">
        <x:v>Martial training, rune-like magic, and flexible equipment.</x:v>
      </x:c>
      <x:c r="M118" s="24" t="str">
        <x:v>The paired names vary by character presentation but share a rules role.</x:v>
      </x:c>
      <x:c r="N118" s="24" t="str">
        <x:v>Mobile spellblade.</x:v>
      </x:c>
      <x:c r="O118" s="24" t="str">
        <x:v>Primary canon</x:v>
      </x:c>
      <x:c r="P118" s="24" t="str">
        <x:v>Official reference reviewed</x:v>
      </x:c>
      <x:c r="Q118" s="24" t="str">
        <x:v>Square Enix official character and class overview for Tactics Ogre: Reborn.</x:v>
      </x:c>
      <x:c r="R118" s="84" t="str">
        <x:v>https://www.square-enix-games.com/en_US/news/tactics-ogre-reborn-characters-classes</x:v>
      </x:c>
      <x:c r="S118" s="24" t="str">
        <x:v>Seeded</x:v>
      </x:c>
    </x:row>
    <x:row r="119" ht="52" customHeight="1">
      <x:c r="A119" s="24" t="str">
        <x:v>ENT-0118</x:v>
      </x:c>
      <x:c r="B119" s="24" t="str">
        <x:v>Knight</x:v>
      </x:c>
      <x:c r="C119" s="24" t="str">
        <x:v>SRC-128</x:v>
      </x:c>
      <x:c r="D119" s="24" t="str">
        <x:v>Tactics Ogre: Reborn</x:v>
      </x:c>
      <x:c r="E119" s="24" t="str">
        <x:v>Reborn game continuity</x:v>
      </x:c>
      <x:c r="F119" s="24" t="str">
        <x:v>Playable class</x:v>
      </x:c>
      <x:c r="G119" s="24" t="str">
        <x:v>ROL-115</x:v>
      </x:c>
      <x:c r="H119" s="24" t="str">
        <x:f>IFERROR(VLOOKUP(G119,'Master Taxonomy'!$A$2:$B$1656,2,FALSE),"")</x:f>
        <x:v>Knight</x:v>
      </x:c>
      <x:c r="I119" s="24" t="str">
        <x:v>ROL-110</x:v>
      </x:c>
      <x:c r="J119" s="24" t="str">
        <x:v>Shieldbearer and Guardian</x:v>
      </x:c>
      <x:c r="K119" s="24" t="str">
        <x:v>Armored defensive class with control and protection functions.</x:v>
      </x:c>
      <x:c r="L119" s="24" t="str">
        <x:v>Armor, shields, weapon skill, and defensive abilities.</x:v>
      </x:c>
      <x:c r="M119" s="24" t="str">
        <x:v>A mechanical defender, not only a hereditary social rank.</x:v>
      </x:c>
      <x:c r="N119" s="24" t="str">
        <x:v>Tank and protector.</x:v>
      </x:c>
      <x:c r="O119" s="24" t="str">
        <x:v>Primary canon</x:v>
      </x:c>
      <x:c r="P119" s="24" t="str">
        <x:v>Official reference reviewed</x:v>
      </x:c>
      <x:c r="Q119" s="24" t="str">
        <x:v>Square Enix official character and class overview for Tactics Ogre: Reborn.</x:v>
      </x:c>
      <x:c r="R119" s="84" t="str">
        <x:v>https://www.square-enix-games.com/en_US/news/tactics-ogre-reborn-characters-classes</x:v>
      </x:c>
      <x:c r="S119" s="24" t="str">
        <x:v>Seeded</x:v>
      </x:c>
    </x:row>
    <x:row r="120" ht="52" customHeight="1">
      <x:c r="A120" s="24" t="str">
        <x:v>ENT-0119</x:v>
      </x:c>
      <x:c r="B120" s="24" t="str">
        <x:v>Terror Knight</x:v>
      </x:c>
      <x:c r="C120" s="24" t="str">
        <x:v>SRC-128</x:v>
      </x:c>
      <x:c r="D120" s="24" t="str">
        <x:v>Tactics Ogre: Reborn</x:v>
      </x:c>
      <x:c r="E120" s="24" t="str">
        <x:v>Reborn game continuity</x:v>
      </x:c>
      <x:c r="F120" s="24" t="str">
        <x:v>Playable class</x:v>
      </x:c>
      <x:c r="G120" s="24" t="str">
        <x:v>ROL-119</x:v>
      </x:c>
      <x:c r="H120" s="24" t="str">
        <x:f>IFERROR(VLOOKUP(G120,'Master Taxonomy'!$A$2:$B$1656,2,FALSE),"")</x:f>
        <x:v>Terror Knight and Fear Warrior</x:v>
      </x:c>
      <x:c r="I120" s="24" t="str">
        <x:v>ROL-118</x:v>
      </x:c>
      <x:c r="J120" s="24" t="str">
        <x:v>Dark Knight and Blackguard</x:v>
      </x:c>
      <x:c r="K120" s="24" t="str">
        <x:v>Dark armored class using fear and debilitation to control enemies.</x:v>
      </x:c>
      <x:c r="L120" s="24" t="str">
        <x:v>Martial training, dark affinity, and fear effects.</x:v>
      </x:c>
      <x:c r="M120" s="24" t="str">
        <x:v>Not simply an evil version of Knight; battlefield morale is central.</x:v>
      </x:c>
      <x:c r="N120" s="24" t="str">
        <x:v>Debuff tank and fear warrior.</x:v>
      </x:c>
      <x:c r="O120" s="24" t="str">
        <x:v>Primary canon</x:v>
      </x:c>
      <x:c r="P120" s="24" t="str">
        <x:v>Official reference reviewed</x:v>
      </x:c>
      <x:c r="Q120" s="24" t="str">
        <x:v>Square Enix official character and class overview for Tactics Ogre: Reborn.</x:v>
      </x:c>
      <x:c r="R120" s="84" t="str">
        <x:v>https://www.square-enix-games.com/en_US/news/tactics-ogre-reborn-characters-classes</x:v>
      </x:c>
      <x:c r="S120" s="24" t="str">
        <x:v>Seeded</x:v>
      </x:c>
    </x:row>
    <x:row r="121" ht="52" customHeight="1">
      <x:c r="A121" s="24" t="str">
        <x:v>ENT-0120</x:v>
      </x:c>
      <x:c r="B121" s="24" t="str">
        <x:v>Berserker</x:v>
      </x:c>
      <x:c r="C121" s="24" t="str">
        <x:v>SRC-128</x:v>
      </x:c>
      <x:c r="D121" s="24" t="str">
        <x:v>Tactics Ogre: Reborn</x:v>
      </x:c>
      <x:c r="E121" s="24" t="str">
        <x:v>Reborn game continuity</x:v>
      </x:c>
      <x:c r="F121" s="24" t="str">
        <x:v>Playable class</x:v>
      </x:c>
      <x:c r="G121" s="24" t="str">
        <x:v>ROL-111</x:v>
      </x:c>
      <x:c r="H121" s="24" t="str">
        <x:f>IFERROR(VLOOKUP(G121,'Master Taxonomy'!$A$2:$B$1656,2,FALSE),"")</x:f>
        <x:v>Berserker</x:v>
      </x:c>
      <x:c r="I121" s="24" t="str"/>
      <x:c r="J121" s="24" t="str"/>
      <x:c r="K121" s="24" t="str">
        <x:v>High-damage melee class trading precision and safety for sweeping force.</x:v>
      </x:c>
      <x:c r="L121" s="24" t="str">
        <x:v>Martial fury and area attacks.</x:v>
      </x:c>
      <x:c r="M121" s="24" t="str">
        <x:v>Game mechanics separate it from the broader literary berserker image.</x:v>
      </x:c>
      <x:c r="N121" s="24" t="str">
        <x:v>Area melee striker.</x:v>
      </x:c>
      <x:c r="O121" s="24" t="str">
        <x:v>Primary canon</x:v>
      </x:c>
      <x:c r="P121" s="24" t="str">
        <x:v>Official reference reviewed</x:v>
      </x:c>
      <x:c r="Q121" s="24" t="str">
        <x:v>Square Enix official character and class overview for Tactics Ogre: Reborn.</x:v>
      </x:c>
      <x:c r="R121" s="84" t="str">
        <x:v>https://www.square-enix-games.com/en_US/news/tactics-ogre-reborn-characters-classes</x:v>
      </x:c>
      <x:c r="S121" s="24" t="str">
        <x:v>Seeded</x:v>
      </x:c>
    </x:row>
    <x:row r="122" ht="52" customHeight="1">
      <x:c r="A122" s="24" t="str">
        <x:v>ENT-0121</x:v>
      </x:c>
      <x:c r="B122" s="24" t="str">
        <x:v>Swordmaster</x:v>
      </x:c>
      <x:c r="C122" s="24" t="str">
        <x:v>SRC-128</x:v>
      </x:c>
      <x:c r="D122" s="24" t="str">
        <x:v>Tactics Ogre: Reborn</x:v>
      </x:c>
      <x:c r="E122" s="24" t="str">
        <x:v>Reborn game continuity</x:v>
      </x:c>
      <x:c r="F122" s="24" t="str">
        <x:v>Playable class</x:v>
      </x:c>
      <x:c r="G122" s="24" t="str">
        <x:v>ROL-107</x:v>
      </x:c>
      <x:c r="H122" s="24" t="str">
        <x:f>IFERROR(VLOOKUP(G122,'Master Taxonomy'!$A$2:$B$1656,2,FALSE),"")</x:f>
        <x:v>Swordsman</x:v>
      </x:c>
      <x:c r="I122" s="24" t="str">
        <x:v>ROL-114</x:v>
      </x:c>
      <x:c r="J122" s="24" t="str">
        <x:v>Duelist and Fencer</x:v>
      </x:c>
      <x:c r="K122" s="24" t="str">
        <x:v>Technique-focused sword class with support dances and counters.</x:v>
      </x:c>
      <x:c r="L122" s="24" t="str">
        <x:v>Weapon mastery, stance, and performance techniques.</x:v>
      </x:c>
      <x:c r="M122" s="24" t="str">
        <x:v>It combines dueling and party-support functions.</x:v>
      </x:c>
      <x:c r="N122" s="24" t="str">
        <x:v>Technical swordsman and support duelist.</x:v>
      </x:c>
      <x:c r="O122" s="24" t="str">
        <x:v>Primary canon</x:v>
      </x:c>
      <x:c r="P122" s="24" t="str">
        <x:v>Official reference reviewed</x:v>
      </x:c>
      <x:c r="Q122" s="24" t="str">
        <x:v>Square Enix official character and class overview for Tactics Ogre: Reborn.</x:v>
      </x:c>
      <x:c r="R122" s="84" t="str">
        <x:v>https://www.square-enix-games.com/en_US/news/tactics-ogre-reborn-characters-classes</x:v>
      </x:c>
      <x:c r="S122" s="24" t="str">
        <x:v>Seeded</x:v>
      </x:c>
    </x:row>
    <x:row r="123" ht="52" customHeight="1">
      <x:c r="A123" s="24" t="str">
        <x:v>ENT-0122</x:v>
      </x:c>
      <x:c r="B123" s="24" t="str">
        <x:v>Dragoon</x:v>
      </x:c>
      <x:c r="C123" s="24" t="str">
        <x:v>SRC-128</x:v>
      </x:c>
      <x:c r="D123" s="24" t="str">
        <x:v>Tactics Ogre: Reborn</x:v>
      </x:c>
      <x:c r="E123" s="24" t="str">
        <x:v>Reborn game continuity</x:v>
      </x:c>
      <x:c r="F123" s="24" t="str">
        <x:v>Playable class</x:v>
      </x:c>
      <x:c r="G123" s="24" t="str">
        <x:v>ROL-122</x:v>
      </x:c>
      <x:c r="H123" s="24" t="str">
        <x:f>IFERROR(VLOOKUP(G123,'Master Taxonomy'!$A$2:$B$1656,2,FALSE),"")</x:f>
        <x:v>Dragoon and Leaping Lancer</x:v>
      </x:c>
      <x:c r="I123" s="24" t="str">
        <x:v>ROL-145</x:v>
      </x:c>
      <x:c r="J123" s="24" t="str">
        <x:v>Dragon Slayer</x:v>
      </x:c>
      <x:c r="K123" s="24" t="str">
        <x:v>Martial class specialized against dragons and beasts.</x:v>
      </x:c>
      <x:c r="L123" s="24" t="str">
        <x:v>Polearm training and anti-monster specialization.</x:v>
      </x:c>
      <x:c r="M123" s="24" t="str">
        <x:v>Unlike Final Fantasy dragoons, jumping is not the defining feature here.</x:v>
      </x:c>
      <x:c r="N123" s="24" t="str">
        <x:v>Monster-slayer lancer.</x:v>
      </x:c>
      <x:c r="O123" s="24" t="str">
        <x:v>Primary canon</x:v>
      </x:c>
      <x:c r="P123" s="24" t="str">
        <x:v>Official reference reviewed</x:v>
      </x:c>
      <x:c r="Q123" s="24" t="str">
        <x:v>Square Enix official character and class overview for Tactics Ogre: Reborn.</x:v>
      </x:c>
      <x:c r="R123" s="84" t="str">
        <x:v>https://www.square-enix-games.com/en_US/news/tactics-ogre-reborn-characters-classes</x:v>
      </x:c>
      <x:c r="S123" s="24" t="str">
        <x:v>Seeded</x:v>
      </x:c>
    </x:row>
    <x:row r="124" ht="52" customHeight="1">
      <x:c r="A124" s="24" t="str">
        <x:v>ENT-0123</x:v>
      </x:c>
      <x:c r="B124" s="24" t="str">
        <x:v>Ninja / Kunoichi</x:v>
      </x:c>
      <x:c r="C124" s="24" t="str">
        <x:v>SRC-128</x:v>
      </x:c>
      <x:c r="D124" s="24" t="str">
        <x:v>Tactics Ogre: Reborn</x:v>
      </x:c>
      <x:c r="E124" s="24" t="str">
        <x:v>Reborn game continuity</x:v>
      </x:c>
      <x:c r="F124" s="24" t="str">
        <x:v>Playable class</x:v>
      </x:c>
      <x:c r="G124" s="24" t="str">
        <x:v>ROL-210</x:v>
      </x:c>
      <x:c r="H124" s="24" t="str">
        <x:f>IFERROR(VLOOKUP(G124,'Master Taxonomy'!$A$2:$B$1656,2,FALSE),"")</x:f>
        <x:v>Ninja-Derived Operative</x:v>
      </x:c>
      <x:c r="I124" s="24" t="str"/>
      <x:c r="J124" s="24" t="str"/>
      <x:c r="K124" s="24" t="str">
        <x:v>Fast skirmishing class using dual weapons, mobility, and ninjutsu.</x:v>
      </x:c>
      <x:c r="L124" s="24" t="str">
        <x:v>Training, agility, weapons, and specialized magic.</x:v>
      </x:c>
      <x:c r="M124" s="24" t="str">
        <x:v>A game-synthesized ninja role, not a historical taxonomy.</x:v>
      </x:c>
      <x:c r="N124" s="24" t="str">
        <x:v>Mobile assassin-spellblade.</x:v>
      </x:c>
      <x:c r="O124" s="24" t="str">
        <x:v>Primary canon</x:v>
      </x:c>
      <x:c r="P124" s="24" t="str">
        <x:v>Official reference reviewed</x:v>
      </x:c>
      <x:c r="Q124" s="24" t="str">
        <x:v>Square Enix official character and class overview for Tactics Ogre: Reborn.</x:v>
      </x:c>
      <x:c r="R124" s="84" t="str">
        <x:v>https://www.square-enix-games.com/en_US/news/tactics-ogre-reborn-characters-classes</x:v>
      </x:c>
      <x:c r="S124" s="24" t="str">
        <x:v>Seeded</x:v>
      </x:c>
    </x:row>
    <x:row r="125" ht="52" customHeight="1">
      <x:c r="A125" s="24" t="str">
        <x:v>ENT-0124</x:v>
      </x:c>
      <x:c r="B125" s="24" t="str">
        <x:v>Rogue</x:v>
      </x:c>
      <x:c r="C125" s="24" t="str">
        <x:v>SRC-128</x:v>
      </x:c>
      <x:c r="D125" s="24" t="str">
        <x:v>Tactics Ogre: Reborn</x:v>
      </x:c>
      <x:c r="E125" s="24" t="str">
        <x:v>Reborn game continuity</x:v>
      </x:c>
      <x:c r="F125" s="24" t="str">
        <x:v>Playable or legacy class</x:v>
      </x:c>
      <x:c r="G125" s="24" t="str">
        <x:v>ROL-205</x:v>
      </x:c>
      <x:c r="H125" s="24" t="str">
        <x:f>IFERROR(VLOOKUP(G125,'Master Taxonomy'!$A$2:$B$1656,2,FALSE),"")</x:f>
        <x:v>Rogue</x:v>
      </x:c>
      <x:c r="I125" s="24" t="str"/>
      <x:c r="J125" s="24" t="str"/>
      <x:c r="K125" s="24" t="str">
        <x:v>Stealth, traps, mobility, and opportunistic combat role.</x:v>
      </x:c>
      <x:c r="L125" s="24" t="str">
        <x:v>Skills, positioning, and underworld techniques.</x:v>
      </x:c>
      <x:c r="M125" s="24" t="str">
        <x:v>Availability differs across versions and recruitment contexts.</x:v>
      </x:c>
      <x:c r="N125" s="24" t="str">
        <x:v>Stealth specialist.</x:v>
      </x:c>
      <x:c r="O125" s="24" t="str">
        <x:v>Primary canon</x:v>
      </x:c>
      <x:c r="P125" s="24" t="str">
        <x:v>Official reference reviewed</x:v>
      </x:c>
      <x:c r="Q125" s="24" t="str">
        <x:v>Square Enix official character and class overview for Tactics Ogre: Reborn.</x:v>
      </x:c>
      <x:c r="R125" s="84" t="str">
        <x:v>https://www.square-enix-games.com/en_US/news/tactics-ogre-reborn-characters-classes</x:v>
      </x:c>
      <x:c r="S125" s="24" t="str">
        <x:v>Seeded</x:v>
      </x:c>
    </x:row>
    <x:row r="126" ht="52" customHeight="1">
      <x:c r="A126" s="24" t="str">
        <x:v>ENT-0125</x:v>
      </x:c>
      <x:c r="B126" s="24" t="str">
        <x:v>Fusilier</x:v>
      </x:c>
      <x:c r="C126" s="24" t="str">
        <x:v>SRC-128</x:v>
      </x:c>
      <x:c r="D126" s="24" t="str">
        <x:v>Tactics Ogre: Reborn</x:v>
      </x:c>
      <x:c r="E126" s="24" t="str">
        <x:v>Reborn game continuity</x:v>
      </x:c>
      <x:c r="F126" s="24" t="str">
        <x:v>Playable class</x:v>
      </x:c>
      <x:c r="G126" s="24" t="str">
        <x:v>ROL-129</x:v>
      </x:c>
      <x:c r="H126" s="24" t="str">
        <x:f>IFERROR(VLOOKUP(G126,'Master Taxonomy'!$A$2:$B$1656,2,FALSE),"")</x:f>
        <x:v>Gunner and Fusilier</x:v>
      </x:c>
      <x:c r="I126" s="24" t="str"/>
      <x:c r="J126" s="24" t="str"/>
      <x:c r="K126" s="24" t="str">
        <x:v>Firearm specialist with long-range physical attacks.</x:v>
      </x:c>
      <x:c r="L126" s="24" t="str">
        <x:v>Gun technology, ammunition abstraction, and marksmanship.</x:v>
      </x:c>
      <x:c r="M126" s="24" t="str">
        <x:v>Introduces early-modern weaponry into the fantasy tactical roster.</x:v>
      </x:c>
      <x:c r="N126" s="24" t="str">
        <x:v>Gun specialist.</x:v>
      </x:c>
      <x:c r="O126" s="24" t="str">
        <x:v>Primary canon</x:v>
      </x:c>
      <x:c r="P126" s="24" t="str">
        <x:v>Official reference reviewed</x:v>
      </x:c>
      <x:c r="Q126" s="24" t="str">
        <x:v>Square Enix official character and class overview for Tactics Ogre: Reborn.</x:v>
      </x:c>
      <x:c r="R126" s="84" t="str">
        <x:v>https://www.square-enix-games.com/en_US/news/tactics-ogre-reborn-characters-classes</x:v>
      </x:c>
      <x:c r="S126" s="24" t="str">
        <x:v>Seeded</x:v>
      </x:c>
    </x:row>
    <x:row r="127" ht="52" customHeight="1">
      <x:c r="A127" s="24" t="str">
        <x:v>ENT-0126</x:v>
      </x:c>
      <x:c r="B127" s="24" t="str">
        <x:v>Beast Tamer</x:v>
      </x:c>
      <x:c r="C127" s="24" t="str">
        <x:v>SRC-128</x:v>
      </x:c>
      <x:c r="D127" s="24" t="str">
        <x:v>Tactics Ogre: Reborn</x:v>
      </x:c>
      <x:c r="E127" s="24" t="str">
        <x:v>Reborn game continuity</x:v>
      </x:c>
      <x:c r="F127" s="24" t="str">
        <x:v>Playable class</x:v>
      </x:c>
      <x:c r="G127" s="24" t="str">
        <x:v>ROL-507</x:v>
      </x:c>
      <x:c r="H127" s="24" t="str">
        <x:f>IFERROR(VLOOKUP(G127,'Master Taxonomy'!$A$2:$B$1656,2,FALSE),"")</x:f>
        <x:v>Beastmaster and Beast Tamer</x:v>
      </x:c>
      <x:c r="I127" s="24" t="str">
        <x:v>ROL-814</x:v>
      </x:c>
      <x:c r="J127" s="24" t="str">
        <x:v>Beast Tamer Combatant</x:v>
      </x:c>
      <x:c r="K127" s="24" t="str">
        <x:v>Class specializing in recruiting and empowering beasts and dragons.</x:v>
      </x:c>
      <x:c r="L127" s="24" t="str">
        <x:v>Animal handling, battlefield adjacency, and monster synergy.</x:v>
      </x:c>
      <x:c r="M127" s="24" t="str">
        <x:v>Its core identity is party ecology rather than personal transformation.</x:v>
      </x:c>
      <x:c r="N127" s="24" t="str">
        <x:v>Pet and monster support role.</x:v>
      </x:c>
      <x:c r="O127" s="24" t="str">
        <x:v>Primary canon</x:v>
      </x:c>
      <x:c r="P127" s="24" t="str">
        <x:v>Official reference reviewed</x:v>
      </x:c>
      <x:c r="Q127" s="24" t="str">
        <x:v>Square Enix official character and class overview for Tactics Ogre: Reborn.</x:v>
      </x:c>
      <x:c r="R127" s="84" t="str">
        <x:v>https://www.square-enix-games.com/en_US/news/tactics-ogre-reborn-characters-classes</x:v>
      </x:c>
      <x:c r="S127" s="24" t="str">
        <x:v>Seeded</x:v>
      </x:c>
    </x:row>
    <x:row r="128" ht="52" customHeight="1">
      <x:c r="A128" s="24" t="str">
        <x:v>ENT-0127</x:v>
      </x:c>
      <x:c r="B128" s="24" t="str">
        <x:v>Warlock</x:v>
      </x:c>
      <x:c r="C128" s="24" t="str">
        <x:v>SRC-128</x:v>
      </x:c>
      <x:c r="D128" s="24" t="str">
        <x:v>Tactics Ogre: Reborn</x:v>
      </x:c>
      <x:c r="E128" s="24" t="str">
        <x:v>Reborn game continuity</x:v>
      </x:c>
      <x:c r="F128" s="24" t="str">
        <x:v>Playable class</x:v>
      </x:c>
      <x:c r="G128" s="24" t="str">
        <x:v>ROL-304</x:v>
      </x:c>
      <x:c r="H128" s="24" t="str">
        <x:f>IFERROR(VLOOKUP(G128,'Master Taxonomy'!$A$2:$B$1656,2,FALSE),"")</x:f>
        <x:v>Warlock</x:v>
      </x:c>
      <x:c r="I128" s="24" t="str">
        <x:v>ROL-306</x:v>
      </x:c>
      <x:c r="J128" s="24" t="str">
        <x:v>Magical Scholar</x:v>
      </x:c>
      <x:c r="K128" s="24" t="str">
        <x:v>Advanced magical class associated with golems, rituals, and broad spell access.</x:v>
      </x:c>
      <x:c r="L128" s="24" t="str">
        <x:v>Learned occult magic and specialized knowledge.</x:v>
      </x:c>
      <x:c r="M128" s="24" t="str">
        <x:v>The title is not necessarily pact-based as in D&amp;D.</x:v>
      </x:c>
      <x:c r="N128" s="24" t="str">
        <x:v>Advanced arcane specialist.</x:v>
      </x:c>
      <x:c r="O128" s="24" t="str">
        <x:v>Primary canon</x:v>
      </x:c>
      <x:c r="P128" s="24" t="str">
        <x:v>Official reference reviewed</x:v>
      </x:c>
      <x:c r="Q128" s="24" t="str">
        <x:v>Square Enix official character and class overview for Tactics Ogre: Reborn.</x:v>
      </x:c>
      <x:c r="R128" s="84" t="str">
        <x:v>https://www.square-enix-games.com/en_US/news/tactics-ogre-reborn-characters-classes</x:v>
      </x:c>
      <x:c r="S128" s="24" t="str">
        <x:v>Seeded</x:v>
      </x:c>
    </x:row>
    <x:row r="129" ht="52" customHeight="1">
      <x:c r="A129" s="24" t="str">
        <x:v>ENT-0128</x:v>
      </x:c>
      <x:c r="B129" s="24" t="str">
        <x:v>Necromancer</x:v>
      </x:c>
      <x:c r="C129" s="24" t="str">
        <x:v>SRC-128</x:v>
      </x:c>
      <x:c r="D129" s="24" t="str">
        <x:v>Tactics Ogre: Reborn</x:v>
      </x:c>
      <x:c r="E129" s="24" t="str">
        <x:v>Reborn game continuity</x:v>
      </x:c>
      <x:c r="F129" s="24" t="str">
        <x:v>Playable class</x:v>
      </x:c>
      <x:c r="G129" s="24" t="str">
        <x:v>ROL-315</x:v>
      </x:c>
      <x:c r="H129" s="24" t="str">
        <x:f>IFERROR(VLOOKUP(G129,'Master Taxonomy'!$A$2:$B$1656,2,FALSE),"")</x:f>
        <x:v>Necromancer</x:v>
      </x:c>
      <x:c r="I129" s="24" t="str"/>
      <x:c r="J129" s="24" t="str"/>
      <x:c r="K129" s="24" t="str">
        <x:v>Forbidden caster class manipulating the dead and necromantic magic.</x:v>
      </x:c>
      <x:c r="L129" s="24" t="str">
        <x:v>Learned death magic and undead systems.</x:v>
      </x:c>
      <x:c r="M129" s="24" t="str">
        <x:v>Class access and narrative status are continuity-specific.</x:v>
      </x:c>
      <x:c r="N129" s="24" t="str">
        <x:v>Undead controller.</x:v>
      </x:c>
      <x:c r="O129" s="24" t="str">
        <x:v>Primary canon</x:v>
      </x:c>
      <x:c r="P129" s="24" t="str">
        <x:v>Official reference reviewed</x:v>
      </x:c>
      <x:c r="Q129" s="24" t="str">
        <x:v>Square Enix official character and class overview for Tactics Ogre: Reborn.</x:v>
      </x:c>
      <x:c r="R129" s="84" t="str">
        <x:v>https://www.square-enix-games.com/en_US/news/tactics-ogre-reborn-characters-classes</x:v>
      </x:c>
      <x:c r="S129" s="24" t="str">
        <x:v>Seeded</x:v>
      </x:c>
    </x:row>
    <x:row r="130" ht="52" customHeight="1">
      <x:c r="A130" s="24" t="str">
        <x:v>ENT-0129</x:v>
      </x:c>
      <x:c r="B130" s="24" t="str">
        <x:v>Lich</x:v>
      </x:c>
      <x:c r="C130" s="24" t="str">
        <x:v>SRC-128</x:v>
      </x:c>
      <x:c r="D130" s="24" t="str">
        <x:v>Tactics Ogre: Reborn</x:v>
      </x:c>
      <x:c r="E130" s="24" t="str">
        <x:v>Reborn game continuity</x:v>
      </x:c>
      <x:c r="F130" s="24" t="str">
        <x:v>Transformed class / being</x:v>
      </x:c>
      <x:c r="G130" s="24" t="str">
        <x:v>PPL-608</x:v>
      </x:c>
      <x:c r="H130" s="24" t="str">
        <x:f>IFERROR(VLOOKUP(G130,'Master Taxonomy'!$A$2:$B$1656,2,FALSE),"")</x:f>
        <x:v>Liches</x:v>
      </x:c>
      <x:c r="I130" s="24" t="str">
        <x:v>STA-107</x:v>
      </x:c>
      <x:c r="J130" s="24" t="str">
        <x:v>Lichdom</x:v>
      </x:c>
      <x:c r="K130" s="24" t="str">
        <x:v>Powerful undead spellcaster state and class identity.</x:v>
      </x:c>
      <x:c r="L130" s="24" t="str">
        <x:v>Transformation into undead existence and advanced magic.</x:v>
      </x:c>
      <x:c r="M130" s="24" t="str">
        <x:v>It crosses being type, transformation, and mechanical class.</x:v>
      </x:c>
      <x:c r="N130" s="24" t="str">
        <x:v>Playable lich template.</x:v>
      </x:c>
      <x:c r="O130" s="24" t="str">
        <x:v>Primary canon</x:v>
      </x:c>
      <x:c r="P130" s="24" t="str">
        <x:v>Official reference reviewed</x:v>
      </x:c>
      <x:c r="Q130" s="24" t="str">
        <x:v>Square Enix official character and class overview for Tactics Ogre: Reborn.</x:v>
      </x:c>
      <x:c r="R130" s="84" t="str">
        <x:v>https://www.square-enix-games.com/en_US/news/tactics-ogre-reborn-characters-classes</x:v>
      </x:c>
      <x:c r="S130" s="24" t="str">
        <x:v>Seeded</x:v>
      </x:c>
    </x:row>
    <x:row r="131" ht="52" customHeight="1">
      <x:c r="A131" s="24" t="str">
        <x:v>ENT-0130</x:v>
      </x:c>
      <x:c r="B131" s="24" t="str">
        <x:v>Familiar</x:v>
      </x:c>
      <x:c r="C131" s="24" t="str">
        <x:v>SRC-128</x:v>
      </x:c>
      <x:c r="D131" s="24" t="str">
        <x:v>Tactics Ogre: Reborn</x:v>
      </x:c>
      <x:c r="E131" s="24" t="str">
        <x:v>Reborn game continuity</x:v>
      </x:c>
      <x:c r="F131" s="24" t="str">
        <x:v>Species-limited class</x:v>
      </x:c>
      <x:c r="G131" s="24" t="str">
        <x:v>ROL-301</x:v>
      </x:c>
      <x:c r="H131" s="24" t="str">
        <x:f>IFERROR(VLOOKUP(G131,'Master Taxonomy'!$A$2:$B$1656,2,FALSE),"")</x:f>
        <x:v>Mage and Wizard</x:v>
      </x:c>
      <x:c r="I131" s="24" t="str">
        <x:v>STA-413</x:v>
      </x:c>
      <x:c r="J131" s="24" t="str">
        <x:v>Familiar Bond</x:v>
      </x:c>
      <x:c r="K131" s="24" t="str">
        <x:v>A magical class used by faeries and imps, with charm and support capabilities.</x:v>
      </x:c>
      <x:c r="L131" s="24" t="str">
        <x:v>Innate magical nature and class-specific spells.</x:v>
      </x:c>
      <x:c r="M131" s="24" t="str">
        <x:v>The class is not the same as a summoned animal familiar.</x:v>
      </x:c>
      <x:c r="N131" s="24" t="str">
        <x:v>Small magical support caster.</x:v>
      </x:c>
      <x:c r="O131" s="24" t="str">
        <x:v>Primary canon</x:v>
      </x:c>
      <x:c r="P131" s="24" t="str">
        <x:v>Official reference reviewed</x:v>
      </x:c>
      <x:c r="Q131" s="24" t="str">
        <x:v>Square Enix official character and class overview for Tactics Ogre: Reborn.</x:v>
      </x:c>
      <x:c r="R131" s="84" t="str">
        <x:v>https://www.square-enix-games.com/en_US/news/tactics-ogre-reborn-characters-classes</x:v>
      </x:c>
      <x:c r="S131" s="24" t="str">
        <x:v>Seeded</x:v>
      </x:c>
    </x:row>
    <x:row r="132" ht="52" customHeight="1">
      <x:c r="A132" s="24" t="str">
        <x:v>ENT-0131</x:v>
      </x:c>
      <x:c r="B132" s="24" t="str">
        <x:v>Hoplite</x:v>
      </x:c>
      <x:c r="C132" s="24" t="str">
        <x:v>SRC-128</x:v>
      </x:c>
      <x:c r="D132" s="24" t="str">
        <x:v>Tactics Ogre: Reborn</x:v>
      </x:c>
      <x:c r="E132" s="24" t="str">
        <x:v>Reborn game continuity</x:v>
      </x:c>
      <x:c r="F132" s="24" t="str">
        <x:v>Species-limited class</x:v>
      </x:c>
      <x:c r="G132" s="24" t="str">
        <x:v>ROL-104</x:v>
      </x:c>
      <x:c r="H132" s="24" t="str">
        <x:f>IFERROR(VLOOKUP(G132,'Master Taxonomy'!$A$2:$B$1656,2,FALSE),"")</x:f>
        <x:v>Heavy Infantry</x:v>
      </x:c>
      <x:c r="I132" s="24" t="str">
        <x:v>ROL-110</x:v>
      </x:c>
      <x:c r="J132" s="24" t="str">
        <x:v>Shieldbearer and Guardian</x:v>
      </x:c>
      <x:c r="K132" s="24" t="str">
        <x:v>Defensive spear-and-shield class available to specific nonhuman peoples.</x:v>
      </x:c>
      <x:c r="L132" s="24" t="str">
        <x:v>Formation-oriented martial training and equipment.</x:v>
      </x:c>
      <x:c r="M132" s="24" t="str">
        <x:v>Its restricted availability ties class to ancestry in the rules.</x:v>
      </x:c>
      <x:c r="N132" s="24" t="str">
        <x:v>Defensive polearm infantry.</x:v>
      </x:c>
      <x:c r="O132" s="24" t="str">
        <x:v>Primary canon</x:v>
      </x:c>
      <x:c r="P132" s="24" t="str">
        <x:v>Official reference reviewed</x:v>
      </x:c>
      <x:c r="Q132" s="24" t="str">
        <x:v>Square Enix official character and class overview for Tactics Ogre: Reborn.</x:v>
      </x:c>
      <x:c r="R132" s="84" t="str">
        <x:v>https://www.square-enix-games.com/en_US/news/tactics-ogre-reborn-characters-classes</x:v>
      </x:c>
      <x:c r="S132" s="24" t="str">
        <x:v>Seeded</x:v>
      </x:c>
    </x:row>
    <x:row r="133" ht="52" customHeight="1">
      <x:c r="A133" s="24" t="str">
        <x:v>ENT-0132</x:v>
      </x:c>
      <x:c r="B133" s="24" t="str">
        <x:v>Juggernaut</x:v>
      </x:c>
      <x:c r="C133" s="24" t="str">
        <x:v>SRC-128</x:v>
      </x:c>
      <x:c r="D133" s="24" t="str">
        <x:v>Tactics Ogre: Reborn</x:v>
      </x:c>
      <x:c r="E133" s="24" t="str">
        <x:v>Reborn game continuity</x:v>
      </x:c>
      <x:c r="F133" s="24" t="str">
        <x:v>Species-limited class</x:v>
      </x:c>
      <x:c r="G133" s="24" t="str">
        <x:v>ROL-104</x:v>
      </x:c>
      <x:c r="H133" s="24" t="str">
        <x:f>IFERROR(VLOOKUP(G133,'Master Taxonomy'!$A$2:$B$1656,2,FALSE),"")</x:f>
        <x:v>Heavy Infantry</x:v>
      </x:c>
      <x:c r="I133" s="24" t="str">
        <x:v>ROL-111</x:v>
      </x:c>
      <x:c r="J133" s="24" t="str">
        <x:v>Berserker</x:v>
      </x:c>
      <x:c r="K133" s="24" t="str">
        <x:v>Aggressive heavy class available to selected nonhuman peoples.</x:v>
      </x:c>
      <x:c r="L133" s="24" t="str">
        <x:v>Physical power, intimidation, and martial pressure.</x:v>
      </x:c>
      <x:c r="M133" s="24" t="str">
        <x:v>It is a class title rather than a construct or vehicle type.</x:v>
      </x:c>
      <x:c r="N133" s="24" t="str">
        <x:v>Heavy bruiser.</x:v>
      </x:c>
      <x:c r="O133" s="24" t="str">
        <x:v>Primary canon</x:v>
      </x:c>
      <x:c r="P133" s="24" t="str">
        <x:v>Official reference reviewed</x:v>
      </x:c>
      <x:c r="Q133" s="24" t="str">
        <x:v>Square Enix official character and class overview for Tactics Ogre: Reborn.</x:v>
      </x:c>
      <x:c r="R133" s="84" t="str">
        <x:v>https://www.square-enix-games.com/en_US/news/tactics-ogre-reborn-characters-classes</x:v>
      </x:c>
      <x:c r="S133" s="24" t="str">
        <x:v>Seeded</x:v>
      </x:c>
    </x:row>
    <x:row r="134" ht="52" customHeight="1">
      <x:c r="A134" s="24" t="str">
        <x:v>ENT-0133</x:v>
      </x:c>
      <x:c r="B134" s="24" t="str">
        <x:v>Vartan</x:v>
      </x:c>
      <x:c r="C134" s="24" t="str">
        <x:v>SRC-128</x:v>
      </x:c>
      <x:c r="D134" s="24" t="str">
        <x:v>Tactics Ogre: Reborn</x:v>
      </x:c>
      <x:c r="E134" s="24" t="str">
        <x:v>Reborn game continuity</x:v>
      </x:c>
      <x:c r="F134" s="24" t="str">
        <x:v>Species-limited class</x:v>
      </x:c>
      <x:c r="G134" s="24" t="str">
        <x:v>PPL-115</x:v>
      </x:c>
      <x:c r="H134" s="24" t="str">
        <x:f>IFERROR(VLOOKUP(G134,'Master Taxonomy'!$A$2:$B$1656,2,FALSE),"")</x:f>
        <x:v>Avian and Winged Humanoid Peoples</x:v>
      </x:c>
      <x:c r="I134" s="24" t="str">
        <x:v>ROL-101</x:v>
      </x:c>
      <x:c r="J134" s="24" t="str">
        <x:v>Warrior or Fighter</x:v>
      </x:c>
      <x:c r="K134" s="24" t="str">
        <x:v>Winged martial class exploiting aerial mobility and ranged or melee versatility.</x:v>
      </x:c>
      <x:c r="L134" s="24" t="str">
        <x:v>Ancestry-linked flight and martial training.</x:v>
      </x:c>
      <x:c r="M134" s="24" t="str">
        <x:v>It is simultaneously ancestry-restricted and role-defining.</x:v>
      </x:c>
      <x:c r="N134" s="24" t="str">
        <x:v>Aerial warrior.</x:v>
      </x:c>
      <x:c r="O134" s="24" t="str">
        <x:v>Primary canon</x:v>
      </x:c>
      <x:c r="P134" s="24" t="str">
        <x:v>Official reference reviewed</x:v>
      </x:c>
      <x:c r="Q134" s="24" t="str">
        <x:v>Square Enix official character and class overview for Tactics Ogre: Reborn.</x:v>
      </x:c>
      <x:c r="R134" s="84" t="str">
        <x:v>https://www.square-enix-games.com/en_US/news/tactics-ogre-reborn-characters-classes</x:v>
      </x:c>
      <x:c r="S134" s="24" t="str">
        <x:v>Seeded</x:v>
      </x:c>
    </x:row>
    <x:row r="135" ht="52" customHeight="1">
      <x:c r="A135" s="24" t="str">
        <x:v>ENT-0134</x:v>
      </x:c>
      <x:c r="B135" s="24" t="str">
        <x:v>Patriarch / Matriarch</x:v>
      </x:c>
      <x:c r="C135" s="24" t="str">
        <x:v>SRC-128</x:v>
      </x:c>
      <x:c r="D135" s="24" t="str">
        <x:v>Tactics Ogre: Reborn</x:v>
      </x:c>
      <x:c r="E135" s="24" t="str">
        <x:v>Reborn game continuity</x:v>
      </x:c>
      <x:c r="F135" s="24" t="str">
        <x:v>Species-limited class</x:v>
      </x:c>
      <x:c r="G135" s="24" t="str">
        <x:v>ROL-301</x:v>
      </x:c>
      <x:c r="H135" s="24" t="str">
        <x:f>IFERROR(VLOOKUP(G135,'Master Taxonomy'!$A$2:$B$1656,2,FALSE),"")</x:f>
        <x:v>Mage and Wizard</x:v>
      </x:c>
      <x:c r="I135" s="24" t="str">
        <x:v>ROL-700</x:v>
      </x:c>
      <x:c r="J135" s="24" t="str">
        <x:v>Leadership and Social Office Roles</x:v>
      </x:c>
      <x:c r="K135" s="24" t="str">
        <x:v>Advanced magical leadership class for selected nonhuman peoples.</x:v>
      </x:c>
      <x:c r="L135" s="24" t="str">
        <x:v>Spellcasting, status, and ancestry restriction.</x:v>
      </x:c>
      <x:c r="M135" s="24" t="str">
        <x:v>The social titles are used as class names and should not be generalized.</x:v>
      </x:c>
      <x:c r="N135" s="24" t="str">
        <x:v>Elder caster and community leader.</x:v>
      </x:c>
      <x:c r="O135" s="24" t="str">
        <x:v>Primary canon</x:v>
      </x:c>
      <x:c r="P135" s="24" t="str">
        <x:v>Official reference reviewed</x:v>
      </x:c>
      <x:c r="Q135" s="24" t="str">
        <x:v>Square Enix official character and class overview for Tactics Ogre: Reborn.</x:v>
      </x:c>
      <x:c r="R135" s="84" t="str">
        <x:v>https://www.square-enix-games.com/en_US/news/tactics-ogre-reborn-characters-classes</x:v>
      </x:c>
      <x:c r="S135" s="24" t="str">
        <x:v>Seeded</x:v>
      </x:c>
    </x:row>
    <x:row r="136" ht="52" customHeight="1">
      <x:c r="A136" s="24" t="str">
        <x:v>ENT-0135</x:v>
      </x:c>
      <x:c r="B136" s="24" t="str">
        <x:v>Lord</x:v>
      </x:c>
      <x:c r="C136" s="24" t="str">
        <x:v>SRC-128</x:v>
      </x:c>
      <x:c r="D136" s="24" t="str">
        <x:v>Tactics Ogre: Reborn</x:v>
      </x:c>
      <x:c r="E136" s="24" t="str">
        <x:v>Reborn game continuity</x:v>
      </x:c>
      <x:c r="F136" s="24" t="str">
        <x:v>Unique class</x:v>
      </x:c>
      <x:c r="G136" s="24" t="str">
        <x:v>ROL-716</x:v>
      </x:c>
      <x:c r="H136" s="24" t="str">
        <x:f>IFERROR(VLOOKUP(G136,'Master Taxonomy'!$A$2:$B$1656,2,FALSE),"")</x:f>
        <x:v>Warlord Ruler</x:v>
      </x:c>
      <x:c r="I136" s="24" t="str">
        <x:v>ROL-101</x:v>
      </x:c>
      <x:c r="J136" s="24" t="str">
        <x:v>Warrior or Fighter</x:v>
      </x:c>
      <x:c r="K136" s="24" t="str">
        <x:v>Highly flexible unique class associated with sovereign leadership and inherited skill access.</x:v>
      </x:c>
      <x:c r="L136" s="24" t="str">
        <x:v>Narrative office plus broad mechanical customization.</x:v>
      </x:c>
      <x:c r="M136" s="24" t="str">
        <x:v>It is not merely any noble lord; it is a special character class.</x:v>
      </x:c>
      <x:c r="N136" s="24" t="str">
        <x:v>Heroic ruler-generalist.</x:v>
      </x:c>
      <x:c r="O136" s="24" t="str">
        <x:v>Primary canon</x:v>
      </x:c>
      <x:c r="P136" s="24" t="str">
        <x:v>Official reference reviewed</x:v>
      </x:c>
      <x:c r="Q136" s="24" t="str">
        <x:v>Square Enix official character and class overview for Tactics Ogre: Reborn.</x:v>
      </x:c>
      <x:c r="R136" s="84" t="str">
        <x:v>https://www.square-enix-games.com/en_US/news/tactics-ogre-reborn-characters-classes</x:v>
      </x:c>
      <x:c r="S136" s="24" t="str">
        <x:v>Seeded</x:v>
      </x:c>
    </x:row>
    <x:row r="137" ht="52" customHeight="1">
      <x:c r="A137" s="24" t="str">
        <x:v>ENT-0136</x:v>
      </x:c>
      <x:c r="B137" s="24" t="str">
        <x:v>Princess</x:v>
      </x:c>
      <x:c r="C137" s="24" t="str">
        <x:v>SRC-128</x:v>
      </x:c>
      <x:c r="D137" s="24" t="str">
        <x:v>Tactics Ogre: Reborn</x:v>
      </x:c>
      <x:c r="E137" s="24" t="str">
        <x:v>Reborn game continuity</x:v>
      </x:c>
      <x:c r="F137" s="24" t="str">
        <x:v>Unique class</x:v>
      </x:c>
      <x:c r="G137" s="24" t="str">
        <x:v>ROL-702</x:v>
      </x:c>
      <x:c r="H137" s="24" t="str">
        <x:f>IFERROR(VLOOKUP(G137,'Master Taxonomy'!$A$2:$B$1656,2,FALSE),"")</x:f>
        <x:v>Prince, Princess, and Royal Heir</x:v>
      </x:c>
      <x:c r="I137" s="24" t="str">
        <x:v>ROL-402</x:v>
      </x:c>
      <x:c r="J137" s="24" t="str">
        <x:v>Cleric</x:v>
      </x:c>
      <x:c r="K137" s="24" t="str">
        <x:v>Unique royal support class combining healing, magic, and leadership.</x:v>
      </x:c>
      <x:c r="L137" s="24" t="str">
        <x:v>Dynastic office and specialized magic.</x:v>
      </x:c>
      <x:c r="M137" s="24" t="str">
        <x:v>The class fuses narrative status with party-support mechanics.</x:v>
      </x:c>
      <x:c r="N137" s="24" t="str">
        <x:v>Royal support caster.</x:v>
      </x:c>
      <x:c r="O137" s="24" t="str">
        <x:v>Primary canon</x:v>
      </x:c>
      <x:c r="P137" s="24" t="str">
        <x:v>Official reference reviewed</x:v>
      </x:c>
      <x:c r="Q137" s="24" t="str">
        <x:v>Square Enix official character and class overview for Tactics Ogre: Reborn.</x:v>
      </x:c>
      <x:c r="R137" s="84" t="str">
        <x:v>https://www.square-enix-games.com/en_US/news/tactics-ogre-reborn-characters-classes</x:v>
      </x:c>
      <x:c r="S137" s="24" t="str">
        <x:v>Seeded</x:v>
      </x:c>
    </x:row>
    <x:row r="138" ht="52" customHeight="1">
      <x:c r="A138" s="24" t="str">
        <x:v>ENT-0137</x:v>
      </x:c>
      <x:c r="B138" s="24" t="str">
        <x:v>Buccaneer</x:v>
      </x:c>
      <x:c r="C138" s="24" t="str">
        <x:v>SRC-128</x:v>
      </x:c>
      <x:c r="D138" s="24" t="str">
        <x:v>Tactics Ogre: Reborn</x:v>
      </x:c>
      <x:c r="E138" s="24" t="str">
        <x:v>Reborn game continuity</x:v>
      </x:c>
      <x:c r="F138" s="24" t="str">
        <x:v>Unique class</x:v>
      </x:c>
      <x:c r="G138" s="24" t="str">
        <x:v>ROL-135</x:v>
      </x:c>
      <x:c r="H138" s="24" t="str">
        <x:f>IFERROR(VLOOKUP(G138,'Master Taxonomy'!$A$2:$B$1656,2,FALSE),"")</x:f>
        <x:v>Pirate and Corsair</x:v>
      </x:c>
      <x:c r="I138" s="24" t="str">
        <x:v>ROL-114</x:v>
      </x:c>
      <x:c r="J138" s="24" t="str">
        <x:v>Duelist and Fencer</x:v>
      </x:c>
      <x:c r="K138" s="24" t="str">
        <x:v>Mobile unique class combining firearms, blades, and seafaring flair.</x:v>
      </x:c>
      <x:c r="L138" s="24" t="str">
        <x:v>Martial training, mobility, and mixed weapons.</x:v>
      </x:c>
      <x:c r="M138" s="24" t="str">
        <x:v>Not a generic pirate unit; tied to particular characters and story context.</x:v>
      </x:c>
      <x:c r="N138" s="24" t="str">
        <x:v>Swashbuckler hybrid.</x:v>
      </x:c>
      <x:c r="O138" s="24" t="str">
        <x:v>Primary canon</x:v>
      </x:c>
      <x:c r="P138" s="24" t="str">
        <x:v>Official reference reviewed</x:v>
      </x:c>
      <x:c r="Q138" s="24" t="str">
        <x:v>Square Enix official character and class overview for Tactics Ogre: Reborn.</x:v>
      </x:c>
      <x:c r="R138" s="84" t="str">
        <x:v>https://www.square-enix-games.com/en_US/news/tactics-ogre-reborn-characters-classes</x:v>
      </x:c>
      <x:c r="S138" s="24" t="str">
        <x:v>Seeded</x:v>
      </x:c>
    </x:row>
    <x:row r="139" ht="52" customHeight="1">
      <x:c r="A139" s="24" t="str">
        <x:v>ENT-0138</x:v>
      </x:c>
      <x:c r="B139" s="24" t="str">
        <x:v>Shaman</x:v>
      </x:c>
      <x:c r="C139" s="24" t="str">
        <x:v>SRC-128</x:v>
      </x:c>
      <x:c r="D139" s="24" t="str">
        <x:v>Tactics Ogre: Reborn</x:v>
      </x:c>
      <x:c r="E139" s="24" t="str">
        <x:v>Reborn game continuity</x:v>
      </x:c>
      <x:c r="F139" s="24" t="str">
        <x:v>Unique class</x:v>
      </x:c>
      <x:c r="G139" s="24" t="str">
        <x:v>ROL-502</x:v>
      </x:c>
      <x:c r="H139" s="24" t="str">
        <x:f>IFERROR(VLOOKUP(G139,'Master Taxonomy'!$A$2:$B$1656,2,FALSE),"")</x:f>
        <x:v>Shaman</x:v>
      </x:c>
      <x:c r="I139" s="24" t="str">
        <x:v>PWR-200</x:v>
      </x:c>
      <x:c r="J139" s="24" t="str">
        <x:v>Elemental and Natural Domains</x:v>
      </x:c>
      <x:c r="K139" s="24" t="str">
        <x:v>Powerful elemental caster associated with nature spirits and sacred lineages.</x:v>
      </x:c>
      <x:c r="L139" s="24" t="str">
        <x:v>Elemental magic, ritual status, and unique access.</x:v>
      </x:c>
      <x:c r="M139" s="24" t="str">
        <x:v>The term is a fantasy class label and should not flatten real shamanic traditions.</x:v>
      </x:c>
      <x:c r="N139" s="24" t="str">
        <x:v>Elemental specialist caster.</x:v>
      </x:c>
      <x:c r="O139" s="24" t="str">
        <x:v>Primary canon</x:v>
      </x:c>
      <x:c r="P139" s="24" t="str">
        <x:v>Official reference reviewed</x:v>
      </x:c>
      <x:c r="Q139" s="24" t="str">
        <x:v>Square Enix official character and class overview for Tactics Ogre: Reborn.</x:v>
      </x:c>
      <x:c r="R139" s="84" t="str">
        <x:v>https://www.square-enix-games.com/en_US/news/tactics-ogre-reborn-characters-classes</x:v>
      </x:c>
      <x:c r="S139" s="24" t="str">
        <x:v>Seeded</x:v>
      </x:c>
    </x:row>
    <x:row r="140" ht="52" customHeight="1">
      <x:c r="A140" s="24" t="str">
        <x:v>ENT-0139</x:v>
      </x:c>
      <x:c r="B140" s="24" t="str">
        <x:v>Wicce</x:v>
      </x:c>
      <x:c r="C140" s="24" t="str">
        <x:v>SRC-128</x:v>
      </x:c>
      <x:c r="D140" s="24" t="str">
        <x:v>Tactics Ogre: Reborn</x:v>
      </x:c>
      <x:c r="E140" s="24" t="str">
        <x:v>Reborn game continuity</x:v>
      </x:c>
      <x:c r="F140" s="24" t="str">
        <x:v>Unique class</x:v>
      </x:c>
      <x:c r="G140" s="24" t="str">
        <x:v>ROL-303</x:v>
      </x:c>
      <x:c r="H140" s="24" t="str">
        <x:f>IFERROR(VLOOKUP(G140,'Master Taxonomy'!$A$2:$B$1656,2,FALSE),"")</x:f>
        <x:v>Witch</x:v>
      </x:c>
      <x:c r="I140" s="24" t="str">
        <x:v>ROL-341</x:v>
      </x:c>
      <x:c r="J140" s="24" t="str">
        <x:v>Blue Mage and Mimic Caster</x:v>
      </x:c>
      <x:c r="K140" s="24" t="str">
        <x:v>Unique witch class with broad and unusual magical access.</x:v>
      </x:c>
      <x:c r="L140" s="24" t="str">
        <x:v>Innate talent, learned magic, and unique character identity.</x:v>
      </x:c>
      <x:c r="M140" s="24" t="str">
        <x:v>A source-specific title, not a universal witch category.</x:v>
      </x:c>
      <x:c r="N140" s="24" t="str">
        <x:v>Elite versatile witch.</x:v>
      </x:c>
      <x:c r="O140" s="24" t="str">
        <x:v>Primary canon</x:v>
      </x:c>
      <x:c r="P140" s="24" t="str">
        <x:v>Official reference reviewed</x:v>
      </x:c>
      <x:c r="Q140" s="24" t="str">
        <x:v>Square Enix official character and class overview for Tactics Ogre: Reborn.</x:v>
      </x:c>
      <x:c r="R140" s="84" t="str">
        <x:v>https://www.square-enix-games.com/en_US/news/tactics-ogre-reborn-characters-classes</x:v>
      </x:c>
      <x:c r="S140" s="24" t="str">
        <x:v>Seeded</x:v>
      </x:c>
    </x:row>
    <x:row r="141" ht="52" customHeight="1">
      <x:c r="A141" s="24" t="str">
        <x:v>ENT-0140</x:v>
      </x:c>
      <x:c r="B141" s="24" t="str">
        <x:v>Ranger</x:v>
      </x:c>
      <x:c r="C141" s="24" t="str">
        <x:v>SRC-128</x:v>
      </x:c>
      <x:c r="D141" s="24" t="str">
        <x:v>Tactics Ogre: Reborn</x:v>
      </x:c>
      <x:c r="E141" s="24" t="str">
        <x:v>Reborn game continuity</x:v>
      </x:c>
      <x:c r="F141" s="24" t="str">
        <x:v>Unique class</x:v>
      </x:c>
      <x:c r="G141" s="24" t="str">
        <x:v>ROL-125</x:v>
      </x:c>
      <x:c r="H141" s="24" t="str">
        <x:f>IFERROR(VLOOKUP(G141,'Master Taxonomy'!$A$2:$B$1656,2,FALSE),"")</x:f>
        <x:v>Ranger</x:v>
      </x:c>
      <x:c r="I141" s="24" t="str">
        <x:v>ROL-205</x:v>
      </x:c>
      <x:c r="J141" s="24" t="str">
        <x:v>Rogue</x:v>
      </x:c>
      <x:c r="K141" s="24" t="str">
        <x:v>Unique hybrid class combining melee, ranged, and covert capabilities.</x:v>
      </x:c>
      <x:c r="L141" s="24" t="str">
        <x:v>Training, weapon flexibility, and narrative background.</x:v>
      </x:c>
      <x:c r="M141" s="24" t="str">
        <x:v>Differs from nature-spellcasting ranger traditions.</x:v>
      </x:c>
      <x:c r="N141" s="24" t="str">
        <x:v>Martial scout and operative.</x:v>
      </x:c>
      <x:c r="O141" s="24" t="str">
        <x:v>Primary canon</x:v>
      </x:c>
      <x:c r="P141" s="24" t="str">
        <x:v>Official reference reviewed</x:v>
      </x:c>
      <x:c r="Q141" s="24" t="str">
        <x:v>Square Enix official character and class overview for Tactics Ogre: Reborn.</x:v>
      </x:c>
      <x:c r="R141" s="84" t="str">
        <x:v>https://www.square-enix-games.com/en_US/news/tactics-ogre-reborn-characters-classes</x:v>
      </x:c>
      <x:c r="S141" s="24" t="str">
        <x:v>Seeded</x:v>
      </x:c>
    </x:row>
    <x:row r="142" ht="52" customHeight="1">
      <x:c r="A142" s="24" t="str">
        <x:v>ENT-0141</x:v>
      </x:c>
      <x:c r="B142" s="24" t="str">
        <x:v>White Knight</x:v>
      </x:c>
      <x:c r="C142" s="24" t="str">
        <x:v>SRC-128</x:v>
      </x:c>
      <x:c r="D142" s="24" t="str">
        <x:v>Tactics Ogre: Reborn</x:v>
      </x:c>
      <x:c r="E142" s="24" t="str">
        <x:v>Reborn game continuity</x:v>
      </x:c>
      <x:c r="F142" s="24" t="str">
        <x:v>Unique class</x:v>
      </x:c>
      <x:c r="G142" s="24" t="str">
        <x:v>ROL-117</x:v>
      </x:c>
      <x:c r="H142" s="24" t="str">
        <x:f>IFERROR(VLOOKUP(G142,'Master Taxonomy'!$A$2:$B$1656,2,FALSE),"")</x:f>
        <x:v>Paladin and Holy Knight</x:v>
      </x:c>
      <x:c r="I142" s="24" t="str">
        <x:v>ROL-115</x:v>
      </x:c>
      <x:c r="J142" s="24" t="str">
        <x:v>Knight</x:v>
      </x:c>
      <x:c r="K142" s="24" t="str">
        <x:v>Elite knight class with speed, support, and defensive leadership.</x:v>
      </x:c>
      <x:c r="L142" s="24" t="str">
        <x:v>Martial training, chivalric identity, and unique abilities.</x:v>
      </x:c>
      <x:c r="M142" s="24" t="str">
        <x:v>‘White’ functions as an order/class designation rather than ethnicity.</x:v>
      </x:c>
      <x:c r="N142" s="24" t="str">
        <x:v>Elite holy or loyalist knight.</x:v>
      </x:c>
      <x:c r="O142" s="24" t="str">
        <x:v>Primary canon</x:v>
      </x:c>
      <x:c r="P142" s="24" t="str">
        <x:v>Official reference reviewed</x:v>
      </x:c>
      <x:c r="Q142" s="24" t="str">
        <x:v>Square Enix official character and class overview for Tactics Ogre: Reborn.</x:v>
      </x:c>
      <x:c r="R142" s="84" t="str">
        <x:v>https://www.square-enix-games.com/en_US/news/tactics-ogre-reborn-characters-classes</x:v>
      </x:c>
      <x:c r="S142" s="24" t="str">
        <x:v>Seeded</x:v>
      </x:c>
    </x:row>
    <x:row r="143" ht="52" customHeight="1">
      <x:c r="A143" s="24" t="str">
        <x:v>ENT-0142</x:v>
      </x:c>
      <x:c r="B143" s="24" t="str">
        <x:v>Dark Priest</x:v>
      </x:c>
      <x:c r="C143" s="24" t="str">
        <x:v>SRC-128</x:v>
      </x:c>
      <x:c r="D143" s="24" t="str">
        <x:v>Tactics Ogre: Reborn</x:v>
      </x:c>
      <x:c r="E143" s="24" t="str">
        <x:v>Reborn game continuity</x:v>
      </x:c>
      <x:c r="F143" s="24" t="str">
        <x:v>Unique class</x:v>
      </x:c>
      <x:c r="G143" s="24" t="str">
        <x:v>ROL-415</x:v>
      </x:c>
      <x:c r="H143" s="24" t="str">
        <x:f>IFERROR(VLOOKUP(G143,'Master Taxonomy'!$A$2:$B$1656,2,FALSE),"")</x:f>
        <x:v>Death Priest</x:v>
      </x:c>
      <x:c r="I143" s="24" t="str">
        <x:v>ROL-328</x:v>
      </x:c>
      <x:c r="J143" s="24" t="str">
        <x:v>Shadow Mage</x:v>
      </x:c>
      <x:c r="K143" s="24" t="str">
        <x:v>Dark divine or occult caster associated with forbidden power and narrative antagonism.</x:v>
      </x:c>
      <x:c r="L143" s="24" t="str">
        <x:v>Ritual magic, dark affinity, and unique status.</x:v>
      </x:c>
      <x:c r="M143" s="24" t="str">
        <x:v>It is a source-specific class and not every morally compromised priest.</x:v>
      </x:c>
      <x:c r="N143" s="24" t="str">
        <x:v>Dark support caster.</x:v>
      </x:c>
      <x:c r="O143" s="24" t="str">
        <x:v>Primary canon</x:v>
      </x:c>
      <x:c r="P143" s="24" t="str">
        <x:v>Official reference reviewed</x:v>
      </x:c>
      <x:c r="Q143" s="24" t="str">
        <x:v>Square Enix official character and class overview for Tactics Ogre: Reborn.</x:v>
      </x:c>
      <x:c r="R143" s="84" t="str">
        <x:v>https://www.square-enix-games.com/en_US/news/tactics-ogre-reborn-characters-classes</x:v>
      </x:c>
      <x:c r="S143" s="24" t="str">
        <x:v>Seeded</x:v>
      </x:c>
    </x:row>
    <x:row r="144" ht="52" customHeight="1">
      <x:c r="A144" s="24" t="str">
        <x:v>ENT-0143</x:v>
      </x:c>
      <x:c r="B144" s="24" t="str">
        <x:v>Warrior</x:v>
      </x:c>
      <x:c r="C144" s="24" t="str">
        <x:v>SRC-129</x:v>
      </x:c>
      <x:c r="D144" s="24" t="str">
        <x:v>Final Fantasy</x:v>
      </x:c>
      <x:c r="E144" s="24" t="str">
        <x:v>Recurring cross-title pattern</x:v>
      </x:c>
      <x:c r="F144" s="24" t="str">
        <x:v>Recurring job family</x:v>
      </x:c>
      <x:c r="G144" s="24" t="str">
        <x:v>ROL-101</x:v>
      </x:c>
      <x:c r="H144" s="24" t="str">
        <x:f>IFERROR(VLOOKUP(G144,'Master Taxonomy'!$A$2:$B$1656,2,FALSE),"")</x:f>
        <x:v>Warrior or Fighter</x:v>
      </x:c>
      <x:c r="I144" s="24" t="str"/>
      <x:c r="J144" s="24" t="str"/>
      <x:c r="K144" s="24" t="str">
        <x:v>Weapon-focused frontline job.</x:v>
      </x:c>
      <x:c r="L144" s="24" t="str">
        <x:v>Job-system rules, equipment, abilities, and title-specific lore.</x:v>
      </x:c>
      <x:c r="M144" s="24" t="str">
        <x:v>Its abilities and advancement differ by title.</x:v>
      </x:c>
      <x:c r="N144" s="24" t="str">
        <x:v>Baseline JRPG martial job.</x:v>
      </x:c>
      <x:c r="O144" s="24" t="str">
        <x:v>Multiple primary continuities</x:v>
      </x:c>
      <x:c r="P144" s="24" t="str">
        <x:v>Secondary reference reviewed</x:v>
      </x:c>
      <x:c r="Q144" s="24" t="str">
        <x:v>Recurring job terminology across independent Final Fantasy continuities; source-level verification required per title.</x:v>
      </x:c>
      <x:c r="R144" s="84" t="str">
        <x:v>https://en.wikipedia.org/wiki/Final_Fantasy</x:v>
      </x:c>
      <x:c r="S144" s="24" t="str">
        <x:v>Seeded</x:v>
      </x:c>
    </x:row>
    <x:row r="145" ht="52" customHeight="1">
      <x:c r="A145" s="24" t="str">
        <x:v>ENT-0144</x:v>
      </x:c>
      <x:c r="B145" s="24" t="str">
        <x:v>Knight / Paladin</x:v>
      </x:c>
      <x:c r="C145" s="24" t="str">
        <x:v>SRC-129</x:v>
      </x:c>
      <x:c r="D145" s="24" t="str">
        <x:v>Final Fantasy</x:v>
      </x:c>
      <x:c r="E145" s="24" t="str">
        <x:v>Recurring cross-title pattern</x:v>
      </x:c>
      <x:c r="F145" s="24" t="str">
        <x:v>Recurring job family</x:v>
      </x:c>
      <x:c r="G145" s="24" t="str">
        <x:v>ROL-117</x:v>
      </x:c>
      <x:c r="H145" s="24" t="str">
        <x:f>IFERROR(VLOOKUP(G145,'Master Taxonomy'!$A$2:$B$1656,2,FALSE),"")</x:f>
        <x:v>Paladin and Holy Knight</x:v>
      </x:c>
      <x:c r="I145" s="24" t="str">
        <x:v>ROL-115</x:v>
      </x:c>
      <x:c r="J145" s="24" t="str">
        <x:v>Knight</x:v>
      </x:c>
      <x:c r="K145" s="24" t="str">
        <x:v>Armored protector often combining defense with sacred techniques.</x:v>
      </x:c>
      <x:c r="L145" s="24" t="str">
        <x:v>Job-system rules, equipment, abilities, and title-specific lore.</x:v>
      </x:c>
      <x:c r="M145" s="24" t="str">
        <x:v>Some titles distinguish Knight and Paladin; others merge or rename them.</x:v>
      </x:c>
      <x:c r="N145" s="24" t="str">
        <x:v>Holy defender job.</x:v>
      </x:c>
      <x:c r="O145" s="24" t="str">
        <x:v>Multiple primary continuities</x:v>
      </x:c>
      <x:c r="P145" s="24" t="str">
        <x:v>Secondary reference reviewed</x:v>
      </x:c>
      <x:c r="Q145" s="24" t="str">
        <x:v>Recurring job terminology across independent Final Fantasy continuities; source-level verification required per title.</x:v>
      </x:c>
      <x:c r="R145" s="84" t="str">
        <x:v>https://en.wikipedia.org/wiki/Final_Fantasy</x:v>
      </x:c>
      <x:c r="S145" s="24" t="str">
        <x:v>Seeded</x:v>
      </x:c>
    </x:row>
    <x:row r="146" ht="52" customHeight="1">
      <x:c r="A146" s="24" t="str">
        <x:v>ENT-0145</x:v>
      </x:c>
      <x:c r="B146" s="24" t="str">
        <x:v>Monk</x:v>
      </x:c>
      <x:c r="C146" s="24" t="str">
        <x:v>SRC-129</x:v>
      </x:c>
      <x:c r="D146" s="24" t="str">
        <x:v>Final Fantasy</x:v>
      </x:c>
      <x:c r="E146" s="24" t="str">
        <x:v>Recurring cross-title pattern</x:v>
      </x:c>
      <x:c r="F146" s="24" t="str">
        <x:v>Recurring job family</x:v>
      </x:c>
      <x:c r="G146" s="24" t="str">
        <x:v>ROL-123</x:v>
      </x:c>
      <x:c r="H146" s="24" t="str">
        <x:f>IFERROR(VLOOKUP(G146,'Master Taxonomy'!$A$2:$B$1656,2,FALSE),"")</x:f>
        <x:v>Monk and Martial Artist</x:v>
      </x:c>
      <x:c r="I146" s="24" t="str"/>
      <x:c r="J146" s="24" t="str"/>
      <x:c r="K146" s="24" t="str">
        <x:v>Unarmed or fist-weapon martial job emphasizing speed, counters, or inner discipline.</x:v>
      </x:c>
      <x:c r="L146" s="24" t="str">
        <x:v>Job-system rules, equipment, abilities, and title-specific lore.</x:v>
      </x:c>
      <x:c r="M146" s="24" t="str">
        <x:v>Mechanical resource systems vary widely.</x:v>
      </x:c>
      <x:c r="N146" s="24" t="str">
        <x:v>Martial artist striker.</x:v>
      </x:c>
      <x:c r="O146" s="24" t="str">
        <x:v>Multiple primary continuities</x:v>
      </x:c>
      <x:c r="P146" s="24" t="str">
        <x:v>Secondary reference reviewed</x:v>
      </x:c>
      <x:c r="Q146" s="24" t="str">
        <x:v>Recurring job terminology across independent Final Fantasy continuities; source-level verification required per title.</x:v>
      </x:c>
      <x:c r="R146" s="84" t="str">
        <x:v>https://en.wikipedia.org/wiki/Final_Fantasy</x:v>
      </x:c>
      <x:c r="S146" s="24" t="str">
        <x:v>Seeded</x:v>
      </x:c>
    </x:row>
    <x:row r="147" ht="52" customHeight="1">
      <x:c r="A147" s="24" t="str">
        <x:v>ENT-0146</x:v>
      </x:c>
      <x:c r="B147" s="24" t="str">
        <x:v>Thief</x:v>
      </x:c>
      <x:c r="C147" s="24" t="str">
        <x:v>SRC-129</x:v>
      </x:c>
      <x:c r="D147" s="24" t="str">
        <x:v>Final Fantasy</x:v>
      </x:c>
      <x:c r="E147" s="24" t="str">
        <x:v>Recurring cross-title pattern</x:v>
      </x:c>
      <x:c r="F147" s="24" t="str">
        <x:v>Recurring job family</x:v>
      </x:c>
      <x:c r="G147" s="24" t="str">
        <x:v>ROL-201</x:v>
      </x:c>
      <x:c r="H147" s="24" t="str">
        <x:f>IFERROR(VLOOKUP(G147,'Master Taxonomy'!$A$2:$B$1656,2,FALSE),"")</x:f>
        <x:v>Thief</x:v>
      </x:c>
      <x:c r="I147" s="24" t="str">
        <x:v>ROL-205</x:v>
      </x:c>
      <x:c r="J147" s="24" t="str">
        <x:v>Rogue</x:v>
      </x:c>
      <x:c r="K147" s="24" t="str">
        <x:v>Fast utility job associated with stealing, agility, and item acquisition.</x:v>
      </x:c>
      <x:c r="L147" s="24" t="str">
        <x:v>Job-system rules, equipment, abilities, and title-specific lore.</x:v>
      </x:c>
      <x:c r="M147" s="24" t="str">
        <x:v>Narrative morality is not determined by the job label.</x:v>
      </x:c>
      <x:c r="N147" s="24" t="str">
        <x:v>Agile loot and utility specialist.</x:v>
      </x:c>
      <x:c r="O147" s="24" t="str">
        <x:v>Multiple primary continuities</x:v>
      </x:c>
      <x:c r="P147" s="24" t="str">
        <x:v>Secondary reference reviewed</x:v>
      </x:c>
      <x:c r="Q147" s="24" t="str">
        <x:v>Recurring job terminology across independent Final Fantasy continuities; source-level verification required per title.</x:v>
      </x:c>
      <x:c r="R147" s="84" t="str">
        <x:v>https://en.wikipedia.org/wiki/Final_Fantasy</x:v>
      </x:c>
      <x:c r="S147" s="24" t="str">
        <x:v>Seeded</x:v>
      </x:c>
    </x:row>
    <x:row r="148" ht="52" customHeight="1">
      <x:c r="A148" s="24" t="str">
        <x:v>ENT-0147</x:v>
      </x:c>
      <x:c r="B148" s="24" t="str">
        <x:v>Ninja</x:v>
      </x:c>
      <x:c r="C148" s="24" t="str">
        <x:v>SRC-129</x:v>
      </x:c>
      <x:c r="D148" s="24" t="str">
        <x:v>Final Fantasy</x:v>
      </x:c>
      <x:c r="E148" s="24" t="str">
        <x:v>Recurring cross-title pattern</x:v>
      </x:c>
      <x:c r="F148" s="24" t="str">
        <x:v>Recurring job family</x:v>
      </x:c>
      <x:c r="G148" s="24" t="str">
        <x:v>ROL-210</x:v>
      </x:c>
      <x:c r="H148" s="24" t="str">
        <x:f>IFERROR(VLOOKUP(G148,'Master Taxonomy'!$A$2:$B$1656,2,FALSE),"")</x:f>
        <x:v>Ninja-Derived Operative</x:v>
      </x:c>
      <x:c r="I148" s="24" t="str"/>
      <x:c r="J148" s="24" t="str"/>
      <x:c r="K148" s="24" t="str">
        <x:v>Fast dual-wielding or throwing-weapon job with ninjutsu or evasive tools.</x:v>
      </x:c>
      <x:c r="L148" s="24" t="str">
        <x:v>Job-system rules, equipment, abilities, and title-specific lore.</x:v>
      </x:c>
      <x:c r="M148" s="24" t="str">
        <x:v>The series uses a stylized fantasy synthesis rather than historical taxonomy.</x:v>
      </x:c>
      <x:c r="N148" s="24" t="str">
        <x:v>Evasive hybrid striker.</x:v>
      </x:c>
      <x:c r="O148" s="24" t="str">
        <x:v>Multiple primary continuities</x:v>
      </x:c>
      <x:c r="P148" s="24" t="str">
        <x:v>Secondary reference reviewed</x:v>
      </x:c>
      <x:c r="Q148" s="24" t="str">
        <x:v>Recurring job terminology across independent Final Fantasy continuities; source-level verification required per title.</x:v>
      </x:c>
      <x:c r="R148" s="84" t="str">
        <x:v>https://en.wikipedia.org/wiki/Final_Fantasy</x:v>
      </x:c>
      <x:c r="S148" s="24" t="str">
        <x:v>Seeded</x:v>
      </x:c>
    </x:row>
    <x:row r="149" ht="52" customHeight="1">
      <x:c r="A149" s="24" t="str">
        <x:v>ENT-0148</x:v>
      </x:c>
      <x:c r="B149" s="24" t="str">
        <x:v>Samurai</x:v>
      </x:c>
      <x:c r="C149" s="24" t="str">
        <x:v>SRC-129</x:v>
      </x:c>
      <x:c r="D149" s="24" t="str">
        <x:v>Final Fantasy</x:v>
      </x:c>
      <x:c r="E149" s="24" t="str">
        <x:v>Recurring cross-title pattern</x:v>
      </x:c>
      <x:c r="F149" s="24" t="str">
        <x:v>Recurring job family</x:v>
      </x:c>
      <x:c r="G149" s="24" t="str">
        <x:v>ROL-120</x:v>
      </x:c>
      <x:c r="H149" s="24" t="str">
        <x:f>IFERROR(VLOOKUP(G149,'Master Taxonomy'!$A$2:$B$1656,2,FALSE),"")</x:f>
        <x:v>Samurai-Derived Warrior</x:v>
      </x:c>
      <x:c r="I149" s="24" t="str"/>
      <x:c r="J149" s="24" t="str"/>
      <x:c r="K149" s="24" t="str">
        <x:v>Blade specialist using techniques, counters, resource expenditure, or draw attacks.</x:v>
      </x:c>
      <x:c r="L149" s="24" t="str">
        <x:v>Job-system rules, equipment, abilities, and title-specific lore.</x:v>
      </x:c>
      <x:c r="M149" s="24" t="str">
        <x:v>Each title emphasizes different elements of the image.</x:v>
      </x:c>
      <x:c r="N149" s="24" t="str">
        <x:v>Technical sword job.</x:v>
      </x:c>
      <x:c r="O149" s="24" t="str">
        <x:v>Multiple primary continuities</x:v>
      </x:c>
      <x:c r="P149" s="24" t="str">
        <x:v>Secondary reference reviewed</x:v>
      </x:c>
      <x:c r="Q149" s="24" t="str">
        <x:v>Recurring job terminology across independent Final Fantasy continuities; source-level verification required per title.</x:v>
      </x:c>
      <x:c r="R149" s="84" t="str">
        <x:v>https://en.wikipedia.org/wiki/Final_Fantasy</x:v>
      </x:c>
      <x:c r="S149" s="24" t="str">
        <x:v>Seeded</x:v>
      </x:c>
    </x:row>
    <x:row r="150" ht="52" customHeight="1">
      <x:c r="A150" s="24" t="str">
        <x:v>ENT-0149</x:v>
      </x:c>
      <x:c r="B150" s="24" t="str">
        <x:v>Dragoon</x:v>
      </x:c>
      <x:c r="C150" s="24" t="str">
        <x:v>SRC-129</x:v>
      </x:c>
      <x:c r="D150" s="24" t="str">
        <x:v>Final Fantasy</x:v>
      </x:c>
      <x:c r="E150" s="24" t="str">
        <x:v>Recurring cross-title pattern</x:v>
      </x:c>
      <x:c r="F150" s="24" t="str">
        <x:v>Recurring job family</x:v>
      </x:c>
      <x:c r="G150" s="24" t="str">
        <x:v>ROL-122</x:v>
      </x:c>
      <x:c r="H150" s="24" t="str">
        <x:f>IFERROR(VLOOKUP(G150,'Master Taxonomy'!$A$2:$B$1656,2,FALSE),"")</x:f>
        <x:v>Dragoon and Leaping Lancer</x:v>
      </x:c>
      <x:c r="I150" s="24" t="str"/>
      <x:c r="J150" s="24" t="str"/>
      <x:c r="K150" s="24" t="str">
        <x:v>Lance-wielding job strongly associated with Jump and draconic imagery.</x:v>
      </x:c>
      <x:c r="L150" s="24" t="str">
        <x:v>Job-system rules, equipment, abilities, and title-specific lore.</x:v>
      </x:c>
      <x:c r="M150" s="24" t="str">
        <x:v>This differs from early-modern mounted infantry and from Tactics Ogre's anti-dragon class.</x:v>
      </x:c>
      <x:c r="N150" s="24" t="str">
        <x:v>Iconic aerial lancer.</x:v>
      </x:c>
      <x:c r="O150" s="24" t="str">
        <x:v>Multiple primary continuities</x:v>
      </x:c>
      <x:c r="P150" s="24" t="str">
        <x:v>Secondary reference reviewed</x:v>
      </x:c>
      <x:c r="Q150" s="24" t="str">
        <x:v>Recurring job terminology across independent Final Fantasy continuities; source-level verification required per title.</x:v>
      </x:c>
      <x:c r="R150" s="84" t="str">
        <x:v>https://en.wikipedia.org/wiki/Final_Fantasy</x:v>
      </x:c>
      <x:c r="S150" s="24" t="str">
        <x:v>Seeded</x:v>
      </x:c>
    </x:row>
    <x:row r="151" ht="52" customHeight="1">
      <x:c r="A151" s="24" t="str">
        <x:v>ENT-0150</x:v>
      </x:c>
      <x:c r="B151" s="24" t="str">
        <x:v>Dark Knight</x:v>
      </x:c>
      <x:c r="C151" s="24" t="str">
        <x:v>SRC-129</x:v>
      </x:c>
      <x:c r="D151" s="24" t="str">
        <x:v>Final Fantasy</x:v>
      </x:c>
      <x:c r="E151" s="24" t="str">
        <x:v>Recurring cross-title pattern</x:v>
      </x:c>
      <x:c r="F151" s="24" t="str">
        <x:v>Recurring job family</x:v>
      </x:c>
      <x:c r="G151" s="24" t="str">
        <x:v>ROL-118</x:v>
      </x:c>
      <x:c r="H151" s="24" t="str">
        <x:f>IFERROR(VLOOKUP(G151,'Master Taxonomy'!$A$2:$B$1656,2,FALSE),"")</x:f>
        <x:v>Dark Knight and Blackguard</x:v>
      </x:c>
      <x:c r="I151" s="24" t="str"/>
      <x:c r="J151" s="24" t="str"/>
      <x:c r="K151" s="24" t="str">
        <x:v>Heavy martial job using darkness, sacrifice, or life-for-damage exchanges.</x:v>
      </x:c>
      <x:c r="L151" s="24" t="str">
        <x:v>Job-system rules, equipment, abilities, and title-specific lore.</x:v>
      </x:c>
      <x:c r="M151" s="24" t="str">
        <x:v>Moral alignment and narrative role vary by title.</x:v>
      </x:c>
      <x:c r="N151" s="24" t="str">
        <x:v>Sacrificial dark warrior.</x:v>
      </x:c>
      <x:c r="O151" s="24" t="str">
        <x:v>Multiple primary continuities</x:v>
      </x:c>
      <x:c r="P151" s="24" t="str">
        <x:v>Secondary reference reviewed</x:v>
      </x:c>
      <x:c r="Q151" s="24" t="str">
        <x:v>Recurring job terminology across independent Final Fantasy continuities; source-level verification required per title.</x:v>
      </x:c>
      <x:c r="R151" s="84" t="str">
        <x:v>https://en.wikipedia.org/wiki/Final_Fantasy</x:v>
      </x:c>
      <x:c r="S151" s="24" t="str">
        <x:v>Seeded</x:v>
      </x:c>
    </x:row>
    <x:row r="152" ht="52" customHeight="1">
      <x:c r="A152" s="24" t="str">
        <x:v>ENT-0151</x:v>
      </x:c>
      <x:c r="B152" s="24" t="str">
        <x:v>White Mage</x:v>
      </x:c>
      <x:c r="C152" s="24" t="str">
        <x:v>SRC-129</x:v>
      </x:c>
      <x:c r="D152" s="24" t="str">
        <x:v>Final Fantasy</x:v>
      </x:c>
      <x:c r="E152" s="24" t="str">
        <x:v>Recurring cross-title pattern</x:v>
      </x:c>
      <x:c r="F152" s="24" t="str">
        <x:v>Recurring job family</x:v>
      </x:c>
      <x:c r="G152" s="24" t="str">
        <x:v>ROL-344</x:v>
      </x:c>
      <x:c r="H152" s="24" t="str">
        <x:f>IFERROR(VLOOKUP(G152,'Master Taxonomy'!$A$2:$B$1656,2,FALSE),"")</x:f>
        <x:v>White Mage and Restorative Caster</x:v>
      </x:c>
      <x:c r="I152" s="24" t="str">
        <x:v>MEC-112</x:v>
      </x:c>
      <x:c r="J152" s="24" t="str">
        <x:v>Healer</x:v>
      </x:c>
      <x:c r="K152" s="24" t="str">
        <x:v>Restorative spellcaster using healing, cleansing, and holy magic.</x:v>
      </x:c>
      <x:c r="L152" s="24" t="str">
        <x:v>Job-system rules, equipment, abilities, and title-specific lore.</x:v>
      </x:c>
      <x:c r="M152" s="24" t="str">
        <x:v>The robe-and-color visual code is franchise-specific.</x:v>
      </x:c>
      <x:c r="N152" s="24" t="str">
        <x:v>Dedicated healer caster.</x:v>
      </x:c>
      <x:c r="O152" s="24" t="str">
        <x:v>Multiple primary continuities</x:v>
      </x:c>
      <x:c r="P152" s="24" t="str">
        <x:v>Secondary reference reviewed</x:v>
      </x:c>
      <x:c r="Q152" s="24" t="str">
        <x:v>Recurring job terminology across independent Final Fantasy continuities; source-level verification required per title.</x:v>
      </x:c>
      <x:c r="R152" s="84" t="str">
        <x:v>https://en.wikipedia.org/wiki/Final_Fantasy</x:v>
      </x:c>
      <x:c r="S152" s="24" t="str">
        <x:v>Seeded</x:v>
      </x:c>
    </x:row>
    <x:row r="153" ht="52" customHeight="1">
      <x:c r="A153" s="24" t="str">
        <x:v>ENT-0152</x:v>
      </x:c>
      <x:c r="B153" s="24" t="str">
        <x:v>Black Mage</x:v>
      </x:c>
      <x:c r="C153" s="24" t="str">
        <x:v>SRC-129</x:v>
      </x:c>
      <x:c r="D153" s="24" t="str">
        <x:v>Final Fantasy</x:v>
      </x:c>
      <x:c r="E153" s="24" t="str">
        <x:v>Recurring cross-title pattern</x:v>
      </x:c>
      <x:c r="F153" s="24" t="str">
        <x:v>Recurring job family</x:v>
      </x:c>
      <x:c r="G153" s="24" t="str">
        <x:v>ROL-343</x:v>
      </x:c>
      <x:c r="H153" s="24" t="str">
        <x:f>IFERROR(VLOOKUP(G153,'Master Taxonomy'!$A$2:$B$1656,2,FALSE),"")</x:f>
        <x:v>Black Mage and Destructive Caster</x:v>
      </x:c>
      <x:c r="I153" s="24" t="str"/>
      <x:c r="J153" s="24" t="str"/>
      <x:c r="K153" s="24" t="str">
        <x:v>Offensive spellcaster specializing in elemental destruction.</x:v>
      </x:c>
      <x:c r="L153" s="24" t="str">
        <x:v>Job-system rules, equipment, abilities, and title-specific lore.</x:v>
      </x:c>
      <x:c r="M153" s="24" t="str">
        <x:v>Not a moral category; 'black' denotes a franchise magic school.</x:v>
      </x:c>
      <x:c r="N153" s="24" t="str">
        <x:v>Dedicated damage caster.</x:v>
      </x:c>
      <x:c r="O153" s="24" t="str">
        <x:v>Multiple primary continuities</x:v>
      </x:c>
      <x:c r="P153" s="24" t="str">
        <x:v>Secondary reference reviewed</x:v>
      </x:c>
      <x:c r="Q153" s="24" t="str">
        <x:v>Recurring job terminology across independent Final Fantasy continuities; source-level verification required per title.</x:v>
      </x:c>
      <x:c r="R153" s="84" t="str">
        <x:v>https://en.wikipedia.org/wiki/Final_Fantasy</x:v>
      </x:c>
      <x:c r="S153" s="24" t="str">
        <x:v>Seeded</x:v>
      </x:c>
    </x:row>
    <x:row r="154" ht="52" customHeight="1">
      <x:c r="A154" s="24" t="str">
        <x:v>ENT-0153</x:v>
      </x:c>
      <x:c r="B154" s="24" t="str">
        <x:v>Red Mage</x:v>
      </x:c>
      <x:c r="C154" s="24" t="str">
        <x:v>SRC-129</x:v>
      </x:c>
      <x:c r="D154" s="24" t="str">
        <x:v>Final Fantasy</x:v>
      </x:c>
      <x:c r="E154" s="24" t="str">
        <x:v>Recurring cross-title pattern</x:v>
      </x:c>
      <x:c r="F154" s="24" t="str">
        <x:v>Recurring job family</x:v>
      </x:c>
      <x:c r="G154" s="24" t="str">
        <x:v>ROL-342</x:v>
      </x:c>
      <x:c r="H154" s="24" t="str">
        <x:f>IFERROR(VLOOKUP(G154,'Master Taxonomy'!$A$2:$B$1656,2,FALSE),"")</x:f>
        <x:v>Red Mage and Versatile Battlemage</x:v>
      </x:c>
      <x:c r="I154" s="24" t="str">
        <x:v>ROL-801</x:v>
      </x:c>
      <x:c r="J154" s="24" t="str">
        <x:v>Spellblade or Gish</x:v>
      </x:c>
      <x:c r="K154" s="24" t="str">
        <x:v>Versatile hybrid combining white and black magic with sword use.</x:v>
      </x:c>
      <x:c r="L154" s="24" t="str">
        <x:v>Job-system rules, equipment, abilities, and title-specific lore.</x:v>
      </x:c>
      <x:c r="M154" s="24" t="str">
        <x:v>Breadth, dual-casting, and equipment access vary by title.</x:v>
      </x:c>
      <x:c r="N154" s="24" t="str">
        <x:v>Jack-of-all-trades battlemage.</x:v>
      </x:c>
      <x:c r="O154" s="24" t="str">
        <x:v>Multiple primary continuities</x:v>
      </x:c>
      <x:c r="P154" s="24" t="str">
        <x:v>Secondary reference reviewed</x:v>
      </x:c>
      <x:c r="Q154" s="24" t="str">
        <x:v>Recurring job terminology across independent Final Fantasy continuities; source-level verification required per title.</x:v>
      </x:c>
      <x:c r="R154" s="84" t="str">
        <x:v>https://en.wikipedia.org/wiki/Final_Fantasy</x:v>
      </x:c>
      <x:c r="S154" s="24" t="str">
        <x:v>Seeded</x:v>
      </x:c>
    </x:row>
    <x:row r="155" ht="52" customHeight="1">
      <x:c r="A155" s="24" t="str">
        <x:v>ENT-0154</x:v>
      </x:c>
      <x:c r="B155" s="24" t="str">
        <x:v>Blue Mage</x:v>
      </x:c>
      <x:c r="C155" s="24" t="str">
        <x:v>SRC-129</x:v>
      </x:c>
      <x:c r="D155" s="24" t="str">
        <x:v>Final Fantasy</x:v>
      </x:c>
      <x:c r="E155" s="24" t="str">
        <x:v>Recurring cross-title pattern</x:v>
      </x:c>
      <x:c r="F155" s="24" t="str">
        <x:v>Recurring job family</x:v>
      </x:c>
      <x:c r="G155" s="24" t="str">
        <x:v>ROL-341</x:v>
      </x:c>
      <x:c r="H155" s="24" t="str">
        <x:f>IFERROR(VLOOKUP(G155,'Master Taxonomy'!$A$2:$B$1656,2,FALSE),"")</x:f>
        <x:v>Blue Mage and Mimic Caster</x:v>
      </x:c>
      <x:c r="I155" s="24" t="str">
        <x:v>ROL-819</x:v>
      </x:c>
      <x:c r="J155" s="24" t="str">
        <x:v>Blue Mage or Ability Mimic</x:v>
      </x:c>
      <x:c r="K155" s="24" t="str">
        <x:v>Caster who learns or copies enemy and monster abilities.</x:v>
      </x:c>
      <x:c r="L155" s="24" t="str">
        <x:v>Job-system rules, equipment, abilities, and title-specific lore.</x:v>
      </x:c>
      <x:c r="M155" s="24" t="str">
        <x:v>Learning conditions and usable skills vary radically.</x:v>
      </x:c>
      <x:c r="N155" s="24" t="str">
        <x:v>Enemy-skill mimic archetype.</x:v>
      </x:c>
      <x:c r="O155" s="24" t="str">
        <x:v>Multiple primary continuities</x:v>
      </x:c>
      <x:c r="P155" s="24" t="str">
        <x:v>Secondary reference reviewed</x:v>
      </x:c>
      <x:c r="Q155" s="24" t="str">
        <x:v>Recurring job terminology across independent Final Fantasy continuities; source-level verification required per title.</x:v>
      </x:c>
      <x:c r="R155" s="84" t="str">
        <x:v>https://en.wikipedia.org/wiki/Final_Fantasy</x:v>
      </x:c>
      <x:c r="S155" s="24" t="str">
        <x:v>Seeded</x:v>
      </x:c>
    </x:row>
    <x:row r="156" ht="52" customHeight="1">
      <x:c r="A156" s="24" t="str">
        <x:v>ENT-0155</x:v>
      </x:c>
      <x:c r="B156" s="24" t="str">
        <x:v>Green Mage</x:v>
      </x:c>
      <x:c r="C156" s="24" t="str">
        <x:v>SRC-129</x:v>
      </x:c>
      <x:c r="D156" s="24" t="str">
        <x:v>Final Fantasy</x:v>
      </x:c>
      <x:c r="E156" s="24" t="str">
        <x:v>Recurring cross-title pattern</x:v>
      </x:c>
      <x:c r="F156" s="24" t="str">
        <x:v>Recurring job family</x:v>
      </x:c>
      <x:c r="G156" s="24" t="str">
        <x:v>ROL-345</x:v>
      </x:c>
      <x:c r="H156" s="24" t="str">
        <x:f>IFERROR(VLOOKUP(G156,'Master Taxonomy'!$A$2:$B$1656,2,FALSE),"")</x:f>
        <x:v>Green Mage and Support Caster</x:v>
      </x:c>
      <x:c r="I156" s="24" t="str"/>
      <x:c r="J156" s="24" t="str"/>
      <x:c r="K156" s="24" t="str">
        <x:v>Support-oriented caster associated with buffs, debuffs, and status control.</x:v>
      </x:c>
      <x:c r="L156" s="24" t="str">
        <x:v>Job-system rules, equipment, abilities, and title-specific lore.</x:v>
      </x:c>
      <x:c r="M156" s="24" t="str">
        <x:v>Appears in fewer titles and lacks one universal spell list.</x:v>
      </x:c>
      <x:c r="N156" s="24" t="str">
        <x:v>Status support caster.</x:v>
      </x:c>
      <x:c r="O156" s="24" t="str">
        <x:v>Multiple primary continuities</x:v>
      </x:c>
      <x:c r="P156" s="24" t="str">
        <x:v>Secondary reference reviewed</x:v>
      </x:c>
      <x:c r="Q156" s="24" t="str">
        <x:v>Recurring job terminology across independent Final Fantasy continuities; source-level verification required per title.</x:v>
      </x:c>
      <x:c r="R156" s="84" t="str">
        <x:v>https://en.wikipedia.org/wiki/Final_Fantasy</x:v>
      </x:c>
      <x:c r="S156" s="24" t="str">
        <x:v>Seeded</x:v>
      </x:c>
    </x:row>
    <x:row r="157" ht="52" customHeight="1">
      <x:c r="A157" s="24" t="str">
        <x:v>ENT-0156</x:v>
      </x:c>
      <x:c r="B157" s="24" t="str">
        <x:v>Time Mage</x:v>
      </x:c>
      <x:c r="C157" s="24" t="str">
        <x:v>SRC-129</x:v>
      </x:c>
      <x:c r="D157" s="24" t="str">
        <x:v>Final Fantasy</x:v>
      </x:c>
      <x:c r="E157" s="24" t="str">
        <x:v>Recurring cross-title pattern</x:v>
      </x:c>
      <x:c r="F157" s="24" t="str">
        <x:v>Recurring job family</x:v>
      </x:c>
      <x:c r="G157" s="24" t="str">
        <x:v>ROL-346</x:v>
      </x:c>
      <x:c r="H157" s="24" t="str">
        <x:f>IFERROR(VLOOKUP(G157,'Master Taxonomy'!$A$2:$B$1656,2,FALSE),"")</x:f>
        <x:v>Time Mage</x:v>
      </x:c>
      <x:c r="I157" s="24" t="str"/>
      <x:c r="J157" s="24" t="str"/>
      <x:c r="K157" s="24" t="str">
        <x:v>Caster manipulating haste, slow, gravity, time, and spatial effects.</x:v>
      </x:c>
      <x:c r="L157" s="24" t="str">
        <x:v>Job-system rules, equipment, abilities, and title-specific lore.</x:v>
      </x:c>
      <x:c r="M157" s="24" t="str">
        <x:v>The exact boundary between time and space magic varies.</x:v>
      </x:c>
      <x:c r="N157" s="24" t="str">
        <x:v>Tempo-control caster.</x:v>
      </x:c>
      <x:c r="O157" s="24" t="str">
        <x:v>Multiple primary continuities</x:v>
      </x:c>
      <x:c r="P157" s="24" t="str">
        <x:v>Secondary reference reviewed</x:v>
      </x:c>
      <x:c r="Q157" s="24" t="str">
        <x:v>Recurring job terminology across independent Final Fantasy continuities; source-level verification required per title.</x:v>
      </x:c>
      <x:c r="R157" s="84" t="str">
        <x:v>https://en.wikipedia.org/wiki/Final_Fantasy</x:v>
      </x:c>
      <x:c r="S157" s="24" t="str">
        <x:v>Seeded</x:v>
      </x:c>
    </x:row>
    <x:row r="158" ht="52" customHeight="1">
      <x:c r="A158" s="24" t="str">
        <x:v>ENT-0157</x:v>
      </x:c>
      <x:c r="B158" s="24" t="str">
        <x:v>Summoner</x:v>
      </x:c>
      <x:c r="C158" s="24" t="str">
        <x:v>SRC-129</x:v>
      </x:c>
      <x:c r="D158" s="24" t="str">
        <x:v>Final Fantasy</x:v>
      </x:c>
      <x:c r="E158" s="24" t="str">
        <x:v>Recurring cross-title pattern</x:v>
      </x:c>
      <x:c r="F158" s="24" t="str">
        <x:v>Recurring job family</x:v>
      </x:c>
      <x:c r="G158" s="24" t="str">
        <x:v>ROL-314</x:v>
      </x:c>
      <x:c r="H158" s="24" t="str">
        <x:f>IFERROR(VLOOKUP(G158,'Master Taxonomy'!$A$2:$B$1656,2,FALSE),"")</x:f>
        <x:v>Summoner</x:v>
      </x:c>
      <x:c r="I158" s="24" t="str">
        <x:v>ROL-817</x:v>
      </x:c>
      <x:c r="J158" s="24" t="str">
        <x:v>Summoner-Pet Master</x:v>
      </x:c>
      <x:c r="K158" s="24" t="str">
        <x:v>Caster who calls powerful named beings, avatars, or creatures.</x:v>
      </x:c>
      <x:c r="L158" s="24" t="str">
        <x:v>Job-system rules, equipment, abilities, and title-specific lore.</x:v>
      </x:c>
      <x:c r="M158" s="24" t="str">
        <x:v>Summons may be deities, spirits, monsters, contracts, pets, or cinematic attacks by title.</x:v>
      </x:c>
      <x:c r="N158" s="24" t="str">
        <x:v>Invocation and pet-caster archetype.</x:v>
      </x:c>
      <x:c r="O158" s="24" t="str">
        <x:v>Multiple primary continuities</x:v>
      </x:c>
      <x:c r="P158" s="24" t="str">
        <x:v>Secondary reference reviewed</x:v>
      </x:c>
      <x:c r="Q158" s="24" t="str">
        <x:v>Recurring job terminology across independent Final Fantasy continuities; source-level verification required per title.</x:v>
      </x:c>
      <x:c r="R158" s="84" t="str">
        <x:v>https://en.wikipedia.org/wiki/Final_Fantasy</x:v>
      </x:c>
      <x:c r="S158" s="24" t="str">
        <x:v>Seeded</x:v>
      </x:c>
    </x:row>
    <x:row r="159" ht="52" customHeight="1">
      <x:c r="A159" s="24" t="str">
        <x:v>ENT-0158</x:v>
      </x:c>
      <x:c r="B159" s="24" t="str">
        <x:v>Geomancer</x:v>
      </x:c>
      <x:c r="C159" s="24" t="str">
        <x:v>SRC-129</x:v>
      </x:c>
      <x:c r="D159" s="24" t="str">
        <x:v>Final Fantasy</x:v>
      </x:c>
      <x:c r="E159" s="24" t="str">
        <x:v>Recurring cross-title pattern</x:v>
      </x:c>
      <x:c r="F159" s="24" t="str">
        <x:v>Recurring job family</x:v>
      </x:c>
      <x:c r="G159" s="24" t="str">
        <x:v>ROL-324</x:v>
      </x:c>
      <x:c r="H159" s="24" t="str">
        <x:f>IFERROR(VLOOKUP(G159,'Master Taxonomy'!$A$2:$B$1656,2,FALSE),"")</x:f>
        <x:v>Geomancer</x:v>
      </x:c>
      <x:c r="I159" s="24" t="str"/>
      <x:c r="J159" s="24" t="str"/>
      <x:c r="K159" s="24" t="str">
        <x:v>Caster or hybrid drawing effects from terrain, weather, bells, or local elements.</x:v>
      </x:c>
      <x:c r="L159" s="24" t="str">
        <x:v>Job-system rules, equipment, abilities, and title-specific lore.</x:v>
      </x:c>
      <x:c r="M159" s="24" t="str">
        <x:v>Reliance on battlefield environment varies.</x:v>
      </x:c>
      <x:c r="N159" s="24" t="str">
        <x:v>Terrain-dependent nature caster.</x:v>
      </x:c>
      <x:c r="O159" s="24" t="str">
        <x:v>Multiple primary continuities</x:v>
      </x:c>
      <x:c r="P159" s="24" t="str">
        <x:v>Secondary reference reviewed</x:v>
      </x:c>
      <x:c r="Q159" s="24" t="str">
        <x:v>Recurring job terminology across independent Final Fantasy continuities; source-level verification required per title.</x:v>
      </x:c>
      <x:c r="R159" s="84" t="str">
        <x:v>https://en.wikipedia.org/wiki/Final_Fantasy</x:v>
      </x:c>
      <x:c r="S159" s="24" t="str">
        <x:v>Seeded</x:v>
      </x:c>
    </x:row>
    <x:row r="160" ht="52" customHeight="1">
      <x:c r="A160" s="24" t="str">
        <x:v>ENT-0159</x:v>
      </x:c>
      <x:c r="B160" s="24" t="str">
        <x:v>Beastmaster</x:v>
      </x:c>
      <x:c r="C160" s="24" t="str">
        <x:v>SRC-129</x:v>
      </x:c>
      <x:c r="D160" s="24" t="str">
        <x:v>Final Fantasy</x:v>
      </x:c>
      <x:c r="E160" s="24" t="str">
        <x:v>Recurring cross-title pattern</x:v>
      </x:c>
      <x:c r="F160" s="24" t="str">
        <x:v>Recurring job family</x:v>
      </x:c>
      <x:c r="G160" s="24" t="str">
        <x:v>ROL-507</x:v>
      </x:c>
      <x:c r="H160" s="24" t="str">
        <x:f>IFERROR(VLOOKUP(G160,'Master Taxonomy'!$A$2:$B$1656,2,FALSE),"")</x:f>
        <x:v>Beastmaster and Beast Tamer</x:v>
      </x:c>
      <x:c r="I160" s="24" t="str"/>
      <x:c r="J160" s="24" t="str"/>
      <x:c r="K160" s="24" t="str">
        <x:v>Job that controls, captures, learns from, or fights alongside monsters.</x:v>
      </x:c>
      <x:c r="L160" s="24" t="str">
        <x:v>Job-system rules, equipment, abilities, and title-specific lore.</x:v>
      </x:c>
      <x:c r="M160" s="24" t="str">
        <x:v>The relationship ranges from coercive control to companionship.</x:v>
      </x:c>
      <x:c r="N160" s="24" t="str">
        <x:v>Monster-party specialist.</x:v>
      </x:c>
      <x:c r="O160" s="24" t="str">
        <x:v>Multiple primary continuities</x:v>
      </x:c>
      <x:c r="P160" s="24" t="str">
        <x:v>Secondary reference reviewed</x:v>
      </x:c>
      <x:c r="Q160" s="24" t="str">
        <x:v>Recurring job terminology across independent Final Fantasy continuities; source-level verification required per title.</x:v>
      </x:c>
      <x:c r="R160" s="84" t="str">
        <x:v>https://en.wikipedia.org/wiki/Final_Fantasy</x:v>
      </x:c>
      <x:c r="S160" s="24" t="str">
        <x:v>Seeded</x:v>
      </x:c>
    </x:row>
    <x:row r="161" ht="52" customHeight="1">
      <x:c r="A161" s="24" t="str">
        <x:v>ENT-0160</x:v>
      </x:c>
      <x:c r="B161" s="24" t="str">
        <x:v>Bard</x:v>
      </x:c>
      <x:c r="C161" s="24" t="str">
        <x:v>SRC-129</x:v>
      </x:c>
      <x:c r="D161" s="24" t="str">
        <x:v>Final Fantasy</x:v>
      </x:c>
      <x:c r="E161" s="24" t="str">
        <x:v>Recurring cross-title pattern</x:v>
      </x:c>
      <x:c r="F161" s="24" t="str">
        <x:v>Recurring job family</x:v>
      </x:c>
      <x:c r="G161" s="24" t="str">
        <x:v>ROL-606</x:v>
      </x:c>
      <x:c r="H161" s="24" t="str">
        <x:f>IFERROR(VLOOKUP(G161,'Master Taxonomy'!$A$2:$B$1656,2,FALSE),"")</x:f>
        <x:v>Bard</x:v>
      </x:c>
      <x:c r="I161" s="24" t="str"/>
      <x:c r="J161" s="24" t="str"/>
      <x:c r="K161" s="24" t="str">
        <x:v>Performance support job using songs for party-wide effects.</x:v>
      </x:c>
      <x:c r="L161" s="24" t="str">
        <x:v>Job-system rules, equipment, abilities, and title-specific lore.</x:v>
      </x:c>
      <x:c r="M161" s="24" t="str">
        <x:v>Some incarnations are archers or lorekeepers; others are pure support.</x:v>
      </x:c>
      <x:c r="N161" s="24" t="str">
        <x:v>Musical buffer.</x:v>
      </x:c>
      <x:c r="O161" s="24" t="str">
        <x:v>Multiple primary continuities</x:v>
      </x:c>
      <x:c r="P161" s="24" t="str">
        <x:v>Secondary reference reviewed</x:v>
      </x:c>
      <x:c r="Q161" s="24" t="str">
        <x:v>Recurring job terminology across independent Final Fantasy continuities; source-level verification required per title.</x:v>
      </x:c>
      <x:c r="R161" s="84" t="str">
        <x:v>https://en.wikipedia.org/wiki/Final_Fantasy</x:v>
      </x:c>
      <x:c r="S161" s="24" t="str">
        <x:v>Seeded</x:v>
      </x:c>
    </x:row>
    <x:row r="162" ht="52" customHeight="1">
      <x:c r="A162" s="24" t="str">
        <x:v>ENT-0161</x:v>
      </x:c>
      <x:c r="B162" s="24" t="str">
        <x:v>Dancer</x:v>
      </x:c>
      <x:c r="C162" s="24" t="str">
        <x:v>SRC-129</x:v>
      </x:c>
      <x:c r="D162" s="24" t="str">
        <x:v>Final Fantasy</x:v>
      </x:c>
      <x:c r="E162" s="24" t="str">
        <x:v>Recurring cross-title pattern</x:v>
      </x:c>
      <x:c r="F162" s="24" t="str">
        <x:v>Recurring job family</x:v>
      </x:c>
      <x:c r="G162" s="24" t="str">
        <x:v>ROL-608</x:v>
      </x:c>
      <x:c r="H162" s="24" t="str">
        <x:f>IFERROR(VLOOKUP(G162,'Master Taxonomy'!$A$2:$B$1656,2,FALSE),"")</x:f>
        <x:v>Dancer</x:v>
      </x:c>
      <x:c r="I162" s="24" t="str">
        <x:v>ROL-822</x:v>
      </x:c>
      <x:c r="J162" s="24" t="str">
        <x:v>Dancer-Fighter</x:v>
      </x:c>
      <x:c r="K162" s="24" t="str">
        <x:v>Performance-based job using dances for buffs, debuffs, healing, or attacks.</x:v>
      </x:c>
      <x:c r="L162" s="24" t="str">
        <x:v>Job-system rules, equipment, abilities, and title-specific lore.</x:v>
      </x:c>
      <x:c r="M162" s="24" t="str">
        <x:v>Gender coding and combat style vary by title.</x:v>
      </x:c>
      <x:c r="N162" s="24" t="str">
        <x:v>Rhythmic support or hybrid.</x:v>
      </x:c>
      <x:c r="O162" s="24" t="str">
        <x:v>Multiple primary continuities</x:v>
      </x:c>
      <x:c r="P162" s="24" t="str">
        <x:v>Secondary reference reviewed</x:v>
      </x:c>
      <x:c r="Q162" s="24" t="str">
        <x:v>Recurring job terminology across independent Final Fantasy continuities; source-level verification required per title.</x:v>
      </x:c>
      <x:c r="R162" s="84" t="str">
        <x:v>https://en.wikipedia.org/wiki/Final_Fantasy</x:v>
      </x:c>
      <x:c r="S162" s="24" t="str">
        <x:v>Seeded</x:v>
      </x:c>
    </x:row>
    <x:row r="163" ht="52" customHeight="1">
      <x:c r="A163" s="24" t="str">
        <x:v>ENT-0162</x:v>
      </x:c>
      <x:c r="B163" s="24" t="str">
        <x:v>Machinist</x:v>
      </x:c>
      <x:c r="C163" s="24" t="str">
        <x:v>SRC-129</x:v>
      </x:c>
      <x:c r="D163" s="24" t="str">
        <x:v>Final Fantasy</x:v>
      </x:c>
      <x:c r="E163" s="24" t="str">
        <x:v>Recurring cross-title pattern</x:v>
      </x:c>
      <x:c r="F163" s="24" t="str">
        <x:v>Recurring job family</x:v>
      </x:c>
      <x:c r="G163" s="24" t="str">
        <x:v>ROL-129</x:v>
      </x:c>
      <x:c r="H163" s="24" t="str">
        <x:f>IFERROR(VLOOKUP(G163,'Master Taxonomy'!$A$2:$B$1656,2,FALSE),"")</x:f>
        <x:v>Gunner and Fusilier</x:v>
      </x:c>
      <x:c r="I163" s="24" t="str">
        <x:v>ROL-615; PWR-516</x:v>
      </x:c>
      <x:c r="J163" s="24" t="str">
        <x:v>Engineer; Magitech</x:v>
      </x:c>
      <x:c r="K163" s="24" t="str">
        <x:v>Technology-oriented ranged job using firearms, devices, or automata.</x:v>
      </x:c>
      <x:c r="L163" s="24" t="str">
        <x:v>Job-system rules, equipment, abilities, and title-specific lore.</x:v>
      </x:c>
      <x:c r="M163" s="24" t="str">
        <x:v>Its technological level and role differ sharply across settings.</x:v>
      </x:c>
      <x:c r="N163" s="24" t="str">
        <x:v>Magitech gunner-engineer.</x:v>
      </x:c>
      <x:c r="O163" s="24" t="str">
        <x:v>Multiple primary continuities</x:v>
      </x:c>
      <x:c r="P163" s="24" t="str">
        <x:v>Secondary reference reviewed</x:v>
      </x:c>
      <x:c r="Q163" s="24" t="str">
        <x:v>Recurring job terminology across independent Final Fantasy continuities; source-level verification required per title.</x:v>
      </x:c>
      <x:c r="R163" s="84" t="str">
        <x:v>https://en.wikipedia.org/wiki/Final_Fantasy</x:v>
      </x:c>
      <x:c r="S163" s="24" t="str">
        <x:v>Seeded</x:v>
      </x:c>
    </x:row>
    <x:row r="164" ht="52" customHeight="1">
      <x:c r="A164" s="24" t="str">
        <x:v>ENT-0163</x:v>
      </x:c>
      <x:c r="B164" s="24" t="str">
        <x:v>Scholar</x:v>
      </x:c>
      <x:c r="C164" s="24" t="str">
        <x:v>SRC-129</x:v>
      </x:c>
      <x:c r="D164" s="24" t="str">
        <x:v>Final Fantasy</x:v>
      </x:c>
      <x:c r="E164" s="24" t="str">
        <x:v>Recurring cross-title pattern</x:v>
      </x:c>
      <x:c r="F164" s="24" t="str">
        <x:v>Recurring job family</x:v>
      </x:c>
      <x:c r="G164" s="24" t="str">
        <x:v>ROL-833</x:v>
      </x:c>
      <x:c r="H164" s="24" t="str">
        <x:f>IFERROR(VLOOKUP(G164,'Master Taxonomy'!$A$2:$B$1656,2,FALSE),"")</x:f>
        <x:v>Scholar-Healer</x:v>
      </x:c>
      <x:c r="I164" s="24" t="str">
        <x:v>ROL-306</x:v>
      </x:c>
      <x:c r="J164" s="24" t="str">
        <x:v>Magical Scholar</x:v>
      </x:c>
      <x:c r="K164" s="24" t="str">
        <x:v>Book-using learned job combining analysis, support, healing, or enemy knowledge.</x:v>
      </x:c>
      <x:c r="L164" s="24" t="str">
        <x:v>Job-system rules, equipment, abilities, and title-specific lore.</x:v>
      </x:c>
      <x:c r="M164" s="24" t="str">
        <x:v>Not every Scholar incarnation is a healer.</x:v>
      </x:c>
      <x:c r="N164" s="24" t="str">
        <x:v>Analytical support caster.</x:v>
      </x:c>
      <x:c r="O164" s="24" t="str">
        <x:v>Multiple primary continuities</x:v>
      </x:c>
      <x:c r="P164" s="24" t="str">
        <x:v>Secondary reference reviewed</x:v>
      </x:c>
      <x:c r="Q164" s="24" t="str">
        <x:v>Recurring job terminology across independent Final Fantasy continuities; source-level verification required per title.</x:v>
      </x:c>
      <x:c r="R164" s="84" t="str">
        <x:v>https://en.wikipedia.org/wiki/Final_Fantasy</x:v>
      </x:c>
      <x:c r="S164" s="24" t="str">
        <x:v>Seeded</x:v>
      </x:c>
    </x:row>
    <x:row r="165" ht="52" customHeight="1">
      <x:c r="A165" s="24" t="str">
        <x:v>ENT-0164</x:v>
      </x:c>
      <x:c r="B165" s="24" t="str">
        <x:v>Sage</x:v>
      </x:c>
      <x:c r="C165" s="24" t="str">
        <x:v>SRC-129</x:v>
      </x:c>
      <x:c r="D165" s="24" t="str">
        <x:v>Final Fantasy</x:v>
      </x:c>
      <x:c r="E165" s="24" t="str">
        <x:v>Recurring cross-title pattern</x:v>
      </x:c>
      <x:c r="F165" s="24" t="str">
        <x:v>Recurring job family</x:v>
      </x:c>
      <x:c r="G165" s="24" t="str">
        <x:v>ROL-307</x:v>
      </x:c>
      <x:c r="H165" s="24" t="str">
        <x:f>IFERROR(VLOOKUP(G165,'Master Taxonomy'!$A$2:$B$1656,2,FALSE),"")</x:f>
        <x:v>Sage</x:v>
      </x:c>
      <x:c r="I165" s="24" t="str"/>
      <x:c r="J165" s="24" t="str"/>
      <x:c r="K165" s="24" t="str">
        <x:v>Advanced caster with broad or high-level magical access.</x:v>
      </x:c>
      <x:c r="L165" s="24" t="str">
        <x:v>Job-system rules, equipment, abilities, and title-specific lore.</x:v>
      </x:c>
      <x:c r="M165" s="24" t="str">
        <x:v>Sometimes a master of multiple schools; sometimes a distinct healer.</x:v>
      </x:c>
      <x:c r="N165" s="24" t="str">
        <x:v>Elite generalist caster.</x:v>
      </x:c>
      <x:c r="O165" s="24" t="str">
        <x:v>Multiple primary continuities</x:v>
      </x:c>
      <x:c r="P165" s="24" t="str">
        <x:v>Secondary reference reviewed</x:v>
      </x:c>
      <x:c r="Q165" s="24" t="str">
        <x:v>Recurring job terminology across independent Final Fantasy continuities; source-level verification required per title.</x:v>
      </x:c>
      <x:c r="R165" s="84" t="str">
        <x:v>https://en.wikipedia.org/wiki/Final_Fantasy</x:v>
      </x:c>
      <x:c r="S165" s="24" t="str">
        <x:v>Seeded</x:v>
      </x:c>
    </x:row>
    <x:row r="166" ht="52" customHeight="1">
      <x:c r="A166" s="24" t="str">
        <x:v>ENT-0165</x:v>
      </x:c>
      <x:c r="B166" s="24" t="str">
        <x:v>Astrologian</x:v>
      </x:c>
      <x:c r="C166" s="24" t="str">
        <x:v>SRC-129</x:v>
      </x:c>
      <x:c r="D166" s="24" t="str">
        <x:v>Final Fantasy</x:v>
      </x:c>
      <x:c r="E166" s="24" t="str">
        <x:v>Recurring cross-title pattern</x:v>
      </x:c>
      <x:c r="F166" s="24" t="str">
        <x:v>Recurring job family</x:v>
      </x:c>
      <x:c r="G166" s="24" t="str">
        <x:v>ROL-832</x:v>
      </x:c>
      <x:c r="H166" s="24" t="str">
        <x:f>IFERROR(VLOOKUP(G166,'Master Taxonomy'!$A$2:$B$1656,2,FALSE),"")</x:f>
        <x:v>Astrologian Healer</x:v>
      </x:c>
      <x:c r="I166" s="24" t="str">
        <x:v>ROL-317</x:v>
      </x:c>
      <x:c r="J166" s="24" t="str">
        <x:v>Astrologer and Astrologian</x:v>
      </x:c>
      <x:c r="K166" s="24" t="str">
        <x:v>Fate- and star-themed support or healing job.</x:v>
      </x:c>
      <x:c r="L166" s="24" t="str">
        <x:v>Job-system rules, equipment, abilities, and title-specific lore.</x:v>
      </x:c>
      <x:c r="M166" s="24" t="str">
        <x:v>Most strongly systematized in Final Fantasy XIV.</x:v>
      </x:c>
      <x:c r="N166" s="24" t="str">
        <x:v>Card-and-fate healer.</x:v>
      </x:c>
      <x:c r="O166" s="24" t="str">
        <x:v>Multiple primary continuities</x:v>
      </x:c>
      <x:c r="P166" s="24" t="str">
        <x:v>Secondary reference reviewed</x:v>
      </x:c>
      <x:c r="Q166" s="24" t="str">
        <x:v>Recurring job terminology across independent Final Fantasy continuities; source-level verification required per title.</x:v>
      </x:c>
      <x:c r="R166" s="84" t="str">
        <x:v>https://en.wikipedia.org/wiki/Final_Fantasy</x:v>
      </x:c>
      <x:c r="S166" s="24" t="str">
        <x:v>Seeded</x:v>
      </x:c>
    </x:row>
    <x:row r="167" ht="52" customHeight="1">
      <x:c r="A167" s="24" t="str">
        <x:v>ENT-0166</x:v>
      </x:c>
      <x:c r="B167" s="24" t="str">
        <x:v>Reaper</x:v>
      </x:c>
      <x:c r="C167" s="24" t="str">
        <x:v>SRC-129</x:v>
      </x:c>
      <x:c r="D167" s="24" t="str">
        <x:v>Final Fantasy</x:v>
      </x:c>
      <x:c r="E167" s="24" t="str">
        <x:v>Recurring cross-title pattern</x:v>
      </x:c>
      <x:c r="F167" s="24" t="str">
        <x:v>Recurring job family</x:v>
      </x:c>
      <x:c r="G167" s="24" t="str">
        <x:v>ROL-831</x:v>
      </x:c>
      <x:c r="H167" s="24" t="str">
        <x:f>IFERROR(VLOOKUP(G167,'Master Taxonomy'!$A$2:$B$1656,2,FALSE),"")</x:f>
        <x:v>Reaper</x:v>
      </x:c>
      <x:c r="I167" s="24" t="str"/>
      <x:c r="J167" s="24" t="str"/>
      <x:c r="K167" s="24" t="str">
        <x:v>Scythe-wielding dark martial job often linked to spirits or void power.</x:v>
      </x:c>
      <x:c r="L167" s="24" t="str">
        <x:v>Job-system rules, equipment, abilities, and title-specific lore.</x:v>
      </x:c>
      <x:c r="M167" s="24" t="str">
        <x:v>Meaning and mechanics are title-specific.</x:v>
      </x:c>
      <x:c r="N167" s="24" t="str">
        <x:v>Dark avatar melee role.</x:v>
      </x:c>
      <x:c r="O167" s="24" t="str">
        <x:v>Multiple primary continuities</x:v>
      </x:c>
      <x:c r="P167" s="24" t="str">
        <x:v>Secondary reference reviewed</x:v>
      </x:c>
      <x:c r="Q167" s="24" t="str">
        <x:v>Recurring job terminology across independent Final Fantasy continuities; source-level verification required per title.</x:v>
      </x:c>
      <x:c r="R167" s="84" t="str">
        <x:v>https://en.wikipedia.org/wiki/Final_Fantasy</x:v>
      </x:c>
      <x:c r="S167" s="24" t="str">
        <x:v>Seeded</x:v>
      </x:c>
    </x:row>
    <x:row r="168" ht="52" customHeight="1">
      <x:c r="A168" s="24" t="str">
        <x:v>ENT-0167</x:v>
      </x:c>
      <x:c r="B168" s="24" t="str">
        <x:v>Pictomancer</x:v>
      </x:c>
      <x:c r="C168" s="24" t="str">
        <x:v>SRC-129</x:v>
      </x:c>
      <x:c r="D168" s="24" t="str">
        <x:v>Final Fantasy</x:v>
      </x:c>
      <x:c r="E168" s="24" t="str">
        <x:v>Recurring cross-title pattern</x:v>
      </x:c>
      <x:c r="F168" s="24" t="str">
        <x:v>Recurring job family</x:v>
      </x:c>
      <x:c r="G168" s="24" t="str">
        <x:v>PWR-511</x:v>
      </x:c>
      <x:c r="H168" s="24" t="str">
        <x:f>IFERROR(VLOOKUP(G168,'Master Taxonomy'!$A$2:$B$1656,2,FALSE),"")</x:f>
        <x:v>Visual Art and Painting Magic</x:v>
      </x:c>
      <x:c r="I168" s="24" t="str"/>
      <x:c r="J168" s="24" t="str"/>
      <x:c r="K168" s="24" t="str">
        <x:v>Caster whose paintings or visual creations produce magical effects.</x:v>
      </x:c>
      <x:c r="L168" s="24" t="str">
        <x:v>Job-system rules, equipment, abilities, and title-specific lore.</x:v>
      </x:c>
      <x:c r="M168" s="24" t="str">
        <x:v>The term appears in specific continuities rather than as a universal series job.</x:v>
      </x:c>
      <x:c r="N168" s="24" t="str">
        <x:v>Art-magic caster.</x:v>
      </x:c>
      <x:c r="O168" s="24" t="str">
        <x:v>Multiple primary continuities</x:v>
      </x:c>
      <x:c r="P168" s="24" t="str">
        <x:v>Secondary reference reviewed</x:v>
      </x:c>
      <x:c r="Q168" s="24" t="str">
        <x:v>Recurring job terminology across independent Final Fantasy continuities; source-level verification required per title.</x:v>
      </x:c>
      <x:c r="R168" s="84" t="str">
        <x:v>https://en.wikipedia.org/wiki/Final_Fantasy</x:v>
      </x:c>
      <x:c r="S168" s="24" t="str">
        <x:v>Seeded</x:v>
      </x:c>
    </x:row>
    <x:row r="169" ht="52" customHeight="1">
      <x:c r="A169" s="24" t="str">
        <x:v>ENT-0168</x:v>
      </x:c>
      <x:c r="B169" s="24" t="str">
        <x:v>Calculator / Arithmetician</x:v>
      </x:c>
      <x:c r="C169" s="24" t="str">
        <x:v>SRC-129</x:v>
      </x:c>
      <x:c r="D169" s="24" t="str">
        <x:v>Final Fantasy</x:v>
      </x:c>
      <x:c r="E169" s="24" t="str">
        <x:v>Recurring cross-title pattern</x:v>
      </x:c>
      <x:c r="F169" s="24" t="str">
        <x:v>Recurring job family</x:v>
      </x:c>
      <x:c r="G169" s="24" t="str">
        <x:v>ROL-347</x:v>
      </x:c>
      <x:c r="H169" s="24" t="str">
        <x:f>IFERROR(VLOOKUP(G169,'Master Taxonomy'!$A$2:$B$1656,2,FALSE),"")</x:f>
        <x:v>Calculator and Arithmetician</x:v>
      </x:c>
      <x:c r="I169" s="24" t="str"/>
      <x:c r="J169" s="24" t="str"/>
      <x:c r="K169" s="24" t="str">
        <x:v>Technical caster applying spells through numerical targeting rules.</x:v>
      </x:c>
      <x:c r="L169" s="24" t="str">
        <x:v>Job-system rules, equipment, abilities, and title-specific lore.</x:v>
      </x:c>
      <x:c r="M169" s="24" t="str">
        <x:v>This is especially tied to tactical game mechanics.</x:v>
      </x:c>
      <x:c r="N169" s="24" t="str">
        <x:v>Mathematical meta-caster.</x:v>
      </x:c>
      <x:c r="O169" s="24" t="str">
        <x:v>Multiple primary continuities</x:v>
      </x:c>
      <x:c r="P169" s="24" t="str">
        <x:v>Secondary reference reviewed</x:v>
      </x:c>
      <x:c r="Q169" s="24" t="str">
        <x:v>Recurring job terminology across independent Final Fantasy continuities; source-level verification required per title.</x:v>
      </x:c>
      <x:c r="R169" s="84" t="str">
        <x:v>https://en.wikipedia.org/wiki/Final_Fantasy</x:v>
      </x:c>
      <x:c r="S169" s="24" t="str">
        <x:v>Seeded</x:v>
      </x:c>
    </x:row>
    <x:row r="170" ht="52" customHeight="1">
      <x:c r="A170" s="24" t="str">
        <x:v>ENT-0169</x:v>
      </x:c>
      <x:c r="B170" s="24" t="str">
        <x:v>Mime</x:v>
      </x:c>
      <x:c r="C170" s="24" t="str">
        <x:v>SRC-129</x:v>
      </x:c>
      <x:c r="D170" s="24" t="str">
        <x:v>Final Fantasy</x:v>
      </x:c>
      <x:c r="E170" s="24" t="str">
        <x:v>Recurring cross-title pattern</x:v>
      </x:c>
      <x:c r="F170" s="24" t="str">
        <x:v>Recurring job family</x:v>
      </x:c>
      <x:c r="G170" s="24" t="str">
        <x:v>ROL-820</x:v>
      </x:c>
      <x:c r="H170" s="24" t="str">
        <x:f>IFERROR(VLOOKUP(G170,'Master Taxonomy'!$A$2:$B$1656,2,FALSE),"")</x:f>
        <x:v>Mime</x:v>
      </x:c>
      <x:c r="I170" s="24" t="str"/>
      <x:c r="J170" s="24" t="str"/>
      <x:c r="K170" s="24" t="str">
        <x:v>Job that reproduces actions taken by other party members.</x:v>
      </x:c>
      <x:c r="L170" s="24" t="str">
        <x:v>Job-system rules, equipment, abilities, and title-specific lore.</x:v>
      </x:c>
      <x:c r="M170" s="24" t="str">
        <x:v>Its power depends on party composition and turn systems.</x:v>
      </x:c>
      <x:c r="N170" s="24" t="str">
        <x:v>Action-copy specialist.</x:v>
      </x:c>
      <x:c r="O170" s="24" t="str">
        <x:v>Multiple primary continuities</x:v>
      </x:c>
      <x:c r="P170" s="24" t="str">
        <x:v>Secondary reference reviewed</x:v>
      </x:c>
      <x:c r="Q170" s="24" t="str">
        <x:v>Recurring job terminology across independent Final Fantasy continuities; source-level verification required per title.</x:v>
      </x:c>
      <x:c r="R170" s="84" t="str">
        <x:v>https://en.wikipedia.org/wiki/Final_Fantasy</x:v>
      </x:c>
      <x:c r="S170" s="24" t="str">
        <x:v>Seeded</x:v>
      </x:c>
    </x:row>
    <x:row r="171" ht="52" customHeight="1">
      <x:c r="A171" s="24" t="str">
        <x:v>ENT-0170</x:v>
      </x:c>
      <x:c r="B171" s="24" t="str">
        <x:v>Freelancer / Onion Knight</x:v>
      </x:c>
      <x:c r="C171" s="24" t="str">
        <x:v>SRC-129</x:v>
      </x:c>
      <x:c r="D171" s="24" t="str">
        <x:v>Final Fantasy</x:v>
      </x:c>
      <x:c r="E171" s="24" t="str">
        <x:v>Recurring cross-title pattern</x:v>
      </x:c>
      <x:c r="F171" s="24" t="str">
        <x:v>Recurring job family</x:v>
      </x:c>
      <x:c r="G171" s="24" t="str">
        <x:v>ROL-821</x:v>
      </x:c>
      <x:c r="H171" s="24" t="str">
        <x:f>IFERROR(VLOOKUP(G171,'Master Taxonomy'!$A$2:$B$1656,2,FALSE),"")</x:f>
        <x:v>Freelancer and Job Generalist</x:v>
      </x:c>
      <x:c r="I171" s="24" t="str">
        <x:v>MEC-302</x:v>
      </x:c>
      <x:c r="J171" s="24" t="str">
        <x:v>Class Change or Job System</x:v>
      </x:c>
      <x:c r="K171" s="24" t="str">
        <x:v>Generalist or base job able to inherit abilities from other jobs.</x:v>
      </x:c>
      <x:c r="L171" s="24" t="str">
        <x:v>Job-system rules, equipment, abilities, and title-specific lore.</x:v>
      </x:c>
      <x:c r="M171" s="24" t="str">
        <x:v>Names and progression logic vary by title.</x:v>
      </x:c>
      <x:c r="N171" s="24" t="str">
        <x:v>Job-system meta-generalist.</x:v>
      </x:c>
      <x:c r="O171" s="24" t="str">
        <x:v>Multiple primary continuities</x:v>
      </x:c>
      <x:c r="P171" s="24" t="str">
        <x:v>Secondary reference reviewed</x:v>
      </x:c>
      <x:c r="Q171" s="24" t="str">
        <x:v>Recurring job terminology across independent Final Fantasy continuities; source-level verification required per title.</x:v>
      </x:c>
      <x:c r="R171" s="84" t="str">
        <x:v>https://en.wikipedia.org/wiki/Final_Fantasy</x:v>
      </x:c>
      <x:c r="S171" s="24" t="str">
        <x:v>Seeded</x:v>
      </x:c>
    </x:row>
    <x:row r="172" ht="52" customHeight="1">
      <x:c r="A172" s="24" t="str">
        <x:v>ENT-0171</x:v>
      </x:c>
      <x:c r="B172" s="24" t="str">
        <x:v>Gunbreaker</x:v>
      </x:c>
      <x:c r="C172" s="24" t="str">
        <x:v>SRC-129</x:v>
      </x:c>
      <x:c r="D172" s="24" t="str">
        <x:v>Final Fantasy</x:v>
      </x:c>
      <x:c r="E172" s="24" t="str">
        <x:v>Recurring cross-title pattern</x:v>
      </x:c>
      <x:c r="F172" s="24" t="str">
        <x:v>Recurring job family</x:v>
      </x:c>
      <x:c r="G172" s="24" t="str">
        <x:v>ROL-834</x:v>
      </x:c>
      <x:c r="H172" s="24" t="str">
        <x:f>IFERROR(VLOOKUP(G172,'Master Taxonomy'!$A$2:$B$1656,2,FALSE),"")</x:f>
        <x:v>Gunbreaker and Explosive Blade Knight</x:v>
      </x:c>
      <x:c r="I172" s="24" t="str"/>
      <x:c r="J172" s="24" t="str"/>
      <x:c r="K172" s="24" t="str">
        <x:v>Blade-and-cartridge martial role using explosive or aetheric weapon techniques.</x:v>
      </x:c>
      <x:c r="L172" s="24" t="str">
        <x:v>Job-system rules, equipment, abilities, and title-specific lore.</x:v>
      </x:c>
      <x:c r="M172" s="24" t="str">
        <x:v>The name does not imply a person who breaks guns.</x:v>
      </x:c>
      <x:c r="N172" s="24" t="str">
        <x:v>Magitech tank or explosive spellblade.</x:v>
      </x:c>
      <x:c r="O172" s="24" t="str">
        <x:v>Multiple primary continuities</x:v>
      </x:c>
      <x:c r="P172" s="24" t="str">
        <x:v>Secondary reference reviewed</x:v>
      </x:c>
      <x:c r="Q172" s="24" t="str">
        <x:v>Recurring job terminology across independent Final Fantasy continuities; source-level verification required per title.</x:v>
      </x:c>
      <x:c r="R172" s="84" t="str">
        <x:v>https://en.wikipedia.org/wiki/Final_Fantasy</x:v>
      </x:c>
      <x:c r="S172" s="24" t="str">
        <x:v>Seeded</x:v>
      </x:c>
    </x:row>
    <x:row r="173" ht="52" customHeight="1">
      <x:c r="A173" s="24" t="str">
        <x:v>ENT-0172</x:v>
      </x:c>
      <x:c r="B173" s="24" t="str">
        <x:v>Hyur</x:v>
      </x:c>
      <x:c r="C173" s="24" t="str">
        <x:v>SRC-131</x:v>
      </x:c>
      <x:c r="D173" s="24" t="str">
        <x:v>Final Fantasy XIV</x:v>
      </x:c>
      <x:c r="E173" s="24" t="str">
        <x:v>Current game continuity</x:v>
      </x:c>
      <x:c r="F173" s="24" t="str">
        <x:v>Playable race</x:v>
      </x:c>
      <x:c r="G173" s="24" t="str">
        <x:v>PPL-101</x:v>
      </x:c>
      <x:c r="H173" s="24" t="str">
        <x:f>IFERROR(VLOOKUP(G173,'Master Taxonomy'!$A$2:$B$1656,2,FALSE),"")</x:f>
        <x:v>Human and Near-Human Peoples</x:v>
      </x:c>
      <x:c r="I173" s="24" t="str"/>
      <x:c r="J173" s="24" t="str"/>
      <x:c r="K173" s="24" t="str">
        <x:v>A widespread human people divided into clans and many cultures.</x:v>
      </x:c>
      <x:c r="L173" s="24" t="str">
        <x:v>Natural ancestry and clan/cultural variation.</x:v>
      </x:c>
      <x:c r="M173" s="24" t="str">
        <x:v>Race and clan are separate from nationality and job.</x:v>
      </x:c>
      <x:c r="N173" s="24" t="str">
        <x:v>Playable human ancestry.</x:v>
      </x:c>
      <x:c r="O173" s="24" t="str">
        <x:v>Primary canon</x:v>
      </x:c>
      <x:c r="P173" s="24" t="str">
        <x:v>Official reference reviewed</x:v>
      </x:c>
      <x:c r="Q173" s="24" t="str">
        <x:v>Official Final Fantasy XIV race/clan pages and battle job guide.</x:v>
      </x:c>
      <x:c r="R173" s="84" t="str">
        <x:v>https://na.finalfantasyxiv.com/jobguide/battle/</x:v>
      </x:c>
      <x:c r="S173" s="24" t="str">
        <x:v>Seeded</x:v>
      </x:c>
    </x:row>
    <x:row r="174" ht="52" customHeight="1">
      <x:c r="A174" s="24" t="str">
        <x:v>ENT-0173</x:v>
      </x:c>
      <x:c r="B174" s="24" t="str">
        <x:v>Elezen</x:v>
      </x:c>
      <x:c r="C174" s="24" t="str">
        <x:v>SRC-131</x:v>
      </x:c>
      <x:c r="D174" s="24" t="str">
        <x:v>Final Fantasy XIV</x:v>
      </x:c>
      <x:c r="E174" s="24" t="str">
        <x:v>Current game continuity</x:v>
      </x:c>
      <x:c r="F174" s="24" t="str">
        <x:v>Playable race</x:v>
      </x:c>
      <x:c r="G174" s="24" t="str">
        <x:v>PPL-102</x:v>
      </x:c>
      <x:c r="H174" s="24" t="str">
        <x:f>IFERROR(VLOOKUP(G174,'Master Taxonomy'!$A$2:$B$1656,2,FALSE),"")</x:f>
        <x:v>Elf-Derived Peoples</x:v>
      </x:c>
      <x:c r="I174" s="24" t="str"/>
      <x:c r="J174" s="24" t="str"/>
      <x:c r="K174" s="24" t="str">
        <x:v>A tall, long-lived humanoid people with multiple clans.</x:v>
      </x:c>
      <x:c r="L174" s="24" t="str">
        <x:v>Natural ancestry, long life, and clan history.</x:v>
      </x:c>
      <x:c r="M174" s="24" t="str">
        <x:v>Elf-derived visually and functionally, but with setting-specific history.</x:v>
      </x:c>
      <x:c r="N174" s="24" t="str">
        <x:v>Playable elf-like ancestry.</x:v>
      </x:c>
      <x:c r="O174" s="24" t="str">
        <x:v>Primary canon</x:v>
      </x:c>
      <x:c r="P174" s="24" t="str">
        <x:v>Official reference reviewed</x:v>
      </x:c>
      <x:c r="Q174" s="24" t="str">
        <x:v>Official Final Fantasy XIV race/clan pages and battle job guide.</x:v>
      </x:c>
      <x:c r="R174" s="84" t="str">
        <x:v>https://na.finalfantasyxiv.com/jobguide/battle/</x:v>
      </x:c>
      <x:c r="S174" s="24" t="str">
        <x:v>Seeded</x:v>
      </x:c>
    </x:row>
    <x:row r="175" ht="52" customHeight="1">
      <x:c r="A175" s="24" t="str">
        <x:v>ENT-0174</x:v>
      </x:c>
      <x:c r="B175" s="24" t="str">
        <x:v>Lalafell</x:v>
      </x:c>
      <x:c r="C175" s="24" t="str">
        <x:v>SRC-131</x:v>
      </x:c>
      <x:c r="D175" s="24" t="str">
        <x:v>Final Fantasy XIV</x:v>
      </x:c>
      <x:c r="E175" s="24" t="str">
        <x:v>Current game continuity</x:v>
      </x:c>
      <x:c r="F175" s="24" t="str">
        <x:v>Playable race</x:v>
      </x:c>
      <x:c r="G175" s="24" t="str">
        <x:v>PPL-104</x:v>
      </x:c>
      <x:c r="H175" s="24" t="str">
        <x:f>IFERROR(VLOOKUP(G175,'Master Taxonomy'!$A$2:$B$1656,2,FALSE),"")</x:f>
        <x:v>Halfling and Smallfolk Peoples</x:v>
      </x:c>
      <x:c r="I175" s="24" t="str"/>
      <x:c r="J175" s="24" t="str"/>
      <x:c r="K175" s="24" t="str">
        <x:v>A small-statured people with distinct clans and wide social roles.</x:v>
      </x:c>
      <x:c r="L175" s="24" t="str">
        <x:v>Natural ancestry and clan cultures.</x:v>
      </x:c>
      <x:c r="M175" s="24" t="str">
        <x:v>Small stature does not define profession or morality.</x:v>
      </x:c>
      <x:c r="N175" s="24" t="str">
        <x:v>Playable smallfolk ancestry.</x:v>
      </x:c>
      <x:c r="O175" s="24" t="str">
        <x:v>Primary canon</x:v>
      </x:c>
      <x:c r="P175" s="24" t="str">
        <x:v>Official reference reviewed</x:v>
      </x:c>
      <x:c r="Q175" s="24" t="str">
        <x:v>Official Final Fantasy XIV race/clan pages and battle job guide.</x:v>
      </x:c>
      <x:c r="R175" s="84" t="str">
        <x:v>https://na.finalfantasyxiv.com/jobguide/battle/</x:v>
      </x:c>
      <x:c r="S175" s="24" t="str">
        <x:v>Seeded</x:v>
      </x:c>
    </x:row>
    <x:row r="176" ht="52" customHeight="1">
      <x:c r="A176" s="24" t="str">
        <x:v>ENT-0175</x:v>
      </x:c>
      <x:c r="B176" s="24" t="str">
        <x:v>Miqo'te</x:v>
      </x:c>
      <x:c r="C176" s="24" t="str">
        <x:v>SRC-131</x:v>
      </x:c>
      <x:c r="D176" s="24" t="str">
        <x:v>Final Fantasy XIV</x:v>
      </x:c>
      <x:c r="E176" s="24" t="str">
        <x:v>Current game continuity</x:v>
      </x:c>
      <x:c r="F176" s="24" t="str">
        <x:v>Playable race</x:v>
      </x:c>
      <x:c r="G176" s="24" t="str">
        <x:v>PPL-121</x:v>
      </x:c>
      <x:c r="H176" s="24" t="str">
        <x:f>IFERROR(VLOOKUP(G176,'Master Taxonomy'!$A$2:$B$1656,2,FALSE),"")</x:f>
        <x:v>Feline Beastfolk</x:v>
      </x:c>
      <x:c r="I176" s="24" t="str"/>
      <x:c r="J176" s="24" t="str"/>
      <x:c r="K176" s="24" t="str">
        <x:v>Feline-featured humanoid people divided into culturally distinct clans.</x:v>
      </x:c>
      <x:c r="L176" s="24" t="str">
        <x:v>Natural ancestry and clan histories.</x:v>
      </x:c>
      <x:c r="M176" s="24" t="str">
        <x:v>Not a single catfolk culture.</x:v>
      </x:c>
      <x:c r="N176" s="24" t="str">
        <x:v>Playable feline humanoid ancestry.</x:v>
      </x:c>
      <x:c r="O176" s="24" t="str">
        <x:v>Primary canon</x:v>
      </x:c>
      <x:c r="P176" s="24" t="str">
        <x:v>Official reference reviewed</x:v>
      </x:c>
      <x:c r="Q176" s="24" t="str">
        <x:v>Official Final Fantasy XIV race/clan pages and battle job guide.</x:v>
      </x:c>
      <x:c r="R176" s="84" t="str">
        <x:v>https://na.finalfantasyxiv.com/jobguide/battle/</x:v>
      </x:c>
      <x:c r="S176" s="24" t="str">
        <x:v>Seeded</x:v>
      </x:c>
    </x:row>
    <x:row r="177" ht="52" customHeight="1">
      <x:c r="A177" s="24" t="str">
        <x:v>ENT-0176</x:v>
      </x:c>
      <x:c r="B177" s="24" t="str">
        <x:v>Roegadyn</x:v>
      </x:c>
      <x:c r="C177" s="24" t="str">
        <x:v>SRC-131</x:v>
      </x:c>
      <x:c r="D177" s="24" t="str">
        <x:v>Final Fantasy XIV</x:v>
      </x:c>
      <x:c r="E177" s="24" t="str">
        <x:v>Current game continuity</x:v>
      </x:c>
      <x:c r="F177" s="24" t="str">
        <x:v>Playable race</x:v>
      </x:c>
      <x:c r="G177" s="24" t="str">
        <x:v>PPL-108</x:v>
      </x:c>
      <x:c r="H177" s="24" t="str">
        <x:f>IFERROR(VLOOKUP(G177,'Master Taxonomy'!$A$2:$B$1656,2,FALSE),"")</x:f>
        <x:v>Giantkin Peoples</x:v>
      </x:c>
      <x:c r="I177" s="24" t="str"/>
      <x:c r="J177" s="24" t="str"/>
      <x:c r="K177" s="24" t="str">
        <x:v>Large, robust humanoid people with distinct clan histories.</x:v>
      </x:c>
      <x:c r="L177" s="24" t="str">
        <x:v>Natural ancestry and regional culture.</x:v>
      </x:c>
      <x:c r="M177" s="24" t="str">
        <x:v>Giantkin is a comparative body-plan label, not a claim that they are giants.</x:v>
      </x:c>
      <x:c r="N177" s="24" t="str">
        <x:v>Large humanoid ancestry.</x:v>
      </x:c>
      <x:c r="O177" s="24" t="str">
        <x:v>Primary canon</x:v>
      </x:c>
      <x:c r="P177" s="24" t="str">
        <x:v>Official reference reviewed</x:v>
      </x:c>
      <x:c r="Q177" s="24" t="str">
        <x:v>Official Final Fantasy XIV race/clan pages and battle job guide.</x:v>
      </x:c>
      <x:c r="R177" s="84" t="str">
        <x:v>https://na.finalfantasyxiv.com/jobguide/battle/</x:v>
      </x:c>
      <x:c r="S177" s="24" t="str">
        <x:v>Seeded</x:v>
      </x:c>
    </x:row>
    <x:row r="178" ht="52" customHeight="1">
      <x:c r="A178" s="24" t="str">
        <x:v>ENT-0177</x:v>
      </x:c>
      <x:c r="B178" s="24" t="str">
        <x:v>Au Ra</x:v>
      </x:c>
      <x:c r="C178" s="24" t="str">
        <x:v>SRC-131</x:v>
      </x:c>
      <x:c r="D178" s="24" t="str">
        <x:v>Final Fantasy XIV</x:v>
      </x:c>
      <x:c r="E178" s="24" t="str">
        <x:v>Current game continuity</x:v>
      </x:c>
      <x:c r="F178" s="24" t="str">
        <x:v>Playable race</x:v>
      </x:c>
      <x:c r="G178" s="24" t="str">
        <x:v>PPL-114</x:v>
      </x:c>
      <x:c r="H178" s="24" t="str">
        <x:f>IFERROR(VLOOKUP(G178,'Master Taxonomy'!$A$2:$B$1656,2,FALSE),"")</x:f>
        <x:v>Draconic Humanoid Peoples</x:v>
      </x:c>
      <x:c r="I178" s="24" t="str"/>
      <x:c r="J178" s="24" t="str"/>
      <x:c r="K178" s="24" t="str">
        <x:v>Scaled and horned humanoid people divided into clans.</x:v>
      </x:c>
      <x:c r="L178" s="24" t="str">
        <x:v>Natural ancestry, sensory horns, scales, and clan culture.</x:v>
      </x:c>
      <x:c r="M178" s="24" t="str">
        <x:v>Draconic appearance does not make them dragons or dragon descendants by default.</x:v>
      </x:c>
      <x:c r="N178" s="24" t="str">
        <x:v>Scaled humanoid ancestry.</x:v>
      </x:c>
      <x:c r="O178" s="24" t="str">
        <x:v>Primary canon</x:v>
      </x:c>
      <x:c r="P178" s="24" t="str">
        <x:v>Official reference reviewed</x:v>
      </x:c>
      <x:c r="Q178" s="24" t="str">
        <x:v>Official Final Fantasy XIV race/clan pages and battle job guide.</x:v>
      </x:c>
      <x:c r="R178" s="84" t="str">
        <x:v>https://na.finalfantasyxiv.com/jobguide/battle/</x:v>
      </x:c>
      <x:c r="S178" s="24" t="str">
        <x:v>Seeded</x:v>
      </x:c>
    </x:row>
    <x:row r="179" ht="52" customHeight="1">
      <x:c r="A179" s="24" t="str">
        <x:v>ENT-0178</x:v>
      </x:c>
      <x:c r="B179" s="24" t="str">
        <x:v>Hrothgar</x:v>
      </x:c>
      <x:c r="C179" s="24" t="str">
        <x:v>SRC-131</x:v>
      </x:c>
      <x:c r="D179" s="24" t="str">
        <x:v>Final Fantasy XIV</x:v>
      </x:c>
      <x:c r="E179" s="24" t="str">
        <x:v>Current game continuity</x:v>
      </x:c>
      <x:c r="F179" s="24" t="str">
        <x:v>Playable race</x:v>
      </x:c>
      <x:c r="G179" s="24" t="str">
        <x:v>PPL-121</x:v>
      </x:c>
      <x:c r="H179" s="24" t="str">
        <x:f>IFERROR(VLOOKUP(G179,'Master Taxonomy'!$A$2:$B$1656,2,FALSE),"")</x:f>
        <x:v>Feline Beastfolk</x:v>
      </x:c>
      <x:c r="I179" s="24" t="str"/>
      <x:c r="J179" s="24" t="str"/>
      <x:c r="K179" s="24" t="str">
        <x:v>Large feline-featured humanoid people with regional and clan identities.</x:v>
      </x:c>
      <x:c r="L179" s="24" t="str">
        <x:v>Natural ancestry and culture.</x:v>
      </x:c>
      <x:c r="M179" s="24" t="str">
        <x:v>Distinct from Miqo'te despite a shared broad feline family.</x:v>
      </x:c>
      <x:c r="N179" s="24" t="str">
        <x:v>Large feline humanoid ancestry.</x:v>
      </x:c>
      <x:c r="O179" s="24" t="str">
        <x:v>Primary canon</x:v>
      </x:c>
      <x:c r="P179" s="24" t="str">
        <x:v>Official reference reviewed</x:v>
      </x:c>
      <x:c r="Q179" s="24" t="str">
        <x:v>Official Final Fantasy XIV race/clan pages and battle job guide.</x:v>
      </x:c>
      <x:c r="R179" s="84" t="str">
        <x:v>https://na.finalfantasyxiv.com/jobguide/battle/</x:v>
      </x:c>
      <x:c r="S179" s="24" t="str">
        <x:v>Seeded</x:v>
      </x:c>
    </x:row>
    <x:row r="180" ht="52" customHeight="1">
      <x:c r="A180" s="24" t="str">
        <x:v>ENT-0179</x:v>
      </x:c>
      <x:c r="B180" s="24" t="str">
        <x:v>Viera</x:v>
      </x:c>
      <x:c r="C180" s="24" t="str">
        <x:v>SRC-131</x:v>
      </x:c>
      <x:c r="D180" s="24" t="str">
        <x:v>Final Fantasy XIV</x:v>
      </x:c>
      <x:c r="E180" s="24" t="str">
        <x:v>Current game continuity</x:v>
      </x:c>
      <x:c r="F180" s="24" t="str">
        <x:v>Playable race</x:v>
      </x:c>
      <x:c r="G180" s="24" t="str">
        <x:v>PPL-126</x:v>
      </x:c>
      <x:c r="H180" s="24" t="str">
        <x:f>IFERROR(VLOOKUP(G180,'Master Taxonomy'!$A$2:$B$1656,2,FALSE),"")</x:f>
        <x:v>Rodent and Lagomorph Peoples</x:v>
      </x:c>
      <x:c r="I180" s="24" t="str"/>
      <x:c r="J180" s="24" t="str"/>
      <x:c r="K180" s="24" t="str">
        <x:v>Long-lived rabbit-featured humanoid people with strong homeland traditions.</x:v>
      </x:c>
      <x:c r="L180" s="24" t="str">
        <x:v>Natural ancestry, longevity, senses, and culture.</x:v>
      </x:c>
      <x:c r="M180" s="24" t="str">
        <x:v>Lagomorph is morphological shorthand; their culture is source-specific.</x:v>
      </x:c>
      <x:c r="N180" s="24" t="str">
        <x:v>Rabbit-featured long-lived people.</x:v>
      </x:c>
      <x:c r="O180" s="24" t="str">
        <x:v>Primary canon</x:v>
      </x:c>
      <x:c r="P180" s="24" t="str">
        <x:v>Official reference reviewed</x:v>
      </x:c>
      <x:c r="Q180" s="24" t="str">
        <x:v>Official Final Fantasy XIV race/clan pages and battle job guide.</x:v>
      </x:c>
      <x:c r="R180" s="84" t="str">
        <x:v>https://na.finalfantasyxiv.com/jobguide/battle/</x:v>
      </x:c>
      <x:c r="S180" s="24" t="str">
        <x:v>Seeded</x:v>
      </x:c>
    </x:row>
    <x:row r="181" ht="52" customHeight="1">
      <x:c r="A181" s="24" t="str">
        <x:v>ENT-0180</x:v>
      </x:c>
      <x:c r="B181" s="24" t="str">
        <x:v>Class-to-job progression</x:v>
      </x:c>
      <x:c r="C181" s="24" t="str">
        <x:v>SRC-131</x:v>
      </x:c>
      <x:c r="D181" s="24" t="str">
        <x:v>Final Fantasy XIV</x:v>
      </x:c>
      <x:c r="E181" s="24" t="str">
        <x:v>Current game continuity</x:v>
      </x:c>
      <x:c r="F181" s="24" t="str">
        <x:v>Mechanical progression structure</x:v>
      </x:c>
      <x:c r="G181" s="24" t="str">
        <x:v>MEC-302</x:v>
      </x:c>
      <x:c r="H181" s="24" t="str">
        <x:f>IFERROR(VLOOKUP(G181,'Master Taxonomy'!$A$2:$B$1656,2,FALSE),"")</x:f>
        <x:v>Class Change or Job System</x:v>
      </x:c>
      <x:c r="I181" s="24" t="str"/>
      <x:c r="J181" s="24" t="str"/>
      <x:c r="K181" s="24" t="str">
        <x:v>A system in which early combat classes lead into specialized jobs, while later jobs begin directly.</x:v>
      </x:c>
      <x:c r="L181" s="24" t="str">
        <x:v>Level progression, quests, soul crystals, and role design.</x:v>
      </x:c>
      <x:c r="M181" s="24" t="str">
        <x:v>The fiction and mechanics of jobs are not identical across all Final Fantasy titles.</x:v>
      </x:c>
      <x:c r="N181" s="24" t="str">
        <x:v>Formal job-unlock progression.</x:v>
      </x:c>
      <x:c r="O181" s="24" t="str">
        <x:v>Primary canon</x:v>
      </x:c>
      <x:c r="P181" s="24" t="str">
        <x:v>Official reference reviewed</x:v>
      </x:c>
      <x:c r="Q181" s="24" t="str">
        <x:v>Official Final Fantasy XIV race/clan pages and battle job guide.</x:v>
      </x:c>
      <x:c r="R181" s="84" t="str">
        <x:v>https://na.finalfantasyxiv.com/jobguide/battle/</x:v>
      </x:c>
      <x:c r="S181" s="24" t="str">
        <x:v>Seeded</x:v>
      </x:c>
    </x:row>
    <x:row r="182" ht="52" customHeight="1">
      <x:c r="A182" s="24" t="str">
        <x:v>ENT-0181</x:v>
      </x:c>
      <x:c r="B182" s="24" t="str">
        <x:v>Tank role</x:v>
      </x:c>
      <x:c r="C182" s="24" t="str">
        <x:v>SRC-131</x:v>
      </x:c>
      <x:c r="D182" s="24" t="str">
        <x:v>Final Fantasy XIV</x:v>
      </x:c>
      <x:c r="E182" s="24" t="str">
        <x:v>Current game continuity</x:v>
      </x:c>
      <x:c r="F182" s="24" t="str">
        <x:v>Combat role</x:v>
      </x:c>
      <x:c r="G182" s="24" t="str">
        <x:v>MEC-101</x:v>
      </x:c>
      <x:c r="H182" s="24" t="str">
        <x:f>IFERROR(VLOOKUP(G182,'Master Taxonomy'!$A$2:$B$1656,2,FALSE),"")</x:f>
        <x:v>Tank</x:v>
      </x:c>
      <x:c r="I182" s="24" t="str">
        <x:v>MEC-102</x:v>
      </x:c>
      <x:c r="J182" s="24" t="str">
        <x:v>Main Tank</x:v>
      </x:c>
      <x:c r="K182" s="24" t="str">
        <x:v>One of the game's formal party roles, responsible for enemy attention and mitigation.</x:v>
      </x:c>
      <x:c r="L182" s="24" t="str">
        <x:v>Enmity, defensive cooldowns, positioning, and encounter design.</x:v>
      </x:c>
      <x:c r="M182" s="24" t="str">
        <x:v>A role category spanning several different job fantasies.</x:v>
      </x:c>
      <x:c r="N182" s="24" t="str">
        <x:v>MMO defender role.</x:v>
      </x:c>
      <x:c r="O182" s="24" t="str">
        <x:v>Primary canon</x:v>
      </x:c>
      <x:c r="P182" s="24" t="str">
        <x:v>Official reference reviewed</x:v>
      </x:c>
      <x:c r="Q182" s="24" t="str">
        <x:v>Official Final Fantasy XIV race/clan pages and battle job guide.</x:v>
      </x:c>
      <x:c r="R182" s="84" t="str">
        <x:v>https://na.finalfantasyxiv.com/jobguide/battle/</x:v>
      </x:c>
      <x:c r="S182" s="24" t="str">
        <x:v>Seeded</x:v>
      </x:c>
    </x:row>
    <x:row r="183" ht="52" customHeight="1">
      <x:c r="A183" s="24" t="str">
        <x:v>ENT-0182</x:v>
      </x:c>
      <x:c r="B183" s="24" t="str">
        <x:v>Healer role</x:v>
      </x:c>
      <x:c r="C183" s="24" t="str">
        <x:v>SRC-131</x:v>
      </x:c>
      <x:c r="D183" s="24" t="str">
        <x:v>Final Fantasy XIV</x:v>
      </x:c>
      <x:c r="E183" s="24" t="str">
        <x:v>Current game continuity</x:v>
      </x:c>
      <x:c r="F183" s="24" t="str">
        <x:v>Combat role</x:v>
      </x:c>
      <x:c r="G183" s="24" t="str">
        <x:v>MEC-112</x:v>
      </x:c>
      <x:c r="H183" s="24" t="str">
        <x:f>IFERROR(VLOOKUP(G183,'Master Taxonomy'!$A$2:$B$1656,2,FALSE),"")</x:f>
        <x:v>Healer</x:v>
      </x:c>
      <x:c r="I183" s="24" t="str">
        <x:v>MEC-115; MEC-114</x:v>
      </x:c>
      <x:c r="J183" s="24" t="str">
        <x:v>Barrier or Shield Healer; Sustain Healer</x:v>
      </x:c>
      <x:c r="K183" s="24" t="str">
        <x:v>Formal party role responsible for restoration, prevention, and damage contribution.</x:v>
      </x:c>
      <x:c r="L183" s="24" t="str">
        <x:v>Healing kits, barriers, resources, and encounter design.</x:v>
      </x:c>
      <x:c r="M183" s="24" t="str">
        <x:v>Individual healer jobs divide into mechanical subfamilies.</x:v>
      </x:c>
      <x:c r="N183" s="24" t="str">
        <x:v>MMO recovery/support role.</x:v>
      </x:c>
      <x:c r="O183" s="24" t="str">
        <x:v>Primary canon</x:v>
      </x:c>
      <x:c r="P183" s="24" t="str">
        <x:v>Official reference reviewed</x:v>
      </x:c>
      <x:c r="Q183" s="24" t="str">
        <x:v>Official Final Fantasy XIV race/clan pages and battle job guide.</x:v>
      </x:c>
      <x:c r="R183" s="84" t="str">
        <x:v>https://na.finalfantasyxiv.com/jobguide/battle/</x:v>
      </x:c>
      <x:c r="S183" s="24" t="str">
        <x:v>Seeded</x:v>
      </x:c>
    </x:row>
    <x:row r="184" ht="52" customHeight="1">
      <x:c r="A184" s="24" t="str">
        <x:v>ENT-0183</x:v>
      </x:c>
      <x:c r="B184" s="24" t="str">
        <x:v>Melee DPS role</x:v>
      </x:c>
      <x:c r="C184" s="24" t="str">
        <x:v>SRC-131</x:v>
      </x:c>
      <x:c r="D184" s="24" t="str">
        <x:v>Final Fantasy XIV</x:v>
      </x:c>
      <x:c r="E184" s="24" t="str">
        <x:v>Current game continuity</x:v>
      </x:c>
      <x:c r="F184" s="24" t="str">
        <x:v>Combat role</x:v>
      </x:c>
      <x:c r="G184" s="24" t="str">
        <x:v>MEC-105</x:v>
      </x:c>
      <x:c r="H184" s="24" t="str">
        <x:f>IFERROR(VLOOKUP(G184,'Master Taxonomy'!$A$2:$B$1656,2,FALSE),"")</x:f>
        <x:v>Melee Striker</x:v>
      </x:c>
      <x:c r="I184" s="24" t="str"/>
      <x:c r="J184" s="24" t="str"/>
      <x:c r="K184" s="24" t="str">
        <x:v>Formal damage role emphasizing close-range rotations and positional or uptime management.</x:v>
      </x:c>
      <x:c r="L184" s="24" t="str">
        <x:v>Weapon rotations, resources, mobility, and encounter positioning.</x:v>
      </x:c>
      <x:c r="M184" s="24" t="str">
        <x:v>Role identity is mechanical and cuts across distinct in-world traditions.</x:v>
      </x:c>
      <x:c r="N184" s="24" t="str">
        <x:v>MMO melee damage role.</x:v>
      </x:c>
      <x:c r="O184" s="24" t="str">
        <x:v>Primary canon</x:v>
      </x:c>
      <x:c r="P184" s="24" t="str">
        <x:v>Official reference reviewed</x:v>
      </x:c>
      <x:c r="Q184" s="24" t="str">
        <x:v>Official Final Fantasy XIV race/clan pages and battle job guide.</x:v>
      </x:c>
      <x:c r="R184" s="84" t="str">
        <x:v>https://na.finalfantasyxiv.com/jobguide/battle/</x:v>
      </x:c>
      <x:c r="S184" s="24" t="str">
        <x:v>Seeded</x:v>
      </x:c>
    </x:row>
    <x:row r="185" ht="52" customHeight="1">
      <x:c r="A185" s="24" t="str">
        <x:v>ENT-0184</x:v>
      </x:c>
      <x:c r="B185" s="24" t="str">
        <x:v>Physical ranged DPS role</x:v>
      </x:c>
      <x:c r="C185" s="24" t="str">
        <x:v>SRC-131</x:v>
      </x:c>
      <x:c r="D185" s="24" t="str">
        <x:v>Final Fantasy XIV</x:v>
      </x:c>
      <x:c r="E185" s="24" t="str">
        <x:v>Current game continuity</x:v>
      </x:c>
      <x:c r="F185" s="24" t="str">
        <x:v>Combat role</x:v>
      </x:c>
      <x:c r="G185" s="24" t="str">
        <x:v>MEC-106</x:v>
      </x:c>
      <x:c r="H185" s="24" t="str">
        <x:f>IFERROR(VLOOKUP(G185,'Master Taxonomy'!$A$2:$B$1656,2,FALSE),"")</x:f>
        <x:v>Ranged Striker</x:v>
      </x:c>
      <x:c r="I185" s="24" t="str"/>
      <x:c r="J185" s="24" t="str"/>
      <x:c r="K185" s="24" t="str">
        <x:v>Formal damage role combining mobility, ranged attacks, and party utility.</x:v>
      </x:c>
      <x:c r="L185" s="24" t="str">
        <x:v>Ranged weapons, songs, dances, devices, and support effects.</x:v>
      </x:c>
      <x:c r="M185" s="24" t="str">
        <x:v>Bard, Machinist, and Dancer share a role but not a fictional profession.</x:v>
      </x:c>
      <x:c r="N185" s="24" t="str">
        <x:v>Mobile ranged support-damage role.</x:v>
      </x:c>
      <x:c r="O185" s="24" t="str">
        <x:v>Primary canon</x:v>
      </x:c>
      <x:c r="P185" s="24" t="str">
        <x:v>Official reference reviewed</x:v>
      </x:c>
      <x:c r="Q185" s="24" t="str">
        <x:v>Official Final Fantasy XIV race/clan pages and battle job guide.</x:v>
      </x:c>
      <x:c r="R185" s="84" t="str">
        <x:v>https://na.finalfantasyxiv.com/jobguide/battle/</x:v>
      </x:c>
      <x:c r="S185" s="24" t="str">
        <x:v>Seeded</x:v>
      </x:c>
    </x:row>
    <x:row r="186" ht="52" customHeight="1">
      <x:c r="A186" s="24" t="str">
        <x:v>ENT-0185</x:v>
      </x:c>
      <x:c r="B186" s="24" t="str">
        <x:v>Magical ranged DPS role</x:v>
      </x:c>
      <x:c r="C186" s="24" t="str">
        <x:v>SRC-131</x:v>
      </x:c>
      <x:c r="D186" s="24" t="str">
        <x:v>Final Fantasy XIV</x:v>
      </x:c>
      <x:c r="E186" s="24" t="str">
        <x:v>Current game continuity</x:v>
      </x:c>
      <x:c r="F186" s="24" t="str">
        <x:v>Combat role</x:v>
      </x:c>
      <x:c r="G186" s="24" t="str">
        <x:v>MEC-106</x:v>
      </x:c>
      <x:c r="H186" s="24" t="str">
        <x:f>IFERROR(VLOOKUP(G186,'Master Taxonomy'!$A$2:$B$1656,2,FALSE),"")</x:f>
        <x:v>Ranged Striker</x:v>
      </x:c>
      <x:c r="I186" s="24" t="str">
        <x:v>MEC-107</x:v>
      </x:c>
      <x:c r="J186" s="24" t="str">
        <x:v>Burst Damage</x:v>
      </x:c>
      <x:c r="K186" s="24" t="str">
        <x:v>Formal damage role for spell-focused jobs with varied mobility and resource patterns.</x:v>
      </x:c>
      <x:c r="L186" s="24" t="str">
        <x:v>Casting, elemental or summon systems, and encounter timing.</x:v>
      </x:c>
      <x:c r="M186" s="24" t="str">
        <x:v>Black Mage, Summoner, Red Mage, and Pictomancer are mechanically and fictionally distinct.</x:v>
      </x:c>
      <x:c r="N186" s="24" t="str">
        <x:v>MMO caster-damage role.</x:v>
      </x:c>
      <x:c r="O186" s="24" t="str">
        <x:v>Primary canon</x:v>
      </x:c>
      <x:c r="P186" s="24" t="str">
        <x:v>Official reference reviewed</x:v>
      </x:c>
      <x:c r="Q186" s="24" t="str">
        <x:v>Official Final Fantasy XIV race/clan pages and battle job guide.</x:v>
      </x:c>
      <x:c r="R186" s="84" t="str">
        <x:v>https://na.finalfantasyxiv.com/jobguide/battle/</x:v>
      </x:c>
      <x:c r="S186" s="24" t="str">
        <x:v>Seeded</x:v>
      </x:c>
    </x:row>
    <x:row r="187" ht="52" customHeight="1">
      <x:c r="A187" s="24" t="str">
        <x:v>ENT-0186</x:v>
      </x:c>
      <x:c r="B187" s="24" t="str">
        <x:v>Blue Mage limited job</x:v>
      </x:c>
      <x:c r="C187" s="24" t="str">
        <x:v>SRC-131</x:v>
      </x:c>
      <x:c r="D187" s="24" t="str">
        <x:v>Final Fantasy XIV</x:v>
      </x:c>
      <x:c r="E187" s="24" t="str">
        <x:v>Current game continuity</x:v>
      </x:c>
      <x:c r="F187" s="24" t="str">
        <x:v>Limited job</x:v>
      </x:c>
      <x:c r="G187" s="24" t="str">
        <x:v>ROL-341</x:v>
      </x:c>
      <x:c r="H187" s="24" t="str">
        <x:f>IFERROR(VLOOKUP(G187,'Master Taxonomy'!$A$2:$B$1656,2,FALSE),"")</x:f>
        <x:v>Blue Mage and Mimic Caster</x:v>
      </x:c>
      <x:c r="I187" s="24" t="str">
        <x:v>ROL-819</x:v>
      </x:c>
      <x:c r="J187" s="24" t="str">
        <x:v>Blue Mage or Ability Mimic</x:v>
      </x:c>
      <x:c r="K187" s="24" t="str">
        <x:v>A special job that learns monster actions and operates outside standard duty-role progression.</x:v>
      </x:c>
      <x:c r="L187" s="24" t="str">
        <x:v>Enemy-skill acquisition and separate content rules.</x:v>
      </x:c>
      <x:c r="M187" s="24" t="str">
        <x:v>Its limited-job status is as important as its spell theme.</x:v>
      </x:c>
      <x:c r="N187" s="24" t="str">
        <x:v>Collection-based mimic class.</x:v>
      </x:c>
      <x:c r="O187" s="24" t="str">
        <x:v>Primary canon</x:v>
      </x:c>
      <x:c r="P187" s="24" t="str">
        <x:v>Official reference reviewed</x:v>
      </x:c>
      <x:c r="Q187" s="24" t="str">
        <x:v>Official Final Fantasy XIV race/clan pages and battle job guide.</x:v>
      </x:c>
      <x:c r="R187" s="84" t="str">
        <x:v>https://na.finalfantasyxiv.com/jobguide/battle/</x:v>
      </x:c>
      <x:c r="S187" s="24" t="str">
        <x:v>Seeded</x:v>
      </x:c>
    </x:row>
    <x:row r="188" ht="52" customHeight="1">
      <x:c r="A188" s="24" t="str">
        <x:v>ENT-0187</x:v>
      </x:c>
      <x:c r="B188" s="24" t="str">
        <x:v>Soul crystal job identity</x:v>
      </x:c>
      <x:c r="C188" s="24" t="str">
        <x:v>SRC-131</x:v>
      </x:c>
      <x:c r="D188" s="24" t="str">
        <x:v>Final Fantasy XIV</x:v>
      </x:c>
      <x:c r="E188" s="24" t="str">
        <x:v>Current game continuity</x:v>
      </x:c>
      <x:c r="F188" s="24" t="str">
        <x:v>Artifact-mediated vocation</x:v>
      </x:c>
      <x:c r="G188" s="24" t="str">
        <x:v>STA-402</x:v>
      </x:c>
      <x:c r="H188" s="24" t="str">
        <x:f>IFERROR(VLOOKUP(G188,'Master Taxonomy'!$A$2:$B$1656,2,FALSE),"")</x:f>
        <x:v>Relic Bearer</x:v>
      </x:c>
      <x:c r="I188" s="24" t="str">
        <x:v>MEC-302</x:v>
      </x:c>
      <x:c r="J188" s="24" t="str">
        <x:v>Class Change or Job System</x:v>
      </x:c>
      <x:c r="K188" s="24" t="str">
        <x:v>Many jobs are accessed or embodied through soul crystals carrying accumulated techniques and memory.</x:v>
      </x:c>
      <x:c r="L188" s="24" t="str">
        <x:v>Artifact inheritance, training quests, and institutional lineage.</x:v>
      </x:c>
      <x:c r="M188" s="24" t="str">
        <x:v>The crystal does not replace personal training; lore varies by job.</x:v>
      </x:c>
      <x:c r="N188" s="24" t="str">
        <x:v>Artifact-mediated class inheritance.</x:v>
      </x:c>
      <x:c r="O188" s="24" t="str">
        <x:v>Primary canon</x:v>
      </x:c>
      <x:c r="P188" s="24" t="str">
        <x:v>Official reference reviewed</x:v>
      </x:c>
      <x:c r="Q188" s="24" t="str">
        <x:v>Official Final Fantasy XIV race/clan pages and battle job guide.</x:v>
      </x:c>
      <x:c r="R188" s="84" t="str">
        <x:v>https://na.finalfantasyxiv.com/jobguide/battle/</x:v>
      </x:c>
      <x:c r="S188" s="24" t="str">
        <x:v>Seeded</x:v>
      </x:c>
    </x:row>
    <x:row r="189" ht="52" customHeight="1">
      <x:c r="A189" s="24" t="str">
        <x:v>ENT-0188</x:v>
      </x:c>
      <x:c r="B189" s="24" t="str">
        <x:v>Altmer</x:v>
      </x:c>
      <x:c r="C189" s="24" t="str">
        <x:v>SRC-134</x:v>
      </x:c>
      <x:c r="D189" s="24" t="str">
        <x:v>The Elder Scrolls</x:v>
      </x:c>
      <x:c r="E189" s="24" t="str">
        <x:v>Franchise setting</x:v>
      </x:c>
      <x:c r="F189" s="24" t="str">
        <x:v>Elven people</x:v>
      </x:c>
      <x:c r="G189" s="24" t="str">
        <x:v>PPL-102</x:v>
      </x:c>
      <x:c r="H189" s="24" t="str">
        <x:f>IFERROR(VLOOKUP(G189,'Master Taxonomy'!$A$2:$B$1656,2,FALSE),"")</x:f>
        <x:v>Elf-Derived Peoples</x:v>
      </x:c>
      <x:c r="I189" s="24" t="str"/>
      <x:c r="J189" s="24" t="str"/>
      <x:c r="K189" s="24" t="str">
        <x:v>High Elven people of Summerset with distinctive religious, political, and magical traditions.</x:v>
      </x:c>
      <x:c r="L189" s="24" t="str">
        <x:v>Natural ancestry, long life, culture, and history.</x:v>
      </x:c>
      <x:c r="M189" s="24" t="str">
        <x:v>‘High elf’ is a comparative label; Altmer identity is setting-specific.</x:v>
      </x:c>
      <x:c r="N189" s="24" t="str">
        <x:v>High-elven polity analogue.</x:v>
      </x:c>
      <x:c r="O189" s="24" t="str">
        <x:v>Primary canon</x:v>
      </x:c>
      <x:c r="P189" s="24" t="str">
        <x:v>Secondary reference reviewed</x:v>
      </x:c>
      <x:c r="Q189" s="24" t="str">
        <x:v>Franchise-spanning orientation; individual games and eras require continuity-specific verification.</x:v>
      </x:c>
      <x:c r="R189" s="84" t="str">
        <x:v>https://en.wikipedia.org/wiki/The_Elder_Scrolls</x:v>
      </x:c>
      <x:c r="S189" s="24" t="str">
        <x:v>Seeded</x:v>
      </x:c>
    </x:row>
    <x:row r="190" ht="52" customHeight="1">
      <x:c r="A190" s="24" t="str">
        <x:v>ENT-0189</x:v>
      </x:c>
      <x:c r="B190" s="24" t="str">
        <x:v>Bosmer</x:v>
      </x:c>
      <x:c r="C190" s="24" t="str">
        <x:v>SRC-134</x:v>
      </x:c>
      <x:c r="D190" s="24" t="str">
        <x:v>The Elder Scrolls</x:v>
      </x:c>
      <x:c r="E190" s="24" t="str">
        <x:v>Franchise setting</x:v>
      </x:c>
      <x:c r="F190" s="24" t="str">
        <x:v>Elven people</x:v>
      </x:c>
      <x:c r="G190" s="24" t="str">
        <x:v>PPL-102</x:v>
      </x:c>
      <x:c r="H190" s="24" t="str">
        <x:f>IFERROR(VLOOKUP(G190,'Master Taxonomy'!$A$2:$B$1656,2,FALSE),"")</x:f>
        <x:v>Elf-Derived Peoples</x:v>
      </x:c>
      <x:c r="I190" s="24" t="str">
        <x:v>CIV-201</x:v>
      </x:c>
      <x:c r="J190" s="24" t="str">
        <x:v>Elven Forest Realm</x:v>
      </x:c>
      <x:c r="K190" s="24" t="str">
        <x:v>Wood Elven people associated with Valenwood and the Green Pact.</x:v>
      </x:c>
      <x:c r="L190" s="24" t="str">
        <x:v>Natural ancestry, ecological covenant, and culture.</x:v>
      </x:c>
      <x:c r="M190" s="24" t="str">
        <x:v>Not simply generic forest elves; dietary and religious obligations are central.</x:v>
      </x:c>
      <x:c r="N190" s="24" t="str">
        <x:v>Covenant-bound woodland elf analogue.</x:v>
      </x:c>
      <x:c r="O190" s="24" t="str">
        <x:v>Primary canon</x:v>
      </x:c>
      <x:c r="P190" s="24" t="str">
        <x:v>Secondary reference reviewed</x:v>
      </x:c>
      <x:c r="Q190" s="24" t="str">
        <x:v>Franchise-spanning orientation; individual games and eras require continuity-specific verification.</x:v>
      </x:c>
      <x:c r="R190" s="84" t="str">
        <x:v>https://en.wikipedia.org/wiki/The_Elder_Scrolls</x:v>
      </x:c>
      <x:c r="S190" s="24" t="str">
        <x:v>Seeded</x:v>
      </x:c>
    </x:row>
    <x:row r="191" ht="52" customHeight="1">
      <x:c r="A191" s="24" t="str">
        <x:v>ENT-0190</x:v>
      </x:c>
      <x:c r="B191" s="24" t="str">
        <x:v>Dunmer</x:v>
      </x:c>
      <x:c r="C191" s="24" t="str">
        <x:v>SRC-134</x:v>
      </x:c>
      <x:c r="D191" s="24" t="str">
        <x:v>The Elder Scrolls</x:v>
      </x:c>
      <x:c r="E191" s="24" t="str">
        <x:v>Franchise setting</x:v>
      </x:c>
      <x:c r="F191" s="24" t="str">
        <x:v>Elven people</x:v>
      </x:c>
      <x:c r="G191" s="24" t="str">
        <x:v>PPL-102</x:v>
      </x:c>
      <x:c r="H191" s="24" t="str">
        <x:f>IFERROR(VLOOKUP(G191,'Master Taxonomy'!$A$2:$B$1656,2,FALSE),"")</x:f>
        <x:v>Elf-Derived Peoples</x:v>
      </x:c>
      <x:c r="I191" s="24" t="str"/>
      <x:c r="J191" s="24" t="str"/>
      <x:c r="K191" s="24" t="str">
        <x:v>Dark Elven people of Morrowind shaped by ancestor religion, Great Houses, and historical transformations.</x:v>
      </x:c>
      <x:c r="L191" s="24" t="str">
        <x:v>Natural ancestry, divine history, culture, and politics.</x:v>
      </x:c>
      <x:c r="M191" s="24" t="str">
        <x:v>‘Dark elf’ here is not a moral category.</x:v>
      </x:c>
      <x:c r="N191" s="24" t="str">
        <x:v>Volcanic, ancestor-centered elf civilization.</x:v>
      </x:c>
      <x:c r="O191" s="24" t="str">
        <x:v>Primary canon</x:v>
      </x:c>
      <x:c r="P191" s="24" t="str">
        <x:v>Secondary reference reviewed</x:v>
      </x:c>
      <x:c r="Q191" s="24" t="str">
        <x:v>Franchise-spanning orientation; individual games and eras require continuity-specific verification.</x:v>
      </x:c>
      <x:c r="R191" s="84" t="str">
        <x:v>https://en.wikipedia.org/wiki/The_Elder_Scrolls</x:v>
      </x:c>
      <x:c r="S191" s="24" t="str">
        <x:v>Seeded</x:v>
      </x:c>
    </x:row>
    <x:row r="192" ht="52" customHeight="1">
      <x:c r="A192" s="24" t="str">
        <x:v>ENT-0191</x:v>
      </x:c>
      <x:c r="B192" s="24" t="str">
        <x:v>Orsimer</x:v>
      </x:c>
      <x:c r="C192" s="24" t="str">
        <x:v>SRC-134</x:v>
      </x:c>
      <x:c r="D192" s="24" t="str">
        <x:v>The Elder Scrolls</x:v>
      </x:c>
      <x:c r="E192" s="24" t="str">
        <x:v>Franchise setting</x:v>
      </x:c>
      <x:c r="F192" s="24" t="str">
        <x:v>Elven-derived people</x:v>
      </x:c>
      <x:c r="G192" s="24" t="str">
        <x:v>PPL-106</x:v>
      </x:c>
      <x:c r="H192" s="24" t="str">
        <x:f>IFERROR(VLOOKUP(G192,'Master Taxonomy'!$A$2:$B$1656,2,FALSE),"")</x:f>
        <x:v>Orc-Derived Peoples</x:v>
      </x:c>
      <x:c r="I192" s="24" t="str">
        <x:v>PPL-102</x:v>
      </x:c>
      <x:c r="J192" s="24" t="str">
        <x:v>Elf-Derived Peoples</x:v>
      </x:c>
      <x:c r="K192" s="24" t="str">
        <x:v>The Orc people, metaphysically connected to elven history and organized in varied stronghold and urban cultures.</x:v>
      </x:c>
      <x:c r="L192" s="24" t="str">
        <x:v>Ancestry, transformation myth, religion, and culture.</x:v>
      </x:c>
      <x:c r="M192" s="24" t="str">
        <x:v>Their orc identity coexists with an elven-derived cosmological genealogy.</x:v>
      </x:c>
      <x:c r="N192" s="24" t="str">
        <x:v>Orc people with transformed-elf metaphysics.</x:v>
      </x:c>
      <x:c r="O192" s="24" t="str">
        <x:v>Primary canon</x:v>
      </x:c>
      <x:c r="P192" s="24" t="str">
        <x:v>Secondary reference reviewed</x:v>
      </x:c>
      <x:c r="Q192" s="24" t="str">
        <x:v>Franchise-spanning orientation; individual games and eras require continuity-specific verification.</x:v>
      </x:c>
      <x:c r="R192" s="84" t="str">
        <x:v>https://en.wikipedia.org/wiki/The_Elder_Scrolls</x:v>
      </x:c>
      <x:c r="S192" s="24" t="str">
        <x:v>Seeded</x:v>
      </x:c>
    </x:row>
    <x:row r="193" ht="52" customHeight="1">
      <x:c r="A193" s="24" t="str">
        <x:v>ENT-0192</x:v>
      </x:c>
      <x:c r="B193" s="24" t="str">
        <x:v>Dwemer</x:v>
      </x:c>
      <x:c r="C193" s="24" t="str">
        <x:v>SRC-134</x:v>
      </x:c>
      <x:c r="D193" s="24" t="str">
        <x:v>The Elder Scrolls</x:v>
      </x:c>
      <x:c r="E193" s="24" t="str">
        <x:v>Franchise setting</x:v>
      </x:c>
      <x:c r="F193" s="24" t="str">
        <x:v>Lost elven people</x:v>
      </x:c>
      <x:c r="G193" s="24" t="str">
        <x:v>PPL-103</x:v>
      </x:c>
      <x:c r="H193" s="24" t="str">
        <x:f>IFERROR(VLOOKUP(G193,'Master Taxonomy'!$A$2:$B$1656,2,FALSE),"")</x:f>
        <x:v>Dwarf-Derived Peoples</x:v>
      </x:c>
      <x:c r="I193" s="24" t="str">
        <x:v>PPL-102; CIV-312</x:v>
      </x:c>
      <x:c r="J193" s="24" t="str">
        <x:v>Elf-Derived Peoples; Magitech Industrial Society</x:v>
      </x:c>
      <x:c r="K193" s="24" t="str">
        <x:v>The vanished Deep Elves, conventionally called dwarves, renowned for tonal architecture and advanced constructs.</x:v>
      </x:c>
      <x:c r="L193" s="24" t="str">
        <x:v>Elven ancestry, subterranean civilization, technology, and disappearance.</x:v>
      </x:c>
      <x:c r="M193" s="24" t="str">
        <x:v>They are not short Tolkien-style dwarves; the English nickname is historical.</x:v>
      </x:c>
      <x:c r="N193" s="24" t="str">
        <x:v>Lost technomagical elder civilization.</x:v>
      </x:c>
      <x:c r="O193" s="24" t="str">
        <x:v>Primary canon</x:v>
      </x:c>
      <x:c r="P193" s="24" t="str">
        <x:v>Secondary reference reviewed</x:v>
      </x:c>
      <x:c r="Q193" s="24" t="str">
        <x:v>Franchise-spanning orientation; individual games and eras require continuity-specific verification.</x:v>
      </x:c>
      <x:c r="R193" s="84" t="str">
        <x:v>https://en.wikipedia.org/wiki/The_Elder_Scrolls</x:v>
      </x:c>
      <x:c r="S193" s="24" t="str">
        <x:v>Seeded</x:v>
      </x:c>
    </x:row>
    <x:row r="194" ht="52" customHeight="1">
      <x:c r="A194" s="24" t="str">
        <x:v>ENT-0193</x:v>
      </x:c>
      <x:c r="B194" s="24" t="str">
        <x:v>Nords</x:v>
      </x:c>
      <x:c r="C194" s="24" t="str">
        <x:v>SRC-134</x:v>
      </x:c>
      <x:c r="D194" s="24" t="str">
        <x:v>The Elder Scrolls</x:v>
      </x:c>
      <x:c r="E194" s="24" t="str">
        <x:v>Franchise setting</x:v>
      </x:c>
      <x:c r="F194" s="24" t="str">
        <x:v>Human people and culture</x:v>
      </x:c>
      <x:c r="G194" s="24" t="str">
        <x:v>PPL-101</x:v>
      </x:c>
      <x:c r="H194" s="24" t="str">
        <x:f>IFERROR(VLOOKUP(G194,'Master Taxonomy'!$A$2:$B$1656,2,FALSE),"")</x:f>
        <x:v>Human and Near-Human Peoples</x:v>
      </x:c>
      <x:c r="I194" s="24" t="str">
        <x:v>CIV-210</x:v>
      </x:c>
      <x:c r="J194" s="24" t="str">
        <x:v>Icebound Survival Culture</x:v>
      </x:c>
      <x:c r="K194" s="24" t="str">
        <x:v>Northern human people of Skyrim with diverse religious and political histories.</x:v>
      </x:c>
      <x:c r="L194" s="24" t="str">
        <x:v>Natural ancestry, regional culture, and mythic migration.</x:v>
      </x:c>
      <x:c r="M194" s="24" t="str">
        <x:v>Not every Nord is a barbarian, warrior, or traditionalist.</x:v>
      </x:c>
      <x:c r="N194" s="24" t="str">
        <x:v>Northern heroic human culture.</x:v>
      </x:c>
      <x:c r="O194" s="24" t="str">
        <x:v>Primary canon</x:v>
      </x:c>
      <x:c r="P194" s="24" t="str">
        <x:v>Secondary reference reviewed</x:v>
      </x:c>
      <x:c r="Q194" s="24" t="str">
        <x:v>Franchise-spanning orientation; individual games and eras require continuity-specific verification.</x:v>
      </x:c>
      <x:c r="R194" s="84" t="str">
        <x:v>https://en.wikipedia.org/wiki/The_Elder_Scrolls</x:v>
      </x:c>
      <x:c r="S194" s="24" t="str">
        <x:v>Seeded</x:v>
      </x:c>
    </x:row>
    <x:row r="195" ht="52" customHeight="1">
      <x:c r="A195" s="24" t="str">
        <x:v>ENT-0194</x:v>
      </x:c>
      <x:c r="B195" s="24" t="str">
        <x:v>Imperials</x:v>
      </x:c>
      <x:c r="C195" s="24" t="str">
        <x:v>SRC-134</x:v>
      </x:c>
      <x:c r="D195" s="24" t="str">
        <x:v>The Elder Scrolls</x:v>
      </x:c>
      <x:c r="E195" s="24" t="str">
        <x:v>Franchise setting</x:v>
      </x:c>
      <x:c r="F195" s="24" t="str">
        <x:v>Human people and cultures</x:v>
      </x:c>
      <x:c r="G195" s="24" t="str">
        <x:v>PPL-101</x:v>
      </x:c>
      <x:c r="H195" s="24" t="str">
        <x:f>IFERROR(VLOOKUP(G195,'Master Taxonomy'!$A$2:$B$1656,2,FALSE),"")</x:f>
        <x:v>Human and Near-Human Peoples</x:v>
      </x:c>
      <x:c r="I195" s="24" t="str">
        <x:v>CIV-415</x:v>
      </x:c>
      <x:c r="J195" s="24" t="str">
        <x:v>Scholar-Bureaucratic Culture</x:v>
      </x:c>
      <x:c r="K195" s="24" t="str">
        <x:v>Human peoples associated with Cyrodiil, imperial institutions, and multiple historical identities.</x:v>
      </x:c>
      <x:c r="L195" s="24" t="str">
        <x:v>Natural ancestry, state traditions, law, and cosmopolitan culture.</x:v>
      </x:c>
      <x:c r="M195" s="24" t="str">
        <x:v>Imperial is partly political-cultural, not just biological.</x:v>
      </x:c>
      <x:c r="N195" s="24" t="str">
        <x:v>Cosmopolitan imperial human analogue.</x:v>
      </x:c>
      <x:c r="O195" s="24" t="str">
        <x:v>Primary canon</x:v>
      </x:c>
      <x:c r="P195" s="24" t="str">
        <x:v>Secondary reference reviewed</x:v>
      </x:c>
      <x:c r="Q195" s="24" t="str">
        <x:v>Franchise-spanning orientation; individual games and eras require continuity-specific verification.</x:v>
      </x:c>
      <x:c r="R195" s="84" t="str">
        <x:v>https://en.wikipedia.org/wiki/The_Elder_Scrolls</x:v>
      </x:c>
      <x:c r="S195" s="24" t="str">
        <x:v>Seeded</x:v>
      </x:c>
    </x:row>
    <x:row r="196" ht="52" customHeight="1">
      <x:c r="A196" s="24" t="str">
        <x:v>ENT-0195</x:v>
      </x:c>
      <x:c r="B196" s="24" t="str">
        <x:v>Bretons</x:v>
      </x:c>
      <x:c r="C196" s="24" t="str">
        <x:v>SRC-134</x:v>
      </x:c>
      <x:c r="D196" s="24" t="str">
        <x:v>The Elder Scrolls</x:v>
      </x:c>
      <x:c r="E196" s="24" t="str">
        <x:v>Franchise setting</x:v>
      </x:c>
      <x:c r="F196" s="24" t="str">
        <x:v>Human people with mixed ancestry</x:v>
      </x:c>
      <x:c r="G196" s="24" t="str">
        <x:v>PPL-1006</x:v>
      </x:c>
      <x:c r="H196" s="24" t="str">
        <x:f>IFERROR(VLOOKUP(G196,'Master Taxonomy'!$A$2:$B$1656,2,FALSE),"")</x:f>
        <x:v>Mixed-Ancestry and Half-Blood Peoples</x:v>
      </x:c>
      <x:c r="I196" s="24" t="str">
        <x:v>PPL-101</x:v>
      </x:c>
      <x:c r="J196" s="24" t="str">
        <x:v>Human and Near-Human Peoples</x:v>
      </x:c>
      <x:c r="K196" s="24" t="str">
        <x:v>Human people of High Rock with historical elven admixture and strong magical traditions.</x:v>
      </x:c>
      <x:c r="L196" s="24" t="str">
        <x:v>Ancestry, regional culture, and political fragmentation.</x:v>
      </x:c>
      <x:c r="M196" s="24" t="str">
        <x:v>Their identity cannot be reduced to a stat bonus for magic resistance.</x:v>
      </x:c>
      <x:c r="N196" s="24" t="str">
        <x:v>Human–elder ancestry and feudal mage culture.</x:v>
      </x:c>
      <x:c r="O196" s="24" t="str">
        <x:v>Primary canon</x:v>
      </x:c>
      <x:c r="P196" s="24" t="str">
        <x:v>Secondary reference reviewed</x:v>
      </x:c>
      <x:c r="Q196" s="24" t="str">
        <x:v>Franchise-spanning orientation; individual games and eras require continuity-specific verification.</x:v>
      </x:c>
      <x:c r="R196" s="84" t="str">
        <x:v>https://en.wikipedia.org/wiki/The_Elder_Scrolls</x:v>
      </x:c>
      <x:c r="S196" s="24" t="str">
        <x:v>Seeded</x:v>
      </x:c>
    </x:row>
    <x:row r="197" ht="52" customHeight="1">
      <x:c r="A197" s="24" t="str">
        <x:v>ENT-0196</x:v>
      </x:c>
      <x:c r="B197" s="24" t="str">
        <x:v>Redguards</x:v>
      </x:c>
      <x:c r="C197" s="24" t="str">
        <x:v>SRC-134</x:v>
      </x:c>
      <x:c r="D197" s="24" t="str">
        <x:v>The Elder Scrolls</x:v>
      </x:c>
      <x:c r="E197" s="24" t="str">
        <x:v>Franchise setting</x:v>
      </x:c>
      <x:c r="F197" s="24" t="str">
        <x:v>Human people and cultures</x:v>
      </x:c>
      <x:c r="G197" s="24" t="str">
        <x:v>PPL-101</x:v>
      </x:c>
      <x:c r="H197" s="24" t="str">
        <x:f>IFERROR(VLOOKUP(G197,'Master Taxonomy'!$A$2:$B$1656,2,FALSE),"")</x:f>
        <x:v>Human and Near-Human Peoples</x:v>
      </x:c>
      <x:c r="I197" s="24" t="str">
        <x:v>ROL-120</x:v>
      </x:c>
      <x:c r="J197" s="24" t="str">
        <x:v>Samurai-Derived Warrior</x:v>
      </x:c>
      <x:c r="K197" s="24" t="str">
        <x:v>Human peoples of Hammerfell with Yokudan heritage and famed martial traditions.</x:v>
      </x:c>
      <x:c r="L197" s="24" t="str">
        <x:v>Natural ancestry, migration, religion, and regional cultures.</x:v>
      </x:c>
      <x:c r="M197" s="24" t="str">
        <x:v>The sword tradition is only one aspect; samurai-derived is a loose functional comparison.</x:v>
      </x:c>
      <x:c r="N197" s="24" t="str">
        <x:v>Diasporic warrior and desert-kingdom human analogue.</x:v>
      </x:c>
      <x:c r="O197" s="24" t="str">
        <x:v>Primary canon</x:v>
      </x:c>
      <x:c r="P197" s="24" t="str">
        <x:v>Secondary reference reviewed</x:v>
      </x:c>
      <x:c r="Q197" s="24" t="str">
        <x:v>Franchise-spanning orientation; individual games and eras require continuity-specific verification.</x:v>
      </x:c>
      <x:c r="R197" s="84" t="str">
        <x:v>https://en.wikipedia.org/wiki/The_Elder_Scrolls</x:v>
      </x:c>
      <x:c r="S197" s="24" t="str">
        <x:v>Seeded</x:v>
      </x:c>
    </x:row>
    <x:row r="198" ht="52" customHeight="1">
      <x:c r="A198" s="24" t="str">
        <x:v>ENT-0197</x:v>
      </x:c>
      <x:c r="B198" s="24" t="str">
        <x:v>Khajiit</x:v>
      </x:c>
      <x:c r="C198" s="24" t="str">
        <x:v>SRC-134</x:v>
      </x:c>
      <x:c r="D198" s="24" t="str">
        <x:v>The Elder Scrolls</x:v>
      </x:c>
      <x:c r="E198" s="24" t="str">
        <x:v>Franchise setting</x:v>
      </x:c>
      <x:c r="F198" s="24" t="str">
        <x:v>Feline people</x:v>
      </x:c>
      <x:c r="G198" s="24" t="str">
        <x:v>PPL-121</x:v>
      </x:c>
      <x:c r="H198" s="24" t="str">
        <x:f>IFERROR(VLOOKUP(G198,'Master Taxonomy'!$A$2:$B$1656,2,FALSE),"")</x:f>
        <x:v>Feline Beastfolk</x:v>
      </x:c>
      <x:c r="I198" s="24" t="str">
        <x:v>PPL-1010</x:v>
      </x:c>
      <x:c r="J198" s="24" t="str">
        <x:v>Metamorphic Species</x:v>
      </x:c>
      <x:c r="K198" s="24" t="str">
        <x:v>A people whose many furstocks and body forms are linked to lunar conditions and culture.</x:v>
      </x:c>
      <x:c r="L198" s="24" t="str">
        <x:v>Natural ancestry, lunar metaphysics, and multiple morphologies.</x:v>
      </x:c>
      <x:c r="M198" s="24" t="str">
        <x:v>Khajiit are not one catlike body plan or culture.</x:v>
      </x:c>
      <x:c r="N198" s="24" t="str">
        <x:v>Lunar polymorphic feline people.</x:v>
      </x:c>
      <x:c r="O198" s="24" t="str">
        <x:v>Primary canon</x:v>
      </x:c>
      <x:c r="P198" s="24" t="str">
        <x:v>Secondary reference reviewed</x:v>
      </x:c>
      <x:c r="Q198" s="24" t="str">
        <x:v>Franchise-spanning orientation; individual games and eras require continuity-specific verification.</x:v>
      </x:c>
      <x:c r="R198" s="84" t="str">
        <x:v>https://en.wikipedia.org/wiki/The_Elder_Scrolls</x:v>
      </x:c>
      <x:c r="S198" s="24" t="str">
        <x:v>Seeded</x:v>
      </x:c>
    </x:row>
    <x:row r="199" ht="52" customHeight="1">
      <x:c r="A199" s="24" t="str">
        <x:v>ENT-0198</x:v>
      </x:c>
      <x:c r="B199" s="24" t="str">
        <x:v>Argonians</x:v>
      </x:c>
      <x:c r="C199" s="24" t="str">
        <x:v>SRC-134</x:v>
      </x:c>
      <x:c r="D199" s="24" t="str">
        <x:v>The Elder Scrolls</x:v>
      </x:c>
      <x:c r="E199" s="24" t="str">
        <x:v>Franchise setting</x:v>
      </x:c>
      <x:c r="F199" s="24" t="str">
        <x:v>Reptilian people</x:v>
      </x:c>
      <x:c r="G199" s="24" t="str">
        <x:v>PPL-112</x:v>
      </x:c>
      <x:c r="H199" s="24" t="str">
        <x:f>IFERROR(VLOOKUP(G199,'Master Taxonomy'!$A$2:$B$1656,2,FALSE),"")</x:f>
        <x:v>Lizardfolk and Reptilian Peoples</x:v>
      </x:c>
      <x:c r="I199" s="24" t="str">
        <x:v>PPL-206</x:v>
      </x:c>
      <x:c r="J199" s="24" t="str">
        <x:v>Land and Watershed Spirits</x:v>
      </x:c>
      <x:c r="K199" s="24" t="str">
        <x:v>Reptilian people of Black Marsh with deep relationships to the Hist.</x:v>
      </x:c>
      <x:c r="L199" s="24" t="str">
        <x:v>Natural ancestry, communal culture, and symbiosis with sacred trees.</x:v>
      </x:c>
      <x:c r="M199" s="24" t="str">
        <x:v>Their identity is not reducible to generic lizardfolk traits.</x:v>
      </x:c>
      <x:c r="N199" s="24" t="str">
        <x:v>Symbiotic marsh people and tree-linked ancestry.</x:v>
      </x:c>
      <x:c r="O199" s="24" t="str">
        <x:v>Primary canon</x:v>
      </x:c>
      <x:c r="P199" s="24" t="str">
        <x:v>Secondary reference reviewed</x:v>
      </x:c>
      <x:c r="Q199" s="24" t="str">
        <x:v>Franchise-spanning orientation; individual games and eras require continuity-specific verification.</x:v>
      </x:c>
      <x:c r="R199" s="84" t="str">
        <x:v>https://en.wikipedia.org/wiki/The_Elder_Scrolls</x:v>
      </x:c>
      <x:c r="S199" s="24" t="str">
        <x:v>Seeded</x:v>
      </x:c>
    </x:row>
    <x:row r="200" ht="52" customHeight="1">
      <x:c r="A200" s="24" t="str">
        <x:v>ENT-0199</x:v>
      </x:c>
      <x:c r="B200" s="24" t="str">
        <x:v>Aedra</x:v>
      </x:c>
      <x:c r="C200" s="24" t="str">
        <x:v>SRC-134</x:v>
      </x:c>
      <x:c r="D200" s="24" t="str">
        <x:v>The Elder Scrolls</x:v>
      </x:c>
      <x:c r="E200" s="24" t="str">
        <x:v>Franchise cosmology</x:v>
      </x:c>
      <x:c r="F200" s="24" t="str">
        <x:v>Divine beings</x:v>
      </x:c>
      <x:c r="G200" s="24" t="str">
        <x:v>PPL-401</x:v>
      </x:c>
      <x:c r="H200" s="24" t="str">
        <x:f>IFERROR(VLOOKUP(G200,'Master Taxonomy'!$A$2:$B$1656,2,FALSE),"")</x:f>
        <x:v>Deities</x:v>
      </x:c>
      <x:c r="I200" s="24" t="str">
        <x:v>PPL-400</x:v>
      </x:c>
      <x:c r="J200" s="24" t="str">
        <x:v>Divine and Celestial Beings</x:v>
      </x:c>
      <x:c r="K200" s="24" t="str">
        <x:v>Divine powers associated with creation and the structure of the mortal world.</x:v>
      </x:c>
      <x:c r="L200" s="24" t="str">
        <x:v>Cosmological participation, worship, and mythic interpretation.</x:v>
      </x:c>
      <x:c r="M200" s="24" t="str">
        <x:v>Aedra is a relational theological category, not a biological species.</x:v>
      </x:c>
      <x:c r="N200" s="24" t="str">
        <x:v>World-forming divine order.</x:v>
      </x:c>
      <x:c r="O200" s="24" t="str">
        <x:v>Primary canon</x:v>
      </x:c>
      <x:c r="P200" s="24" t="str">
        <x:v>Secondary reference reviewed</x:v>
      </x:c>
      <x:c r="Q200" s="24" t="str">
        <x:v>Franchise-spanning orientation; individual games and eras require continuity-specific verification.</x:v>
      </x:c>
      <x:c r="R200" s="84" t="str">
        <x:v>https://en.wikipedia.org/wiki/The_Elder_Scrolls</x:v>
      </x:c>
      <x:c r="S200" s="24" t="str">
        <x:v>Seeded</x:v>
      </x:c>
    </x:row>
    <x:row r="201" ht="52" customHeight="1">
      <x:c r="A201" s="24" t="str">
        <x:v>ENT-0200</x:v>
      </x:c>
      <x:c r="B201" s="24" t="str">
        <x:v>Daedric Princes</x:v>
      </x:c>
      <x:c r="C201" s="24" t="str">
        <x:v>SRC-134</x:v>
      </x:c>
      <x:c r="D201" s="24" t="str">
        <x:v>The Elder Scrolls</x:v>
      </x:c>
      <x:c r="E201" s="24" t="str">
        <x:v>Franchise cosmology</x:v>
      </x:c>
      <x:c r="F201" s="24" t="str">
        <x:v>Otherworldly divine rulers</x:v>
      </x:c>
      <x:c r="G201" s="24" t="str">
        <x:v>PPL-401</x:v>
      </x:c>
      <x:c r="H201" s="24" t="str">
        <x:f>IFERROR(VLOOKUP(G201,'Master Taxonomy'!$A$2:$B$1656,2,FALSE),"")</x:f>
        <x:v>Deities</x:v>
      </x:c>
      <x:c r="I201" s="24" t="str">
        <x:v>PPL-1102</x:v>
      </x:c>
      <x:c r="J201" s="24" t="str">
        <x:v>Alien and Otherworlder Peoples</x:v>
      </x:c>
      <x:c r="K201" s="24" t="str">
        <x:v>Powerful rulers of Oblivion realms embodying or governing distinct spheres.</x:v>
      </x:c>
      <x:c r="L201" s="24" t="str">
        <x:v>Otherworldly existence, realm sovereignty, cults, and artifacts.</x:v>
      </x:c>
      <x:c r="M201" s="24" t="str">
        <x:v>They are not simply demons or uniformly evil.</x:v>
      </x:c>
      <x:c r="N201" s="24" t="str">
        <x:v>Planar sovereign and patron-deity analogue.</x:v>
      </x:c>
      <x:c r="O201" s="24" t="str">
        <x:v>Primary canon</x:v>
      </x:c>
      <x:c r="P201" s="24" t="str">
        <x:v>Secondary reference reviewed</x:v>
      </x:c>
      <x:c r="Q201" s="24" t="str">
        <x:v>Franchise-spanning orientation; individual games and eras require continuity-specific verification.</x:v>
      </x:c>
      <x:c r="R201" s="84" t="str">
        <x:v>https://en.wikipedia.org/wiki/The_Elder_Scrolls</x:v>
      </x:c>
      <x:c r="S201" s="24" t="str">
        <x:v>Seeded</x:v>
      </x:c>
    </x:row>
    <x:row r="202" ht="52" customHeight="1">
      <x:c r="A202" s="24" t="str">
        <x:v>ENT-0201</x:v>
      </x:c>
      <x:c r="B202" s="24" t="str">
        <x:v>Lesser Daedra</x:v>
      </x:c>
      <x:c r="C202" s="24" t="str">
        <x:v>SRC-134</x:v>
      </x:c>
      <x:c r="D202" s="24" t="str">
        <x:v>The Elder Scrolls</x:v>
      </x:c>
      <x:c r="E202" s="24" t="str">
        <x:v>Franchise cosmology</x:v>
      </x:c>
      <x:c r="F202" s="24" t="str">
        <x:v>Otherworldly beings</x:v>
      </x:c>
      <x:c r="G202" s="24" t="str">
        <x:v>PPL-1102</x:v>
      </x:c>
      <x:c r="H202" s="24" t="str">
        <x:f>IFERROR(VLOOKUP(G202,'Master Taxonomy'!$A$2:$B$1656,2,FALSE),"")</x:f>
        <x:v>Alien and Otherworlder Peoples</x:v>
      </x:c>
      <x:c r="I202" s="24" t="str"/>
      <x:c r="J202" s="24" t="str"/>
      <x:c r="K202" s="24" t="str">
        <x:v>Varied beings native or tied to realms of Oblivion.</x:v>
      </x:c>
      <x:c r="L202" s="24" t="str">
        <x:v>Otherworldly origin, summoning, contracts, and realm affiliations.</x:v>
      </x:c>
      <x:c r="M202" s="24" t="str">
        <x:v>The category contains peoples, creatures, servants, and independent actors.</x:v>
      </x:c>
      <x:c r="N202" s="24" t="str">
        <x:v>Extraplanar being family.</x:v>
      </x:c>
      <x:c r="O202" s="24" t="str">
        <x:v>Primary canon</x:v>
      </x:c>
      <x:c r="P202" s="24" t="str">
        <x:v>Secondary reference reviewed</x:v>
      </x:c>
      <x:c r="Q202" s="24" t="str">
        <x:v>Franchise-spanning orientation; individual games and eras require continuity-specific verification.</x:v>
      </x:c>
      <x:c r="R202" s="84" t="str">
        <x:v>https://en.wikipedia.org/wiki/The_Elder_Scrolls</x:v>
      </x:c>
      <x:c r="S202" s="24" t="str">
        <x:v>Seeded</x:v>
      </x:c>
    </x:row>
    <x:row r="203" ht="52" customHeight="1">
      <x:c r="A203" s="24" t="str">
        <x:v>ENT-0202</x:v>
      </x:c>
      <x:c r="B203" s="24" t="str">
        <x:v>Dragons</x:v>
      </x:c>
      <x:c r="C203" s="24" t="str">
        <x:v>SRC-134</x:v>
      </x:c>
      <x:c r="D203" s="24" t="str">
        <x:v>The Elder Scrolls</x:v>
      </x:c>
      <x:c r="E203" s="24" t="str">
        <x:v>Franchise setting</x:v>
      </x:c>
      <x:c r="F203" s="24" t="str">
        <x:v>Divine or primordial dragon beings</x:v>
      </x:c>
      <x:c r="G203" s="24" t="str">
        <x:v>PPL-801</x:v>
      </x:c>
      <x:c r="H203" s="24" t="str">
        <x:f>IFERROR(VLOOKUP(G203,'Master Taxonomy'!$A$2:$B$1656,2,FALSE),"")</x:f>
        <x:v>True Dragons</x:v>
      </x:c>
      <x:c r="I203" s="24" t="str">
        <x:v>PPL-409</x:v>
      </x:c>
      <x:c r="J203" s="24" t="str">
        <x:v>Divine Beasts</x:v>
      </x:c>
      <x:c r="K203" s="24" t="str">
        <x:v>Ancient, intelligent dragons associated with time, domination, and the Thu'um.</x:v>
      </x:c>
      <x:c r="L203" s="24" t="str">
        <x:v>Draconic nature, language, immortality-like persistence, and divine origin.</x:v>
      </x:c>
      <x:c r="M203" s="24" t="str">
        <x:v>They are not ordinary animals and their speech is itself power.</x:v>
      </x:c>
      <x:c r="N203" s="24" t="str">
        <x:v>Primordial speaking dragon analogue.</x:v>
      </x:c>
      <x:c r="O203" s="24" t="str">
        <x:v>Primary canon</x:v>
      </x:c>
      <x:c r="P203" s="24" t="str">
        <x:v>Secondary reference reviewed</x:v>
      </x:c>
      <x:c r="Q203" s="24" t="str">
        <x:v>Franchise-spanning orientation; individual games and eras require continuity-specific verification.</x:v>
      </x:c>
      <x:c r="R203" s="84" t="str">
        <x:v>https://en.wikipedia.org/wiki/The_Elder_Scrolls</x:v>
      </x:c>
      <x:c r="S203" s="24" t="str">
        <x:v>Seeded</x:v>
      </x:c>
    </x:row>
    <x:row r="204" ht="52" customHeight="1">
      <x:c r="A204" s="24" t="str">
        <x:v>ENT-0203</x:v>
      </x:c>
      <x:c r="B204" s="24" t="str">
        <x:v>Dragonborn</x:v>
      </x:c>
      <x:c r="C204" s="24" t="str">
        <x:v>SRC-134</x:v>
      </x:c>
      <x:c r="D204" s="24" t="str">
        <x:v>The Elder Scrolls</x:v>
      </x:c>
      <x:c r="E204" s="24" t="str">
        <x:v>Franchise setting</x:v>
      </x:c>
      <x:c r="F204" s="24" t="str">
        <x:v>Divinely marked mortal state</x:v>
      </x:c>
      <x:c r="G204" s="24" t="str">
        <x:v>NAR-101</x:v>
      </x:c>
      <x:c r="H204" s="24" t="str">
        <x:f>IFERROR(VLOOKUP(G204,'Master Taxonomy'!$A$2:$B$1656,2,FALSE),"")</x:f>
        <x:v>Chosen One</x:v>
      </x:c>
      <x:c r="I204" s="24" t="str">
        <x:v>STA-409; STA-402</x:v>
      </x:c>
      <x:c r="J204" s="24" t="str">
        <x:v>Dragon Bond; Relic Bearer</x:v>
      </x:c>
      <x:c r="K204" s="24" t="str">
        <x:v>Mortals with a dragon soul or divinely significant draconic capacity, especially central to specific eras.</x:v>
      </x:c>
      <x:c r="L204" s="24" t="str">
        <x:v>Divine blessing, soul nature, prophecy, and learned shouts.</x:v>
      </x:c>
      <x:c r="M204" s="24" t="str">
        <x:v>Not a species, and not the same concept as D&amp;D dragonborn.</x:v>
      </x:c>
      <x:c r="N204" s="24" t="str">
        <x:v>Draconic chosen champion.</x:v>
      </x:c>
      <x:c r="O204" s="24" t="str">
        <x:v>Primary canon</x:v>
      </x:c>
      <x:c r="P204" s="24" t="str">
        <x:v>Secondary reference reviewed</x:v>
      </x:c>
      <x:c r="Q204" s="24" t="str">
        <x:v>Franchise-spanning orientation; individual games and eras require continuity-specific verification.</x:v>
      </x:c>
      <x:c r="R204" s="84" t="str">
        <x:v>https://en.wikipedia.org/wiki/The_Elder_Scrolls</x:v>
      </x:c>
      <x:c r="S204" s="24" t="str">
        <x:v>Seeded</x:v>
      </x:c>
    </x:row>
    <x:row r="205" ht="52" customHeight="1">
      <x:c r="A205" s="24" t="str">
        <x:v>ENT-0204</x:v>
      </x:c>
      <x:c r="B205" s="24" t="str">
        <x:v>Thu'um / Voice</x:v>
      </x:c>
      <x:c r="C205" s="24" t="str">
        <x:v>SRC-134</x:v>
      </x:c>
      <x:c r="D205" s="24" t="str">
        <x:v>The Elder Scrolls</x:v>
      </x:c>
      <x:c r="E205" s="24" t="str">
        <x:v>Franchise setting</x:v>
      </x:c>
      <x:c r="F205" s="24" t="str">
        <x:v>Power tradition</x:v>
      </x:c>
      <x:c r="G205" s="24" t="str">
        <x:v>PWR-503</x:v>
      </x:c>
      <x:c r="H205" s="24" t="str">
        <x:f>IFERROR(VLOOKUP(G205,'Master Taxonomy'!$A$2:$B$1656,2,FALSE),"")</x:f>
        <x:v>True Names and Naming</x:v>
      </x:c>
      <x:c r="I205" s="24" t="str">
        <x:v>PWR-217</x:v>
      </x:c>
      <x:c r="J205" s="24" t="str">
        <x:v>Sound and Vibration Magic</x:v>
      </x:c>
      <x:c r="K205" s="24" t="str">
        <x:v>Reality-affecting power expressed through the dragon language and disciplined Shouts.</x:v>
      </x:c>
      <x:c r="L205" s="24" t="str">
        <x:v>Language, breath, understanding, and spiritual mastery.</x:v>
      </x:c>
      <x:c r="M205" s="24" t="str">
        <x:v>More than sonic force; words carry ontological significance.</x:v>
      </x:c>
      <x:c r="N205" s="24" t="str">
        <x:v>Word-of-power and voice magic.</x:v>
      </x:c>
      <x:c r="O205" s="24" t="str">
        <x:v>Primary canon</x:v>
      </x:c>
      <x:c r="P205" s="24" t="str">
        <x:v>Secondary reference reviewed</x:v>
      </x:c>
      <x:c r="Q205" s="24" t="str">
        <x:v>Franchise-spanning orientation; individual games and eras require continuity-specific verification.</x:v>
      </x:c>
      <x:c r="R205" s="84" t="str">
        <x:v>https://en.wikipedia.org/wiki/The_Elder_Scrolls</x:v>
      </x:c>
      <x:c r="S205" s="24" t="str">
        <x:v>Seeded</x:v>
      </x:c>
    </x:row>
    <x:row r="206" ht="52" customHeight="1">
      <x:c r="A206" s="24" t="str">
        <x:v>ENT-0205</x:v>
      </x:c>
      <x:c r="B206" s="24" t="str">
        <x:v>Greybeards</x:v>
      </x:c>
      <x:c r="C206" s="24" t="str">
        <x:v>SRC-134</x:v>
      </x:c>
      <x:c r="D206" s="24" t="str">
        <x:v>The Elder Scrolls</x:v>
      </x:c>
      <x:c r="E206" s="24" t="str">
        <x:v>Skyrim-era continuity</x:v>
      </x:c>
      <x:c r="F206" s="24" t="str">
        <x:v>Monastic order</x:v>
      </x:c>
      <x:c r="G206" s="24" t="str">
        <x:v>INS-304</x:v>
      </x:c>
      <x:c r="H206" s="24" t="str">
        <x:f>IFERROR(VLOOKUP(G206,'Master Taxonomy'!$A$2:$B$1656,2,FALSE),"")</x:f>
        <x:v>Monastery</x:v>
      </x:c>
      <x:c r="I206" s="24" t="str">
        <x:v>ROL-628</x:v>
      </x:c>
      <x:c r="J206" s="24" t="str">
        <x:v>Teacher and Mentor</x:v>
      </x:c>
      <x:c r="K206" s="24" t="str">
        <x:v>An ascetic order devoted to studying and regulating the Voice.</x:v>
      </x:c>
      <x:c r="L206" s="24" t="str">
        <x:v>Discipline, seclusion, oral teaching, and philosophical restraint.</x:v>
      </x:c>
      <x:c r="M206" s="24" t="str">
        <x:v>They are an institution, not a class shared by all Voice users.</x:v>
      </x:c>
      <x:c r="N206" s="24" t="str">
        <x:v>Mystical martial-language monastery.</x:v>
      </x:c>
      <x:c r="O206" s="24" t="str">
        <x:v>Primary canon</x:v>
      </x:c>
      <x:c r="P206" s="24" t="str">
        <x:v>Secondary reference reviewed</x:v>
      </x:c>
      <x:c r="Q206" s="24" t="str">
        <x:v>Franchise-spanning orientation; individual games and eras require continuity-specific verification.</x:v>
      </x:c>
      <x:c r="R206" s="84" t="str">
        <x:v>https://en.wikipedia.org/wiki/The_Elder_Scrolls</x:v>
      </x:c>
      <x:c r="S206" s="24" t="str">
        <x:v>Seeded</x:v>
      </x:c>
    </x:row>
    <x:row r="207" ht="52" customHeight="1">
      <x:c r="A207" s="24" t="str">
        <x:v>ENT-0206</x:v>
      </x:c>
      <x:c r="B207" s="24" t="str">
        <x:v>Psijic Order</x:v>
      </x:c>
      <x:c r="C207" s="24" t="str">
        <x:v>SRC-134</x:v>
      </x:c>
      <x:c r="D207" s="24" t="str">
        <x:v>The Elder Scrolls</x:v>
      </x:c>
      <x:c r="E207" s="24" t="str">
        <x:v>Franchise setting</x:v>
      </x:c>
      <x:c r="F207" s="24" t="str">
        <x:v>Secret magical order</x:v>
      </x:c>
      <x:c r="G207" s="24" t="str">
        <x:v>INS-320</x:v>
      </x:c>
      <x:c r="H207" s="24" t="str">
        <x:f>IFERROR(VLOOKUP(G207,'Master Taxonomy'!$A$2:$B$1656,2,FALSE),"")</x:f>
        <x:v>Secret Magical Society</x:v>
      </x:c>
      <x:c r="I207" s="24" t="str">
        <x:v>ROL-306</x:v>
      </x:c>
      <x:c r="J207" s="24" t="str">
        <x:v>Magical Scholar</x:v>
      </x:c>
      <x:c r="K207" s="24" t="str">
        <x:v>Ancient esoteric order devoted to metaphysical study and selective intervention.</x:v>
      </x:c>
      <x:c r="L207" s="24" t="str">
        <x:v>Training, secrecy, ritual, and philosophical tradition.</x:v>
      </x:c>
      <x:c r="M207" s="24" t="str">
        <x:v>Its goals and methods vary by era and source.</x:v>
      </x:c>
      <x:c r="N207" s="24" t="str">
        <x:v>Hidden mage order and time-lore society.</x:v>
      </x:c>
      <x:c r="O207" s="24" t="str">
        <x:v>Primary canon</x:v>
      </x:c>
      <x:c r="P207" s="24" t="str">
        <x:v>Secondary reference reviewed</x:v>
      </x:c>
      <x:c r="Q207" s="24" t="str">
        <x:v>Franchise-spanning orientation; individual games and eras require continuity-specific verification.</x:v>
      </x:c>
      <x:c r="R207" s="84" t="str">
        <x:v>https://en.wikipedia.org/wiki/The_Elder_Scrolls</x:v>
      </x:c>
      <x:c r="S207" s="24" t="str">
        <x:v>Seeded</x:v>
      </x:c>
    </x:row>
    <x:row r="208" ht="52" customHeight="1">
      <x:c r="A208" s="24" t="str">
        <x:v>ENT-0207</x:v>
      </x:c>
      <x:c r="B208" s="24" t="str">
        <x:v>Mages Guild</x:v>
      </x:c>
      <x:c r="C208" s="24" t="str">
        <x:v>SRC-134</x:v>
      </x:c>
      <x:c r="D208" s="24" t="str">
        <x:v>The Elder Scrolls</x:v>
      </x:c>
      <x:c r="E208" s="24" t="str">
        <x:v>Franchise setting</x:v>
      </x:c>
      <x:c r="F208" s="24" t="str">
        <x:v>Professional magical institution</x:v>
      </x:c>
      <x:c r="G208" s="24" t="str">
        <x:v>INS-102</x:v>
      </x:c>
      <x:c r="H208" s="24" t="str">
        <x:f>IFERROR(VLOOKUP(G208,'Master Taxonomy'!$A$2:$B$1656,2,FALSE),"")</x:f>
        <x:v>Mage Guild</x:v>
      </x:c>
      <x:c r="I208" s="24" t="str">
        <x:v>INS-308</x:v>
      </x:c>
      <x:c r="J208" s="24" t="str">
        <x:v>Mage Academy</x:v>
      </x:c>
      <x:c r="K208" s="24" t="str">
        <x:v>An institution historically providing magical services, training, and regulation.</x:v>
      </x:c>
      <x:c r="L208" s="24" t="str">
        <x:v>Professional organization, education, commerce, and politics.</x:v>
      </x:c>
      <x:c r="M208" s="24" t="str">
        <x:v>Its structure changes across eras and provinces.</x:v>
      </x:c>
      <x:c r="N208" s="24" t="str">
        <x:v>Public magical guild analogue.</x:v>
      </x:c>
      <x:c r="O208" s="24" t="str">
        <x:v>Primary canon</x:v>
      </x:c>
      <x:c r="P208" s="24" t="str">
        <x:v>Secondary reference reviewed</x:v>
      </x:c>
      <x:c r="Q208" s="24" t="str">
        <x:v>Franchise-spanning orientation; individual games and eras require continuity-specific verification.</x:v>
      </x:c>
      <x:c r="R208" s="84" t="str">
        <x:v>https://en.wikipedia.org/wiki/The_Elder_Scrolls</x:v>
      </x:c>
      <x:c r="S208" s="24" t="str">
        <x:v>Seeded</x:v>
      </x:c>
    </x:row>
    <x:row r="209" ht="52" customHeight="1">
      <x:c r="A209" s="24" t="str">
        <x:v>ENT-0208</x:v>
      </x:c>
      <x:c r="B209" s="24" t="str">
        <x:v>Dark Brotherhood</x:v>
      </x:c>
      <x:c r="C209" s="24" t="str">
        <x:v>SRC-134</x:v>
      </x:c>
      <x:c r="D209" s="24" t="str">
        <x:v>The Elder Scrolls</x:v>
      </x:c>
      <x:c r="E209" s="24" t="str">
        <x:v>Franchise setting</x:v>
      </x:c>
      <x:c r="F209" s="24" t="str">
        <x:v>Religious assassin institution</x:v>
      </x:c>
      <x:c r="G209" s="24" t="str">
        <x:v>INS-211</x:v>
      </x:c>
      <x:c r="H209" s="24" t="str">
        <x:f>IFERROR(VLOOKUP(G209,'Master Taxonomy'!$A$2:$B$1656,2,FALSE),"")</x:f>
        <x:v>Assassin Order</x:v>
      </x:c>
      <x:c r="I209" s="24" t="str">
        <x:v>ROL-835</x:v>
      </x:c>
      <x:c r="J209" s="24" t="str">
        <x:v>Ritual Assassin</x:v>
      </x:c>
      <x:c r="K209" s="24" t="str">
        <x:v>A secretive assassination organization with a death-centered theology and contracts.</x:v>
      </x:c>
      <x:c r="L209" s="24" t="str">
        <x:v>Initiation, ritual, patronage, secrecy, and murder-for-hire.</x:v>
      </x:c>
      <x:c r="M209" s="24" t="str">
        <x:v>Its religious claims and organizational continuity are contested within the setting.</x:v>
      </x:c>
      <x:c r="N209" s="24" t="str">
        <x:v>Assassin cult and contract guild.</x:v>
      </x:c>
      <x:c r="O209" s="24" t="str">
        <x:v>Primary canon</x:v>
      </x:c>
      <x:c r="P209" s="24" t="str">
        <x:v>Secondary reference reviewed</x:v>
      </x:c>
      <x:c r="Q209" s="24" t="str">
        <x:v>Franchise-spanning orientation; individual games and eras require continuity-specific verification.</x:v>
      </x:c>
      <x:c r="R209" s="84" t="str">
        <x:v>https://en.wikipedia.org/wiki/The_Elder_Scrolls</x:v>
      </x:c>
      <x:c r="S209" s="24" t="str">
        <x:v>Seeded</x:v>
      </x:c>
    </x:row>
    <x:row r="210" ht="52" customHeight="1">
      <x:c r="A210" s="24" t="str">
        <x:v>ENT-0209</x:v>
      </x:c>
      <x:c r="B210" s="24" t="str">
        <x:v>Thieves Guild</x:v>
      </x:c>
      <x:c r="C210" s="24" t="str">
        <x:v>SRC-134</x:v>
      </x:c>
      <x:c r="D210" s="24" t="str">
        <x:v>The Elder Scrolls</x:v>
      </x:c>
      <x:c r="E210" s="24" t="str">
        <x:v>Franchise setting</x:v>
      </x:c>
      <x:c r="F210" s="24" t="str">
        <x:v>Criminal guild</x:v>
      </x:c>
      <x:c r="G210" s="24" t="str">
        <x:v>INS-103</x:v>
      </x:c>
      <x:c r="H210" s="24" t="str">
        <x:f>IFERROR(VLOOKUP(G210,'Master Taxonomy'!$A$2:$B$1656,2,FALSE),"")</x:f>
        <x:v>Thieves' Guild</x:v>
      </x:c>
      <x:c r="I210" s="24" t="str">
        <x:v>ROL-205</x:v>
      </x:c>
      <x:c r="J210" s="24" t="str">
        <x:v>Rogue</x:v>
      </x:c>
      <x:c r="K210" s="24" t="str">
        <x:v>Organized networks of thieves with codes, fences, patrons, and local politics.</x:v>
      </x:c>
      <x:c r="L210" s="24" t="str">
        <x:v>Criminal craft, mutual protection, and urban organization.</x:v>
      </x:c>
      <x:c r="M210" s="24" t="str">
        <x:v>Different games depict different chapters and institutional strengths.</x:v>
      </x:c>
      <x:c r="N210" s="24" t="str">
        <x:v>Professional underworld guild.</x:v>
      </x:c>
      <x:c r="O210" s="24" t="str">
        <x:v>Primary canon</x:v>
      </x:c>
      <x:c r="P210" s="24" t="str">
        <x:v>Secondary reference reviewed</x:v>
      </x:c>
      <x:c r="Q210" s="24" t="str">
        <x:v>Franchise-spanning orientation; individual games and eras require continuity-specific verification.</x:v>
      </x:c>
      <x:c r="R210" s="84" t="str">
        <x:v>https://en.wikipedia.org/wiki/The_Elder_Scrolls</x:v>
      </x:c>
      <x:c r="S210" s="24" t="str">
        <x:v>Seeded</x:v>
      </x:c>
    </x:row>
    <x:row r="211" ht="52" customHeight="1">
      <x:c r="A211" s="24" t="str">
        <x:v>ENT-0210</x:v>
      </x:c>
      <x:c r="B211" s="24" t="str">
        <x:v>Vampires</x:v>
      </x:c>
      <x:c r="C211" s="24" t="str">
        <x:v>SRC-134</x:v>
      </x:c>
      <x:c r="D211" s="24" t="str">
        <x:v>The Elder Scrolls</x:v>
      </x:c>
      <x:c r="E211" s="24" t="str">
        <x:v>Franchise setting</x:v>
      </x:c>
      <x:c r="F211" s="24" t="str">
        <x:v>Transformed beings</x:v>
      </x:c>
      <x:c r="G211" s="24" t="str">
        <x:v>PPL-607</x:v>
      </x:c>
      <x:c r="H211" s="24" t="str">
        <x:f>IFERROR(VLOOKUP(G211,'Master Taxonomy'!$A$2:$B$1656,2,FALSE),"")</x:f>
        <x:v>Vampires</x:v>
      </x:c>
      <x:c r="I211" s="24" t="str">
        <x:v>STA-311</x:v>
      </x:c>
      <x:c r="J211" s="24" t="str">
        <x:v>Cursed State</x:v>
      </x:c>
      <x:c r="K211" s="24" t="str">
        <x:v>Multiple vampiric bloodlines and diseases granting powers alongside weaknesses.</x:v>
      </x:c>
      <x:c r="L211" s="24" t="str">
        <x:v>Infection or curse, bloodline, patronage, and transformation.</x:v>
      </x:c>
      <x:c r="M211" s="24" t="str">
        <x:v>There is no single Elder Scrolls vampire template across eras and strains.</x:v>
      </x:c>
      <x:c r="N211" s="24" t="str">
        <x:v>Plural vampiric condition and lineage system.</x:v>
      </x:c>
      <x:c r="O211" s="24" t="str">
        <x:v>Primary canon</x:v>
      </x:c>
      <x:c r="P211" s="24" t="str">
        <x:v>Secondary reference reviewed</x:v>
      </x:c>
      <x:c r="Q211" s="24" t="str">
        <x:v>Franchise-spanning orientation; individual games and eras require continuity-specific verification.</x:v>
      </x:c>
      <x:c r="R211" s="84" t="str">
        <x:v>https://en.wikipedia.org/wiki/The_Elder_Scrolls</x:v>
      </x:c>
      <x:c r="S211" s="24" t="str">
        <x:v>Seeded</x:v>
      </x:c>
    </x:row>
    <x:row r="212" ht="52" customHeight="1">
      <x:c r="A212" s="24" t="str">
        <x:v>ENT-0211</x:v>
      </x:c>
      <x:c r="B212" s="24" t="str">
        <x:v>Werewolves and other werebeasts</x:v>
      </x:c>
      <x:c r="C212" s="24" t="str">
        <x:v>SRC-134</x:v>
      </x:c>
      <x:c r="D212" s="24" t="str">
        <x:v>The Elder Scrolls</x:v>
      </x:c>
      <x:c r="E212" s="24" t="str">
        <x:v>Franchise setting</x:v>
      </x:c>
      <x:c r="F212" s="24" t="str">
        <x:v>Therianthropic transformation</x:v>
      </x:c>
      <x:c r="G212" s="24" t="str">
        <x:v>PPL-1003</x:v>
      </x:c>
      <x:c r="H212" s="24" t="str">
        <x:f>IFERROR(VLOOKUP(G212,'Master Taxonomy'!$A$2:$B$1656,2,FALSE),"")</x:f>
        <x:v>Therianthropes</x:v>
      </x:c>
      <x:c r="I212" s="24" t="str">
        <x:v>STA-201</x:v>
      </x:c>
      <x:c r="J212" s="24" t="str">
        <x:v>Lycanthropy and Therianthropic Curse</x:v>
      </x:c>
      <x:c r="K212" s="24" t="str">
        <x:v>Mortals transformed into predatory beast forms through disease, curse, or divine association.</x:v>
      </x:c>
      <x:c r="L212" s="24" t="str">
        <x:v>Transformation, infection, patronage, and beast-form abilities.</x:v>
      </x:c>
      <x:c r="M212" s="24" t="str">
        <x:v>Multiple were-creature types exist beyond wolves.</x:v>
      </x:c>
      <x:c r="N212" s="24" t="str">
        <x:v>Contagious and patron-linked therianthropy.</x:v>
      </x:c>
      <x:c r="O212" s="24" t="str">
        <x:v>Primary canon</x:v>
      </x:c>
      <x:c r="P212" s="24" t="str">
        <x:v>Secondary reference reviewed</x:v>
      </x:c>
      <x:c r="Q212" s="24" t="str">
        <x:v>Franchise-spanning orientation; individual games and eras require continuity-specific verification.</x:v>
      </x:c>
      <x:c r="R212" s="84" t="str">
        <x:v>https://en.wikipedia.org/wiki/The_Elder_Scrolls</x:v>
      </x:c>
      <x:c r="S212" s="24" t="str">
        <x:v>Seeded</x:v>
      </x:c>
    </x:row>
    <x:row r="213" ht="52" customHeight="1">
      <x:c r="A213" s="24" t="str">
        <x:v>ENT-0212</x:v>
      </x:c>
      <x:c r="B213" s="24" t="str">
        <x:v>Humans</x:v>
      </x:c>
      <x:c r="C213" s="24" t="str">
        <x:v>SRC-135</x:v>
      </x:c>
      <x:c r="D213" s="24" t="str">
        <x:v>Warcraft</x:v>
      </x:c>
      <x:c r="E213" s="24" t="str">
        <x:v>Warcraft setting / WoW playable taxonomy</x:v>
      </x:c>
      <x:c r="F213" s="24" t="str">
        <x:v>Playable race / people</x:v>
      </x:c>
      <x:c r="G213" s="24" t="str">
        <x:v>PPL-101</x:v>
      </x:c>
      <x:c r="H213" s="24" t="str">
        <x:f>IFERROR(VLOOKUP(G213,'Master Taxonomy'!$A$2:$B$1656,2,FALSE),"")</x:f>
        <x:v>Human and Near-Human Peoples</x:v>
      </x:c>
      <x:c r="I213" s="24" t="str"/>
      <x:c r="J213" s="24" t="str"/>
      <x:c r="K213" s="24" t="str">
        <x:v>One of several human civilizations and kingdoms in Azeroth.</x:v>
      </x:c>
      <x:c r="L213" s="24" t="str">
        <x:v>Natural ancestry, culture, state, and faction history.</x:v>
      </x:c>
      <x:c r="M213" s="24" t="str">
        <x:v>Warcraft humans are culturally plural despite a single playable label.</x:v>
      </x:c>
      <x:c r="N213" s="24" t="str">
        <x:v>Baseline human fantasy people.</x:v>
      </x:c>
      <x:c r="O213" s="24" t="str">
        <x:v>Primary canon</x:v>
      </x:c>
      <x:c r="P213" s="24" t="str">
        <x:v>Official reference reviewed</x:v>
      </x:c>
      <x:c r="Q213" s="24" t="str">
        <x:v>Official World of Warcraft race and class reference pages, version-stamped 2026-08-01.</x:v>
      </x:c>
      <x:c r="R213" s="84" t="str">
        <x:v>https://worldofwarcraft.blizzard.com/game/classes</x:v>
      </x:c>
      <x:c r="S213" s="24" t="str">
        <x:v>Seeded</x:v>
      </x:c>
    </x:row>
    <x:row r="214" ht="52" customHeight="1">
      <x:c r="A214" s="24" t="str">
        <x:v>ENT-0213</x:v>
      </x:c>
      <x:c r="B214" s="24" t="str">
        <x:v>Night Elves</x:v>
      </x:c>
      <x:c r="C214" s="24" t="str">
        <x:v>SRC-135</x:v>
      </x:c>
      <x:c r="D214" s="24" t="str">
        <x:v>Warcraft</x:v>
      </x:c>
      <x:c r="E214" s="24" t="str">
        <x:v>Warcraft setting / WoW playable taxonomy</x:v>
      </x:c>
      <x:c r="F214" s="24" t="str">
        <x:v>Playable race / people</x:v>
      </x:c>
      <x:c r="G214" s="24" t="str">
        <x:v>PPL-102</x:v>
      </x:c>
      <x:c r="H214" s="24" t="str">
        <x:f>IFERROR(VLOOKUP(G214,'Master Taxonomy'!$A$2:$B$1656,2,FALSE),"")</x:f>
        <x:v>Elf-Derived Peoples</x:v>
      </x:c>
      <x:c r="I214" s="24" t="str">
        <x:v>CIV-201</x:v>
      </x:c>
      <x:c r="J214" s="24" t="str">
        <x:v>Elven Forest Realm</x:v>
      </x:c>
      <x:c r="K214" s="24" t="str">
        <x:v>Long-lived kaldorei people associated with ancient magic, forests, druidism, and lunar religion.</x:v>
      </x:c>
      <x:c r="L214" s="24" t="str">
        <x:v>Ancestry, historical transformation, culture, and divine ties.</x:v>
      </x:c>
      <x:c r="M214" s="24" t="str">
        <x:v>They are not simply generic dark or wood elves.</x:v>
      </x:c>
      <x:c r="N214" s="24" t="str">
        <x:v>Ancient nocturnal forest-elf civilization.</x:v>
      </x:c>
      <x:c r="O214" s="24" t="str">
        <x:v>Primary canon</x:v>
      </x:c>
      <x:c r="P214" s="24" t="str">
        <x:v>Official reference reviewed</x:v>
      </x:c>
      <x:c r="Q214" s="24" t="str">
        <x:v>Official World of Warcraft race and class reference pages, version-stamped 2026-08-01.</x:v>
      </x:c>
      <x:c r="R214" s="84" t="str">
        <x:v>https://worldofwarcraft.blizzard.com/game/classes</x:v>
      </x:c>
      <x:c r="S214" s="24" t="str">
        <x:v>Seeded</x:v>
      </x:c>
    </x:row>
    <x:row r="215" ht="52" customHeight="1">
      <x:c r="A215" s="24" t="str">
        <x:v>ENT-0214</x:v>
      </x:c>
      <x:c r="B215" s="24" t="str">
        <x:v>Blood Elves</x:v>
      </x:c>
      <x:c r="C215" s="24" t="str">
        <x:v>SRC-135</x:v>
      </x:c>
      <x:c r="D215" s="24" t="str">
        <x:v>Warcraft</x:v>
      </x:c>
      <x:c r="E215" s="24" t="str">
        <x:v>Warcraft setting / WoW playable taxonomy</x:v>
      </x:c>
      <x:c r="F215" s="24" t="str">
        <x:v>Playable race / people</x:v>
      </x:c>
      <x:c r="G215" s="24" t="str">
        <x:v>PPL-102</x:v>
      </x:c>
      <x:c r="H215" s="24" t="str">
        <x:f>IFERROR(VLOOKUP(G215,'Master Taxonomy'!$A$2:$B$1656,2,FALSE),"")</x:f>
        <x:v>Elf-Derived Peoples</x:v>
      </x:c>
      <x:c r="I215" s="24" t="str">
        <x:v>CIV-312</x:v>
      </x:c>
      <x:c r="J215" s="24" t="str">
        <x:v>Magitech Industrial Society</x:v>
      </x:c>
      <x:c r="K215" s="24" t="str">
        <x:v>Sin'dorei descended from high elves, shaped by magical catastrophe, addiction, and reconstruction.</x:v>
      </x:c>
      <x:c r="L215" s="24" t="str">
        <x:v>Ancestry, magical dependence, politics, and urban culture.</x:v>
      </x:c>
      <x:c r="M215" s="24" t="str">
        <x:v>Their name records history and identity, not moral alignment.</x:v>
      </x:c>
      <x:c r="N215" s="24" t="str">
        <x:v>Post-catastrophe arcane elf polity.</x:v>
      </x:c>
      <x:c r="O215" s="24" t="str">
        <x:v>Primary canon</x:v>
      </x:c>
      <x:c r="P215" s="24" t="str">
        <x:v>Official reference reviewed</x:v>
      </x:c>
      <x:c r="Q215" s="24" t="str">
        <x:v>Official World of Warcraft race and class reference pages, version-stamped 2026-08-01.</x:v>
      </x:c>
      <x:c r="R215" s="84" t="str">
        <x:v>https://worldofwarcraft.blizzard.com/game/classes</x:v>
      </x:c>
      <x:c r="S215" s="24" t="str">
        <x:v>Seeded</x:v>
      </x:c>
    </x:row>
    <x:row r="216" ht="52" customHeight="1">
      <x:c r="A216" s="24" t="str">
        <x:v>ENT-0215</x:v>
      </x:c>
      <x:c r="B216" s="24" t="str">
        <x:v>Void Elves</x:v>
      </x:c>
      <x:c r="C216" s="24" t="str">
        <x:v>SRC-135</x:v>
      </x:c>
      <x:c r="D216" s="24" t="str">
        <x:v>Warcraft</x:v>
      </x:c>
      <x:c r="E216" s="24" t="str">
        <x:v>Warcraft setting / WoW playable taxonomy</x:v>
      </x:c>
      <x:c r="F216" s="24" t="str">
        <x:v>Playable race / transformed people</x:v>
      </x:c>
      <x:c r="G216" s="24" t="str">
        <x:v>PPL-102</x:v>
      </x:c>
      <x:c r="H216" s="24" t="str">
        <x:f>IFERROR(VLOOKUP(G216,'Master Taxonomy'!$A$2:$B$1656,2,FALSE),"")</x:f>
        <x:v>Elf-Derived Peoples</x:v>
      </x:c>
      <x:c r="I216" s="24" t="str">
        <x:v>STA-421</x:v>
      </x:c>
      <x:c r="J216" s="24" t="str">
        <x:v>Corruption Empowerment</x:v>
      </x:c>
      <x:c r="K216" s="24" t="str">
        <x:v>Elves transformed or empowered through disciplined exposure to the Void.</x:v>
      </x:c>
      <x:c r="L216" s="24" t="str">
        <x:v>Ancestry plus hazardous metaphysical transformation.</x:v>
      </x:c>
      <x:c r="M216" s="24" t="str">
        <x:v>They are not a wholly separate original species.</x:v>
      </x:c>
      <x:c r="N216" s="24" t="str">
        <x:v>Void-touched elven lineage.</x:v>
      </x:c>
      <x:c r="O216" s="24" t="str">
        <x:v>Primary canon</x:v>
      </x:c>
      <x:c r="P216" s="24" t="str">
        <x:v>Official reference reviewed</x:v>
      </x:c>
      <x:c r="Q216" s="24" t="str">
        <x:v>Official World of Warcraft race and class reference pages, version-stamped 2026-08-01.</x:v>
      </x:c>
      <x:c r="R216" s="84" t="str">
        <x:v>https://worldofwarcraft.blizzard.com/game/classes</x:v>
      </x:c>
      <x:c r="S216" s="24" t="str">
        <x:v>Seeded</x:v>
      </x:c>
    </x:row>
    <x:row r="217" ht="52" customHeight="1">
      <x:c r="A217" s="24" t="str">
        <x:v>ENT-0216</x:v>
      </x:c>
      <x:c r="B217" s="24" t="str">
        <x:v>Dwarves</x:v>
      </x:c>
      <x:c r="C217" s="24" t="str">
        <x:v>SRC-135</x:v>
      </x:c>
      <x:c r="D217" s="24" t="str">
        <x:v>Warcraft</x:v>
      </x:c>
      <x:c r="E217" s="24" t="str">
        <x:v>Warcraft setting / WoW playable taxonomy</x:v>
      </x:c>
      <x:c r="F217" s="24" t="str">
        <x:v>Playable race / people</x:v>
      </x:c>
      <x:c r="G217" s="24" t="str">
        <x:v>PPL-103</x:v>
      </x:c>
      <x:c r="H217" s="24" t="str">
        <x:f>IFERROR(VLOOKUP(G217,'Master Taxonomy'!$A$2:$B$1656,2,FALSE),"")</x:f>
        <x:v>Dwarf-Derived Peoples</x:v>
      </x:c>
      <x:c r="I217" s="24" t="str"/>
      <x:c r="J217" s="24" t="str"/>
      <x:c r="K217" s="24" t="str">
        <x:v>Titan-forged-descended peoples with multiple clans and archaeological traditions.</x:v>
      </x:c>
      <x:c r="L217" s="24" t="str">
        <x:v>Construct ancestry transformed into flesh, clan culture, craft, and history.</x:v>
      </x:c>
      <x:c r="M217" s="24" t="str">
        <x:v>Their origin differs sharply from naturally evolved or Tolkienian dwarves.</x:v>
      </x:c>
      <x:c r="N217" s="24" t="str">
        <x:v>Clan-based titan-descended dwarves.</x:v>
      </x:c>
      <x:c r="O217" s="24" t="str">
        <x:v>Primary canon</x:v>
      </x:c>
      <x:c r="P217" s="24" t="str">
        <x:v>Official reference reviewed</x:v>
      </x:c>
      <x:c r="Q217" s="24" t="str">
        <x:v>Official World of Warcraft race and class reference pages, version-stamped 2026-08-01.</x:v>
      </x:c>
      <x:c r="R217" s="84" t="str">
        <x:v>https://worldofwarcraft.blizzard.com/game/classes</x:v>
      </x:c>
      <x:c r="S217" s="24" t="str">
        <x:v>Seeded</x:v>
      </x:c>
    </x:row>
    <x:row r="218" ht="52" customHeight="1">
      <x:c r="A218" s="24" t="str">
        <x:v>ENT-0217</x:v>
      </x:c>
      <x:c r="B218" s="24" t="str">
        <x:v>Gnomes</x:v>
      </x:c>
      <x:c r="C218" s="24" t="str">
        <x:v>SRC-135</x:v>
      </x:c>
      <x:c r="D218" s="24" t="str">
        <x:v>Warcraft</x:v>
      </x:c>
      <x:c r="E218" s="24" t="str">
        <x:v>Warcraft setting / WoW playable taxonomy</x:v>
      </x:c>
      <x:c r="F218" s="24" t="str">
        <x:v>Playable race / people</x:v>
      </x:c>
      <x:c r="G218" s="24" t="str">
        <x:v>PPL-105</x:v>
      </x:c>
      <x:c r="H218" s="24" t="str">
        <x:f>IFERROR(VLOOKUP(G218,'Master Taxonomy'!$A$2:$B$1656,2,FALSE),"")</x:f>
        <x:v>Gnome and Tinkerfolk Peoples</x:v>
      </x:c>
      <x:c r="I218" s="24" t="str">
        <x:v>CIV-312</x:v>
      </x:c>
      <x:c r="J218" s="24" t="str">
        <x:v>Magitech Industrial Society</x:v>
      </x:c>
      <x:c r="K218" s="24" t="str">
        <x:v>Small titan-forged-descended people strongly associated with engineering and invention.</x:v>
      </x:c>
      <x:c r="L218" s="24" t="str">
        <x:v>Construct ancestry transformed into flesh, technology, and culture.</x:v>
      </x:c>
      <x:c r="M218" s="24" t="str">
        <x:v>Engineering is culturally prominent but not an innate profession of every gnome.</x:v>
      </x:c>
      <x:c r="N218" s="24" t="str">
        <x:v>Technological gnome civilization.</x:v>
      </x:c>
      <x:c r="O218" s="24" t="str">
        <x:v>Primary canon</x:v>
      </x:c>
      <x:c r="P218" s="24" t="str">
        <x:v>Official reference reviewed</x:v>
      </x:c>
      <x:c r="Q218" s="24" t="str">
        <x:v>Official World of Warcraft race and class reference pages, version-stamped 2026-08-01.</x:v>
      </x:c>
      <x:c r="R218" s="84" t="str">
        <x:v>https://worldofwarcraft.blizzard.com/game/classes</x:v>
      </x:c>
      <x:c r="S218" s="24" t="str">
        <x:v>Seeded</x:v>
      </x:c>
    </x:row>
    <x:row r="219" ht="52" customHeight="1">
      <x:c r="A219" s="24" t="str">
        <x:v>ENT-0218</x:v>
      </x:c>
      <x:c r="B219" s="24" t="str">
        <x:v>Orcs</x:v>
      </x:c>
      <x:c r="C219" s="24" t="str">
        <x:v>SRC-135</x:v>
      </x:c>
      <x:c r="D219" s="24" t="str">
        <x:v>Warcraft</x:v>
      </x:c>
      <x:c r="E219" s="24" t="str">
        <x:v>Warcraft setting / WoW playable taxonomy</x:v>
      </x:c>
      <x:c r="F219" s="24" t="str">
        <x:v>Playable race / people</x:v>
      </x:c>
      <x:c r="G219" s="24" t="str">
        <x:v>PPL-106</x:v>
      </x:c>
      <x:c r="H219" s="24" t="str">
        <x:f>IFERROR(VLOOKUP(G219,'Master Taxonomy'!$A$2:$B$1656,2,FALSE),"")</x:f>
        <x:v>Orc-Derived Peoples</x:v>
      </x:c>
      <x:c r="I219" s="24" t="str"/>
      <x:c r="J219" s="24" t="str"/>
      <x:c r="K219" s="24" t="str">
        <x:v>A people from Draenor whose history includes clans, shamanism, demonic corruption, invasion, and renewal.</x:v>
      </x:c>
      <x:c r="L219" s="24" t="str">
        <x:v>Natural ancestry, clan culture, and historical magical corruption.</x:v>
      </x:c>
      <x:c r="M219" s="24" t="str">
        <x:v>Their violent periods are historical and political, not proof of inherent evil.</x:v>
      </x:c>
      <x:c r="N219" s="24" t="str">
        <x:v>Clan-based orc civilization.</x:v>
      </x:c>
      <x:c r="O219" s="24" t="str">
        <x:v>Primary canon</x:v>
      </x:c>
      <x:c r="P219" s="24" t="str">
        <x:v>Official reference reviewed</x:v>
      </x:c>
      <x:c r="Q219" s="24" t="str">
        <x:v>Official World of Warcraft race and class reference pages, version-stamped 2026-08-01.</x:v>
      </x:c>
      <x:c r="R219" s="84" t="str">
        <x:v>https://worldofwarcraft.blizzard.com/game/classes</x:v>
      </x:c>
      <x:c r="S219" s="24" t="str">
        <x:v>Seeded</x:v>
      </x:c>
    </x:row>
    <x:row r="220" ht="52" customHeight="1">
      <x:c r="A220" s="24" t="str">
        <x:v>ENT-0219</x:v>
      </x:c>
      <x:c r="B220" s="24" t="str">
        <x:v>Trolls</x:v>
      </x:c>
      <x:c r="C220" s="24" t="str">
        <x:v>SRC-135</x:v>
      </x:c>
      <x:c r="D220" s="24" t="str">
        <x:v>Warcraft</x:v>
      </x:c>
      <x:c r="E220" s="24" t="str">
        <x:v>Warcraft setting / WoW playable taxonomy</x:v>
      </x:c>
      <x:c r="F220" s="24" t="str">
        <x:v>Playable race / people</x:v>
      </x:c>
      <x:c r="G220" s="24" t="str">
        <x:v>PPL-110</x:v>
      </x:c>
      <x:c r="H220" s="24" t="str">
        <x:f>IFERROR(VLOOKUP(G220,'Master Taxonomy'!$A$2:$B$1656,2,FALSE),"")</x:f>
        <x:v>Trollkin Peoples</x:v>
      </x:c>
      <x:c r="I220" s="24" t="str"/>
      <x:c r="J220" s="24" t="str"/>
      <x:c r="K220" s="24" t="str">
        <x:v>Ancient and highly diverse peoples with many tribes, empires, religions, and adaptations.</x:v>
      </x:c>
      <x:c r="L220" s="24" t="str">
        <x:v>Natural ancestry, regional forms, loa traditions, and political history.</x:v>
      </x:c>
      <x:c r="M220" s="24" t="str">
        <x:v>The playable label represents only some troll communities.</x:v>
      </x:c>
      <x:c r="N220" s="24" t="str">
        <x:v>Ancient tribal and imperial troll peoples.</x:v>
      </x:c>
      <x:c r="O220" s="24" t="str">
        <x:v>Primary canon</x:v>
      </x:c>
      <x:c r="P220" s="24" t="str">
        <x:v>Official reference reviewed</x:v>
      </x:c>
      <x:c r="Q220" s="24" t="str">
        <x:v>Official World of Warcraft race and class reference pages, version-stamped 2026-08-01.</x:v>
      </x:c>
      <x:c r="R220" s="84" t="str">
        <x:v>https://worldofwarcraft.blizzard.com/game/classes</x:v>
      </x:c>
      <x:c r="S220" s="24" t="str">
        <x:v>Seeded</x:v>
      </x:c>
    </x:row>
    <x:row r="221" ht="52" customHeight="1">
      <x:c r="A221" s="24" t="str">
        <x:v>ENT-0220</x:v>
      </x:c>
      <x:c r="B221" s="24" t="str">
        <x:v>Tauren</x:v>
      </x:c>
      <x:c r="C221" s="24" t="str">
        <x:v>SRC-135</x:v>
      </x:c>
      <x:c r="D221" s="24" t="str">
        <x:v>Warcraft</x:v>
      </x:c>
      <x:c r="E221" s="24" t="str">
        <x:v>Warcraft setting / WoW playable taxonomy</x:v>
      </x:c>
      <x:c r="F221" s="24" t="str">
        <x:v>Playable race / people</x:v>
      </x:c>
      <x:c r="G221" s="24" t="str">
        <x:v>PPL-123</x:v>
      </x:c>
      <x:c r="H221" s="24" t="str">
        <x:f>IFERROR(VLOOKUP(G221,'Master Taxonomy'!$A$2:$B$1656,2,FALSE),"")</x:f>
        <x:v>Bovine and Caprine Beastfolk</x:v>
      </x:c>
      <x:c r="I221" s="24" t="str">
        <x:v>CIV-205</x:v>
      </x:c>
      <x:c r="J221" s="24" t="str">
        <x:v>Nomadic Horse Culture</x:v>
      </x:c>
      <x:c r="K221" s="24" t="str">
        <x:v>Large bovine-featured people with spiritual, clan, and plains-based traditions.</x:v>
      </x:c>
      <x:c r="L221" s="24" t="str">
        <x:v>Natural ancestry, kinship, shamanic and druidic culture.</x:v>
      </x:c>
      <x:c r="M221" s="24" t="str">
        <x:v>The horse-culture tag is only a loose mobility comparison; tauren are not horse peoples.</x:v>
      </x:c>
      <x:c r="N221" s="24" t="str">
        <x:v>Bovine pastoral-spiritual people.</x:v>
      </x:c>
      <x:c r="O221" s="24" t="str">
        <x:v>Primary canon</x:v>
      </x:c>
      <x:c r="P221" s="24" t="str">
        <x:v>Official reference reviewed</x:v>
      </x:c>
      <x:c r="Q221" s="24" t="str">
        <x:v>Official World of Warcraft race and class reference pages, version-stamped 2026-08-01.</x:v>
      </x:c>
      <x:c r="R221" s="84" t="str">
        <x:v>https://worldofwarcraft.blizzard.com/game/classes</x:v>
      </x:c>
      <x:c r="S221" s="24" t="str">
        <x:v>Seeded</x:v>
      </x:c>
    </x:row>
    <x:row r="222" ht="52" customHeight="1">
      <x:c r="A222" s="24" t="str">
        <x:v>ENT-0221</x:v>
      </x:c>
      <x:c r="B222" s="24" t="str">
        <x:v>Forsaken</x:v>
      </x:c>
      <x:c r="C222" s="24" t="str">
        <x:v>SRC-135</x:v>
      </x:c>
      <x:c r="D222" s="24" t="str">
        <x:v>Warcraft</x:v>
      </x:c>
      <x:c r="E222" s="24" t="str">
        <x:v>Warcraft setting / WoW playable taxonomy</x:v>
      </x:c>
      <x:c r="F222" s="24" t="str">
        <x:v>Playable undead people</x:v>
      </x:c>
      <x:c r="G222" s="24" t="str">
        <x:v>PPL-615</x:v>
      </x:c>
      <x:c r="H222" s="24" t="str">
        <x:f>IFERROR(VLOOKUP(G222,'Master Taxonomy'!$A$2:$B$1656,2,FALSE),"")</x:f>
        <x:v>Intelligent Undead Peoples</x:v>
      </x:c>
      <x:c r="I222" s="24" t="str">
        <x:v>STA-115</x:v>
      </x:c>
      <x:c r="J222" s="24" t="str">
        <x:v>Undead Servitude</x:v>
      </x:c>
      <x:c r="K222" s="24" t="str">
        <x:v>Self-aware undead communities freed from or resisting prior domination.</x:v>
      </x:c>
      <x:c r="L222" s="24" t="str">
        <x:v>Undeath, retained identity, political community, and contested autonomy.</x:v>
      </x:c>
      <x:c r="M222" s="24" t="str">
        <x:v>They are a people and faction, not generic mindless zombies.</x:v>
      </x:c>
      <x:c r="N222" s="24" t="str">
        <x:v>Post-servitude undead nation.</x:v>
      </x:c>
      <x:c r="O222" s="24" t="str">
        <x:v>Primary canon</x:v>
      </x:c>
      <x:c r="P222" s="24" t="str">
        <x:v>Official reference reviewed</x:v>
      </x:c>
      <x:c r="Q222" s="24" t="str">
        <x:v>Official World of Warcraft race and class reference pages, version-stamped 2026-08-01.</x:v>
      </x:c>
      <x:c r="R222" s="84" t="str">
        <x:v>https://worldofwarcraft.blizzard.com/game/classes</x:v>
      </x:c>
      <x:c r="S222" s="24" t="str">
        <x:v>Seeded</x:v>
      </x:c>
    </x:row>
    <x:row r="223" ht="52" customHeight="1">
      <x:c r="A223" s="24" t="str">
        <x:v>ENT-0222</x:v>
      </x:c>
      <x:c r="B223" s="24" t="str">
        <x:v>Draenei</x:v>
      </x:c>
      <x:c r="C223" s="24" t="str">
        <x:v>SRC-135</x:v>
      </x:c>
      <x:c r="D223" s="24" t="str">
        <x:v>Warcraft</x:v>
      </x:c>
      <x:c r="E223" s="24" t="str">
        <x:v>Warcraft setting / WoW playable taxonomy</x:v>
      </x:c>
      <x:c r="F223" s="24" t="str">
        <x:v>Playable otherworldly people</x:v>
      </x:c>
      <x:c r="G223" s="24" t="str">
        <x:v>PPL-1102</x:v>
      </x:c>
      <x:c r="H223" s="24" t="str">
        <x:f>IFERROR(VLOOKUP(G223,'Master Taxonomy'!$A$2:$B$1656,2,FALSE),"")</x:f>
        <x:v>Alien and Otherworlder Peoples</x:v>
      </x:c>
      <x:c r="I223" s="24" t="str">
        <x:v>PPL-400</x:v>
      </x:c>
      <x:c r="J223" s="24" t="str">
        <x:v>Divine and Celestial Beings</x:v>
      </x:c>
      <x:c r="K223" s="24" t="str">
        <x:v>Long-lived eredar exiles associated with the Light, interworld travel, and technological relics.</x:v>
      </x:c>
      <x:c r="L223" s="24" t="str">
        <x:v>Otherworldly ancestry, faith, exile, and advanced artifice.</x:v>
      </x:c>
      <x:c r="M223" s="24" t="str">
        <x:v>They are not angels despite visual and religious associations.</x:v>
      </x:c>
      <x:c r="N223" s="24" t="str">
        <x:v>Exiled celestial-coded alien people.</x:v>
      </x:c>
      <x:c r="O223" s="24" t="str">
        <x:v>Primary canon</x:v>
      </x:c>
      <x:c r="P223" s="24" t="str">
        <x:v>Official reference reviewed</x:v>
      </x:c>
      <x:c r="Q223" s="24" t="str">
        <x:v>Official World of Warcraft race and class reference pages, version-stamped 2026-08-01.</x:v>
      </x:c>
      <x:c r="R223" s="84" t="str">
        <x:v>https://worldofwarcraft.blizzard.com/game/classes</x:v>
      </x:c>
      <x:c r="S223" s="24" t="str">
        <x:v>Seeded</x:v>
      </x:c>
    </x:row>
    <x:row r="224" ht="52" customHeight="1">
      <x:c r="A224" s="24" t="str">
        <x:v>ENT-0223</x:v>
      </x:c>
      <x:c r="B224" s="24" t="str">
        <x:v>Pandaren</x:v>
      </x:c>
      <x:c r="C224" s="24" t="str">
        <x:v>SRC-135</x:v>
      </x:c>
      <x:c r="D224" s="24" t="str">
        <x:v>Warcraft</x:v>
      </x:c>
      <x:c r="E224" s="24" t="str">
        <x:v>Warcraft setting / WoW playable taxonomy</x:v>
      </x:c>
      <x:c r="F224" s="24" t="str">
        <x:v>Playable beastfolk people</x:v>
      </x:c>
      <x:c r="G224" s="24" t="str">
        <x:v>PPL-122</x:v>
      </x:c>
      <x:c r="H224" s="24" t="str">
        <x:f>IFERROR(VLOOKUP(G224,'Master Taxonomy'!$A$2:$B$1656,2,FALSE),"")</x:f>
        <x:v>Ursine Beastfolk</x:v>
      </x:c>
      <x:c r="I224" s="24" t="str"/>
      <x:c r="J224" s="24" t="str"/>
      <x:c r="K224" s="24" t="str">
        <x:v>Panda-featured people with multiple philosophical, martial, and regional traditions.</x:v>
      </x:c>
      <x:c r="L224" s="24" t="str">
        <x:v>Natural ancestry, culture, and history.</x:v>
      </x:c>
      <x:c r="M224" s="24" t="str">
        <x:v>Their presentation mixes comedy, martial philosophy, and serious political history.</x:v>
      </x:c>
      <x:c r="N224" s="24" t="str">
        <x:v>Ursine martial-agrarian people.</x:v>
      </x:c>
      <x:c r="O224" s="24" t="str">
        <x:v>Primary canon</x:v>
      </x:c>
      <x:c r="P224" s="24" t="str">
        <x:v>Official reference reviewed</x:v>
      </x:c>
      <x:c r="Q224" s="24" t="str">
        <x:v>Official World of Warcraft race and class reference pages, version-stamped 2026-08-01.</x:v>
      </x:c>
      <x:c r="R224" s="84" t="str">
        <x:v>https://worldofwarcraft.blizzard.com/game/classes</x:v>
      </x:c>
      <x:c r="S224" s="24" t="str">
        <x:v>Seeded</x:v>
      </x:c>
    </x:row>
    <x:row r="225" ht="52" customHeight="1">
      <x:c r="A225" s="24" t="str">
        <x:v>ENT-0224</x:v>
      </x:c>
      <x:c r="B225" s="24" t="str">
        <x:v>Goblins</x:v>
      </x:c>
      <x:c r="C225" s="24" t="str">
        <x:v>SRC-135</x:v>
      </x:c>
      <x:c r="D225" s="24" t="str">
        <x:v>Warcraft</x:v>
      </x:c>
      <x:c r="E225" s="24" t="str">
        <x:v>Warcraft setting / WoW playable taxonomy</x:v>
      </x:c>
      <x:c r="F225" s="24" t="str">
        <x:v>Playable people</x:v>
      </x:c>
      <x:c r="G225" s="24" t="str">
        <x:v>PPL-107</x:v>
      </x:c>
      <x:c r="H225" s="24" t="str">
        <x:f>IFERROR(VLOOKUP(G225,'Master Taxonomy'!$A$2:$B$1656,2,FALSE),"")</x:f>
        <x:v>Goblinoid Peoples</x:v>
      </x:c>
      <x:c r="I225" s="24" t="str">
        <x:v>CIV-301</x:v>
      </x:c>
      <x:c r="J225" s="24" t="str">
        <x:v>Guild-Dominated City</x:v>
      </x:c>
      <x:c r="K225" s="24" t="str">
        <x:v>Inventive goblin societies shaped by commerce, cartels, engineering, and risk-taking.</x:v>
      </x:c>
      <x:c r="L225" s="24" t="str">
        <x:v>Natural ancestry, economics, technology, and corporate institutions.</x:v>
      </x:c>
      <x:c r="M225" s="24" t="str">
        <x:v>The profit-seeking stereotype is culturally specific and satirical, not biological essence.</x:v>
      </x:c>
      <x:c r="N225" s="24" t="str">
        <x:v>Mercantile industrial goblinoids.</x:v>
      </x:c>
      <x:c r="O225" s="24" t="str">
        <x:v>Primary canon</x:v>
      </x:c>
      <x:c r="P225" s="24" t="str">
        <x:v>Official reference reviewed</x:v>
      </x:c>
      <x:c r="Q225" s="24" t="str">
        <x:v>Official World of Warcraft race and class reference pages, version-stamped 2026-08-01.</x:v>
      </x:c>
      <x:c r="R225" s="84" t="str">
        <x:v>https://worldofwarcraft.blizzard.com/game/classes</x:v>
      </x:c>
      <x:c r="S225" s="24" t="str">
        <x:v>Seeded</x:v>
      </x:c>
    </x:row>
    <x:row r="226" ht="52" customHeight="1">
      <x:c r="A226" s="24" t="str">
        <x:v>ENT-0225</x:v>
      </x:c>
      <x:c r="B226" s="24" t="str">
        <x:v>Worgen</x:v>
      </x:c>
      <x:c r="C226" s="24" t="str">
        <x:v>SRC-135</x:v>
      </x:c>
      <x:c r="D226" s="24" t="str">
        <x:v>Warcraft</x:v>
      </x:c>
      <x:c r="E226" s="24" t="str">
        <x:v>Warcraft setting / WoW playable taxonomy</x:v>
      </x:c>
      <x:c r="F226" s="24" t="str">
        <x:v>Playable cursed people</x:v>
      </x:c>
      <x:c r="G226" s="24" t="str">
        <x:v>PPL-1003</x:v>
      </x:c>
      <x:c r="H226" s="24" t="str">
        <x:f>IFERROR(VLOOKUP(G226,'Master Taxonomy'!$A$2:$B$1656,2,FALSE),"")</x:f>
        <x:v>Therianthropes</x:v>
      </x:c>
      <x:c r="I226" s="24" t="str">
        <x:v>STA-201</x:v>
      </x:c>
      <x:c r="J226" s="24" t="str">
        <x:v>Lycanthropy and Therianthropic Curse</x:v>
      </x:c>
      <x:c r="K226" s="24" t="str">
        <x:v>Humans and related sufferers transformed by a controlled or inherited worgen curse.</x:v>
      </x:c>
      <x:c r="L226" s="24" t="str">
        <x:v>Curse, bodily transformation, social identity, and partial control.</x:v>
      </x:c>
      <x:c r="M226" s="24" t="str">
        <x:v>A transformed population rather than an original wolf species.</x:v>
      </x:c>
      <x:c r="N226" s="24" t="str">
        <x:v>Playable werewolf people.</x:v>
      </x:c>
      <x:c r="O226" s="24" t="str">
        <x:v>Primary canon</x:v>
      </x:c>
      <x:c r="P226" s="24" t="str">
        <x:v>Official reference reviewed</x:v>
      </x:c>
      <x:c r="Q226" s="24" t="str">
        <x:v>Official World of Warcraft race and class reference pages, version-stamped 2026-08-01.</x:v>
      </x:c>
      <x:c r="R226" s="84" t="str">
        <x:v>https://worldofwarcraft.blizzard.com/game/classes</x:v>
      </x:c>
      <x:c r="S226" s="24" t="str">
        <x:v>Seeded</x:v>
      </x:c>
    </x:row>
    <x:row r="227" ht="52" customHeight="1">
      <x:c r="A227" s="24" t="str">
        <x:v>ENT-0226</x:v>
      </x:c>
      <x:c r="B227" s="24" t="str">
        <x:v>Dracthyr</x:v>
      </x:c>
      <x:c r="C227" s="24" t="str">
        <x:v>SRC-135</x:v>
      </x:c>
      <x:c r="D227" s="24" t="str">
        <x:v>Warcraft</x:v>
      </x:c>
      <x:c r="E227" s="24" t="str">
        <x:v>Warcraft setting / WoW playable taxonomy</x:v>
      </x:c>
      <x:c r="F227" s="24" t="str">
        <x:v>Playable engineered draconic people</x:v>
      </x:c>
      <x:c r="G227" s="24" t="str">
        <x:v>PPL-114</x:v>
      </x:c>
      <x:c r="H227" s="24" t="str">
        <x:f>IFERROR(VLOOKUP(G227,'Master Taxonomy'!$A$2:$B$1656,2,FALSE),"")</x:f>
        <x:v>Draconic Humanoid Peoples</x:v>
      </x:c>
      <x:c r="I227" s="24" t="str">
        <x:v>PPL-709</x:v>
      </x:c>
      <x:c r="J227" s="24" t="str">
        <x:v>Engineered Species</x:v>
      </x:c>
      <x:c r="K227" s="24" t="str">
        <x:v>Draconic humanoids created with multiple dragonflight powers and a humanoid visage.</x:v>
      </x:c>
      <x:c r="L227" s="24" t="str">
        <x:v>Engineered ancestry, draconic magic, training, and awakening.</x:v>
      </x:c>
      <x:c r="M227" s="24" t="str">
        <x:v>They are distinct from dragonspawn, dragons, and ordinary humanoids.</x:v>
      </x:c>
      <x:c r="N227" s="24" t="str">
        <x:v>Designed draconic caster people.</x:v>
      </x:c>
      <x:c r="O227" s="24" t="str">
        <x:v>Primary canon</x:v>
      </x:c>
      <x:c r="P227" s="24" t="str">
        <x:v>Official reference reviewed</x:v>
      </x:c>
      <x:c r="Q227" s="24" t="str">
        <x:v>Official World of Warcraft race and class reference pages, version-stamped 2026-08-01.</x:v>
      </x:c>
      <x:c r="R227" s="84" t="str">
        <x:v>https://worldofwarcraft.blizzard.com/game/classes</x:v>
      </x:c>
      <x:c r="S227" s="24" t="str">
        <x:v>Seeded</x:v>
      </x:c>
    </x:row>
    <x:row r="228" ht="52" customHeight="1">
      <x:c r="A228" s="24" t="str">
        <x:v>ENT-0227</x:v>
      </x:c>
      <x:c r="B228" s="24" t="str">
        <x:v>Warrior</x:v>
      </x:c>
      <x:c r="C228" s="24" t="str">
        <x:v>SRC-135</x:v>
      </x:c>
      <x:c r="D228" s="24" t="str">
        <x:v>Warcraft</x:v>
      </x:c>
      <x:c r="E228" s="24" t="str">
        <x:v>World of Warcraft class system</x:v>
      </x:c>
      <x:c r="F228" s="24" t="str">
        <x:v>Playable class</x:v>
      </x:c>
      <x:c r="G228" s="24" t="str">
        <x:v>ROL-101</x:v>
      </x:c>
      <x:c r="H228" s="24" t="str">
        <x:f>IFERROR(VLOOKUP(G228,'Master Taxonomy'!$A$2:$B$1656,2,FALSE),"")</x:f>
        <x:v>Warrior or Fighter</x:v>
      </x:c>
      <x:c r="I228" s="24" t="str">
        <x:v>MEC-101</x:v>
      </x:c>
      <x:c r="J228" s="24" t="str">
        <x:v>Tank</x:v>
      </x:c>
      <x:c r="K228" s="24" t="str">
        <x:v>Weapon-and-armor martial class spanning protection and damage specializations.</x:v>
      </x:c>
      <x:c r="L228" s="24" t="str">
        <x:v>Training, rage, equipment, and specialization.</x:v>
      </x:c>
      <x:c r="M228" s="24" t="str">
        <x:v>The class is a rules family, not every soldier in the setting.</x:v>
      </x:c>
      <x:c r="N228" s="24" t="str">
        <x:v>Martial tank/striker class.</x:v>
      </x:c>
      <x:c r="O228" s="24" t="str">
        <x:v>Primary canon</x:v>
      </x:c>
      <x:c r="P228" s="24" t="str">
        <x:v>Official reference reviewed</x:v>
      </x:c>
      <x:c r="Q228" s="24" t="str">
        <x:v>Official World of Warcraft race and class reference pages, version-stamped 2026-08-01.</x:v>
      </x:c>
      <x:c r="R228" s="84" t="str">
        <x:v>https://worldofwarcraft.blizzard.com/game/classes</x:v>
      </x:c>
      <x:c r="S228" s="24" t="str">
        <x:v>Seeded</x:v>
      </x:c>
    </x:row>
    <x:row r="229" ht="52" customHeight="1">
      <x:c r="A229" s="24" t="str">
        <x:v>ENT-0228</x:v>
      </x:c>
      <x:c r="B229" s="24" t="str">
        <x:v>Hunter</x:v>
      </x:c>
      <x:c r="C229" s="24" t="str">
        <x:v>SRC-135</x:v>
      </x:c>
      <x:c r="D229" s="24" t="str">
        <x:v>Warcraft</x:v>
      </x:c>
      <x:c r="E229" s="24" t="str">
        <x:v>World of Warcraft class system</x:v>
      </x:c>
      <x:c r="F229" s="24" t="str">
        <x:v>Playable class</x:v>
      </x:c>
      <x:c r="G229" s="24" t="str">
        <x:v>ROL-126</x:v>
      </x:c>
      <x:c r="H229" s="24" t="str">
        <x:f>IFERROR(VLOOKUP(G229,'Master Taxonomy'!$A$2:$B$1656,2,FALSE),"")</x:f>
        <x:v>Hunter</x:v>
      </x:c>
      <x:c r="I229" s="24" t="str">
        <x:v>MEC-134</x:v>
      </x:c>
      <x:c r="J229" s="24" t="str">
        <x:v>Summoner or Pet Role</x:v>
      </x:c>
      <x:c r="K229" s="24" t="str">
        <x:v>Ranged or beast-linked class using weapons, traps, tracking, and animal companions.</x:v>
      </x:c>
      <x:c r="L229" s="24" t="str">
        <x:v>Training, ranged weapons, pets, and specialization.</x:v>
      </x:c>
      <x:c r="M229" s="24" t="str">
        <x:v>The mechanical Hunter includes multiple fictional vocations.</x:v>
      </x:c>
      <x:c r="N229" s="24" t="str">
        <x:v>Ranged striker and pet specialist.</x:v>
      </x:c>
      <x:c r="O229" s="24" t="str">
        <x:v>Primary canon</x:v>
      </x:c>
      <x:c r="P229" s="24" t="str">
        <x:v>Official reference reviewed</x:v>
      </x:c>
      <x:c r="Q229" s="24" t="str">
        <x:v>Official World of Warcraft race and class reference pages, version-stamped 2026-08-01.</x:v>
      </x:c>
      <x:c r="R229" s="84" t="str">
        <x:v>https://worldofwarcraft.blizzard.com/game/classes</x:v>
      </x:c>
      <x:c r="S229" s="24" t="str">
        <x:v>Seeded</x:v>
      </x:c>
    </x:row>
    <x:row r="230" ht="52" customHeight="1">
      <x:c r="A230" s="24" t="str">
        <x:v>ENT-0229</x:v>
      </x:c>
      <x:c r="B230" s="24" t="str">
        <x:v>Priest</x:v>
      </x:c>
      <x:c r="C230" s="24" t="str">
        <x:v>SRC-135</x:v>
      </x:c>
      <x:c r="D230" s="24" t="str">
        <x:v>Warcraft</x:v>
      </x:c>
      <x:c r="E230" s="24" t="str">
        <x:v>World of Warcraft class system</x:v>
      </x:c>
      <x:c r="F230" s="24" t="str">
        <x:v>Playable class</x:v>
      </x:c>
      <x:c r="G230" s="24" t="str">
        <x:v>ROL-401</x:v>
      </x:c>
      <x:c r="H230" s="24" t="str">
        <x:f>IFERROR(VLOOKUP(G230,'Master Taxonomy'!$A$2:$B$1656,2,FALSE),"")</x:f>
        <x:v>Priest</x:v>
      </x:c>
      <x:c r="I230" s="24" t="str">
        <x:v>MEC-112</x:v>
      </x:c>
      <x:c r="J230" s="24" t="str">
        <x:v>Healer</x:v>
      </x:c>
      <x:c r="K230" s="24" t="str">
        <x:v>Light- or shadow-oriented spellcasting class with healing and damage specializations.</x:v>
      </x:c>
      <x:c r="L230" s="24" t="str">
        <x:v>Faith, psychic or sacred magic, and specialization.</x:v>
      </x:c>
      <x:c r="M230" s="24" t="str">
        <x:v>The class joins multiple religions under one mechanical framework.</x:v>
      </x:c>
      <x:c r="N230" s="24" t="str">
        <x:v>Sacred healer and shadow caster.</x:v>
      </x:c>
      <x:c r="O230" s="24" t="str">
        <x:v>Primary canon</x:v>
      </x:c>
      <x:c r="P230" s="24" t="str">
        <x:v>Official reference reviewed</x:v>
      </x:c>
      <x:c r="Q230" s="24" t="str">
        <x:v>Official World of Warcraft race and class reference pages, version-stamped 2026-08-01.</x:v>
      </x:c>
      <x:c r="R230" s="84" t="str">
        <x:v>https://worldofwarcraft.blizzard.com/game/classes</x:v>
      </x:c>
      <x:c r="S230" s="24" t="str">
        <x:v>Seeded</x:v>
      </x:c>
    </x:row>
    <x:row r="231" ht="52" customHeight="1">
      <x:c r="A231" s="24" t="str">
        <x:v>ENT-0230</x:v>
      </x:c>
      <x:c r="B231" s="24" t="str">
        <x:v>Mage</x:v>
      </x:c>
      <x:c r="C231" s="24" t="str">
        <x:v>SRC-135</x:v>
      </x:c>
      <x:c r="D231" s="24" t="str">
        <x:v>Warcraft</x:v>
      </x:c>
      <x:c r="E231" s="24" t="str">
        <x:v>World of Warcraft class system</x:v>
      </x:c>
      <x:c r="F231" s="24" t="str">
        <x:v>Playable class</x:v>
      </x:c>
      <x:c r="G231" s="24" t="str">
        <x:v>ROL-301</x:v>
      </x:c>
      <x:c r="H231" s="24" t="str">
        <x:f>IFERROR(VLOOKUP(G231,'Master Taxonomy'!$A$2:$B$1656,2,FALSE),"")</x:f>
        <x:v>Mage and Wizard</x:v>
      </x:c>
      <x:c r="I231" s="24" t="str">
        <x:v>ROL-320</x:v>
      </x:c>
      <x:c r="J231" s="24" t="str">
        <x:v>Elementalist</x:v>
      </x:c>
      <x:c r="K231" s="24" t="str">
        <x:v>Learned arcane class specializing in fire, frost, or arcane magic.</x:v>
      </x:c>
      <x:c r="L231" s="24" t="str">
        <x:v>Study, arcane power, elemental schools, and specialization.</x:v>
      </x:c>
      <x:c r="M231" s="24" t="str">
        <x:v>Not every setting mage uses this three-school structure.</x:v>
      </x:c>
      <x:c r="N231" s="24" t="str">
        <x:v>Elemental/arcane damage caster.</x:v>
      </x:c>
      <x:c r="O231" s="24" t="str">
        <x:v>Primary canon</x:v>
      </x:c>
      <x:c r="P231" s="24" t="str">
        <x:v>Official reference reviewed</x:v>
      </x:c>
      <x:c r="Q231" s="24" t="str">
        <x:v>Official World of Warcraft race and class reference pages, version-stamped 2026-08-01.</x:v>
      </x:c>
      <x:c r="R231" s="84" t="str">
        <x:v>https://worldofwarcraft.blizzard.com/game/classes</x:v>
      </x:c>
      <x:c r="S231" s="24" t="str">
        <x:v>Seeded</x:v>
      </x:c>
    </x:row>
    <x:row r="232" ht="52" customHeight="1">
      <x:c r="A232" s="24" t="str">
        <x:v>ENT-0231</x:v>
      </x:c>
      <x:c r="B232" s="24" t="str">
        <x:v>Monk</x:v>
      </x:c>
      <x:c r="C232" s="24" t="str">
        <x:v>SRC-135</x:v>
      </x:c>
      <x:c r="D232" s="24" t="str">
        <x:v>Warcraft</x:v>
      </x:c>
      <x:c r="E232" s="24" t="str">
        <x:v>World of Warcraft class system</x:v>
      </x:c>
      <x:c r="F232" s="24" t="str">
        <x:v>Playable class</x:v>
      </x:c>
      <x:c r="G232" s="24" t="str">
        <x:v>ROL-123</x:v>
      </x:c>
      <x:c r="H232" s="24" t="str">
        <x:f>IFERROR(VLOOKUP(G232,'Master Taxonomy'!$A$2:$B$1656,2,FALSE),"")</x:f>
        <x:v>Monk and Martial Artist</x:v>
      </x:c>
      <x:c r="I232" s="24" t="str">
        <x:v>MEC-112</x:v>
      </x:c>
      <x:c r="J232" s="24" t="str">
        <x:v>Healer</x:v>
      </x:c>
      <x:c r="K232" s="24" t="str">
        <x:v>Martial class using chi, brews, mobility, and healing or tank specializations.</x:v>
      </x:c>
      <x:c r="L232" s="24" t="str">
        <x:v>Training, chi traditions, martial technique, and specialization.</x:v>
      </x:c>
      <x:c r="M232" s="24" t="str">
        <x:v>The class is strongly shaped by pandaren institutions but is learnable by many peoples.</x:v>
      </x:c>
      <x:c r="N232" s="24" t="str">
        <x:v>Martial tank/healer/striker hybrid.</x:v>
      </x:c>
      <x:c r="O232" s="24" t="str">
        <x:v>Primary canon</x:v>
      </x:c>
      <x:c r="P232" s="24" t="str">
        <x:v>Official reference reviewed</x:v>
      </x:c>
      <x:c r="Q232" s="24" t="str">
        <x:v>Official World of Warcraft race and class reference pages, version-stamped 2026-08-01.</x:v>
      </x:c>
      <x:c r="R232" s="84" t="str">
        <x:v>https://worldofwarcraft.blizzard.com/game/classes</x:v>
      </x:c>
      <x:c r="S232" s="24" t="str">
        <x:v>Seeded</x:v>
      </x:c>
    </x:row>
    <x:row r="233" ht="52" customHeight="1">
      <x:c r="A233" s="24" t="str">
        <x:v>ENT-0232</x:v>
      </x:c>
      <x:c r="B233" s="24" t="str">
        <x:v>Druid</x:v>
      </x:c>
      <x:c r="C233" s="24" t="str">
        <x:v>SRC-135</x:v>
      </x:c>
      <x:c r="D233" s="24" t="str">
        <x:v>Warcraft</x:v>
      </x:c>
      <x:c r="E233" s="24" t="str">
        <x:v>World of Warcraft class system</x:v>
      </x:c>
      <x:c r="F233" s="24" t="str">
        <x:v>Playable class</x:v>
      </x:c>
      <x:c r="G233" s="24" t="str">
        <x:v>ROL-501</x:v>
      </x:c>
      <x:c r="H233" s="24" t="str">
        <x:f>IFERROR(VLOOKUP(G233,'Master Taxonomy'!$A$2:$B$1656,2,FALSE),"")</x:f>
        <x:v>Druid</x:v>
      </x:c>
      <x:c r="I233" s="24" t="str">
        <x:v>ROL-511</x:v>
      </x:c>
      <x:c r="J233" s="24" t="str">
        <x:v>Shapeshifting Warden</x:v>
      </x:c>
      <x:c r="K233" s="24" t="str">
        <x:v>Nature-magic class using animal forms, healing, ranged magic, or tanking.</x:v>
      </x:c>
      <x:c r="L233" s="24" t="str">
        <x:v>Nature power, shapeshifting, celestial cycles, and specialization.</x:v>
      </x:c>
      <x:c r="M233" s="24" t="str">
        <x:v>Different playable peoples possess different druidic traditions and forms.</x:v>
      </x:c>
      <x:c r="N233" s="24" t="str">
        <x:v>Multi-role shapeshifting nature caster.</x:v>
      </x:c>
      <x:c r="O233" s="24" t="str">
        <x:v>Primary canon</x:v>
      </x:c>
      <x:c r="P233" s="24" t="str">
        <x:v>Official reference reviewed</x:v>
      </x:c>
      <x:c r="Q233" s="24" t="str">
        <x:v>Official World of Warcraft race and class reference pages, version-stamped 2026-08-01.</x:v>
      </x:c>
      <x:c r="R233" s="84" t="str">
        <x:v>https://worldofwarcraft.blizzard.com/game/classes</x:v>
      </x:c>
      <x:c r="S233" s="24" t="str">
        <x:v>Seeded</x:v>
      </x:c>
    </x:row>
    <x:row r="234" ht="52" customHeight="1">
      <x:c r="A234" s="24" t="str">
        <x:v>ENT-0233</x:v>
      </x:c>
      <x:c r="B234" s="24" t="str">
        <x:v>Shaman</x:v>
      </x:c>
      <x:c r="C234" s="24" t="str">
        <x:v>SRC-135</x:v>
      </x:c>
      <x:c r="D234" s="24" t="str">
        <x:v>Warcraft</x:v>
      </x:c>
      <x:c r="E234" s="24" t="str">
        <x:v>World of Warcraft class system</x:v>
      </x:c>
      <x:c r="F234" s="24" t="str">
        <x:v>Playable class</x:v>
      </x:c>
      <x:c r="G234" s="24" t="str">
        <x:v>ROL-502</x:v>
      </x:c>
      <x:c r="H234" s="24" t="str">
        <x:f>IFERROR(VLOOKUP(G234,'Master Taxonomy'!$A$2:$B$1656,2,FALSE),"")</x:f>
        <x:v>Shaman</x:v>
      </x:c>
      <x:c r="I234" s="24" t="str">
        <x:v>ROL-510</x:v>
      </x:c>
      <x:c r="J234" s="24" t="str">
        <x:v>Elemental Channeler</x:v>
      </x:c>
      <x:c r="K234" s="24" t="str">
        <x:v>Spirit- and element-mediated class using totems, weapons, healing, and elemental attacks.</x:v>
      </x:c>
      <x:c r="L234" s="24" t="str">
        <x:v>Relationships with elements and spirits, totems, and specialization.</x:v>
      </x:c>
      <x:c r="M234" s="24" t="str">
        <x:v>The class groups culturally distinct traditions under one game label.</x:v>
      </x:c>
      <x:c r="N234" s="24" t="str">
        <x:v>Elemental mediator and hybrid caster.</x:v>
      </x:c>
      <x:c r="O234" s="24" t="str">
        <x:v>Primary canon</x:v>
      </x:c>
      <x:c r="P234" s="24" t="str">
        <x:v>Official reference reviewed</x:v>
      </x:c>
      <x:c r="Q234" s="24" t="str">
        <x:v>Official World of Warcraft race and class reference pages, version-stamped 2026-08-01.</x:v>
      </x:c>
      <x:c r="R234" s="84" t="str">
        <x:v>https://worldofwarcraft.blizzard.com/game/classes</x:v>
      </x:c>
      <x:c r="S234" s="24" t="str">
        <x:v>Seeded</x:v>
      </x:c>
    </x:row>
    <x:row r="235" ht="52" customHeight="1">
      <x:c r="A235" s="24" t="str">
        <x:v>ENT-0234</x:v>
      </x:c>
      <x:c r="B235" s="24" t="str">
        <x:v>Warlock</x:v>
      </x:c>
      <x:c r="C235" s="24" t="str">
        <x:v>SRC-135</x:v>
      </x:c>
      <x:c r="D235" s="24" t="str">
        <x:v>Warcraft</x:v>
      </x:c>
      <x:c r="E235" s="24" t="str">
        <x:v>World of Warcraft class system</x:v>
      </x:c>
      <x:c r="F235" s="24" t="str">
        <x:v>Playable class</x:v>
      </x:c>
      <x:c r="G235" s="24" t="str">
        <x:v>ROL-304</x:v>
      </x:c>
      <x:c r="H235" s="24" t="str">
        <x:f>IFERROR(VLOOKUP(G235,'Master Taxonomy'!$A$2:$B$1656,2,FALSE),"")</x:f>
        <x:v>Warlock</x:v>
      </x:c>
      <x:c r="I235" s="24" t="str">
        <x:v>ROL-350</x:v>
      </x:c>
      <x:c r="J235" s="24" t="str">
        <x:v>Demonologist</x:v>
      </x:c>
      <x:c r="K235" s="24" t="str">
        <x:v>Fel- and shadow-using class that summons demons and practices dangerous magic.</x:v>
      </x:c>
      <x:c r="L235" s="24" t="str">
        <x:v>Learned forbidden magic, summoned servants, soul resources, and specialization.</x:v>
      </x:c>
      <x:c r="M235" s="24" t="str">
        <x:v>Unlike D&amp;D warlocks, patron contracts are not the defining universal mechanic.</x:v>
      </x:c>
      <x:c r="N235" s="24" t="str">
        <x:v>Demonic summoner and corruption caster.</x:v>
      </x:c>
      <x:c r="O235" s="24" t="str">
        <x:v>Primary canon</x:v>
      </x:c>
      <x:c r="P235" s="24" t="str">
        <x:v>Official reference reviewed</x:v>
      </x:c>
      <x:c r="Q235" s="24" t="str">
        <x:v>Official World of Warcraft race and class reference pages, version-stamped 2026-08-01.</x:v>
      </x:c>
      <x:c r="R235" s="84" t="str">
        <x:v>https://worldofwarcraft.blizzard.com/game/classes</x:v>
      </x:c>
      <x:c r="S235" s="24" t="str">
        <x:v>Seeded</x:v>
      </x:c>
    </x:row>
    <x:row r="236" ht="52" customHeight="1">
      <x:c r="A236" s="24" t="str">
        <x:v>ENT-0235</x:v>
      </x:c>
      <x:c r="B236" s="24" t="str">
        <x:v>Paladin</x:v>
      </x:c>
      <x:c r="C236" s="24" t="str">
        <x:v>SRC-135</x:v>
      </x:c>
      <x:c r="D236" s="24" t="str">
        <x:v>Warcraft</x:v>
      </x:c>
      <x:c r="E236" s="24" t="str">
        <x:v>World of Warcraft class system</x:v>
      </x:c>
      <x:c r="F236" s="24" t="str">
        <x:v>Playable class</x:v>
      </x:c>
      <x:c r="G236" s="24" t="str">
        <x:v>ROL-117</x:v>
      </x:c>
      <x:c r="H236" s="24" t="str">
        <x:f>IFERROR(VLOOKUP(G236,'Master Taxonomy'!$A$2:$B$1656,2,FALSE),"")</x:f>
        <x:v>Paladin and Holy Knight</x:v>
      </x:c>
      <x:c r="I236" s="24" t="str">
        <x:v>MEC-112; MEC-101</x:v>
      </x:c>
      <x:c r="J236" s="24" t="str">
        <x:v>Healer; Tank</x:v>
      </x:c>
      <x:c r="K236" s="24" t="str">
        <x:v>Light-using armored class with healing, protection, and damage specializations.</x:v>
      </x:c>
      <x:c r="L236" s="24" t="str">
        <x:v>Faith or Light discipline, armor, weapons, and orders.</x:v>
      </x:c>
      <x:c r="M236" s="24" t="str">
        <x:v>Distinct cultures have different paladin institutions and theologies.</x:v>
      </x:c>
      <x:c r="N236" s="24" t="str">
        <x:v>Multi-role holy knight.</x:v>
      </x:c>
      <x:c r="O236" s="24" t="str">
        <x:v>Primary canon</x:v>
      </x:c>
      <x:c r="P236" s="24" t="str">
        <x:v>Official reference reviewed</x:v>
      </x:c>
      <x:c r="Q236" s="24" t="str">
        <x:v>Official World of Warcraft race and class reference pages, version-stamped 2026-08-01.</x:v>
      </x:c>
      <x:c r="R236" s="84" t="str">
        <x:v>https://worldofwarcraft.blizzard.com/game/classes</x:v>
      </x:c>
      <x:c r="S236" s="24" t="str">
        <x:v>Seeded</x:v>
      </x:c>
    </x:row>
    <x:row r="237" ht="52" customHeight="1">
      <x:c r="A237" s="24" t="str">
        <x:v>ENT-0236</x:v>
      </x:c>
      <x:c r="B237" s="24" t="str">
        <x:v>Rogue</x:v>
      </x:c>
      <x:c r="C237" s="24" t="str">
        <x:v>SRC-135</x:v>
      </x:c>
      <x:c r="D237" s="24" t="str">
        <x:v>Warcraft</x:v>
      </x:c>
      <x:c r="E237" s="24" t="str">
        <x:v>World of Warcraft class system</x:v>
      </x:c>
      <x:c r="F237" s="24" t="str">
        <x:v>Playable class</x:v>
      </x:c>
      <x:c r="G237" s="24" t="str">
        <x:v>ROL-205</x:v>
      </x:c>
      <x:c r="H237" s="24" t="str">
        <x:f>IFERROR(VLOOKUP(G237,'Master Taxonomy'!$A$2:$B$1656,2,FALSE),"")</x:f>
        <x:v>Rogue</x:v>
      </x:c>
      <x:c r="I237" s="24" t="str">
        <x:v>MEC-122</x:v>
      </x:c>
      <x:c r="J237" s="24" t="str">
        <x:v>Assassin</x:v>
      </x:c>
      <x:c r="K237" s="24" t="str">
        <x:v>Stealth and precision class using poisons, subterfuge, blades, or outlaw techniques.</x:v>
      </x:c>
      <x:c r="L237" s="24" t="str">
        <x:v>Training, stealth, combo resources, and specialization.</x:v>
      </x:c>
      <x:c r="M237" s="24" t="str">
        <x:v>It includes assassins and swashbucklers without making all rogues criminals.</x:v>
      </x:c>
      <x:c r="N237" s="24" t="str">
        <x:v>Stealth melee specialist.</x:v>
      </x:c>
      <x:c r="O237" s="24" t="str">
        <x:v>Primary canon</x:v>
      </x:c>
      <x:c r="P237" s="24" t="str">
        <x:v>Official reference reviewed</x:v>
      </x:c>
      <x:c r="Q237" s="24" t="str">
        <x:v>Official World of Warcraft race and class reference pages, version-stamped 2026-08-01.</x:v>
      </x:c>
      <x:c r="R237" s="84" t="str">
        <x:v>https://worldofwarcraft.blizzard.com/game/classes</x:v>
      </x:c>
      <x:c r="S237" s="24" t="str">
        <x:v>Seeded</x:v>
      </x:c>
    </x:row>
    <x:row r="238" ht="52" customHeight="1">
      <x:c r="A238" s="24" t="str">
        <x:v>ENT-0237</x:v>
      </x:c>
      <x:c r="B238" s="24" t="str">
        <x:v>Death Knight</x:v>
      </x:c>
      <x:c r="C238" s="24" t="str">
        <x:v>SRC-135</x:v>
      </x:c>
      <x:c r="D238" s="24" t="str">
        <x:v>Warcraft</x:v>
      </x:c>
      <x:c r="E238" s="24" t="str">
        <x:v>World of Warcraft class system</x:v>
      </x:c>
      <x:c r="F238" s="24" t="str">
        <x:v>Hero class / transformed warrior</x:v>
      </x:c>
      <x:c r="G238" s="24" t="str">
        <x:v>PPL-611</x:v>
      </x:c>
      <x:c r="H238" s="24" t="str">
        <x:f>IFERROR(VLOOKUP(G238,'Master Taxonomy'!$A$2:$B$1656,2,FALSE),"")</x:f>
        <x:v>Death Knights</x:v>
      </x:c>
      <x:c r="I238" s="24" t="str">
        <x:v>STA-110; ROL-118</x:v>
      </x:c>
      <x:c r="J238" s="24" t="str">
        <x:v>Death-Knight Transformation; Dark Knight and Blackguard</x:v>
      </x:c>
      <x:c r="K238" s="24" t="str">
        <x:v>Runeblade-using undead or death-empowered warrior class originating in coercive necromantic service.</x:v>
      </x:c>
      <x:c r="L238" s="24" t="str">
        <x:v>Undeath or death power, rune weapons, training, and liberation.</x:v>
      </x:c>
      <x:c r="M238" s="24" t="str">
        <x:v>It crosses class, transformed state, and historical military order.</x:v>
      </x:c>
      <x:c r="N238" s="24" t="str">
        <x:v>Playable undead rune knight.</x:v>
      </x:c>
      <x:c r="O238" s="24" t="str">
        <x:v>Primary canon</x:v>
      </x:c>
      <x:c r="P238" s="24" t="str">
        <x:v>Official reference reviewed</x:v>
      </x:c>
      <x:c r="Q238" s="24" t="str">
        <x:v>Official World of Warcraft race and class reference pages, version-stamped 2026-08-01.</x:v>
      </x:c>
      <x:c r="R238" s="84" t="str">
        <x:v>https://worldofwarcraft.blizzard.com/game/classes</x:v>
      </x:c>
      <x:c r="S238" s="24" t="str">
        <x:v>Seeded</x:v>
      </x:c>
    </x:row>
    <x:row r="239" ht="52" customHeight="1">
      <x:c r="A239" s="24" t="str">
        <x:v>ENT-0238</x:v>
      </x:c>
      <x:c r="B239" s="24" t="str">
        <x:v>Demon Hunter</x:v>
      </x:c>
      <x:c r="C239" s="24" t="str">
        <x:v>SRC-135</x:v>
      </x:c>
      <x:c r="D239" s="24" t="str">
        <x:v>Warcraft</x:v>
      </x:c>
      <x:c r="E239" s="24" t="str">
        <x:v>World of Warcraft class system</x:v>
      </x:c>
      <x:c r="F239" s="24" t="str">
        <x:v>Hero class / transformed hunter</x:v>
      </x:c>
      <x:c r="G239" s="24" t="str">
        <x:v>ROL-146</x:v>
      </x:c>
      <x:c r="H239" s="24" t="str">
        <x:f>IFERROR(VLOOKUP(G239,'Master Taxonomy'!$A$2:$B$1656,2,FALSE),"")</x:f>
        <x:v>Demon Hunter</x:v>
      </x:c>
      <x:c r="I239" s="24" t="str">
        <x:v>STA-208</x:v>
      </x:c>
      <x:c r="J239" s="24" t="str">
        <x:v>Demonic Transformation</x:v>
      </x:c>
      <x:c r="K239" s="24" t="str">
        <x:v>Martial occult class that internalizes demonic power to fight demons.</x:v>
      </x:c>
      <x:c r="L239" s="24" t="str">
        <x:v>Training, ritual mutation, fel power, mobility, and sacrifice.</x:v>
      </x:c>
      <x:c r="M239" s="24" t="str">
        <x:v>The class embraces controlled corruption rather than remaining metaphysically untouched.</x:v>
      </x:c>
      <x:c r="N239" s="24" t="str">
        <x:v>Self-mutating anti-demon hunter.</x:v>
      </x:c>
      <x:c r="O239" s="24" t="str">
        <x:v>Primary canon</x:v>
      </x:c>
      <x:c r="P239" s="24" t="str">
        <x:v>Official reference reviewed</x:v>
      </x:c>
      <x:c r="Q239" s="24" t="str">
        <x:v>Official World of Warcraft race and class reference pages, version-stamped 2026-08-01.</x:v>
      </x:c>
      <x:c r="R239" s="84" t="str">
        <x:v>https://worldofwarcraft.blizzard.com/game/classes</x:v>
      </x:c>
      <x:c r="S239" s="24" t="str">
        <x:v>Seeded</x:v>
      </x:c>
    </x:row>
    <x:row r="240" ht="52" customHeight="1">
      <x:c r="A240" s="24" t="str">
        <x:v>ENT-0239</x:v>
      </x:c>
      <x:c r="B240" s="24" t="str">
        <x:v>Evoker</x:v>
      </x:c>
      <x:c r="C240" s="24" t="str">
        <x:v>SRC-135</x:v>
      </x:c>
      <x:c r="D240" s="24" t="str">
        <x:v>Warcraft</x:v>
      </x:c>
      <x:c r="E240" s="24" t="str">
        <x:v>World of Warcraft class system</x:v>
      </x:c>
      <x:c r="F240" s="24" t="str">
        <x:v>Race-linked playable class</x:v>
      </x:c>
      <x:c r="G240" s="24" t="str">
        <x:v>ROL-510</x:v>
      </x:c>
      <x:c r="H240" s="24" t="str">
        <x:f>IFERROR(VLOOKUP(G240,'Master Taxonomy'!$A$2:$B$1656,2,FALSE),"")</x:f>
        <x:v>Elemental Channeler</x:v>
      </x:c>
      <x:c r="I240" s="24" t="str">
        <x:v>PPL-114</x:v>
      </x:c>
      <x:c r="J240" s="24" t="str">
        <x:v>Draconic Humanoid Peoples</x:v>
      </x:c>
      <x:c r="K240" s="24" t="str">
        <x:v>Dracthyr class using combined dragonflight magic for damage, augmentation, or healing.</x:v>
      </x:c>
      <x:c r="L240" s="24" t="str">
        <x:v>Engineered draconic nature, empowered spells, and specialization.</x:v>
      </x:c>
      <x:c r="M240" s="24" t="str">
        <x:v>Initially race-linked and inseparable from dracthyr creation history.</x:v>
      </x:c>
      <x:c r="N240" s="24" t="str">
        <x:v>Draconic multi-school caster.</x:v>
      </x:c>
      <x:c r="O240" s="24" t="str">
        <x:v>Primary canon</x:v>
      </x:c>
      <x:c r="P240" s="24" t="str">
        <x:v>Official reference reviewed</x:v>
      </x:c>
      <x:c r="Q240" s="24" t="str">
        <x:v>Official World of Warcraft race and class reference pages, version-stamped 2026-08-01.</x:v>
      </x:c>
      <x:c r="R240" s="84" t="str">
        <x:v>https://worldofwarcraft.blizzard.com/game/classes</x:v>
      </x:c>
      <x:c r="S240" s="24" t="str">
        <x:v>Seeded</x:v>
      </x:c>
    </x:row>
    <x:row r="241" ht="52" customHeight="1">
      <x:c r="A241" s="24" t="str">
        <x:v>ENT-0240</x:v>
      </x:c>
      <x:c r="B241" s="24" t="str">
        <x:v>Humans of the Empire and neighboring realms</x:v>
      </x:c>
      <x:c r="C241" s="24" t="str">
        <x:v>SRC-101</x:v>
      </x:c>
      <x:c r="D241" s="24" t="str">
        <x:v>Warhammer: The Old World</x:v>
      </x:c>
      <x:c r="E241" s="24" t="str">
        <x:v>Old World setting</x:v>
      </x:c>
      <x:c r="F241" s="24" t="str">
        <x:v>Human peoples and states</x:v>
      </x:c>
      <x:c r="G241" s="24" t="str">
        <x:v>PPL-101</x:v>
      </x:c>
      <x:c r="H241" s="24" t="str">
        <x:f>IFERROR(VLOOKUP(G241,'Master Taxonomy'!$A$2:$B$1656,2,FALSE),"")</x:f>
        <x:v>Human and Near-Human Peoples</x:v>
      </x:c>
      <x:c r="I241" s="24" t="str">
        <x:v>CIV-102</x:v>
      </x:c>
      <x:c r="J241" s="24" t="str">
        <x:v>Centralized Empire</x:v>
      </x:c>
      <x:c r="K241" s="24" t="str">
        <x:v>Multiple human cultures organized into kingdoms, city-states, empires, and religious institutions.</x:v>
      </x:c>
      <x:c r="L241" s="24" t="str">
        <x:v>Natural ancestry, state, religion, and region.</x:v>
      </x:c>
      <x:c r="M241" s="24" t="str">
        <x:v>Warhammer humans are not one class or moral faction.</x:v>
      </x:c>
      <x:c r="N241" s="24" t="str">
        <x:v>Plural late-medieval/early-modern fantasy humanity.</x:v>
      </x:c>
      <x:c r="O241" s="24" t="str">
        <x:v>Primary canon</x:v>
      </x:c>
      <x:c r="P241" s="24" t="str">
        <x:v>Official reference reviewed</x:v>
      </x:c>
      <x:c r="Q241" s="24" t="str">
        <x:v>Games Workshop official Warhammer: The Old World setting and faction pages; detailed unit verification remains edition-specific.</x:v>
      </x:c>
      <x:c r="R241" s="84" t="str">
        <x:v>https://www.warhammer.com/en-US/explore/the-old-world</x:v>
      </x:c>
      <x:c r="S241" s="24" t="str">
        <x:v>Seeded</x:v>
      </x:c>
    </x:row>
    <x:row r="242" ht="52" customHeight="1">
      <x:c r="A242" s="24" t="str">
        <x:v>ENT-0241</x:v>
      </x:c>
      <x:c r="B242" s="24" t="str">
        <x:v>Dwarfs</x:v>
      </x:c>
      <x:c r="C242" s="24" t="str">
        <x:v>SRC-101</x:v>
      </x:c>
      <x:c r="D242" s="24" t="str">
        <x:v>Warhammer: The Old World</x:v>
      </x:c>
      <x:c r="E242" s="24" t="str">
        <x:v>Old World setting</x:v>
      </x:c>
      <x:c r="F242" s="24" t="str">
        <x:v>People</x:v>
      </x:c>
      <x:c r="G242" s="24" t="str">
        <x:v>PPL-103</x:v>
      </x:c>
      <x:c r="H242" s="24" t="str">
        <x:f>IFERROR(VLOOKUP(G242,'Master Taxonomy'!$A$2:$B$1656,2,FALSE),"")</x:f>
        <x:v>Dwarf-Derived Peoples</x:v>
      </x:c>
      <x:c r="I242" s="24" t="str">
        <x:v>CIV-402</x:v>
      </x:c>
      <x:c r="J242" s="24" t="str">
        <x:v>Fallen Ancient Empire</x:v>
      </x:c>
      <x:c r="K242" s="24" t="str">
        <x:v>Long-lived mountain and hold peoples defined by craft, memory, oaths, and ancestral grievances.</x:v>
      </x:c>
      <x:c r="L242" s="24" t="str">
        <x:v>Natural ancestry, clan/hold culture, engineering, and runes.</x:v>
      </x:c>
      <x:c r="M242" s="24" t="str">
        <x:v>Spelling, metaphysics, and social codes are setting-specific.</x:v>
      </x:c>
      <x:c r="N242" s="24" t="str">
        <x:v>Runic hold-dwarf civilization.</x:v>
      </x:c>
      <x:c r="O242" s="24" t="str">
        <x:v>Primary canon</x:v>
      </x:c>
      <x:c r="P242" s="24" t="str">
        <x:v>Official reference reviewed</x:v>
      </x:c>
      <x:c r="Q242" s="24" t="str">
        <x:v>Games Workshop official Warhammer: The Old World setting and faction pages; detailed unit verification remains edition-specific.</x:v>
      </x:c>
      <x:c r="R242" s="84" t="str">
        <x:v>https://www.warhammer.com/en-US/explore/the-old-world</x:v>
      </x:c>
      <x:c r="S242" s="24" t="str">
        <x:v>Seeded</x:v>
      </x:c>
    </x:row>
    <x:row r="243" ht="52" customHeight="1">
      <x:c r="A243" s="24" t="str">
        <x:v>ENT-0242</x:v>
      </x:c>
      <x:c r="B243" s="24" t="str">
        <x:v>High Elves</x:v>
      </x:c>
      <x:c r="C243" s="24" t="str">
        <x:v>SRC-101</x:v>
      </x:c>
      <x:c r="D243" s="24" t="str">
        <x:v>Warhammer: The Old World</x:v>
      </x:c>
      <x:c r="E243" s="24" t="str">
        <x:v>Old World setting</x:v>
      </x:c>
      <x:c r="F243" s="24" t="str">
        <x:v>Elven people</x:v>
      </x:c>
      <x:c r="G243" s="24" t="str">
        <x:v>PPL-102</x:v>
      </x:c>
      <x:c r="H243" s="24" t="str">
        <x:f>IFERROR(VLOOKUP(G243,'Master Taxonomy'!$A$2:$B$1656,2,FALSE),"")</x:f>
        <x:v>Elf-Derived Peoples</x:v>
      </x:c>
      <x:c r="I243" s="24" t="str">
        <x:v>CIV-207</x:v>
      </x:c>
      <x:c r="J243" s="24" t="str">
        <x:v>Maritime Trading League</x:v>
      </x:c>
      <x:c r="K243" s="24" t="str">
        <x:v>Ulthuan-centered elven civilization with powerful magic, maritime influence, and internal politics.</x:v>
      </x:c>
      <x:c r="L243" s="24" t="str">
        <x:v>Natural ancestry, long life, magic, and state tradition.</x:v>
      </x:c>
      <x:c r="M243" s="24" t="str">
        <x:v>‘High’ denotes a historical-political identity, not objective superiority.</x:v>
      </x:c>
      <x:c r="N243" s="24" t="str">
        <x:v>Arcane maritime high-elf empire.</x:v>
      </x:c>
      <x:c r="O243" s="24" t="str">
        <x:v>Primary canon</x:v>
      </x:c>
      <x:c r="P243" s="24" t="str">
        <x:v>Official reference reviewed</x:v>
      </x:c>
      <x:c r="Q243" s="24" t="str">
        <x:v>Games Workshop official Warhammer: The Old World setting and faction pages; detailed unit verification remains edition-specific.</x:v>
      </x:c>
      <x:c r="R243" s="84" t="str">
        <x:v>https://www.warhammer.com/en-US/explore/the-old-world</x:v>
      </x:c>
      <x:c r="S243" s="24" t="str">
        <x:v>Seeded</x:v>
      </x:c>
    </x:row>
    <x:row r="244" ht="52" customHeight="1">
      <x:c r="A244" s="24" t="str">
        <x:v>ENT-0243</x:v>
      </x:c>
      <x:c r="B244" s="24" t="str">
        <x:v>Wood Elves</x:v>
      </x:c>
      <x:c r="C244" s="24" t="str">
        <x:v>SRC-101</x:v>
      </x:c>
      <x:c r="D244" s="24" t="str">
        <x:v>Warhammer: The Old World</x:v>
      </x:c>
      <x:c r="E244" s="24" t="str">
        <x:v>Old World setting</x:v>
      </x:c>
      <x:c r="F244" s="24" t="str">
        <x:v>Elven people</x:v>
      </x:c>
      <x:c r="G244" s="24" t="str">
        <x:v>PPL-102</x:v>
      </x:c>
      <x:c r="H244" s="24" t="str">
        <x:f>IFERROR(VLOOKUP(G244,'Master Taxonomy'!$A$2:$B$1656,2,FALSE),"")</x:f>
        <x:v>Elf-Derived Peoples</x:v>
      </x:c>
      <x:c r="I244" s="24" t="str">
        <x:v>CIV-201</x:v>
      </x:c>
      <x:c r="J244" s="24" t="str">
        <x:v>Elven Forest Realm</x:v>
      </x:c>
      <x:c r="K244" s="24" t="str">
        <x:v>Forest-bound elven societies entangled with Athel Loren's spirits and dangers.</x:v>
      </x:c>
      <x:c r="L244" s="24" t="str">
        <x:v>Ancestry, forest pact, spirit relations, and isolation.</x:v>
      </x:c>
      <x:c r="M244" s="24" t="str">
        <x:v>Not merely benevolent nature guardians.</x:v>
      </x:c>
      <x:c r="N244" s="24" t="str">
        <x:v>Dangerous liminal forest-elf realm.</x:v>
      </x:c>
      <x:c r="O244" s="24" t="str">
        <x:v>Primary canon</x:v>
      </x:c>
      <x:c r="P244" s="24" t="str">
        <x:v>Official reference reviewed</x:v>
      </x:c>
      <x:c r="Q244" s="24" t="str">
        <x:v>Games Workshop official Warhammer: The Old World setting and faction pages; detailed unit verification remains edition-specific.</x:v>
      </x:c>
      <x:c r="R244" s="84" t="str">
        <x:v>https://www.warhammer.com/en-US/explore/the-old-world</x:v>
      </x:c>
      <x:c r="S244" s="24" t="str">
        <x:v>Seeded</x:v>
      </x:c>
    </x:row>
    <x:row r="245" ht="52" customHeight="1">
      <x:c r="A245" s="24" t="str">
        <x:v>ENT-0244</x:v>
      </x:c>
      <x:c r="B245" s="24" t="str">
        <x:v>Dark Elves</x:v>
      </x:c>
      <x:c r="C245" s="24" t="str">
        <x:v>SRC-101</x:v>
      </x:c>
      <x:c r="D245" s="24" t="str">
        <x:v>Warhammer: The Old World</x:v>
      </x:c>
      <x:c r="E245" s="24" t="str">
        <x:v>Old World setting</x:v>
      </x:c>
      <x:c r="F245" s="24" t="str">
        <x:v>Elven people</x:v>
      </x:c>
      <x:c r="G245" s="24" t="str">
        <x:v>PPL-102</x:v>
      </x:c>
      <x:c r="H245" s="24" t="str">
        <x:f>IFERROR(VLOOKUP(G245,'Master Taxonomy'!$A$2:$B$1656,2,FALSE),"")</x:f>
        <x:v>Elf-Derived Peoples</x:v>
      </x:c>
      <x:c r="I245" s="24" t="str">
        <x:v>CIV-412</x:v>
      </x:c>
      <x:c r="J245" s="24" t="str">
        <x:v>Expansionist Empire</x:v>
      </x:c>
      <x:c r="K245" s="24" t="str">
        <x:v>Naggaroth-centered elven civilization shaped by schism, militarism, slavery, and sorcery.</x:v>
      </x:c>
      <x:c r="L245" s="24" t="str">
        <x:v>Shared elven ancestry plus historical and political divergence.</x:v>
      </x:c>
      <x:c r="M245" s="24" t="str">
        <x:v>The label is cultural-political rather than a separate moral biology.</x:v>
      </x:c>
      <x:c r="N245" s="24" t="str">
        <x:v>Cruel exiled elf empire.</x:v>
      </x:c>
      <x:c r="O245" s="24" t="str">
        <x:v>Primary canon</x:v>
      </x:c>
      <x:c r="P245" s="24" t="str">
        <x:v>Official reference reviewed</x:v>
      </x:c>
      <x:c r="Q245" s="24" t="str">
        <x:v>Games Workshop official Warhammer: The Old World setting and faction pages; detailed unit verification remains edition-specific.</x:v>
      </x:c>
      <x:c r="R245" s="84" t="str">
        <x:v>https://www.warhammer.com/en-US/explore/the-old-world</x:v>
      </x:c>
      <x:c r="S245" s="24" t="str">
        <x:v>Seeded</x:v>
      </x:c>
    </x:row>
    <x:row r="246" ht="52" customHeight="1">
      <x:c r="A246" s="24" t="str">
        <x:v>ENT-0245</x:v>
      </x:c>
      <x:c r="B246" s="24" t="str">
        <x:v>Orcs</x:v>
      </x:c>
      <x:c r="C246" s="24" t="str">
        <x:v>SRC-101</x:v>
      </x:c>
      <x:c r="D246" s="24" t="str">
        <x:v>Warhammer: The Old World</x:v>
      </x:c>
      <x:c r="E246" s="24" t="str">
        <x:v>Old World setting</x:v>
      </x:c>
      <x:c r="F246" s="24" t="str">
        <x:v>Greenskin people</x:v>
      </x:c>
      <x:c r="G246" s="24" t="str">
        <x:v>PPL-106</x:v>
      </x:c>
      <x:c r="H246" s="24" t="str">
        <x:f>IFERROR(VLOOKUP(G246,'Master Taxonomy'!$A$2:$B$1656,2,FALSE),"")</x:f>
        <x:v>Orc-Derived Peoples</x:v>
      </x:c>
      <x:c r="I246" s="24" t="str">
        <x:v>CIV-203</x:v>
      </x:c>
      <x:c r="J246" s="24" t="str">
        <x:v>Orcish Warband or Confederacy</x:v>
      </x:c>
      <x:c r="K246" s="24" t="str">
        <x:v>Large martial greenskins organized through warbands and dominance hierarchies.</x:v>
      </x:c>
      <x:c r="L246" s="24" t="str">
        <x:v>Distinct biology, collective energy, and war culture.</x:v>
      </x:c>
      <x:c r="M246" s="24" t="str">
        <x:v>They are setting-specific fungal-like greenskins, not Tolkien orcs.</x:v>
      </x:c>
      <x:c r="N246" s="24" t="str">
        <x:v>Warband orc people.</x:v>
      </x:c>
      <x:c r="O246" s="24" t="str">
        <x:v>Primary canon</x:v>
      </x:c>
      <x:c r="P246" s="24" t="str">
        <x:v>Official reference reviewed</x:v>
      </x:c>
      <x:c r="Q246" s="24" t="str">
        <x:v>Games Workshop official Warhammer: The Old World setting and faction pages; detailed unit verification remains edition-specific.</x:v>
      </x:c>
      <x:c r="R246" s="84" t="str">
        <x:v>https://www.warhammer.com/en-US/explore/the-old-world</x:v>
      </x:c>
      <x:c r="S246" s="24" t="str">
        <x:v>Seeded</x:v>
      </x:c>
    </x:row>
    <x:row r="247" ht="52" customHeight="1">
      <x:c r="A247" s="24" t="str">
        <x:v>ENT-0246</x:v>
      </x:c>
      <x:c r="B247" s="24" t="str">
        <x:v>Goblins</x:v>
      </x:c>
      <x:c r="C247" s="24" t="str">
        <x:v>SRC-101</x:v>
      </x:c>
      <x:c r="D247" s="24" t="str">
        <x:v>Warhammer: The Old World</x:v>
      </x:c>
      <x:c r="E247" s="24" t="str">
        <x:v>Old World setting</x:v>
      </x:c>
      <x:c r="F247" s="24" t="str">
        <x:v>Greenskin people</x:v>
      </x:c>
      <x:c r="G247" s="24" t="str">
        <x:v>PPL-107</x:v>
      </x:c>
      <x:c r="H247" s="24" t="str">
        <x:f>IFERROR(VLOOKUP(G247,'Master Taxonomy'!$A$2:$B$1656,2,FALSE),"")</x:f>
        <x:v>Goblinoid Peoples</x:v>
      </x:c>
      <x:c r="I247" s="24" t="str">
        <x:v>CIV-204</x:v>
      </x:c>
      <x:c r="J247" s="24" t="str">
        <x:v>Goblin Undercity</x:v>
      </x:c>
      <x:c r="K247" s="24" t="str">
        <x:v>Smaller greenskins with varied subterranean, forest, and nomadic societies.</x:v>
      </x:c>
      <x:c r="L247" s="24" t="str">
        <x:v>Distinct biology, cunning, tribes, and ecology.</x:v>
      </x:c>
      <x:c r="M247" s="24" t="str">
        <x:v>They are more varied than a single cowardly minion role.</x:v>
      </x:c>
      <x:c r="N247" s="24" t="str">
        <x:v>Tribal and undercity goblinoids.</x:v>
      </x:c>
      <x:c r="O247" s="24" t="str">
        <x:v>Primary canon</x:v>
      </x:c>
      <x:c r="P247" s="24" t="str">
        <x:v>Official reference reviewed</x:v>
      </x:c>
      <x:c r="Q247" s="24" t="str">
        <x:v>Games Workshop official Warhammer: The Old World setting and faction pages; detailed unit verification remains edition-specific.</x:v>
      </x:c>
      <x:c r="R247" s="84" t="str">
        <x:v>https://www.warhammer.com/en-US/explore/the-old-world</x:v>
      </x:c>
      <x:c r="S247" s="24" t="str">
        <x:v>Seeded</x:v>
      </x:c>
    </x:row>
    <x:row r="248" ht="52" customHeight="1">
      <x:c r="A248" s="24" t="str">
        <x:v>ENT-0247</x:v>
      </x:c>
      <x:c r="B248" s="24" t="str">
        <x:v>Skaven</x:v>
      </x:c>
      <x:c r="C248" s="24" t="str">
        <x:v>SRC-101</x:v>
      </x:c>
      <x:c r="D248" s="24" t="str">
        <x:v>Warhammer: The Old World</x:v>
      </x:c>
      <x:c r="E248" s="24" t="str">
        <x:v>Old World setting</x:v>
      </x:c>
      <x:c r="F248" s="24" t="str">
        <x:v>Ratlike people</x:v>
      </x:c>
      <x:c r="G248" s="24" t="str">
        <x:v>PPL-126</x:v>
      </x:c>
      <x:c r="H248" s="24" t="str">
        <x:f>IFERROR(VLOOKUP(G248,'Master Taxonomy'!$A$2:$B$1656,2,FALSE),"")</x:f>
        <x:v>Rodent and Lagomorph Peoples</x:v>
      </x:c>
      <x:c r="I248" s="24" t="str">
        <x:v>CIV-213</x:v>
      </x:c>
      <x:c r="J248" s="24" t="str">
        <x:v>Underground Civilization</x:v>
      </x:c>
      <x:c r="K248" s="24" t="str">
        <x:v>Numerous ratmen organized through clans, subterranean cities, plague, sorcery, and unstable technology.</x:v>
      </x:c>
      <x:c r="L248" s="24" t="str">
        <x:v>Natural or corruptive ancestry, clan institutions, and warpstone.</x:v>
      </x:c>
      <x:c r="M248" s="24" t="str">
        <x:v>They are a full civilization and apocalyptic threat, not generic beastfolk.</x:v>
      </x:c>
      <x:c r="N248" s="24" t="str">
        <x:v>Paranoid subterranean rat empire.</x:v>
      </x:c>
      <x:c r="O248" s="24" t="str">
        <x:v>Primary canon</x:v>
      </x:c>
      <x:c r="P248" s="24" t="str">
        <x:v>Official reference reviewed</x:v>
      </x:c>
      <x:c r="Q248" s="24" t="str">
        <x:v>Games Workshop official Warhammer: The Old World setting and faction pages; detailed unit verification remains edition-specific.</x:v>
      </x:c>
      <x:c r="R248" s="84" t="str">
        <x:v>https://www.warhammer.com/en-US/explore/the-old-world</x:v>
      </x:c>
      <x:c r="S248" s="24" t="str">
        <x:v>Seeded</x:v>
      </x:c>
    </x:row>
    <x:row r="249" ht="52" customHeight="1">
      <x:c r="A249" s="24" t="str">
        <x:v>ENT-0248</x:v>
      </x:c>
      <x:c r="B249" s="24" t="str">
        <x:v>Lizardmen</x:v>
      </x:c>
      <x:c r="C249" s="24" t="str">
        <x:v>SRC-101</x:v>
      </x:c>
      <x:c r="D249" s="24" t="str">
        <x:v>Warhammer: The Old World</x:v>
      </x:c>
      <x:c r="E249" s="24" t="str">
        <x:v>Old World setting</x:v>
      </x:c>
      <x:c r="F249" s="24" t="str">
        <x:v>Engineered reptilian peoples</x:v>
      </x:c>
      <x:c r="G249" s="24" t="str">
        <x:v>PPL-112</x:v>
      </x:c>
      <x:c r="H249" s="24" t="str">
        <x:f>IFERROR(VLOOKUP(G249,'Master Taxonomy'!$A$2:$B$1656,2,FALSE),"")</x:f>
        <x:v>Lizardfolk and Reptilian Peoples</x:v>
      </x:c>
      <x:c r="I249" s="24" t="str">
        <x:v>PPL-709</x:v>
      </x:c>
      <x:c r="J249" s="24" t="str">
        <x:v>Engineered Species</x:v>
      </x:c>
      <x:c r="K249" s="24" t="str">
        <x:v>Multiple reptilian castes created or directed within the Great Plan of the Old Ones.</x:v>
      </x:c>
      <x:c r="L249" s="24" t="str">
        <x:v>Engineered spawning, caste, sacred mission, and ancient cities.</x:v>
      </x:c>
      <x:c r="M249" s="24" t="str">
        <x:v>The umbrella includes distinct kinds such as Slann, Saurus, Skinks, and Kroxigor.</x:v>
      </x:c>
      <x:c r="N249" s="24" t="str">
        <x:v>Designed reptilian temple civilization.</x:v>
      </x:c>
      <x:c r="O249" s="24" t="str">
        <x:v>Primary canon</x:v>
      </x:c>
      <x:c r="P249" s="24" t="str">
        <x:v>Official reference reviewed</x:v>
      </x:c>
      <x:c r="Q249" s="24" t="str">
        <x:v>Games Workshop official Warhammer: The Old World setting and faction pages; detailed unit verification remains edition-specific.</x:v>
      </x:c>
      <x:c r="R249" s="84" t="str">
        <x:v>https://www.warhammer.com/en-US/explore/the-old-world</x:v>
      </x:c>
      <x:c r="S249" s="24" t="str">
        <x:v>Seeded</x:v>
      </x:c>
    </x:row>
    <x:row r="250" ht="52" customHeight="1">
      <x:c r="A250" s="24" t="str">
        <x:v>ENT-0249</x:v>
      </x:c>
      <x:c r="B250" s="24" t="str">
        <x:v>Beastmen</x:v>
      </x:c>
      <x:c r="C250" s="24" t="str">
        <x:v>SRC-101</x:v>
      </x:c>
      <x:c r="D250" s="24" t="str">
        <x:v>Warhammer: The Old World</x:v>
      </x:c>
      <x:c r="E250" s="24" t="str">
        <x:v>Old World setting</x:v>
      </x:c>
      <x:c r="F250" s="24" t="str">
        <x:v>Mutated beastfolk</x:v>
      </x:c>
      <x:c r="G250" s="24" t="str">
        <x:v>PPL-1005</x:v>
      </x:c>
      <x:c r="H250" s="24" t="str">
        <x:f>IFERROR(VLOOKUP(G250,'Master Taxonomy'!$A$2:$B$1656,2,FALSE),"")</x:f>
        <x:v>Hybrid and Chimera Peoples</x:v>
      </x:c>
      <x:c r="I250" s="24" t="str">
        <x:v>PWR-609</x:v>
      </x:c>
      <x:c r="J250" s="24" t="str">
        <x:v>Chaos Mutation</x:v>
      </x:c>
      <x:c r="K250" s="24" t="str">
        <x:v>Chaos-tainted humanoid beast peoples organized in herds and hostile to ordered civilization.</x:v>
      </x:c>
      <x:c r="L250" s="24" t="str">
        <x:v>Mutation, birth, Chaos influence, and herd culture.</x:v>
      </x:c>
      <x:c r="M250" s="24" t="str">
        <x:v>They are not equivalent to neutral animal-featured peoples in other settings.</x:v>
      </x:c>
      <x:c r="N250" s="24" t="str">
        <x:v>Corrupted beastfolk warbands.</x:v>
      </x:c>
      <x:c r="O250" s="24" t="str">
        <x:v>Primary canon</x:v>
      </x:c>
      <x:c r="P250" s="24" t="str">
        <x:v>Official reference reviewed</x:v>
      </x:c>
      <x:c r="Q250" s="24" t="str">
        <x:v>Games Workshop official Warhammer: The Old World setting and faction pages; detailed unit verification remains edition-specific.</x:v>
      </x:c>
      <x:c r="R250" s="84" t="str">
        <x:v>https://www.warhammer.com/en-US/explore/the-old-world</x:v>
      </x:c>
      <x:c r="S250" s="24" t="str">
        <x:v>Seeded</x:v>
      </x:c>
    </x:row>
    <x:row r="251" ht="52" customHeight="1">
      <x:c r="A251" s="24" t="str">
        <x:v>ENT-0250</x:v>
      </x:c>
      <x:c r="B251" s="24" t="str">
        <x:v>Daemons of Chaos</x:v>
      </x:c>
      <x:c r="C251" s="24" t="str">
        <x:v>SRC-101</x:v>
      </x:c>
      <x:c r="D251" s="24" t="str">
        <x:v>Warhammer: The Old World</x:v>
      </x:c>
      <x:c r="E251" s="24" t="str">
        <x:v>Old World setting</x:v>
      </x:c>
      <x:c r="F251" s="24" t="str">
        <x:v>Metaphysical beings</x:v>
      </x:c>
      <x:c r="G251" s="24" t="str">
        <x:v>PPL-501</x:v>
      </x:c>
      <x:c r="H251" s="24" t="str">
        <x:f>IFERROR(VLOOKUP(G251,'Master Taxonomy'!$A$2:$B$1656,2,FALSE),"")</x:f>
        <x:v>Demons</x:v>
      </x:c>
      <x:c r="I251" s="24" t="str">
        <x:v>PWR-609</x:v>
      </x:c>
      <x:c r="J251" s="24" t="str">
        <x:v>Chaos Mutation</x:v>
      </x:c>
      <x:c r="K251" s="24" t="str">
        <x:v>Manifestations or entities of Chaos associated with distinct gods and emotional-metaphysical forces.</x:v>
      </x:c>
      <x:c r="L251" s="24" t="str">
        <x:v>Warp/Chaos substance, summoning, and patron alignment.</x:v>
      </x:c>
      <x:c r="M251" s="24" t="str">
        <x:v>They are not necessarily biological species or Christian demons.</x:v>
      </x:c>
      <x:c r="N251" s="24" t="str">
        <x:v>Emotion-fed chaos entities.</x:v>
      </x:c>
      <x:c r="O251" s="24" t="str">
        <x:v>Primary canon</x:v>
      </x:c>
      <x:c r="P251" s="24" t="str">
        <x:v>Official reference reviewed</x:v>
      </x:c>
      <x:c r="Q251" s="24" t="str">
        <x:v>Games Workshop official Warhammer: The Old World setting and faction pages; detailed unit verification remains edition-specific.</x:v>
      </x:c>
      <x:c r="R251" s="84" t="str">
        <x:v>https://www.warhammer.com/en-US/explore/the-old-world</x:v>
      </x:c>
      <x:c r="S251" s="24" t="str">
        <x:v>Seeded</x:v>
      </x:c>
    </x:row>
    <x:row r="252" ht="52" customHeight="1">
      <x:c r="A252" s="24" t="str">
        <x:v>ENT-0251</x:v>
      </x:c>
      <x:c r="B252" s="24" t="str">
        <x:v>Chaos Warriors</x:v>
      </x:c>
      <x:c r="C252" s="24" t="str">
        <x:v>SRC-101</x:v>
      </x:c>
      <x:c r="D252" s="24" t="str">
        <x:v>Warhammer: The Old World</x:v>
      </x:c>
      <x:c r="E252" s="24" t="str">
        <x:v>Old World setting</x:v>
      </x:c>
      <x:c r="F252" s="24" t="str">
        <x:v>Transformed martial elite</x:v>
      </x:c>
      <x:c r="G252" s="24" t="str">
        <x:v>ROL-118</x:v>
      </x:c>
      <x:c r="H252" s="24" t="str">
        <x:f>IFERROR(VLOOKUP(G252,'Master Taxonomy'!$A$2:$B$1656,2,FALSE),"")</x:f>
        <x:v>Dark Knight and Blackguard</x:v>
      </x:c>
      <x:c r="I252" s="24" t="str">
        <x:v>STA-421</x:v>
      </x:c>
      <x:c r="J252" s="24" t="str">
        <x:v>Corruption Empowerment</x:v>
      </x:c>
      <x:c r="K252" s="24" t="str">
        <x:v>Mortals empowered, mutated, and armored through devotion to Chaos.</x:v>
      </x:c>
      <x:c r="L252" s="24" t="str">
        <x:v>Patronage, corruption, mutation, martial training, and gifts.</x:v>
      </x:c>
      <x:c r="M252" s="24" t="str">
        <x:v>They cross profession, religious allegiance, and transformed state.</x:v>
      </x:c>
      <x:c r="N252" s="24" t="str">
        <x:v>Patron-corrupted dark champions.</x:v>
      </x:c>
      <x:c r="O252" s="24" t="str">
        <x:v>Primary canon</x:v>
      </x:c>
      <x:c r="P252" s="24" t="str">
        <x:v>Official reference reviewed</x:v>
      </x:c>
      <x:c r="Q252" s="24" t="str">
        <x:v>Games Workshop official Warhammer: The Old World setting and faction pages; detailed unit verification remains edition-specific.</x:v>
      </x:c>
      <x:c r="R252" s="84" t="str">
        <x:v>https://www.warhammer.com/en-US/explore/the-old-world</x:v>
      </x:c>
      <x:c r="S252" s="24" t="str">
        <x:v>Seeded</x:v>
      </x:c>
    </x:row>
    <x:row r="253" ht="52" customHeight="1">
      <x:c r="A253" s="24" t="str">
        <x:v>ENT-0252</x:v>
      </x:c>
      <x:c r="B253" s="24" t="str">
        <x:v>Vampire Counts</x:v>
      </x:c>
      <x:c r="C253" s="24" t="str">
        <x:v>SRC-101</x:v>
      </x:c>
      <x:c r="D253" s="24" t="str">
        <x:v>Warhammer: The Old World</x:v>
      </x:c>
      <x:c r="E253" s="24" t="str">
        <x:v>Old World setting</x:v>
      </x:c>
      <x:c r="F253" s="24" t="str">
        <x:v>Undead aristocracy and polity</x:v>
      </x:c>
      <x:c r="G253" s="24" t="str">
        <x:v>PPL-607</x:v>
      </x:c>
      <x:c r="H253" s="24" t="str">
        <x:f>IFERROR(VLOOKUP(G253,'Master Taxonomy'!$A$2:$B$1656,2,FALSE),"")</x:f>
        <x:v>Vampires</x:v>
      </x:c>
      <x:c r="I253" s="24" t="str">
        <x:v>NAR-328</x:v>
      </x:c>
      <x:c r="J253" s="24" t="str">
        <x:v>Predatory Aristocrat</x:v>
      </x:c>
      <x:c r="K253" s="24" t="str">
        <x:v>Vampiric lords ruling or commanding undead hosts through bloodline and necromancy.</x:v>
      </x:c>
      <x:c r="L253" s="24" t="str">
        <x:v>Vampirism, aristocratic lineage, necromancy, and state power.</x:v>
      </x:c>
      <x:c r="M253" s="24" t="str">
        <x:v>Different bloodlines have different cultures and capabilities.</x:v>
      </x:c>
      <x:c r="N253" s="24" t="str">
        <x:v>Vampire aristocracy and undead realm.</x:v>
      </x:c>
      <x:c r="O253" s="24" t="str">
        <x:v>Primary canon</x:v>
      </x:c>
      <x:c r="P253" s="24" t="str">
        <x:v>Official reference reviewed</x:v>
      </x:c>
      <x:c r="Q253" s="24" t="str">
        <x:v>Games Workshop official Warhammer: The Old World setting and faction pages; detailed unit verification remains edition-specific.</x:v>
      </x:c>
      <x:c r="R253" s="84" t="str">
        <x:v>https://www.warhammer.com/en-US/explore/the-old-world</x:v>
      </x:c>
      <x:c r="S253" s="24" t="str">
        <x:v>Seeded</x:v>
      </x:c>
    </x:row>
    <x:row r="254" ht="52" customHeight="1">
      <x:c r="A254" s="24" t="str">
        <x:v>ENT-0253</x:v>
      </x:c>
      <x:c r="B254" s="24" t="str">
        <x:v>Tomb Kings</x:v>
      </x:c>
      <x:c r="C254" s="24" t="str">
        <x:v>SRC-101</x:v>
      </x:c>
      <x:c r="D254" s="24" t="str">
        <x:v>Warhammer: The Old World</x:v>
      </x:c>
      <x:c r="E254" s="24" t="str">
        <x:v>Old World setting</x:v>
      </x:c>
      <x:c r="F254" s="24" t="str">
        <x:v>Undead civilization</x:v>
      </x:c>
      <x:c r="G254" s="24" t="str">
        <x:v>PPL-615</x:v>
      </x:c>
      <x:c r="H254" s="24" t="str">
        <x:f>IFERROR(VLOOKUP(G254,'Master Taxonomy'!$A$2:$B$1656,2,FALSE),"")</x:f>
        <x:v>Intelligent Undead Peoples</x:v>
      </x:c>
      <x:c r="I254" s="24" t="str">
        <x:v>PPL-609</x:v>
      </x:c>
      <x:c r="J254" s="24" t="str">
        <x:v>Mummies</x:v>
      </x:c>
      <x:c r="K254" s="24" t="str">
        <x:v>Ancient Nehekharan rulers, soldiers, and subjects returned in preserved undead forms.</x:v>
      </x:c>
      <x:c r="L254" s="24" t="str">
        <x:v>Necromantic catastrophe, funerary ritual, dynastic identity, and tomb cult.</x:v>
      </x:c>
      <x:c r="M254" s="24" t="str">
        <x:v>They retain civilizational identity rather than functioning as generic necromancer puppets.</x:v>
      </x:c>
      <x:c r="N254" s="24" t="str">
        <x:v>Self-aware funerary undead kingdom.</x:v>
      </x:c>
      <x:c r="O254" s="24" t="str">
        <x:v>Primary canon</x:v>
      </x:c>
      <x:c r="P254" s="24" t="str">
        <x:v>Official reference reviewed</x:v>
      </x:c>
      <x:c r="Q254" s="24" t="str">
        <x:v>Games Workshop official Warhammer: The Old World setting and faction pages; detailed unit verification remains edition-specific.</x:v>
      </x:c>
      <x:c r="R254" s="84" t="str">
        <x:v>https://www.warhammer.com/en-US/explore/the-old-world</x:v>
      </x:c>
      <x:c r="S254" s="24" t="str">
        <x:v>Seeded</x:v>
      </x:c>
    </x:row>
    <x:row r="255" ht="52" customHeight="1">
      <x:c r="A255" s="24" t="str">
        <x:v>ENT-0254</x:v>
      </x:c>
      <x:c r="B255" s="24" t="str">
        <x:v>Ogre Kingdoms</x:v>
      </x:c>
      <x:c r="C255" s="24" t="str">
        <x:v>SRC-101</x:v>
      </x:c>
      <x:c r="D255" s="24" t="str">
        <x:v>Warhammer: The Old World</x:v>
      </x:c>
      <x:c r="E255" s="24" t="str">
        <x:v>Old World setting</x:v>
      </x:c>
      <x:c r="F255" s="24" t="str">
        <x:v>Ogre people and polity</x:v>
      </x:c>
      <x:c r="G255" s="24" t="str">
        <x:v>PPL-109</x:v>
      </x:c>
      <x:c r="H255" s="24" t="str">
        <x:f>IFERROR(VLOOKUP(G255,'Master Taxonomy'!$A$2:$B$1656,2,FALSE),"")</x:f>
        <x:v>Ogrekin Peoples</x:v>
      </x:c>
      <x:c r="I255" s="24" t="str">
        <x:v>CIV-113</x:v>
      </x:c>
      <x:c r="J255" s="24" t="str">
        <x:v>Tribal Confederation</x:v>
      </x:c>
      <x:c r="K255" s="24" t="str">
        <x:v>Large, hunger-centered peoples organized in tribes, kingdoms, mercenary bands, and trade networks.</x:v>
      </x:c>
      <x:c r="L255" s="24" t="str">
        <x:v>Natural ancestry, appetite, kinship, ecology, and migration.</x:v>
      </x:c>
      <x:c r="M255" s="24" t="str">
        <x:v>The setting satirizes appetite and violence but still depicts a society.</x:v>
      </x:c>
      <x:c r="N255" s="24" t="str">
        <x:v>Mobile ogre civilization.</x:v>
      </x:c>
      <x:c r="O255" s="24" t="str">
        <x:v>Primary canon</x:v>
      </x:c>
      <x:c r="P255" s="24" t="str">
        <x:v>Official reference reviewed</x:v>
      </x:c>
      <x:c r="Q255" s="24" t="str">
        <x:v>Games Workshop official Warhammer: The Old World setting and faction pages; detailed unit verification remains edition-specific.</x:v>
      </x:c>
      <x:c r="R255" s="84" t="str">
        <x:v>https://www.warhammer.com/en-US/explore/the-old-world</x:v>
      </x:c>
      <x:c r="S255" s="24" t="str">
        <x:v>Seeded</x:v>
      </x:c>
    </x:row>
    <x:row r="256" ht="52" customHeight="1">
      <x:c r="A256" s="24" t="str">
        <x:v>ENT-0255</x:v>
      </x:c>
      <x:c r="B256" s="24" t="str">
        <x:v>Witch Hunter</x:v>
      </x:c>
      <x:c r="C256" s="24" t="str">
        <x:v>SRC-101</x:v>
      </x:c>
      <x:c r="D256" s="24" t="str">
        <x:v>Warhammer: The Old World</x:v>
      </x:c>
      <x:c r="E256" s="24" t="str">
        <x:v>Old World setting</x:v>
      </x:c>
      <x:c r="F256" s="24" t="str">
        <x:v>Religious-legal martial role</x:v>
      </x:c>
      <x:c r="G256" s="24" t="str">
        <x:v>ROL-147</x:v>
      </x:c>
      <x:c r="H256" s="24" t="str">
        <x:f>IFERROR(VLOOKUP(G256,'Master Taxonomy'!$A$2:$B$1656,2,FALSE),"")</x:f>
        <x:v>Mage Hunter and Witch Hunter</x:v>
      </x:c>
      <x:c r="I256" s="24" t="str">
        <x:v>ROL-813</x:v>
      </x:c>
      <x:c r="J256" s="24" t="str">
        <x:v>Exorcist Warrior</x:v>
      </x:c>
      <x:c r="K256" s="24" t="str">
        <x:v>Investigators and executioners combating heresy, cults, undead, and forbidden magic.</x:v>
      </x:c>
      <x:c r="L256" s="24" t="str">
        <x:v>Institutional authority, faith, weapons, investigation, and fear.</x:v>
      </x:c>
      <x:c r="M256" s="24" t="str">
        <x:v>The archetype is morally ambiguous and prone to persecution.</x:v>
      </x:c>
      <x:c r="N256" s="24" t="str">
        <x:v>Occult investigator and inquisitorial hunter.</x:v>
      </x:c>
      <x:c r="O256" s="24" t="str">
        <x:v>Primary canon</x:v>
      </x:c>
      <x:c r="P256" s="24" t="str">
        <x:v>Official reference reviewed</x:v>
      </x:c>
      <x:c r="Q256" s="24" t="str">
        <x:v>Games Workshop official Warhammer: The Old World setting and faction pages; detailed unit verification remains edition-specific.</x:v>
      </x:c>
      <x:c r="R256" s="84" t="str">
        <x:v>https://www.warhammer.com/en-US/explore/the-old-world</x:v>
      </x:c>
      <x:c r="S256" s="24" t="str">
        <x:v>Seeded</x:v>
      </x:c>
    </x:row>
    <x:row r="257" ht="52" customHeight="1">
      <x:c r="A257" s="24" t="str">
        <x:v>ENT-0256</x:v>
      </x:c>
      <x:c r="B257" s="24" t="str">
        <x:v>Dwarf Slayer</x:v>
      </x:c>
      <x:c r="C257" s="24" t="str">
        <x:v>SRC-101</x:v>
      </x:c>
      <x:c r="D257" s="24" t="str">
        <x:v>Warhammer: The Old World</x:v>
      </x:c>
      <x:c r="E257" s="24" t="str">
        <x:v>Old World setting</x:v>
      </x:c>
      <x:c r="F257" s="24" t="str">
        <x:v>Oath-bound martial state</x:v>
      </x:c>
      <x:c r="G257" s="24" t="str">
        <x:v>ROL-111</x:v>
      </x:c>
      <x:c r="H257" s="24" t="str">
        <x:f>IFERROR(VLOOKUP(G257,'Master Taxonomy'!$A$2:$B$1656,2,FALSE),"")</x:f>
        <x:v>Berserker</x:v>
      </x:c>
      <x:c r="I257" s="24" t="str">
        <x:v>ROL-145</x:v>
      </x:c>
      <x:c r="J257" s="24" t="str">
        <x:v>Dragon Slayer</x:v>
      </x:c>
      <x:c r="K257" s="24" t="str">
        <x:v>Dwarfs who take a death-seeking oath to redeem perceived dishonor through impossible combat.</x:v>
      </x:c>
      <x:c r="L257" s="24" t="str">
        <x:v>Oath, shame, martial specialization, and social transformation.</x:v>
      </x:c>
      <x:c r="M257" s="24" t="str">
        <x:v>‘Slayer’ is an identity and condition, not only a monster-killing skill.</x:v>
      </x:c>
      <x:c r="N257" s="24" t="str">
        <x:v>Oath-bound doomed berserker.</x:v>
      </x:c>
      <x:c r="O257" s="24" t="str">
        <x:v>Primary canon</x:v>
      </x:c>
      <x:c r="P257" s="24" t="str">
        <x:v>Official reference reviewed</x:v>
      </x:c>
      <x:c r="Q257" s="24" t="str">
        <x:v>Games Workshop official Warhammer: The Old World setting and faction pages; detailed unit verification remains edition-specific.</x:v>
      </x:c>
      <x:c r="R257" s="84" t="str">
        <x:v>https://www.warhammer.com/en-US/explore/the-old-world</x:v>
      </x:c>
      <x:c r="S257" s="24" t="str">
        <x:v>Seeded</x:v>
      </x:c>
    </x:row>
    <x:row r="258" ht="52" customHeight="1">
      <x:c r="A258" s="24" t="str">
        <x:v>ENT-0257</x:v>
      </x:c>
      <x:c r="B258" s="24" t="str">
        <x:v>Grail Knight</x:v>
      </x:c>
      <x:c r="C258" s="24" t="str">
        <x:v>SRC-101</x:v>
      </x:c>
      <x:c r="D258" s="24" t="str">
        <x:v>Warhammer: The Old World</x:v>
      </x:c>
      <x:c r="E258" s="24" t="str">
        <x:v>Old World setting</x:v>
      </x:c>
      <x:c r="F258" s="24" t="str">
        <x:v>Sacred knightly elite</x:v>
      </x:c>
      <x:c r="G258" s="24" t="str">
        <x:v>ROL-117</x:v>
      </x:c>
      <x:c r="H258" s="24" t="str">
        <x:f>IFERROR(VLOOKUP(G258,'Master Taxonomy'!$A$2:$B$1656,2,FALSE),"")</x:f>
        <x:v>Paladin and Holy Knight</x:v>
      </x:c>
      <x:c r="I258" s="24" t="str">
        <x:v>INS-204</x:v>
      </x:c>
      <x:c r="J258" s="24" t="str">
        <x:v>Knightly Order</x:v>
      </x:c>
      <x:c r="K258" s="24" t="str">
        <x:v>Bretonnian knights transformed or blessed through attainment of the Grail quest.</x:v>
      </x:c>
      <x:c r="L258" s="24" t="str">
        <x:v>Chivalric quest, divine favor, lineage, and martial training.</x:v>
      </x:c>
      <x:c r="M258" s="24" t="str">
        <x:v>The role is embedded in a specific feudal and religious ideology.</x:v>
      </x:c>
      <x:c r="N258" s="24" t="str">
        <x:v>Quest-completed holy knight.</x:v>
      </x:c>
      <x:c r="O258" s="24" t="str">
        <x:v>Primary canon</x:v>
      </x:c>
      <x:c r="P258" s="24" t="str">
        <x:v>Official reference reviewed</x:v>
      </x:c>
      <x:c r="Q258" s="24" t="str">
        <x:v>Games Workshop official Warhammer: The Old World setting and faction pages; detailed unit verification remains edition-specific.</x:v>
      </x:c>
      <x:c r="R258" s="84" t="str">
        <x:v>https://www.warhammer.com/en-US/explore/the-old-world</x:v>
      </x:c>
      <x:c r="S258" s="24" t="str">
        <x:v>Seeded</x:v>
      </x:c>
    </x:row>
    <x:row r="259" ht="52" customHeight="1">
      <x:c r="A259" s="24" t="str">
        <x:v>ENT-0258</x:v>
      </x:c>
      <x:c r="B259" s="24" t="str">
        <x:v>Battle Wizard</x:v>
      </x:c>
      <x:c r="C259" s="24" t="str">
        <x:v>SRC-101</x:v>
      </x:c>
      <x:c r="D259" s="24" t="str">
        <x:v>Warhammer: The Old World</x:v>
      </x:c>
      <x:c r="E259" s="24" t="str">
        <x:v>Old World setting</x:v>
      </x:c>
      <x:c r="F259" s="24" t="str">
        <x:v>Licensed combat mage</x:v>
      </x:c>
      <x:c r="G259" s="24" t="str">
        <x:v>ROL-802</x:v>
      </x:c>
      <x:c r="H259" s="24" t="str">
        <x:f>IFERROR(VLOOKUP(G259,'Master Taxonomy'!$A$2:$B$1656,2,FALSE),"")</x:f>
        <x:v>Battlemage</x:v>
      </x:c>
      <x:c r="I259" s="24" t="str">
        <x:v>INS-102</x:v>
      </x:c>
      <x:c r="J259" s="24" t="str">
        <x:v>Mage Guild</x:v>
      </x:c>
      <x:c r="K259" s="24" t="str">
        <x:v>Formally trained human magic user associated with a particular magical wind and imperial college.</x:v>
      </x:c>
      <x:c r="L259" s="24" t="str">
        <x:v>Education, licensing, magical wind, and military service.</x:v>
      </x:c>
      <x:c r="M259" s="24" t="str">
        <x:v>Institutional control and specialized schools are central.</x:v>
      </x:c>
      <x:c r="N259" s="24" t="str">
        <x:v>State-regulated elemental battlemage.</x:v>
      </x:c>
      <x:c r="O259" s="24" t="str">
        <x:v>Primary canon</x:v>
      </x:c>
      <x:c r="P259" s="24" t="str">
        <x:v>Official reference reviewed</x:v>
      </x:c>
      <x:c r="Q259" s="24" t="str">
        <x:v>Games Workshop official Warhammer: The Old World setting and faction pages; detailed unit verification remains edition-specific.</x:v>
      </x:c>
      <x:c r="R259" s="84" t="str">
        <x:v>https://www.warhammer.com/en-US/explore/the-old-world</x:v>
      </x:c>
      <x:c r="S259" s="24" t="str">
        <x:v>Seeded</x:v>
      </x:c>
    </x:row>
    <x:row r="260" ht="52" customHeight="1">
      <x:c r="A260" s="24" t="str">
        <x:v>ENT-0259</x:v>
      </x:c>
      <x:c r="B260" s="24" t="str">
        <x:v>Warrior Priest</x:v>
      </x:c>
      <x:c r="C260" s="24" t="str">
        <x:v>SRC-101</x:v>
      </x:c>
      <x:c r="D260" s="24" t="str">
        <x:v>Warhammer: The Old World</x:v>
      </x:c>
      <x:c r="E260" s="24" t="str">
        <x:v>Old World setting</x:v>
      </x:c>
      <x:c r="F260" s="24" t="str">
        <x:v>Martial religious role</x:v>
      </x:c>
      <x:c r="G260" s="24" t="str">
        <x:v>ROL-117</x:v>
      </x:c>
      <x:c r="H260" s="24" t="str">
        <x:f>IFERROR(VLOOKUP(G260,'Master Taxonomy'!$A$2:$B$1656,2,FALSE),"")</x:f>
        <x:v>Paladin and Holy Knight</x:v>
      </x:c>
      <x:c r="I260" s="24" t="str">
        <x:v>ROL-401</x:v>
      </x:c>
      <x:c r="J260" s="24" t="str">
        <x:v>Priest</x:v>
      </x:c>
      <x:c r="K260" s="24" t="str">
        <x:v>Armored clergy who combine preaching, combat, and divine battle prayers.</x:v>
      </x:c>
      <x:c r="L260" s="24" t="str">
        <x:v>Faith, ordination, weapon training, and miracles.</x:v>
      </x:c>
      <x:c r="M260" s="24" t="str">
        <x:v>Unlike a generic paladin, the priestly office is explicit.</x:v>
      </x:c>
      <x:c r="N260" s="24" t="str">
        <x:v>Militant cleric and morale leader.</x:v>
      </x:c>
      <x:c r="O260" s="24" t="str">
        <x:v>Primary canon</x:v>
      </x:c>
      <x:c r="P260" s="24" t="str">
        <x:v>Official reference reviewed</x:v>
      </x:c>
      <x:c r="Q260" s="24" t="str">
        <x:v>Games Workshop official Warhammer: The Old World setting and faction pages; detailed unit verification remains edition-specific.</x:v>
      </x:c>
      <x:c r="R260" s="84" t="str">
        <x:v>https://www.warhammer.com/en-US/explore/the-old-world</x:v>
      </x:c>
      <x:c r="S260" s="24" t="str">
        <x:v>Seeded</x:v>
      </x:c>
    </x:row>
    <x:row r="261" ht="52" customHeight="1">
      <x:c r="A261" s="24" t="str">
        <x:v>ENT-0260</x:v>
      </x:c>
      <x:c r="B261" s="24" t="str">
        <x:v>Necromancer</x:v>
      </x:c>
      <x:c r="C261" s="24" t="str">
        <x:v>SRC-101</x:v>
      </x:c>
      <x:c r="D261" s="24" t="str">
        <x:v>Warhammer: The Old World</x:v>
      </x:c>
      <x:c r="E261" s="24" t="str">
        <x:v>Old World setting</x:v>
      </x:c>
      <x:c r="F261" s="24" t="str">
        <x:v>Forbidden caster</x:v>
      </x:c>
      <x:c r="G261" s="24" t="str">
        <x:v>ROL-315</x:v>
      </x:c>
      <x:c r="H261" s="24" t="str">
        <x:f>IFERROR(VLOOKUP(G261,'Master Taxonomy'!$A$2:$B$1656,2,FALSE),"")</x:f>
        <x:v>Necromancer</x:v>
      </x:c>
      <x:c r="I261" s="24" t="str">
        <x:v>INS-313</x:v>
      </x:c>
      <x:c r="J261" s="24" t="str">
        <x:v>Necromancer Cabal</x:v>
      </x:c>
      <x:c r="K261" s="24" t="str">
        <x:v>Mortal or undead-associated practitioners who animate and command the dead.</x:v>
      </x:c>
      <x:c r="L261" s="24" t="str">
        <x:v>Learned forbidden magic, corpses, souls, and corruption.</x:v>
      </x:c>
      <x:c r="M261" s="24" t="str">
        <x:v>Necromancy's cosmological source and legal status are setting-specific.</x:v>
      </x:c>
      <x:c r="N261" s="24" t="str">
        <x:v>Army-raising death mage.</x:v>
      </x:c>
      <x:c r="O261" s="24" t="str">
        <x:v>Primary canon</x:v>
      </x:c>
      <x:c r="P261" s="24" t="str">
        <x:v>Official reference reviewed</x:v>
      </x:c>
      <x:c r="Q261" s="24" t="str">
        <x:v>Games Workshop official Warhammer: The Old World setting and faction pages; detailed unit verification remains edition-specific.</x:v>
      </x:c>
      <x:c r="R261" s="84" t="str">
        <x:v>https://www.warhammer.com/en-US/explore/the-old-world</x:v>
      </x:c>
      <x:c r="S261" s="24" t="str">
        <x:v>Seeded</x:v>
      </x:c>
    </x:row>
    <x:row r="262" ht="52" customHeight="1">
      <x:c r="A262" s="24" t="str">
        <x:v>ENT-0261</x:v>
      </x:c>
      <x:c r="B262" s="24" t="str">
        <x:v>Humans</x:v>
      </x:c>
      <x:c r="C262" s="24" t="str">
        <x:v>SRC-196</x:v>
      </x:c>
      <x:c r="D262" s="24" t="str">
        <x:v>Frieren: Beyond Journey's End</x:v>
      </x:c>
      <x:c r="E262" s="24" t="str">
        <x:v>Manga/anime continuity</x:v>
      </x:c>
      <x:c r="F262" s="24" t="str">
        <x:v>People</x:v>
      </x:c>
      <x:c r="G262" s="24" t="str">
        <x:v>PPL-101</x:v>
      </x:c>
      <x:c r="H262" s="24" t="str">
        <x:f>IFERROR(VLOOKUP(G262,'Master Taxonomy'!$A$2:$B$1656,2,FALSE),"")</x:f>
        <x:v>Human and Near-Human Peoples</x:v>
      </x:c>
      <x:c r="I262" s="24" t="str"/>
      <x:c r="J262" s="24" t="str"/>
      <x:c r="K262" s="24" t="str">
        <x:v>Short-lived mortal people whose generational change is central to the story's time scale.</x:v>
      </x:c>
      <x:c r="L262" s="24" t="str">
        <x:v>Natural ancestry and mortality.</x:v>
      </x:c>
      <x:c r="M262" s="24" t="str">
        <x:v>Their brevity relative to elves shapes memory and relationships more than a mechanical race trait.</x:v>
      </x:c>
      <x:c r="N262" s="24" t="str">
        <x:v>Mortality-contrast human archetype.</x:v>
      </x:c>
      <x:c r="O262" s="24" t="str">
        <x:v>Primary canon</x:v>
      </x:c>
      <x:c r="P262" s="24" t="str">
        <x:v>Secondary reference reviewed</x:v>
      </x:c>
      <x:c r="Q262" s="24" t="str">
        <x:v>Primary manga/anime continuity; secondary orientation source.</x:v>
      </x:c>
      <x:c r="R262" s="84" t="str">
        <x:v>https://en.wikipedia.org/wiki/Frieren:_Beyond_Journey's_End</x:v>
      </x:c>
      <x:c r="S262" s="24" t="str">
        <x:v>Seeded</x:v>
      </x:c>
    </x:row>
    <x:row r="263" ht="52" customHeight="1">
      <x:c r="A263" s="24" t="str">
        <x:v>ENT-0262</x:v>
      </x:c>
      <x:c r="B263" s="24" t="str">
        <x:v>Elves</x:v>
      </x:c>
      <x:c r="C263" s="24" t="str">
        <x:v>SRC-196</x:v>
      </x:c>
      <x:c r="D263" s="24" t="str">
        <x:v>Frieren: Beyond Journey's End</x:v>
      </x:c>
      <x:c r="E263" s="24" t="str">
        <x:v>Manga/anime continuity</x:v>
      </x:c>
      <x:c r="F263" s="24" t="str">
        <x:v>People</x:v>
      </x:c>
      <x:c r="G263" s="24" t="str">
        <x:v>PPL-102</x:v>
      </x:c>
      <x:c r="H263" s="24" t="str">
        <x:f>IFERROR(VLOOKUP(G263,'Master Taxonomy'!$A$2:$B$1656,2,FALSE),"")</x:f>
        <x:v>Elf-Derived Peoples</x:v>
      </x:c>
      <x:c r="I263" s="24" t="str"/>
      <x:c r="J263" s="24" t="str"/>
      <x:c r="K263" s="24" t="str">
        <x:v>Extremely long-lived and rare people with different experiences of time, memory, and reproduction.</x:v>
      </x:c>
      <x:c r="L263" s="24" t="str">
        <x:v>Natural ancestry and longevity.</x:v>
      </x:c>
      <x:c r="M263" s="24" t="str">
        <x:v>The work uses longevity for emotional and historical analysis rather than generic superiority.</x:v>
      </x:c>
      <x:c r="N263" s="24" t="str">
        <x:v>Post-adventure immortal elf archetype.</x:v>
      </x:c>
      <x:c r="O263" s="24" t="str">
        <x:v>Primary canon</x:v>
      </x:c>
      <x:c r="P263" s="24" t="str">
        <x:v>Secondary reference reviewed</x:v>
      </x:c>
      <x:c r="Q263" s="24" t="str">
        <x:v>Primary manga/anime continuity; secondary orientation source.</x:v>
      </x:c>
      <x:c r="R263" s="84" t="str">
        <x:v>https://en.wikipedia.org/wiki/Frieren:_Beyond_Journey's_End</x:v>
      </x:c>
      <x:c r="S263" s="24" t="str">
        <x:v>Seeded</x:v>
      </x:c>
    </x:row>
    <x:row r="264" ht="52" customHeight="1">
      <x:c r="A264" s="24" t="str">
        <x:v>ENT-0263</x:v>
      </x:c>
      <x:c r="B264" s="24" t="str">
        <x:v>Dwarves</x:v>
      </x:c>
      <x:c r="C264" s="24" t="str">
        <x:v>SRC-196</x:v>
      </x:c>
      <x:c r="D264" s="24" t="str">
        <x:v>Frieren: Beyond Journey's End</x:v>
      </x:c>
      <x:c r="E264" s="24" t="str">
        <x:v>Manga/anime continuity</x:v>
      </x:c>
      <x:c r="F264" s="24" t="str">
        <x:v>People</x:v>
      </x:c>
      <x:c r="G264" s="24" t="str">
        <x:v>PPL-103</x:v>
      </x:c>
      <x:c r="H264" s="24" t="str">
        <x:f>IFERROR(VLOOKUP(G264,'Master Taxonomy'!$A$2:$B$1656,2,FALSE),"")</x:f>
        <x:v>Dwarf-Derived Peoples</x:v>
      </x:c>
      <x:c r="I264" s="24" t="str"/>
      <x:c r="J264" s="24" t="str"/>
      <x:c r="K264" s="24" t="str">
        <x:v>Long-lived nonhuman people associated with martial endurance and enduring memory.</x:v>
      </x:c>
      <x:c r="L264" s="24" t="str">
        <x:v>Natural ancestry and longevity.</x:v>
      </x:c>
      <x:c r="M264" s="24" t="str">
        <x:v>They are less central as a monocultural craft stereotype.</x:v>
      </x:c>
      <x:c r="N264" s="24" t="str">
        <x:v>Long-lived warrior dwarf analogue.</x:v>
      </x:c>
      <x:c r="O264" s="24" t="str">
        <x:v>Primary canon</x:v>
      </x:c>
      <x:c r="P264" s="24" t="str">
        <x:v>Secondary reference reviewed</x:v>
      </x:c>
      <x:c r="Q264" s="24" t="str">
        <x:v>Primary manga/anime continuity; secondary orientation source.</x:v>
      </x:c>
      <x:c r="R264" s="84" t="str">
        <x:v>https://en.wikipedia.org/wiki/Frieren:_Beyond_Journey's_End</x:v>
      </x:c>
      <x:c r="S264" s="24" t="str">
        <x:v>Seeded</x:v>
      </x:c>
    </x:row>
    <x:row r="265" ht="52" customHeight="1">
      <x:c r="A265" s="24" t="str">
        <x:v>ENT-0264</x:v>
      </x:c>
      <x:c r="B265" s="24" t="str">
        <x:v>Demons</x:v>
      </x:c>
      <x:c r="C265" s="24" t="str">
        <x:v>SRC-196</x:v>
      </x:c>
      <x:c r="D265" s="24" t="str">
        <x:v>Frieren: Beyond Journey's End</x:v>
      </x:c>
      <x:c r="E265" s="24" t="str">
        <x:v>Manga/anime continuity</x:v>
      </x:c>
      <x:c r="F265" s="24" t="str">
        <x:v>Nonhuman predatory people</x:v>
      </x:c>
      <x:c r="G265" s="24" t="str">
        <x:v>PPL-501</x:v>
      </x:c>
      <x:c r="H265" s="24" t="str">
        <x:f>IFERROR(VLOOKUP(G265,'Master Taxonomy'!$A$2:$B$1656,2,FALSE),"")</x:f>
        <x:v>Demons</x:v>
      </x:c>
      <x:c r="I265" s="24" t="str"/>
      <x:c r="J265" s="24" t="str"/>
      <x:c r="K265" s="24" t="str">
        <x:v>Language-using beings whose communication can function as predatory mimicry rather than shared human morality.</x:v>
      </x:c>
      <x:c r="L265" s="24" t="str">
        <x:v>Innate magical nature, predation, and learned speech.</x:v>
      </x:c>
      <x:c r="M265" s="24" t="str">
        <x:v>Their ontology is species-like and differs from fallen spirits or corrupted humans.</x:v>
      </x:c>
      <x:c r="N265" s="24" t="str">
        <x:v>Predatory language-mimic demon archetype.</x:v>
      </x:c>
      <x:c r="O265" s="24" t="str">
        <x:v>Primary canon</x:v>
      </x:c>
      <x:c r="P265" s="24" t="str">
        <x:v>Secondary reference reviewed</x:v>
      </x:c>
      <x:c r="Q265" s="24" t="str">
        <x:v>Primary manga/anime continuity; secondary orientation source.</x:v>
      </x:c>
      <x:c r="R265" s="84" t="str">
        <x:v>https://en.wikipedia.org/wiki/Frieren:_Beyond_Journey's_End</x:v>
      </x:c>
      <x:c r="S265" s="24" t="str">
        <x:v>Seeded</x:v>
      </x:c>
    </x:row>
    <x:row r="266" ht="52" customHeight="1">
      <x:c r="A266" s="24" t="str">
        <x:v>ENT-0265</x:v>
      </x:c>
      <x:c r="B266" s="24" t="str">
        <x:v>Mage</x:v>
      </x:c>
      <x:c r="C266" s="24" t="str">
        <x:v>SRC-196</x:v>
      </x:c>
      <x:c r="D266" s="24" t="str">
        <x:v>Frieren: Beyond Journey's End</x:v>
      </x:c>
      <x:c r="E266" s="24" t="str">
        <x:v>Manga/anime continuity</x:v>
      </x:c>
      <x:c r="F266" s="24" t="str">
        <x:v>Magical profession</x:v>
      </x:c>
      <x:c r="G266" s="24" t="str">
        <x:v>ROL-301</x:v>
      </x:c>
      <x:c r="H266" s="24" t="str">
        <x:f>IFERROR(VLOOKUP(G266,'Master Taxonomy'!$A$2:$B$1656,2,FALSE),"")</x:f>
        <x:v>Mage and Wizard</x:v>
      </x:c>
      <x:c r="I266" s="24" t="str">
        <x:v>ROL-306</x:v>
      </x:c>
      <x:c r="J266" s="24" t="str">
        <x:v>Magical Scholar</x:v>
      </x:c>
      <x:c r="K266" s="24" t="str">
        <x:v>Trained spell users whose careers involve study, collecting spells, combat, and certification.</x:v>
      </x:c>
      <x:c r="L266" s="24" t="str">
        <x:v>Aptitude, study, mana control, spell acquisition, and institutions.</x:v>
      </x:c>
      <x:c r="M266" s="24" t="str">
        <x:v>Everyday utility spells matter alongside combat magic.</x:v>
      </x:c>
      <x:c r="N266" s="24" t="str">
        <x:v>Scholar-adventurer mage.</x:v>
      </x:c>
      <x:c r="O266" s="24" t="str">
        <x:v>Primary canon</x:v>
      </x:c>
      <x:c r="P266" s="24" t="str">
        <x:v>Secondary reference reviewed</x:v>
      </x:c>
      <x:c r="Q266" s="24" t="str">
        <x:v>Primary manga/anime continuity; secondary orientation source.</x:v>
      </x:c>
      <x:c r="R266" s="84" t="str">
        <x:v>https://en.wikipedia.org/wiki/Frieren:_Beyond_Journey's_End</x:v>
      </x:c>
      <x:c r="S266" s="24" t="str">
        <x:v>Seeded</x:v>
      </x:c>
    </x:row>
    <x:row r="267" ht="52" customHeight="1">
      <x:c r="A267" s="24" t="str">
        <x:v>ENT-0266</x:v>
      </x:c>
      <x:c r="B267" s="24" t="str">
        <x:v>First-class mage</x:v>
      </x:c>
      <x:c r="C267" s="24" t="str">
        <x:v>SRC-196</x:v>
      </x:c>
      <x:c r="D267" s="24" t="str">
        <x:v>Frieren: Beyond Journey's End</x:v>
      </x:c>
      <x:c r="E267" s="24" t="str">
        <x:v>Manga/anime continuity</x:v>
      </x:c>
      <x:c r="F267" s="24" t="str">
        <x:v>Professional rank</x:v>
      </x:c>
      <x:c r="G267" s="24" t="str">
        <x:v>MEC-314</x:v>
      </x:c>
      <x:c r="H267" s="24" t="str">
        <x:f>IFERROR(VLOOKUP(G267,'Master Taxonomy'!$A$2:$B$1656,2,FALSE),"")</x:f>
        <x:v>Rank and Promotion System</x:v>
      </x:c>
      <x:c r="I267" s="24" t="str">
        <x:v>INS-102</x:v>
      </x:c>
      <x:c r="J267" s="24" t="str">
        <x:v>Mage Guild</x:v>
      </x:c>
      <x:c r="K267" s="24" t="str">
        <x:v>A high certification rank granted through institutional examination and judgment.</x:v>
      </x:c>
      <x:c r="L267" s="24" t="str">
        <x:v>Exams, reputation, skill, and organizational authority.</x:v>
      </x:c>
      <x:c r="M267" s="24" t="str">
        <x:v>It is a rank layered onto the mage vocation, not a separate species or power source.</x:v>
      </x:c>
      <x:c r="N267" s="24" t="str">
        <x:v>Elite professional mage certification.</x:v>
      </x:c>
      <x:c r="O267" s="24" t="str">
        <x:v>Primary canon</x:v>
      </x:c>
      <x:c r="P267" s="24" t="str">
        <x:v>Secondary reference reviewed</x:v>
      </x:c>
      <x:c r="Q267" s="24" t="str">
        <x:v>Primary manga/anime continuity; secondary orientation source.</x:v>
      </x:c>
      <x:c r="R267" s="84" t="str">
        <x:v>https://en.wikipedia.org/wiki/Frieren:_Beyond_Journey's_End</x:v>
      </x:c>
      <x:c r="S267" s="24" t="str">
        <x:v>Seeded</x:v>
      </x:c>
    </x:row>
    <x:row r="268" ht="52" customHeight="1">
      <x:c r="A268" s="24" t="str">
        <x:v>ENT-0267</x:v>
      </x:c>
      <x:c r="B268" s="24" t="str">
        <x:v>Priest</x:v>
      </x:c>
      <x:c r="C268" s="24" t="str">
        <x:v>SRC-196</x:v>
      </x:c>
      <x:c r="D268" s="24" t="str">
        <x:v>Frieren: Beyond Journey's End</x:v>
      </x:c>
      <x:c r="E268" s="24" t="str">
        <x:v>Manga/anime continuity</x:v>
      </x:c>
      <x:c r="F268" s="24" t="str">
        <x:v>Religious adventuring role</x:v>
      </x:c>
      <x:c r="G268" s="24" t="str">
        <x:v>ROL-401</x:v>
      </x:c>
      <x:c r="H268" s="24" t="str">
        <x:f>IFERROR(VLOOKUP(G268,'Master Taxonomy'!$A$2:$B$1656,2,FALSE),"")</x:f>
        <x:v>Priest</x:v>
      </x:c>
      <x:c r="I268" s="24" t="str">
        <x:v>MEC-112</x:v>
      </x:c>
      <x:c r="J268" s="24" t="str">
        <x:v>Healer</x:v>
      </x:c>
      <x:c r="K268" s="24" t="str">
        <x:v>Clerical spell users providing healing, purification, support, and religious knowledge.</x:v>
      </x:c>
      <x:c r="L268" s="24" t="str">
        <x:v>Faith, training, sacred magic, and party role.</x:v>
      </x:c>
      <x:c r="M268" s="24" t="str">
        <x:v>The title combines social vocation and mechanical-style adventuring function.</x:v>
      </x:c>
      <x:c r="N268" s="24" t="str">
        <x:v>Healer-exorcist party role.</x:v>
      </x:c>
      <x:c r="O268" s="24" t="str">
        <x:v>Primary canon</x:v>
      </x:c>
      <x:c r="P268" s="24" t="str">
        <x:v>Secondary reference reviewed</x:v>
      </x:c>
      <x:c r="Q268" s="24" t="str">
        <x:v>Primary manga/anime continuity; secondary orientation source.</x:v>
      </x:c>
      <x:c r="R268" s="84" t="str">
        <x:v>https://en.wikipedia.org/wiki/Frieren:_Beyond_Journey's_End</x:v>
      </x:c>
      <x:c r="S268" s="24" t="str">
        <x:v>Seeded</x:v>
      </x:c>
    </x:row>
    <x:row r="269" ht="52" customHeight="1">
      <x:c r="A269" s="24" t="str">
        <x:v>ENT-0268</x:v>
      </x:c>
      <x:c r="B269" s="24" t="str">
        <x:v>Warrior</x:v>
      </x:c>
      <x:c r="C269" s="24" t="str">
        <x:v>SRC-196</x:v>
      </x:c>
      <x:c r="D269" s="24" t="str">
        <x:v>Frieren: Beyond Journey's End</x:v>
      </x:c>
      <x:c r="E269" s="24" t="str">
        <x:v>Manga/anime continuity</x:v>
      </x:c>
      <x:c r="F269" s="24" t="str">
        <x:v>Martial adventuring role</x:v>
      </x:c>
      <x:c r="G269" s="24" t="str">
        <x:v>ROL-101</x:v>
      </x:c>
      <x:c r="H269" s="24" t="str">
        <x:f>IFERROR(VLOOKUP(G269,'Master Taxonomy'!$A$2:$B$1656,2,FALSE),"")</x:f>
        <x:v>Warrior or Fighter</x:v>
      </x:c>
      <x:c r="I269" s="24" t="str"/>
      <x:c r="J269" s="24" t="str"/>
      <x:c r="K269" s="24" t="str">
        <x:v>Frontline weapon specialists valued for physical capability, courage, and monster combat.</x:v>
      </x:c>
      <x:c r="L269" s="24" t="str">
        <x:v>Training, physique, equipment, and experience.</x:v>
      </x:c>
      <x:c r="M269" s="24" t="str">
        <x:v>The role is socially legible but not a formal universal class system.</x:v>
      </x:c>
      <x:c r="N269" s="24" t="str">
        <x:v>Frontline adventurer.</x:v>
      </x:c>
      <x:c r="O269" s="24" t="str">
        <x:v>Primary canon</x:v>
      </x:c>
      <x:c r="P269" s="24" t="str">
        <x:v>Secondary reference reviewed</x:v>
      </x:c>
      <x:c r="Q269" s="24" t="str">
        <x:v>Primary manga/anime continuity; secondary orientation source.</x:v>
      </x:c>
      <x:c r="R269" s="84" t="str">
        <x:v>https://en.wikipedia.org/wiki/Frieren:_Beyond_Journey's_End</x:v>
      </x:c>
      <x:c r="S269" s="24" t="str">
        <x:v>Seeded</x:v>
      </x:c>
    </x:row>
    <x:row r="270" ht="52" customHeight="1">
      <x:c r="A270" s="24" t="str">
        <x:v>ENT-0269</x:v>
      </x:c>
      <x:c r="B270" s="24" t="str">
        <x:v>Hero party</x:v>
      </x:c>
      <x:c r="C270" s="24" t="str">
        <x:v>SRC-196</x:v>
      </x:c>
      <x:c r="D270" s="24" t="str">
        <x:v>Frieren: Beyond Journey's End</x:v>
      </x:c>
      <x:c r="E270" s="24" t="str">
        <x:v>Manga/anime continuity</x:v>
      </x:c>
      <x:c r="F270" s="24" t="str">
        <x:v>Adventuring institution / narrative formation</x:v>
      </x:c>
      <x:c r="G270" s="24" t="str">
        <x:v>INS-422</x:v>
      </x:c>
      <x:c r="H270" s="24" t="str">
        <x:f>IFERROR(VLOOKUP(G270,'Master Taxonomy'!$A$2:$B$1656,2,FALSE),"")</x:f>
        <x:v>Adventuring Party</x:v>
      </x:c>
      <x:c r="I270" s="24" t="str">
        <x:v>ROL-904</x:v>
      </x:c>
      <x:c r="J270" s="24" t="str">
        <x:v>Hero Class</x:v>
      </x:c>
      <x:c r="K270" s="24" t="str">
        <x:v>A small mixed-role fellowship remembered for defeating the Demon King.</x:v>
      </x:c>
      <x:c r="L270" s="24" t="str">
        <x:v>Complementary roles, shared quest, reputation, and memory.</x:v>
      </x:c>
      <x:c r="M270" s="24" t="str">
        <x:v>The party's afterlife and remembrance are as important as its combat composition.</x:v>
      </x:c>
      <x:c r="N270" s="24" t="str">
        <x:v>Post-quest legendary party archetype.</x:v>
      </x:c>
      <x:c r="O270" s="24" t="str">
        <x:v>Primary canon</x:v>
      </x:c>
      <x:c r="P270" s="24" t="str">
        <x:v>Secondary reference reviewed</x:v>
      </x:c>
      <x:c r="Q270" s="24" t="str">
        <x:v>Primary manga/anime continuity; secondary orientation source.</x:v>
      </x:c>
      <x:c r="R270" s="84" t="str">
        <x:v>https://en.wikipedia.org/wiki/Frieren:_Beyond_Journey's_End</x:v>
      </x:c>
      <x:c r="S270" s="24" t="str">
        <x:v>Seeded</x:v>
      </x:c>
    </x:row>
    <x:row r="271" ht="52" customHeight="1">
      <x:c r="A271" s="24" t="str">
        <x:v>ENT-0270</x:v>
      </x:c>
      <x:c r="B271" s="24" t="str">
        <x:v>Tall-men</x:v>
      </x:c>
      <x:c r="C271" s="24" t="str">
        <x:v>SRC-197</x:v>
      </x:c>
      <x:c r="D271" s="24" t="str">
        <x:v>Delicious in Dungeon</x:v>
      </x:c>
      <x:c r="E271" s="24" t="str">
        <x:v>Manga/anime continuity</x:v>
      </x:c>
      <x:c r="F271" s="24" t="str">
        <x:v>People</x:v>
      </x:c>
      <x:c r="G271" s="24" t="str">
        <x:v>PPL-101</x:v>
      </x:c>
      <x:c r="H271" s="24" t="str">
        <x:f>IFERROR(VLOOKUP(G271,'Master Taxonomy'!$A$2:$B$1656,2,FALSE),"")</x:f>
        <x:v>Human and Near-Human Peoples</x:v>
      </x:c>
      <x:c r="I271" s="24" t="str"/>
      <x:c r="J271" s="24" t="str"/>
      <x:c r="K271" s="24" t="str">
        <x:v>The setting's ordinary humanlike people, named comparatively among multiple humanoid peoples.</x:v>
      </x:c>
      <x:c r="L271" s="24" t="str">
        <x:v>Natural ancestry and culture.</x:v>
      </x:c>
      <x:c r="M271" s="24" t="str">
        <x:v>The label is relational and setting-specific rather than a universal human category.</x:v>
      </x:c>
      <x:c r="N271" s="24" t="str">
        <x:v>Human baseline in a multi-people setting.</x:v>
      </x:c>
      <x:c r="O271" s="24" t="str">
        <x:v>Primary canon</x:v>
      </x:c>
      <x:c r="P271" s="24" t="str">
        <x:v>Secondary reference reviewed</x:v>
      </x:c>
      <x:c r="Q271" s="24" t="str">
        <x:v>Primary manga/anime continuity; secondary orientation source.</x:v>
      </x:c>
      <x:c r="R271" s="84" t="str">
        <x:v>https://en.wikipedia.org/wiki/Delicious_in_Dungeon</x:v>
      </x:c>
      <x:c r="S271" s="24" t="str">
        <x:v>Seeded</x:v>
      </x:c>
    </x:row>
    <x:row r="272" ht="52" customHeight="1">
      <x:c r="A272" s="24" t="str">
        <x:v>ENT-0271</x:v>
      </x:c>
      <x:c r="B272" s="24" t="str">
        <x:v>Elves</x:v>
      </x:c>
      <x:c r="C272" s="24" t="str">
        <x:v>SRC-197</x:v>
      </x:c>
      <x:c r="D272" s="24" t="str">
        <x:v>Delicious in Dungeon</x:v>
      </x:c>
      <x:c r="E272" s="24" t="str">
        <x:v>Manga/anime continuity</x:v>
      </x:c>
      <x:c r="F272" s="24" t="str">
        <x:v>People</x:v>
      </x:c>
      <x:c r="G272" s="24" t="str">
        <x:v>PPL-102</x:v>
      </x:c>
      <x:c r="H272" s="24" t="str">
        <x:f>IFERROR(VLOOKUP(G272,'Master Taxonomy'!$A$2:$B$1656,2,FALSE),"")</x:f>
        <x:v>Elf-Derived Peoples</x:v>
      </x:c>
      <x:c r="I272" s="24" t="str"/>
      <x:c r="J272" s="24" t="str"/>
      <x:c r="K272" s="24" t="str">
        <x:v>Long-lived people with powerful states, magic, and varied social positions.</x:v>
      </x:c>
      <x:c r="L272" s="24" t="str">
        <x:v>Natural ancestry, longevity, culture, and institutions.</x:v>
      </x:c>
      <x:c r="M272" s="24" t="str">
        <x:v>The series foregrounds biological and political differences without treating all elves as one personality.</x:v>
      </x:c>
      <x:c r="N272" s="24" t="str">
        <x:v>Long-lived imperial elf analogue.</x:v>
      </x:c>
      <x:c r="O272" s="24" t="str">
        <x:v>Primary canon</x:v>
      </x:c>
      <x:c r="P272" s="24" t="str">
        <x:v>Secondary reference reviewed</x:v>
      </x:c>
      <x:c r="Q272" s="24" t="str">
        <x:v>Primary manga/anime continuity; secondary orientation source.</x:v>
      </x:c>
      <x:c r="R272" s="84" t="str">
        <x:v>https://en.wikipedia.org/wiki/Delicious_in_Dungeon</x:v>
      </x:c>
      <x:c r="S272" s="24" t="str">
        <x:v>Seeded</x:v>
      </x:c>
    </x:row>
    <x:row r="273" ht="52" customHeight="1">
      <x:c r="A273" s="24" t="str">
        <x:v>ENT-0272</x:v>
      </x:c>
      <x:c r="B273" s="24" t="str">
        <x:v>Dwarves</x:v>
      </x:c>
      <x:c r="C273" s="24" t="str">
        <x:v>SRC-197</x:v>
      </x:c>
      <x:c r="D273" s="24" t="str">
        <x:v>Delicious in Dungeon</x:v>
      </x:c>
      <x:c r="E273" s="24" t="str">
        <x:v>Manga/anime continuity</x:v>
      </x:c>
      <x:c r="F273" s="24" t="str">
        <x:v>People</x:v>
      </x:c>
      <x:c r="G273" s="24" t="str">
        <x:v>PPL-103</x:v>
      </x:c>
      <x:c r="H273" s="24" t="str">
        <x:f>IFERROR(VLOOKUP(G273,'Master Taxonomy'!$A$2:$B$1656,2,FALSE),"")</x:f>
        <x:v>Dwarf-Derived Peoples</x:v>
      </x:c>
      <x:c r="I273" s="24" t="str"/>
      <x:c r="J273" s="24" t="str"/>
      <x:c r="K273" s="24" t="str">
        <x:v>Robust long-lived people with distinct physiology, history, and cultural variation.</x:v>
      </x:c>
      <x:c r="L273" s="24" t="str">
        <x:v>Natural ancestry and culture.</x:v>
      </x:c>
      <x:c r="M273" s="24" t="str">
        <x:v>Diet, sensory assumptions, and individual backgrounds complicate stock dwarf traits.</x:v>
      </x:c>
      <x:c r="N273" s="24" t="str">
        <x:v>Physiologically distinct dwarf people.</x:v>
      </x:c>
      <x:c r="O273" s="24" t="str">
        <x:v>Primary canon</x:v>
      </x:c>
      <x:c r="P273" s="24" t="str">
        <x:v>Secondary reference reviewed</x:v>
      </x:c>
      <x:c r="Q273" s="24" t="str">
        <x:v>Primary manga/anime continuity; secondary orientation source.</x:v>
      </x:c>
      <x:c r="R273" s="84" t="str">
        <x:v>https://en.wikipedia.org/wiki/Delicious_in_Dungeon</x:v>
      </x:c>
      <x:c r="S273" s="24" t="str">
        <x:v>Seeded</x:v>
      </x:c>
    </x:row>
    <x:row r="274" ht="52" customHeight="1">
      <x:c r="A274" s="24" t="str">
        <x:v>ENT-0273</x:v>
      </x:c>
      <x:c r="B274" s="24" t="str">
        <x:v>Halffoots</x:v>
      </x:c>
      <x:c r="C274" s="24" t="str">
        <x:v>SRC-197</x:v>
      </x:c>
      <x:c r="D274" s="24" t="str">
        <x:v>Delicious in Dungeon</x:v>
      </x:c>
      <x:c r="E274" s="24" t="str">
        <x:v>Manga/anime continuity</x:v>
      </x:c>
      <x:c r="F274" s="24" t="str">
        <x:v>People</x:v>
      </x:c>
      <x:c r="G274" s="24" t="str">
        <x:v>PPL-104</x:v>
      </x:c>
      <x:c r="H274" s="24" t="str">
        <x:f>IFERROR(VLOOKUP(G274,'Master Taxonomy'!$A$2:$B$1656,2,FALSE),"")</x:f>
        <x:v>Halfling and Smallfolk Peoples</x:v>
      </x:c>
      <x:c r="I274" s="24" t="str"/>
      <x:c r="J274" s="24" t="str"/>
      <x:c r="K274" s="24" t="str">
        <x:v>Small-statured people with shorter life spans and social stereotypes around traps and theft.</x:v>
      </x:c>
      <x:c r="L274" s="24" t="str">
        <x:v>Natural ancestry and social history.</x:v>
      </x:c>
      <x:c r="M274" s="24" t="str">
        <x:v>Occupational stereotyping is explicitly separable from ancestry.</x:v>
      </x:c>
      <x:c r="N274" s="24" t="str">
        <x:v>Smallfolk labor-specialization critique.</x:v>
      </x:c>
      <x:c r="O274" s="24" t="str">
        <x:v>Primary canon</x:v>
      </x:c>
      <x:c r="P274" s="24" t="str">
        <x:v>Secondary reference reviewed</x:v>
      </x:c>
      <x:c r="Q274" s="24" t="str">
        <x:v>Primary manga/anime continuity; secondary orientation source.</x:v>
      </x:c>
      <x:c r="R274" s="84" t="str">
        <x:v>https://en.wikipedia.org/wiki/Delicious_in_Dungeon</x:v>
      </x:c>
      <x:c r="S274" s="24" t="str">
        <x:v>Seeded</x:v>
      </x:c>
    </x:row>
    <x:row r="275" ht="52" customHeight="1">
      <x:c r="A275" s="24" t="str">
        <x:v>ENT-0274</x:v>
      </x:c>
      <x:c r="B275" s="24" t="str">
        <x:v>Gnomes</x:v>
      </x:c>
      <x:c r="C275" s="24" t="str">
        <x:v>SRC-197</x:v>
      </x:c>
      <x:c r="D275" s="24" t="str">
        <x:v>Delicious in Dungeon</x:v>
      </x:c>
      <x:c r="E275" s="24" t="str">
        <x:v>Manga/anime continuity</x:v>
      </x:c>
      <x:c r="F275" s="24" t="str">
        <x:v>People</x:v>
      </x:c>
      <x:c r="G275" s="24" t="str">
        <x:v>PPL-105</x:v>
      </x:c>
      <x:c r="H275" s="24" t="str">
        <x:f>IFERROR(VLOOKUP(G275,'Master Taxonomy'!$A$2:$B$1656,2,FALSE),"")</x:f>
        <x:v>Gnome and Tinkerfolk Peoples</x:v>
      </x:c>
      <x:c r="I275" s="24" t="str"/>
      <x:c r="J275" s="24" t="str"/>
      <x:c r="K275" s="24" t="str">
        <x:v>A distinct small people with their own magical and cultural tendencies.</x:v>
      </x:c>
      <x:c r="L275" s="24" t="str">
        <x:v>Natural ancestry, culture, and magic.</x:v>
      </x:c>
      <x:c r="M275" s="24" t="str">
        <x:v>They are not interchangeable with halffoots or dwarves.</x:v>
      </x:c>
      <x:c r="N275" s="24" t="str">
        <x:v>Small magical people.</x:v>
      </x:c>
      <x:c r="O275" s="24" t="str">
        <x:v>Primary canon</x:v>
      </x:c>
      <x:c r="P275" s="24" t="str">
        <x:v>Secondary reference reviewed</x:v>
      </x:c>
      <x:c r="Q275" s="24" t="str">
        <x:v>Primary manga/anime continuity; secondary orientation source.</x:v>
      </x:c>
      <x:c r="R275" s="84" t="str">
        <x:v>https://en.wikipedia.org/wiki/Delicious_in_Dungeon</x:v>
      </x:c>
      <x:c r="S275" s="24" t="str">
        <x:v>Seeded</x:v>
      </x:c>
    </x:row>
    <x:row r="276" ht="52" customHeight="1">
      <x:c r="A276" s="24" t="str">
        <x:v>ENT-0275</x:v>
      </x:c>
      <x:c r="B276" s="24" t="str">
        <x:v>Orcs</x:v>
      </x:c>
      <x:c r="C276" s="24" t="str">
        <x:v>SRC-197</x:v>
      </x:c>
      <x:c r="D276" s="24" t="str">
        <x:v>Delicious in Dungeon</x:v>
      </x:c>
      <x:c r="E276" s="24" t="str">
        <x:v>Manga/anime continuity</x:v>
      </x:c>
      <x:c r="F276" s="24" t="str">
        <x:v>People</x:v>
      </x:c>
      <x:c r="G276" s="24" t="str">
        <x:v>PPL-106</x:v>
      </x:c>
      <x:c r="H276" s="24" t="str">
        <x:f>IFERROR(VLOOKUP(G276,'Master Taxonomy'!$A$2:$B$1656,2,FALSE),"")</x:f>
        <x:v>Orc-Derived Peoples</x:v>
      </x:c>
      <x:c r="I276" s="24" t="str"/>
      <x:c r="J276" s="24" t="str"/>
      <x:c r="K276" s="24" t="str">
        <x:v>Displaced or marginalized people with communities and political grievances around dungeon territories.</x:v>
      </x:c>
      <x:c r="L276" s="24" t="str">
        <x:v>Natural ancestry, culture, and historical conflict.</x:v>
      </x:c>
      <x:c r="M276" s="24" t="str">
        <x:v>The work resists treating orcs as faceless monster mobs.</x:v>
      </x:c>
      <x:c r="N276" s="24" t="str">
        <x:v>Marginalized orc society.</x:v>
      </x:c>
      <x:c r="O276" s="24" t="str">
        <x:v>Primary canon</x:v>
      </x:c>
      <x:c r="P276" s="24" t="str">
        <x:v>Secondary reference reviewed</x:v>
      </x:c>
      <x:c r="Q276" s="24" t="str">
        <x:v>Primary manga/anime continuity; secondary orientation source.</x:v>
      </x:c>
      <x:c r="R276" s="84" t="str">
        <x:v>https://en.wikipedia.org/wiki/Delicious_in_Dungeon</x:v>
      </x:c>
      <x:c r="S276" s="24" t="str">
        <x:v>Seeded</x:v>
      </x:c>
    </x:row>
    <x:row r="277" ht="52" customHeight="1">
      <x:c r="A277" s="24" t="str">
        <x:v>ENT-0276</x:v>
      </x:c>
      <x:c r="B277" s="24" t="str">
        <x:v>Kobolds</x:v>
      </x:c>
      <x:c r="C277" s="24" t="str">
        <x:v>SRC-197</x:v>
      </x:c>
      <x:c r="D277" s="24" t="str">
        <x:v>Delicious in Dungeon</x:v>
      </x:c>
      <x:c r="E277" s="24" t="str">
        <x:v>Manga/anime continuity</x:v>
      </x:c>
      <x:c r="F277" s="24" t="str">
        <x:v>Canine-featured people</x:v>
      </x:c>
      <x:c r="G277" s="24" t="str">
        <x:v>PPL-120</x:v>
      </x:c>
      <x:c r="H277" s="24" t="str">
        <x:f>IFERROR(VLOOKUP(G277,'Master Taxonomy'!$A$2:$B$1656,2,FALSE),"")</x:f>
        <x:v>Canine Beastfolk</x:v>
      </x:c>
      <x:c r="I277" s="24" t="str"/>
      <x:c r="J277" s="24" t="str"/>
      <x:c r="K277" s="24" t="str">
        <x:v>Doglike humanoid people with distinct physiology and culture.</x:v>
      </x:c>
      <x:c r="L277" s="24" t="str">
        <x:v>Natural ancestry and culture.</x:v>
      </x:c>
      <x:c r="M277" s="24" t="str">
        <x:v>The name differs from reptilian kobolds in some games and folklore mine spirits.</x:v>
      </x:c>
      <x:c r="N277" s="24" t="str">
        <x:v>Canine kobold people.</x:v>
      </x:c>
      <x:c r="O277" s="24" t="str">
        <x:v>Primary canon</x:v>
      </x:c>
      <x:c r="P277" s="24" t="str">
        <x:v>Secondary reference reviewed</x:v>
      </x:c>
      <x:c r="Q277" s="24" t="str">
        <x:v>Primary manga/anime continuity; secondary orientation source.</x:v>
      </x:c>
      <x:c r="R277" s="84" t="str">
        <x:v>https://en.wikipedia.org/wiki/Delicious_in_Dungeon</x:v>
      </x:c>
      <x:c r="S277" s="24" t="str">
        <x:v>Seeded</x:v>
      </x:c>
    </x:row>
    <x:row r="278" ht="52" customHeight="1">
      <x:c r="A278" s="24" t="str">
        <x:v>ENT-0277</x:v>
      </x:c>
      <x:c r="B278" s="24" t="str">
        <x:v>Ogres</x:v>
      </x:c>
      <x:c r="C278" s="24" t="str">
        <x:v>SRC-197</x:v>
      </x:c>
      <x:c r="D278" s="24" t="str">
        <x:v>Delicious in Dungeon</x:v>
      </x:c>
      <x:c r="E278" s="24" t="str">
        <x:v>Manga/anime continuity</x:v>
      </x:c>
      <x:c r="F278" s="24" t="str">
        <x:v>People</x:v>
      </x:c>
      <x:c r="G278" s="24" t="str">
        <x:v>PPL-109</x:v>
      </x:c>
      <x:c r="H278" s="24" t="str">
        <x:f>IFERROR(VLOOKUP(G278,'Master Taxonomy'!$A$2:$B$1656,2,FALSE),"")</x:f>
        <x:v>Ogrekin Peoples</x:v>
      </x:c>
      <x:c r="I278" s="24" t="str"/>
      <x:c r="J278" s="24" t="str"/>
      <x:c r="K278" s="24" t="str">
        <x:v>Large humanoid people with their own social identities.</x:v>
      </x:c>
      <x:c r="L278" s="24" t="str">
        <x:v>Natural ancestry and culture.</x:v>
      </x:c>
      <x:c r="M278" s="24" t="str">
        <x:v>Size does not make them mindless monsters.</x:v>
      </x:c>
      <x:c r="N278" s="24" t="str">
        <x:v>Playable-style ogre people.</x:v>
      </x:c>
      <x:c r="O278" s="24" t="str">
        <x:v>Primary canon</x:v>
      </x:c>
      <x:c r="P278" s="24" t="str">
        <x:v>Secondary reference reviewed</x:v>
      </x:c>
      <x:c r="Q278" s="24" t="str">
        <x:v>Primary manga/anime continuity; secondary orientation source.</x:v>
      </x:c>
      <x:c r="R278" s="84" t="str">
        <x:v>https://en.wikipedia.org/wiki/Delicious_in_Dungeon</x:v>
      </x:c>
      <x:c r="S278" s="24" t="str">
        <x:v>Seeded</x:v>
      </x:c>
    </x:row>
    <x:row r="279" ht="52" customHeight="1">
      <x:c r="A279" s="24" t="str">
        <x:v>ENT-0278</x:v>
      </x:c>
      <x:c r="B279" s="24" t="str">
        <x:v>Dungeon adventuring parties</x:v>
      </x:c>
      <x:c r="C279" s="24" t="str">
        <x:v>SRC-197</x:v>
      </x:c>
      <x:c r="D279" s="24" t="str">
        <x:v>Delicious in Dungeon</x:v>
      </x:c>
      <x:c r="E279" s="24" t="str">
        <x:v>Manga/anime continuity</x:v>
      </x:c>
      <x:c r="F279" s="24" t="str">
        <x:v>Social and occupational formation</x:v>
      </x:c>
      <x:c r="G279" s="24" t="str">
        <x:v>INS-422</x:v>
      </x:c>
      <x:c r="H279" s="24" t="str">
        <x:f>IFERROR(VLOOKUP(G279,'Master Taxonomy'!$A$2:$B$1656,2,FALSE),"")</x:f>
        <x:v>Adventuring Party</x:v>
      </x:c>
      <x:c r="I279" s="24" t="str">
        <x:v>ROL-903</x:v>
      </x:c>
      <x:c r="J279" s="24" t="str">
        <x:v>Dungeon Delver</x:v>
      </x:c>
      <x:c r="K279" s="24" t="str">
        <x:v>Small teams combining combat, magic, traps, logistics, cooking, and rescue skills.</x:v>
      </x:c>
      <x:c r="L279" s="24" t="str">
        <x:v>Complementary expertise, contracts, supplies, and trust.</x:v>
      </x:c>
      <x:c r="M279" s="24" t="str">
        <x:v>Food, ecology, and logistics are treated as core competencies rather than background flavor.</x:v>
      </x:c>
      <x:c r="N279" s="24" t="str">
        <x:v>Ecological dungeon expedition team.</x:v>
      </x:c>
      <x:c r="O279" s="24" t="str">
        <x:v>Primary canon</x:v>
      </x:c>
      <x:c r="P279" s="24" t="str">
        <x:v>Secondary reference reviewed</x:v>
      </x:c>
      <x:c r="Q279" s="24" t="str">
        <x:v>Primary manga/anime continuity; secondary orientation source.</x:v>
      </x:c>
      <x:c r="R279" s="84" t="str">
        <x:v>https://en.wikipedia.org/wiki/Delicious_in_Dungeon</x:v>
      </x:c>
      <x:c r="S279" s="24" t="str">
        <x:v>Seeded</x:v>
      </x:c>
    </x:row>
    <x:row r="280" ht="52" customHeight="1">
      <x:c r="A280" s="24" t="str">
        <x:v>ENT-0279</x:v>
      </x:c>
      <x:c r="B280" s="24" t="str">
        <x:v>Dungeon ecosystem</x:v>
      </x:c>
      <x:c r="C280" s="24" t="str">
        <x:v>SRC-197</x:v>
      </x:c>
      <x:c r="D280" s="24" t="str">
        <x:v>Delicious in Dungeon</x:v>
      </x:c>
      <x:c r="E280" s="24" t="str">
        <x:v>Manga/anime continuity</x:v>
      </x:c>
      <x:c r="F280" s="24" t="str">
        <x:v>Environmental-civilizational system</x:v>
      </x:c>
      <x:c r="G280" s="24" t="str">
        <x:v>CIV-219</x:v>
      </x:c>
      <x:c r="H280" s="24" t="str">
        <x:f>IFERROR(VLOOKUP(G280,'Master Taxonomy'!$A$2:$B$1656,2,FALSE),"")</x:f>
        <x:v>Dungeon Civilization</x:v>
      </x:c>
      <x:c r="I280" s="24" t="str">
        <x:v>NAR-338</x:v>
      </x:c>
      <x:c r="J280" s="24" t="str">
        <x:v>Dungeon as Antagonist</x:v>
      </x:c>
      <x:c r="K280" s="24" t="str">
        <x:v>A magical dungeon functioning as habitat, economy, food web, ruin, and political object.</x:v>
      </x:c>
      <x:c r="L280" s="24" t="str">
        <x:v>Magic, ecology, resource cycles, monsters, and governance.</x:v>
      </x:c>
      <x:c r="M280" s="24" t="str">
        <x:v>The dungeon is not merely a sequence of combat rooms.</x:v>
      </x:c>
      <x:c r="N280" s="24" t="str">
        <x:v>Integrated dungeon ecology archetype.</x:v>
      </x:c>
      <x:c r="O280" s="24" t="str">
        <x:v>Primary canon</x:v>
      </x:c>
      <x:c r="P280" s="24" t="str">
        <x:v>Secondary reference reviewed</x:v>
      </x:c>
      <x:c r="Q280" s="24" t="str">
        <x:v>Primary manga/anime continuity; secondary orientation source.</x:v>
      </x:c>
      <x:c r="R280" s="84" t="str">
        <x:v>https://en.wikipedia.org/wiki/Delicious_in_Dungeon</x:v>
      </x:c>
      <x:c r="S280" s="24" t="str">
        <x:v>Seeded</x:v>
      </x:c>
    </x:row>
    <x:row r="281" ht="52" customHeight="1">
      <x:c r="A281" s="24" t="str">
        <x:v>ENT-0280</x:v>
      </x:c>
      <x:c r="B281" s="24" t="str">
        <x:v>Human mercenaries</x:v>
      </x:c>
      <x:c r="C281" s="24" t="str">
        <x:v>SRC-195</x:v>
      </x:c>
      <x:c r="D281" s="24" t="str">
        <x:v>Berserk</x:v>
      </x:c>
      <x:c r="E281" s="24" t="str">
        <x:v>Manga continuity</x:v>
      </x:c>
      <x:c r="F281" s="24" t="str">
        <x:v>Martial profession</x:v>
      </x:c>
      <x:c r="G281" s="24" t="str">
        <x:v>ROL-137</x:v>
      </x:c>
      <x:c r="H281" s="24" t="str">
        <x:f>IFERROR(VLOOKUP(G281,'Master Taxonomy'!$A$2:$B$1656,2,FALSE),"")</x:f>
        <x:v>Mercenary</x:v>
      </x:c>
      <x:c r="I281" s="24" t="str">
        <x:v>INS-206</x:v>
      </x:c>
      <x:c r="J281" s="24" t="str">
        <x:v>Mercenary Company</x:v>
      </x:c>
      <x:c r="K281" s="24" t="str">
        <x:v>Professional soldiers organized into bands amid chronic warfare.</x:v>
      </x:c>
      <x:c r="L281" s="24" t="str">
        <x:v>Training, contracts, reputation, equipment, and loyalty.</x:v>
      </x:c>
      <x:c r="M281" s="24" t="str">
        <x:v>Mercenary life is a social economy, not only a combat class.</x:v>
      </x:c>
      <x:c r="N281" s="24" t="str">
        <x:v>Wandering warband archetype.</x:v>
      </x:c>
      <x:c r="O281" s="24" t="str">
        <x:v>Primary canon</x:v>
      </x:c>
      <x:c r="P281" s="24" t="str">
        <x:v>Secondary reference reviewed</x:v>
      </x:c>
      <x:c r="Q281" s="24" t="str">
        <x:v>Primary manga continuity; secondary orientation source.</x:v>
      </x:c>
      <x:c r="R281" s="84" t="str">
        <x:v>https://en.wikipedia.org/wiki/Berserk</x:v>
      </x:c>
      <x:c r="S281" s="24" t="str">
        <x:v>Seeded</x:v>
      </x:c>
    </x:row>
    <x:row r="282" ht="52" customHeight="1">
      <x:c r="A282" s="24" t="str">
        <x:v>ENT-0281</x:v>
      </x:c>
      <x:c r="B282" s="24" t="str">
        <x:v>Apostles</x:v>
      </x:c>
      <x:c r="C282" s="24" t="str">
        <x:v>SRC-195</x:v>
      </x:c>
      <x:c r="D282" s="24" t="str">
        <x:v>Berserk</x:v>
      </x:c>
      <x:c r="E282" s="24" t="str">
        <x:v>Manga continuity</x:v>
      </x:c>
      <x:c r="F282" s="24" t="str">
        <x:v>Transformed monsters</x:v>
      </x:c>
      <x:c r="G282" s="24" t="str">
        <x:v>STA-208</x:v>
      </x:c>
      <x:c r="H282" s="24" t="str">
        <x:f>IFERROR(VLOOKUP(G282,'Master Taxonomy'!$A$2:$B$1656,2,FALSE),"")</x:f>
        <x:v>Demonic Transformation</x:v>
      </x:c>
      <x:c r="I282" s="24" t="str">
        <x:v>PPL-1005</x:v>
      </x:c>
      <x:c r="J282" s="24" t="str">
        <x:v>Hybrid and Chimera Peoples</x:v>
      </x:c>
      <x:c r="K282" s="24" t="str">
        <x:v>Humans transformed through sacrificial supernatural bargains into monstrous forms.</x:v>
      </x:c>
      <x:c r="L282" s="24" t="str">
        <x:v>Artifact-mediated pact, sacrifice, desire, and transformation.</x:v>
      </x:c>
      <x:c r="M282" s="24" t="str">
        <x:v>They retain individual identity and history despite monstrous ontology.</x:v>
      </x:c>
      <x:c r="N282" s="24" t="str">
        <x:v>Pact-transformed elite monster.</x:v>
      </x:c>
      <x:c r="O282" s="24" t="str">
        <x:v>Primary canon</x:v>
      </x:c>
      <x:c r="P282" s="24" t="str">
        <x:v>Secondary reference reviewed</x:v>
      </x:c>
      <x:c r="Q282" s="24" t="str">
        <x:v>Primary manga continuity; secondary orientation source.</x:v>
      </x:c>
      <x:c r="R282" s="84" t="str">
        <x:v>https://en.wikipedia.org/wiki/Berserk</x:v>
      </x:c>
      <x:c r="S282" s="24" t="str">
        <x:v>Seeded</x:v>
      </x:c>
    </x:row>
    <x:row r="283" ht="52" customHeight="1">
      <x:c r="A283" s="24" t="str">
        <x:v>ENT-0282</x:v>
      </x:c>
      <x:c r="B283" s="24" t="str">
        <x:v>God Hand</x:v>
      </x:c>
      <x:c r="C283" s="24" t="str">
        <x:v>SRC-195</x:v>
      </x:c>
      <x:c r="D283" s="24" t="str">
        <x:v>Berserk</x:v>
      </x:c>
      <x:c r="E283" s="24" t="str">
        <x:v>Manga continuity</x:v>
      </x:c>
      <x:c r="F283" s="24" t="str">
        <x:v>Metaphysical ruling beings</x:v>
      </x:c>
      <x:c r="G283" s="24" t="str">
        <x:v>PPL-509</x:v>
      </x:c>
      <x:c r="H283" s="24" t="str">
        <x:f>IFERROR(VLOOKUP(G283,'Master Taxonomy'!$A$2:$B$1656,2,FALSE),"")</x:f>
        <x:v>Demon Lords and Archfiends</x:v>
      </x:c>
      <x:c r="I283" s="24" t="str">
        <x:v>PPL-1102</x:v>
      </x:c>
      <x:c r="J283" s="24" t="str">
        <x:v>Alien and Otherworlder Peoples</x:v>
      </x:c>
      <x:c r="K283" s="24" t="str">
        <x:v>A small group of transcendent beings connected to causality, sacrifice, and the astral world.</x:v>
      </x:c>
      <x:c r="L283" s="24" t="str">
        <x:v>Transformation, metaphysical office, causality, and ritual.</x:v>
      </x:c>
      <x:c r="M283" s="24" t="str">
        <x:v>Their exact ontology should not be equated automatically with conventional devils.</x:v>
      </x:c>
      <x:c r="N283" s="24" t="str">
        <x:v>Cosmic archfiend council.</x:v>
      </x:c>
      <x:c r="O283" s="24" t="str">
        <x:v>Primary canon</x:v>
      </x:c>
      <x:c r="P283" s="24" t="str">
        <x:v>Secondary reference reviewed</x:v>
      </x:c>
      <x:c r="Q283" s="24" t="str">
        <x:v>Primary manga continuity; secondary orientation source.</x:v>
      </x:c>
      <x:c r="R283" s="84" t="str">
        <x:v>https://en.wikipedia.org/wiki/Berserk</x:v>
      </x:c>
      <x:c r="S283" s="24" t="str">
        <x:v>Seeded</x:v>
      </x:c>
    </x:row>
    <x:row r="284" ht="52" customHeight="1">
      <x:c r="A284" s="24" t="str">
        <x:v>ENT-0283</x:v>
      </x:c>
      <x:c r="B284" s="24" t="str">
        <x:v>Witches</x:v>
      </x:c>
      <x:c r="C284" s="24" t="str">
        <x:v>SRC-195</x:v>
      </x:c>
      <x:c r="D284" s="24" t="str">
        <x:v>Berserk</x:v>
      </x:c>
      <x:c r="E284" s="24" t="str">
        <x:v>Manga continuity</x:v>
      </x:c>
      <x:c r="F284" s="24" t="str">
        <x:v>Magical vocation</x:v>
      </x:c>
      <x:c r="G284" s="24" t="str">
        <x:v>ROL-303</x:v>
      </x:c>
      <x:c r="H284" s="24" t="str">
        <x:f>IFERROR(VLOOKUP(G284,'Master Taxonomy'!$A$2:$B$1656,2,FALSE),"")</x:f>
        <x:v>Witch</x:v>
      </x:c>
      <x:c r="I284" s="24" t="str">
        <x:v>ROL-504</x:v>
      </x:c>
      <x:c r="J284" s="24" t="str">
        <x:v>Spirit Caller</x:v>
      </x:c>
      <x:c r="K284" s="24" t="str">
        <x:v>Practitioners who interact with astral beings and natural spiritual domains.</x:v>
      </x:c>
      <x:c r="L284" s="24" t="str">
        <x:v>Training, spirit mediation, ritual, and elemental relationships.</x:v>
      </x:c>
      <x:c r="M284" s="24" t="str">
        <x:v>The tradition differs from persecuted diabolical-witch stereotypes.</x:v>
      </x:c>
      <x:c r="N284" s="24" t="str">
        <x:v>Astral spirit witch.</x:v>
      </x:c>
      <x:c r="O284" s="24" t="str">
        <x:v>Primary canon</x:v>
      </x:c>
      <x:c r="P284" s="24" t="str">
        <x:v>Secondary reference reviewed</x:v>
      </x:c>
      <x:c r="Q284" s="24" t="str">
        <x:v>Primary manga continuity; secondary orientation source.</x:v>
      </x:c>
      <x:c r="R284" s="84" t="str">
        <x:v>https://en.wikipedia.org/wiki/Berserk</x:v>
      </x:c>
      <x:c r="S284" s="24" t="str">
        <x:v>Seeded</x:v>
      </x:c>
    </x:row>
    <x:row r="285" ht="52" customHeight="1">
      <x:c r="A285" s="24" t="str">
        <x:v>ENT-0284</x:v>
      </x:c>
      <x:c r="B285" s="24" t="str">
        <x:v>Berserker Armor</x:v>
      </x:c>
      <x:c r="C285" s="24" t="str">
        <x:v>SRC-195</x:v>
      </x:c>
      <x:c r="D285" s="24" t="str">
        <x:v>Berserk</x:v>
      </x:c>
      <x:c r="E285" s="24" t="str">
        <x:v>Manga continuity</x:v>
      </x:c>
      <x:c r="F285" s="24" t="str">
        <x:v>Cursed artifact bond</x:v>
      </x:c>
      <x:c r="G285" s="24" t="str">
        <x:v>STA-412</x:v>
      </x:c>
      <x:c r="H285" s="24" t="str">
        <x:f>IFERROR(VLOOKUP(G285,'Master Taxonomy'!$A$2:$B$1656,2,FALSE),"")</x:f>
        <x:v>Armor or Suit Bond</x:v>
      </x:c>
      <x:c r="I285" s="24" t="str">
        <x:v>STA-224</x:v>
      </x:c>
      <x:c r="J285" s="24" t="str">
        <x:v>Berserk State</x:v>
      </x:c>
      <x:c r="K285" s="24" t="str">
        <x:v>An armor that suppresses bodily limits while intensifying destructive combat and self-harm.</x:v>
      </x:c>
      <x:c r="L285" s="24" t="str">
        <x:v>Artifact bond, pain suppression, rage, and bodily cost.</x:v>
      </x:c>
      <x:c r="M285" s="24" t="str">
        <x:v>The power is inseparable from injury, loss of control, and psychological danger.</x:v>
      </x:c>
      <x:c r="N285" s="24" t="str">
        <x:v>Costly berserk artifact.</x:v>
      </x:c>
      <x:c r="O285" s="24" t="str">
        <x:v>Primary canon</x:v>
      </x:c>
      <x:c r="P285" s="24" t="str">
        <x:v>Secondary reference reviewed</x:v>
      </x:c>
      <x:c r="Q285" s="24" t="str">
        <x:v>Primary manga continuity; secondary orientation source.</x:v>
      </x:c>
      <x:c r="R285" s="84" t="str">
        <x:v>https://en.wikipedia.org/wiki/Berserk</x:v>
      </x:c>
      <x:c r="S285" s="24" t="str">
        <x:v>Seeded</x:v>
      </x:c>
    </x:row>
    <x:row r="286" ht="52" customHeight="1">
      <x:c r="A286" s="24" t="str">
        <x:v>ENT-0285</x:v>
      </x:c>
      <x:c r="B286" s="24" t="str">
        <x:v>Brand of Sacrifice</x:v>
      </x:c>
      <x:c r="C286" s="24" t="str">
        <x:v>SRC-195</x:v>
      </x:c>
      <x:c r="D286" s="24" t="str">
        <x:v>Berserk</x:v>
      </x:c>
      <x:c r="E286" s="24" t="str">
        <x:v>Manga continuity</x:v>
      </x:c>
      <x:c r="F286" s="24" t="str">
        <x:v>Cursed mark</x:v>
      </x:c>
      <x:c r="G286" s="24" t="str">
        <x:v>STA-228</x:v>
      </x:c>
      <x:c r="H286" s="24" t="str">
        <x:f>IFERROR(VLOOKUP(G286,'Master Taxonomy'!$A$2:$B$1656,2,FALSE),"")</x:f>
        <x:v>Cursed Mark or Brand</x:v>
      </x:c>
      <x:c r="I286" s="24" t="str">
        <x:v>PWR-119</x:v>
      </x:c>
      <x:c r="J286" s="24" t="str">
        <x:v>Sacrifice and Costly Exchange</x:v>
      </x:c>
      <x:c r="K286" s="24" t="str">
        <x:v>A supernatural brand marking victims of sacrificial ritual and drawing hostile entities.</x:v>
      </x:c>
      <x:c r="L286" s="24" t="str">
        <x:v>Ritual sacrifice, metaphysical designation, and curse.</x:v>
      </x:c>
      <x:c r="M286" s="24" t="str">
        <x:v>It is not a voluntary power-up or ordinary heraldic mark.</x:v>
      </x:c>
      <x:c r="N286" s="24" t="str">
        <x:v>Predatory sacrificial curse.</x:v>
      </x:c>
      <x:c r="O286" s="24" t="str">
        <x:v>Primary canon</x:v>
      </x:c>
      <x:c r="P286" s="24" t="str">
        <x:v>Secondary reference reviewed</x:v>
      </x:c>
      <x:c r="Q286" s="24" t="str">
        <x:v>Primary manga continuity; secondary orientation source.</x:v>
      </x:c>
      <x:c r="R286" s="84" t="str">
        <x:v>https://en.wikipedia.org/wiki/Berserk</x:v>
      </x:c>
      <x:c r="S286" s="24" t="str">
        <x:v>Seeded</x:v>
      </x:c>
    </x:row>
    <x:row r="287" ht="52" customHeight="1">
      <x:c r="A287" s="24" t="str">
        <x:v>ENT-0286</x:v>
      </x:c>
      <x:c r="B287" s="24" t="str">
        <x:v>Astral beings</x:v>
      </x:c>
      <x:c r="C287" s="24" t="str">
        <x:v>SRC-195</x:v>
      </x:c>
      <x:c r="D287" s="24" t="str">
        <x:v>Berserk</x:v>
      </x:c>
      <x:c r="E287" s="24" t="str">
        <x:v>Manga continuity</x:v>
      </x:c>
      <x:c r="F287" s="24" t="str">
        <x:v>Spirits and otherworldly beings</x:v>
      </x:c>
      <x:c r="G287" s="24" t="str">
        <x:v>PPL-300</x:v>
      </x:c>
      <x:c r="H287" s="24" t="str">
        <x:f>IFERROR(VLOOKUP(G287,'Master Taxonomy'!$A$2:$B$1656,2,FALSE),"")</x:f>
        <x:v>Spirits and Elementals</x:v>
      </x:c>
      <x:c r="I287" s="24" t="str">
        <x:v>PPL-1102</x:v>
      </x:c>
      <x:c r="J287" s="24" t="str">
        <x:v>Alien and Otherworlder Peoples</x:v>
      </x:c>
      <x:c r="K287" s="24" t="str">
        <x:v>A broad range of entities inhabiting interpenetrating layers of reality.</x:v>
      </x:c>
      <x:c r="L287" s="24" t="str">
        <x:v>Metaphysical ecology, belief, place, and manifestation.</x:v>
      </x:c>
      <x:c r="M287" s="24" t="str">
        <x:v>The category contains benign, neutral, and hostile beings rather than one race.</x:v>
      </x:c>
      <x:c r="N287" s="24" t="str">
        <x:v>Layered spirit-world ecology.</x:v>
      </x:c>
      <x:c r="O287" s="24" t="str">
        <x:v>Primary canon</x:v>
      </x:c>
      <x:c r="P287" s="24" t="str">
        <x:v>Secondary reference reviewed</x:v>
      </x:c>
      <x:c r="Q287" s="24" t="str">
        <x:v>Primary manga continuity; secondary orientation source.</x:v>
      </x:c>
      <x:c r="R287" s="84" t="str">
        <x:v>https://en.wikipedia.org/wiki/Berserk</x:v>
      </x:c>
      <x:c r="S287" s="24" t="str">
        <x:v>Seeded</x:v>
      </x:c>
    </x:row>
    <x:row r="288" ht="52" customHeight="1">
      <x:c r="A288" s="24" t="str">
        <x:v>ENT-0287</x:v>
      </x:c>
      <x:c r="B288" s="24" t="str">
        <x:v>Alchemist</x:v>
      </x:c>
      <x:c r="C288" s="24" t="str">
        <x:v>SRC-198</x:v>
      </x:c>
      <x:c r="D288" s="24" t="str">
        <x:v>Fullmetal Alchemist</x:v>
      </x:c>
      <x:c r="E288" s="24" t="str">
        <x:v>Manga/anime core continuity</x:v>
      </x:c>
      <x:c r="F288" s="24" t="str">
        <x:v>Technical magical profession</x:v>
      </x:c>
      <x:c r="G288" s="24" t="str">
        <x:v>ROL-338</x:v>
      </x:c>
      <x:c r="H288" s="24" t="str">
        <x:f>IFERROR(VLOOKUP(G288,'Master Taxonomy'!$A$2:$B$1656,2,FALSE),"")</x:f>
        <x:v>Alchemist</x:v>
      </x:c>
      <x:c r="I288" s="24" t="str"/>
      <x:c r="J288" s="24" t="str"/>
      <x:c r="K288" s="24" t="str">
        <x:v>A practitioner who analyzes and rearranges matter through transmutation arrays and learned principles.</x:v>
      </x:c>
      <x:c r="L288" s="24" t="str">
        <x:v>Study, symbolic technique, material understanding, and equivalent exchange.</x:v>
      </x:c>
      <x:c r="M288" s="24" t="str">
        <x:v>Alchemy is a disciplined technical system rather than potion-making alone.</x:v>
      </x:c>
      <x:c r="N288" s="24" t="str">
        <x:v>Rule-bound transmutation mage.</x:v>
      </x:c>
      <x:c r="O288" s="24" t="str">
        <x:v>Primary canon</x:v>
      </x:c>
      <x:c r="P288" s="24" t="str">
        <x:v>Secondary reference reviewed</x:v>
      </x:c>
      <x:c r="Q288" s="24" t="str">
        <x:v>Primary manga/anime continuities; adaptation differences require separate verification.</x:v>
      </x:c>
      <x:c r="R288" s="84" t="str">
        <x:v>https://en.wikipedia.org/wiki/Fullmetal_Alchemist</x:v>
      </x:c>
      <x:c r="S288" s="24" t="str">
        <x:v>Seeded</x:v>
      </x:c>
    </x:row>
    <x:row r="289" ht="52" customHeight="1">
      <x:c r="A289" s="24" t="str">
        <x:v>ENT-0288</x:v>
      </x:c>
      <x:c r="B289" s="24" t="str">
        <x:v>State Alchemist</x:v>
      </x:c>
      <x:c r="C289" s="24" t="str">
        <x:v>SRC-198</x:v>
      </x:c>
      <x:c r="D289" s="24" t="str">
        <x:v>Fullmetal Alchemist</x:v>
      </x:c>
      <x:c r="E289" s="24" t="str">
        <x:v>Manga/anime core continuity</x:v>
      </x:c>
      <x:c r="F289" s="24" t="str">
        <x:v>State-certified combat scholar</x:v>
      </x:c>
      <x:c r="G289" s="24" t="str">
        <x:v>ROL-836</x:v>
      </x:c>
      <x:c r="H289" s="24" t="str">
        <x:f>IFERROR(VLOOKUP(G289,'Master Taxonomy'!$A$2:$B$1656,2,FALSE),"")</x:f>
        <x:v>Battle Alchemist</x:v>
      </x:c>
      <x:c r="I289" s="24" t="str">
        <x:v>CIV-415</x:v>
      </x:c>
      <x:c r="J289" s="24" t="str">
        <x:v>Scholar-Bureaucratic Culture</x:v>
      </x:c>
      <x:c r="K289" s="24" t="str">
        <x:v>An alchemist licensed and employed by the military state, often with a specialized research identity.</x:v>
      </x:c>
      <x:c r="L289" s="24" t="str">
        <x:v>Certification, state patronage, research, and combat service.</x:v>
      </x:c>
      <x:c r="M289" s="24" t="str">
        <x:v>It is an office layered onto alchemical vocation, not a separate ancestry.</x:v>
      </x:c>
      <x:c r="N289" s="24" t="str">
        <x:v>State mage and military researcher.</x:v>
      </x:c>
      <x:c r="O289" s="24" t="str">
        <x:v>Primary canon</x:v>
      </x:c>
      <x:c r="P289" s="24" t="str">
        <x:v>Secondary reference reviewed</x:v>
      </x:c>
      <x:c r="Q289" s="24" t="str">
        <x:v>Primary manga/anime continuities; adaptation differences require separate verification.</x:v>
      </x:c>
      <x:c r="R289" s="84" t="str">
        <x:v>https://en.wikipedia.org/wiki/Fullmetal_Alchemist</x:v>
      </x:c>
      <x:c r="S289" s="24" t="str">
        <x:v>Seeded</x:v>
      </x:c>
    </x:row>
    <x:row r="290" ht="52" customHeight="1">
      <x:c r="A290" s="24" t="str">
        <x:v>ENT-0289</x:v>
      </x:c>
      <x:c r="B290" s="24" t="str">
        <x:v>Homunculi</x:v>
      </x:c>
      <x:c r="C290" s="24" t="str">
        <x:v>SRC-198</x:v>
      </x:c>
      <x:c r="D290" s="24" t="str">
        <x:v>Fullmetal Alchemist</x:v>
      </x:c>
      <x:c r="E290" s="24" t="str">
        <x:v>Manga/anime core continuity</x:v>
      </x:c>
      <x:c r="F290" s="24" t="str">
        <x:v>Artificial beings</x:v>
      </x:c>
      <x:c r="G290" s="24" t="str">
        <x:v>PPL-703</x:v>
      </x:c>
      <x:c r="H290" s="24" t="str">
        <x:f>IFERROR(VLOOKUP(G290,'Master Taxonomy'!$A$2:$B$1656,2,FALSE),"")</x:f>
        <x:v>Homunculi</x:v>
      </x:c>
      <x:c r="I290" s="24" t="str"/>
      <x:c r="J290" s="24" t="str"/>
      <x:c r="K290" s="24" t="str">
        <x:v>Artificial or transformed humanoid beings tied to philosopher's-stone power and named identities.</x:v>
      </x:c>
      <x:c r="L290" s="24" t="str">
        <x:v>Artificial creation, stored souls, regeneration, and symbolic design.</x:v>
      </x:c>
      <x:c r="M290" s="24" t="str">
        <x:v>Their origin differs between adaptations and must be continuity-stamped.</x:v>
      </x:c>
      <x:c r="N290" s="24" t="str">
        <x:v>Soul-powered artificial person.</x:v>
      </x:c>
      <x:c r="O290" s="24" t="str">
        <x:v>Primary canon</x:v>
      </x:c>
      <x:c r="P290" s="24" t="str">
        <x:v>Secondary reference reviewed</x:v>
      </x:c>
      <x:c r="Q290" s="24" t="str">
        <x:v>Primary manga/anime continuities; adaptation differences require separate verification.</x:v>
      </x:c>
      <x:c r="R290" s="84" t="str">
        <x:v>https://en.wikipedia.org/wiki/Fullmetal_Alchemist</x:v>
      </x:c>
      <x:c r="S290" s="24" t="str">
        <x:v>Seeded</x:v>
      </x:c>
    </x:row>
    <x:row r="291" ht="52" customHeight="1">
      <x:c r="A291" s="24" t="str">
        <x:v>ENT-0290</x:v>
      </x:c>
      <x:c r="B291" s="24" t="str">
        <x:v>Chimeras</x:v>
      </x:c>
      <x:c r="C291" s="24" t="str">
        <x:v>SRC-198</x:v>
      </x:c>
      <x:c r="D291" s="24" t="str">
        <x:v>Fullmetal Alchemist</x:v>
      </x:c>
      <x:c r="E291" s="24" t="str">
        <x:v>Manga/anime core continuity</x:v>
      </x:c>
      <x:c r="F291" s="24" t="str">
        <x:v>Engineered hybrids</x:v>
      </x:c>
      <x:c r="G291" s="24" t="str">
        <x:v>PPL-811</x:v>
      </x:c>
      <x:c r="H291" s="24" t="str">
        <x:f>IFERROR(VLOOKUP(G291,'Master Taxonomy'!$A$2:$B$1656,2,FALSE),"")</x:f>
        <x:v>Chimeras</x:v>
      </x:c>
      <x:c r="I291" s="24" t="str">
        <x:v>PPL-1005</x:v>
      </x:c>
      <x:c r="J291" s="24" t="str">
        <x:v>Hybrid and Chimera Peoples</x:v>
      </x:c>
      <x:c r="K291" s="24" t="str">
        <x:v>Organisms created by alchemically combining species, sometimes including humans.</x:v>
      </x:c>
      <x:c r="L291" s="24" t="str">
        <x:v>Alchemy, biological fusion, coercion, and experimentation.</x:v>
      </x:c>
      <x:c r="M291" s="24" t="str">
        <x:v>The category raises personhood and consent issues rather than serving only as a monster type.</x:v>
      </x:c>
      <x:c r="N291" s="24" t="str">
        <x:v>Engineered hybrid-being archetype.</x:v>
      </x:c>
      <x:c r="O291" s="24" t="str">
        <x:v>Primary canon</x:v>
      </x:c>
      <x:c r="P291" s="24" t="str">
        <x:v>Secondary reference reviewed</x:v>
      </x:c>
      <x:c r="Q291" s="24" t="str">
        <x:v>Primary manga/anime continuities; adaptation differences require separate verification.</x:v>
      </x:c>
      <x:c r="R291" s="84" t="str">
        <x:v>https://en.wikipedia.org/wiki/Fullmetal_Alchemist</x:v>
      </x:c>
      <x:c r="S291" s="24" t="str">
        <x:v>Seeded</x:v>
      </x:c>
    </x:row>
    <x:row r="292" ht="52" customHeight="1">
      <x:c r="A292" s="24" t="str">
        <x:v>ENT-0291</x:v>
      </x:c>
      <x:c r="B292" s="24" t="str">
        <x:v>Automail users</x:v>
      </x:c>
      <x:c r="C292" s="24" t="str">
        <x:v>SRC-198</x:v>
      </x:c>
      <x:c r="D292" s="24" t="str">
        <x:v>Fullmetal Alchemist</x:v>
      </x:c>
      <x:c r="E292" s="24" t="str">
        <x:v>Manga/anime core continuity</x:v>
      </x:c>
      <x:c r="F292" s="24" t="str">
        <x:v>Technological augmentation state</x:v>
      </x:c>
      <x:c r="G292" s="24" t="str">
        <x:v>STA-214</x:v>
      </x:c>
      <x:c r="H292" s="24" t="str">
        <x:f>IFERROR(VLOOKUP(G292,'Master Taxonomy'!$A$2:$B$1656,2,FALSE),"")</x:f>
        <x:v>Cyborg or Magitech Augmentation</x:v>
      </x:c>
      <x:c r="I292" s="24" t="str"/>
      <x:c r="J292" s="24" t="str"/>
      <x:c r="K292" s="24" t="str">
        <x:v>People using sophisticated prosthetic limbs integrated with the body.</x:v>
      </x:c>
      <x:c r="L292" s="24" t="str">
        <x:v>Engineering, surgery, maintenance, and personal adaptation.</x:v>
      </x:c>
      <x:c r="M292" s="24" t="str">
        <x:v>Automail is technology and disability accommodation, not magic ancestry.</x:v>
      </x:c>
      <x:c r="N292" s="24" t="str">
        <x:v>Fantasy-industrial cyborg augmentation.</x:v>
      </x:c>
      <x:c r="O292" s="24" t="str">
        <x:v>Primary canon</x:v>
      </x:c>
      <x:c r="P292" s="24" t="str">
        <x:v>Secondary reference reviewed</x:v>
      </x:c>
      <x:c r="Q292" s="24" t="str">
        <x:v>Primary manga/anime continuities; adaptation differences require separate verification.</x:v>
      </x:c>
      <x:c r="R292" s="84" t="str">
        <x:v>https://en.wikipedia.org/wiki/Fullmetal_Alchemist</x:v>
      </x:c>
      <x:c r="S292" s="24" t="str">
        <x:v>Seeded</x:v>
      </x:c>
    </x:row>
    <x:row r="293" ht="52" customHeight="1">
      <x:c r="A293" s="24" t="str">
        <x:v>ENT-0292</x:v>
      </x:c>
      <x:c r="B293" s="24" t="str">
        <x:v>Philosopher's Stone</x:v>
      </x:c>
      <x:c r="C293" s="24" t="str">
        <x:v>SRC-198</x:v>
      </x:c>
      <x:c r="D293" s="24" t="str">
        <x:v>Fullmetal Alchemist</x:v>
      </x:c>
      <x:c r="E293" s="24" t="str">
        <x:v>Manga/anime core continuity</x:v>
      </x:c>
      <x:c r="F293" s="24" t="str">
        <x:v>Artifact and power resource</x:v>
      </x:c>
      <x:c r="G293" s="24" t="str">
        <x:v>STA-402</x:v>
      </x:c>
      <x:c r="H293" s="24" t="str">
        <x:f>IFERROR(VLOOKUP(G293,'Master Taxonomy'!$A$2:$B$1656,2,FALSE),"")</x:f>
        <x:v>Relic Bearer</x:v>
      </x:c>
      <x:c r="I293" s="24" t="str">
        <x:v>PWR-119</x:v>
      </x:c>
      <x:c r="J293" s="24" t="str">
        <x:v>Sacrifice and Costly Exchange</x:v>
      </x:c>
      <x:c r="K293" s="24" t="str">
        <x:v>A power-amplifying alchemical object whose production is tied to profound moral cost.</x:v>
      </x:c>
      <x:c r="L293" s="24" t="str">
        <x:v>Stored lives or souls, ritual production, and transmutation amplification.</x:v>
      </x:c>
      <x:c r="M293" s="24" t="str">
        <x:v>Its ethical mechanism matters more than generic 'ultimate item' status.</x:v>
      </x:c>
      <x:c r="N293" s="24" t="str">
        <x:v>Sacrificial power battery.</x:v>
      </x:c>
      <x:c r="O293" s="24" t="str">
        <x:v>Primary canon</x:v>
      </x:c>
      <x:c r="P293" s="24" t="str">
        <x:v>Secondary reference reviewed</x:v>
      </x:c>
      <x:c r="Q293" s="24" t="str">
        <x:v>Primary manga/anime continuities; adaptation differences require separate verification.</x:v>
      </x:c>
      <x:c r="R293" s="84" t="str">
        <x:v>https://en.wikipedia.org/wiki/Fullmetal_Alchemist</x:v>
      </x:c>
      <x:c r="S293" s="24" t="str">
        <x:v>Seeded</x:v>
      </x:c>
    </x:row>
    <x:row r="294" ht="52" customHeight="1">
      <x:c r="A294" s="24" t="str">
        <x:v>ENT-0293</x:v>
      </x:c>
      <x:c r="B294" s="24" t="str">
        <x:v>Equivalent exchange</x:v>
      </x:c>
      <x:c r="C294" s="24" t="str">
        <x:v>SRC-198</x:v>
      </x:c>
      <x:c r="D294" s="24" t="str">
        <x:v>Fullmetal Alchemist</x:v>
      </x:c>
      <x:c r="E294" s="24" t="str">
        <x:v>Manga/anime core continuity</x:v>
      </x:c>
      <x:c r="F294" s="24" t="str">
        <x:v>Power-system principle</x:v>
      </x:c>
      <x:c r="G294" s="24" t="str">
        <x:v>PWR-119</x:v>
      </x:c>
      <x:c r="H294" s="24" t="str">
        <x:f>IFERROR(VLOOKUP(G294,'Master Taxonomy'!$A$2:$B$1656,2,FALSE),"")</x:f>
        <x:v>Sacrifice and Costly Exchange</x:v>
      </x:c>
      <x:c r="I294" s="24" t="str"/>
      <x:c r="J294" s="24" t="str"/>
      <x:c r="K294" s="24" t="str">
        <x:v>A stated alchemical principle that transformations require material or energetic cost, later complicated by hidden inputs.</x:v>
      </x:c>
      <x:c r="L294" s="24" t="str">
        <x:v>System law, material balance, and concealed sacrifice.</x:v>
      </x:c>
      <x:c r="M294" s="24" t="str">
        <x:v>It is both a rule and an ideological proposition tested by the narrative.</x:v>
      </x:c>
      <x:c r="N294" s="24" t="str">
        <x:v>Cost-governed magic law.</x:v>
      </x:c>
      <x:c r="O294" s="24" t="str">
        <x:v>Primary canon</x:v>
      </x:c>
      <x:c r="P294" s="24" t="str">
        <x:v>Secondary reference reviewed</x:v>
      </x:c>
      <x:c r="Q294" s="24" t="str">
        <x:v>Primary manga/anime continuities; adaptation differences require separate verification.</x:v>
      </x:c>
      <x:c r="R294" s="84" t="str">
        <x:v>https://en.wikipedia.org/wiki/Fullmetal_Alchemist</x:v>
      </x:c>
      <x:c r="S294" s="24" t="str">
        <x:v>Seeded</x:v>
      </x:c>
    </x:row>
    <x:row r="295" ht="52" customHeight="1">
      <x:c r="A295" s="24" t="str">
        <x:v>ENT-0294</x:v>
      </x:c>
      <x:c r="B295" s="24" t="str">
        <x:v>Humanoid races</x:v>
      </x:c>
      <x:c r="C295" s="24" t="str">
        <x:v>SRC-210</x:v>
      </x:c>
      <x:c r="D295" s="24" t="str">
        <x:v>Overlord</x:v>
      </x:c>
      <x:c r="E295" s="24" t="str">
        <x:v>Light-novel/anime continuity</x:v>
      </x:c>
      <x:c r="F295" s="24" t="str">
        <x:v>Game-derived people category</x:v>
      </x:c>
      <x:c r="G295" s="24" t="str">
        <x:v>PPL-101</x:v>
      </x:c>
      <x:c r="H295" s="24" t="str">
        <x:f>IFERROR(VLOOKUP(G295,'Master Taxonomy'!$A$2:$B$1656,2,FALSE),"")</x:f>
        <x:v>Human and Near-Human Peoples</x:v>
      </x:c>
      <x:c r="I295" s="24" t="str"/>
      <x:c r="J295" s="24" t="str"/>
      <x:c r="K295" s="24" t="str">
        <x:v>A broad in-world and inherited game category covering humans and similar peoples.</x:v>
      </x:c>
      <x:c r="L295" s="24" t="str">
        <x:v>Natural ancestry plus imported game taxonomy.</x:v>
      </x:c>
      <x:c r="M295" s="24" t="str">
        <x:v>It is a supercategory, not one species or culture.</x:v>
      </x:c>
      <x:c r="N295" s="24" t="str">
        <x:v>Game-ontology humanoid category.</x:v>
      </x:c>
      <x:c r="O295" s="24" t="str">
        <x:v>Primary canon</x:v>
      </x:c>
      <x:c r="P295" s="24" t="str">
        <x:v>Secondary reference reviewed</x:v>
      </x:c>
      <x:c r="Q295" s="24" t="str">
        <x:v>Primary light-novel/anime continuity; secondary orientation source.</x:v>
      </x:c>
      <x:c r="R295" s="84" t="str">
        <x:v>https://en.wikipedia.org/wiki/Overlord</x:v>
      </x:c>
      <x:c r="S295" s="24" t="str">
        <x:v>Seeded</x:v>
      </x:c>
    </x:row>
    <x:row r="296" ht="52" customHeight="1">
      <x:c r="A296" s="24" t="str">
        <x:v>ENT-0295</x:v>
      </x:c>
      <x:c r="B296" s="24" t="str">
        <x:v>Heteromorphic races</x:v>
      </x:c>
      <x:c r="C296" s="24" t="str">
        <x:v>SRC-210</x:v>
      </x:c>
      <x:c r="D296" s="24" t="str">
        <x:v>Overlord</x:v>
      </x:c>
      <x:c r="E296" s="24" t="str">
        <x:v>Light-novel/anime continuity</x:v>
      </x:c>
      <x:c r="F296" s="24" t="str">
        <x:v>Game-derived being category</x:v>
      </x:c>
      <x:c r="G296" s="24" t="str">
        <x:v>PPL-1000</x:v>
      </x:c>
      <x:c r="H296" s="24" t="str">
        <x:f>IFERROR(VLOOKUP(G296,'Master Taxonomy'!$A$2:$B$1656,2,FALSE),"")</x:f>
        <x:v>Shapeshifters, Hybrids, and Mutable Peoples</x:v>
      </x:c>
      <x:c r="I296" s="24" t="str">
        <x:v>PPL-1102</x:v>
      </x:c>
      <x:c r="J296" s="24" t="str">
        <x:v>Alien and Otherworlder Peoples</x:v>
      </x:c>
      <x:c r="K296" s="24" t="str">
        <x:v>A broad category for nonhuman forms such as undead, demons, slimes, and other monster-like player races.</x:v>
      </x:c>
      <x:c r="L296" s="24" t="str">
        <x:v>Race-level progression and imported game ontology.</x:v>
      </x:c>
      <x:c r="M296" s="24" t="str">
        <x:v>The category groups radically different ontologies for rules purposes.</x:v>
      </x:c>
      <x:c r="N296" s="24" t="str">
        <x:v>Monster-race supercategory.</x:v>
      </x:c>
      <x:c r="O296" s="24" t="str">
        <x:v>Primary canon</x:v>
      </x:c>
      <x:c r="P296" s="24" t="str">
        <x:v>Secondary reference reviewed</x:v>
      </x:c>
      <x:c r="Q296" s="24" t="str">
        <x:v>Primary light-novel/anime continuity; secondary orientation source.</x:v>
      </x:c>
      <x:c r="R296" s="84" t="str">
        <x:v>https://en.wikipedia.org/wiki/Overlord</x:v>
      </x:c>
      <x:c r="S296" s="24" t="str">
        <x:v>Seeded</x:v>
      </x:c>
    </x:row>
    <x:row r="297" ht="52" customHeight="1">
      <x:c r="A297" s="24" t="str">
        <x:v>ENT-0296</x:v>
      </x:c>
      <x:c r="B297" s="24" t="str">
        <x:v>Ainz Ooal Gown / Momonga</x:v>
      </x:c>
      <x:c r="C297" s="24" t="str">
        <x:v>SRC-210</x:v>
      </x:c>
      <x:c r="D297" s="24" t="str">
        <x:v>Overlord</x:v>
      </x:c>
      <x:c r="E297" s="24" t="str">
        <x:v>Light-novel/anime continuity</x:v>
      </x:c>
      <x:c r="F297" s="24" t="str">
        <x:v>Undead ruler and build</x:v>
      </x:c>
      <x:c r="G297" s="24" t="str">
        <x:v>PPL-608</x:v>
      </x:c>
      <x:c r="H297" s="24" t="str">
        <x:f>IFERROR(VLOOKUP(G297,'Master Taxonomy'!$A$2:$B$1656,2,FALSE),"")</x:f>
        <x:v>Liches</x:v>
      </x:c>
      <x:c r="I297" s="24" t="str">
        <x:v>ROL-722; NAR-130</x:v>
      </x:c>
      <x:c r="J297" s="24" t="str">
        <x:v>Dungeon Lord; Overpowered Protagonist</x:v>
      </x:c>
      <x:c r="K297" s="24" t="str">
        <x:v>An undead magic-caster character whose identity combines racial levels, job levels, guild history, and rulership.</x:v>
      </x:c>
      <x:c r="L297" s="24" t="str">
        <x:v>Game build, transported embodiment, artifacts, and institutional authority.</x:v>
      </x:c>
      <x:c r="M297" s="24" t="str">
        <x:v>The entry demonstrates why character, race, class, and narrative role must remain separate axes.</x:v>
      </x:c>
      <x:c r="N297" s="24" t="str">
        <x:v>Isekai lich-overlord composite.</x:v>
      </x:c>
      <x:c r="O297" s="24" t="str">
        <x:v>Primary canon</x:v>
      </x:c>
      <x:c r="P297" s="24" t="str">
        <x:v>Secondary reference reviewed</x:v>
      </x:c>
      <x:c r="Q297" s="24" t="str">
        <x:v>Primary light-novel/anime continuity; secondary orientation source.</x:v>
      </x:c>
      <x:c r="R297" s="84" t="str">
        <x:v>https://en.wikipedia.org/wiki/Overlord</x:v>
      </x:c>
      <x:c r="S297" s="24" t="str">
        <x:v>Seeded</x:v>
      </x:c>
    </x:row>
    <x:row r="298" ht="52" customHeight="1">
      <x:c r="A298" s="24" t="str">
        <x:v>ENT-0297</x:v>
      </x:c>
      <x:c r="B298" s="24" t="str">
        <x:v>Great Tomb of Nazarick</x:v>
      </x:c>
      <x:c r="C298" s="24" t="str">
        <x:v>SRC-210</x:v>
      </x:c>
      <x:c r="D298" s="24" t="str">
        <x:v>Overlord</x:v>
      </x:c>
      <x:c r="E298" s="24" t="str">
        <x:v>Light-novel/anime continuity</x:v>
      </x:c>
      <x:c r="F298" s="24" t="str">
        <x:v>Dungeon polity</x:v>
      </x:c>
      <x:c r="G298" s="24" t="str">
        <x:v>CIV-219</x:v>
      </x:c>
      <x:c r="H298" s="24" t="str">
        <x:f>IFERROR(VLOOKUP(G298,'Master Taxonomy'!$A$2:$B$1656,2,FALSE),"")</x:f>
        <x:v>Dungeon Civilization</x:v>
      </x:c>
      <x:c r="I298" s="24" t="str">
        <x:v>INS-420</x:v>
      </x:c>
      <x:c r="J298" s="24" t="str">
        <x:v>Dungeon Faction</x:v>
      </x:c>
      <x:c r="K298" s="24" t="str">
        <x:v>A fortified dungeon complex functioning as home, state, military organization, and sacred legacy.</x:v>
      </x:c>
      <x:c r="L298" s="24" t="str">
        <x:v>Constructed environment, NPC communities, guild inheritance, and hierarchy.</x:v>
      </x:c>
      <x:c r="M298" s="24" t="str">
        <x:v>It is more than an adventuring site; it is a sovereign society.</x:v>
      </x:c>
      <x:c r="N298" s="24" t="str">
        <x:v>Dungeon-state archetype.</x:v>
      </x:c>
      <x:c r="O298" s="24" t="str">
        <x:v>Primary canon</x:v>
      </x:c>
      <x:c r="P298" s="24" t="str">
        <x:v>Secondary reference reviewed</x:v>
      </x:c>
      <x:c r="Q298" s="24" t="str">
        <x:v>Primary light-novel/anime continuity; secondary orientation source.</x:v>
      </x:c>
      <x:c r="R298" s="84" t="str">
        <x:v>https://en.wikipedia.org/wiki/Overlord</x:v>
      </x:c>
      <x:c r="S298" s="24" t="str">
        <x:v>Seeded</x:v>
      </x:c>
    </x:row>
    <x:row r="299" ht="52" customHeight="1">
      <x:c r="A299" s="24" t="str">
        <x:v>ENT-0298</x:v>
      </x:c>
      <x:c r="B299" s="24" t="str">
        <x:v>Floor Guardians</x:v>
      </x:c>
      <x:c r="C299" s="24" t="str">
        <x:v>SRC-210</x:v>
      </x:c>
      <x:c r="D299" s="24" t="str">
        <x:v>Overlord</x:v>
      </x:c>
      <x:c r="E299" s="24" t="str">
        <x:v>Light-novel/anime continuity</x:v>
      </x:c>
      <x:c r="F299" s="24" t="str">
        <x:v>Institutional office and created beings</x:v>
      </x:c>
      <x:c r="G299" s="24" t="str">
        <x:v>NAR-205</x:v>
      </x:c>
      <x:c r="H299" s="24" t="str">
        <x:f>IFERROR(VLOOKUP(G299,'Master Taxonomy'!$A$2:$B$1656,2,FALSE),"")</x:f>
        <x:v>Guardian</x:v>
      </x:c>
      <x:c r="I299" s="24" t="str">
        <x:v>INS-420</x:v>
      </x:c>
      <x:c r="J299" s="24" t="str">
        <x:v>Dungeon Faction</x:v>
      </x:c>
      <x:c r="K299" s="24" t="str">
        <x:v>Powerful created residents assigned command and protection of dungeon floors.</x:v>
      </x:c>
      <x:c r="L299" s="24" t="str">
        <x:v>Created identity, office, loyalty programming, and personal development.</x:v>
      </x:c>
      <x:c r="M299" s="24" t="str">
        <x:v>The title is an office shared by beings of very different races and classes.</x:v>
      </x:c>
      <x:c r="N299" s="24" t="str">
        <x:v>Created elite guardian caste.</x:v>
      </x:c>
      <x:c r="O299" s="24" t="str">
        <x:v>Primary canon</x:v>
      </x:c>
      <x:c r="P299" s="24" t="str">
        <x:v>Secondary reference reviewed</x:v>
      </x:c>
      <x:c r="Q299" s="24" t="str">
        <x:v>Primary light-novel/anime continuity; secondary orientation source.</x:v>
      </x:c>
      <x:c r="R299" s="84" t="str">
        <x:v>https://en.wikipedia.org/wiki/Overlord</x:v>
      </x:c>
      <x:c r="S299" s="24" t="str">
        <x:v>Seeded</x:v>
      </x:c>
    </x:row>
    <x:row r="300" ht="52" customHeight="1">
      <x:c r="A300" s="24" t="str">
        <x:v>ENT-0299</x:v>
      </x:c>
      <x:c r="B300" s="24" t="str">
        <x:v>Racial levels</x:v>
      </x:c>
      <x:c r="C300" s="24" t="str">
        <x:v>SRC-210</x:v>
      </x:c>
      <x:c r="D300" s="24" t="str">
        <x:v>Overlord</x:v>
      </x:c>
      <x:c r="E300" s="24" t="str">
        <x:v>Light-novel/anime continuity</x:v>
      </x:c>
      <x:c r="F300" s="24" t="str">
        <x:v>Character-build mechanic</x:v>
      </x:c>
      <x:c r="G300" s="24" t="str">
        <x:v>MEC-302</x:v>
      </x:c>
      <x:c r="H300" s="24" t="str">
        <x:f>IFERROR(VLOOKUP(G300,'Master Taxonomy'!$A$2:$B$1656,2,FALSE),"")</x:f>
        <x:v>Class Change or Job System</x:v>
      </x:c>
      <x:c r="I300" s="24" t="str"/>
      <x:c r="J300" s="24" t="str"/>
      <x:c r="K300" s="24" t="str">
        <x:v>Progression levels attached to being type or evolutionary race branches.</x:v>
      </x:c>
      <x:c r="L300" s="24" t="str">
        <x:v>Imported game rules, prerequisites, and transformations.</x:v>
      </x:c>
      <x:c r="M300" s="24" t="str">
        <x:v>Being ontology is mechanically leveled rather than fixed only at birth.</x:v>
      </x:c>
      <x:c r="N300" s="24" t="str">
        <x:v>Race-as-progression system.</x:v>
      </x:c>
      <x:c r="O300" s="24" t="str">
        <x:v>Primary canon</x:v>
      </x:c>
      <x:c r="P300" s="24" t="str">
        <x:v>Secondary reference reviewed</x:v>
      </x:c>
      <x:c r="Q300" s="24" t="str">
        <x:v>Primary light-novel/anime continuity; secondary orientation source.</x:v>
      </x:c>
      <x:c r="R300" s="84" t="str">
        <x:v>https://en.wikipedia.org/wiki/Overlord</x:v>
      </x:c>
      <x:c r="S300" s="24" t="str">
        <x:v>Seeded</x:v>
      </x:c>
    </x:row>
    <x:row r="301" ht="52" customHeight="1">
      <x:c r="A301" s="24" t="str">
        <x:v>ENT-0300</x:v>
      </x:c>
      <x:c r="B301" s="24" t="str">
        <x:v>Job levels</x:v>
      </x:c>
      <x:c r="C301" s="24" t="str">
        <x:v>SRC-210</x:v>
      </x:c>
      <x:c r="D301" s="24" t="str">
        <x:v>Overlord</x:v>
      </x:c>
      <x:c r="E301" s="24" t="str">
        <x:v>Light-novel/anime continuity</x:v>
      </x:c>
      <x:c r="F301" s="24" t="str">
        <x:v>Character-build mechanic</x:v>
      </x:c>
      <x:c r="G301" s="24" t="str">
        <x:v>MEC-302</x:v>
      </x:c>
      <x:c r="H301" s="24" t="str">
        <x:f>IFERROR(VLOOKUP(G301,'Master Taxonomy'!$A$2:$B$1656,2,FALSE),"")</x:f>
        <x:v>Class Change or Job System</x:v>
      </x:c>
      <x:c r="I301" s="24" t="str">
        <x:v>MEC-303</x:v>
      </x:c>
      <x:c r="J301" s="24" t="str">
        <x:v>Multiclassing</x:v>
      </x:c>
      <x:c r="K301" s="24" t="str">
        <x:v>Stacked occupational or power classes composing a character build.</x:v>
      </x:c>
      <x:c r="L301" s="24" t="str">
        <x:v>Level allocation, prerequisites, synergies, and imported rules.</x:v>
      </x:c>
      <x:c r="M301" s="24" t="str">
        <x:v>A build can contain many classes that do not map neatly to daily professions.</x:v>
      </x:c>
      <x:c r="N301" s="24" t="str">
        <x:v>Layered multiclass job build.</x:v>
      </x:c>
      <x:c r="O301" s="24" t="str">
        <x:v>Primary canon</x:v>
      </x:c>
      <x:c r="P301" s="24" t="str">
        <x:v>Secondary reference reviewed</x:v>
      </x:c>
      <x:c r="Q301" s="24" t="str">
        <x:v>Primary light-novel/anime continuity; secondary orientation source.</x:v>
      </x:c>
      <x:c r="R301" s="84" t="str">
        <x:v>https://en.wikipedia.org/wiki/Overlord</x:v>
      </x:c>
      <x:c r="S301" s="24" t="str">
        <x:v>Seeded</x:v>
      </x:c>
    </x:row>
    <x:row r="302" ht="52" customHeight="1">
      <x:c r="A302" s="24" t="str">
        <x:v>ENT-0301</x:v>
      </x:c>
      <x:c r="B302" s="24" t="str">
        <x:v>Hunters</x:v>
      </x:c>
      <x:c r="C302" s="24" t="str">
        <x:v>SRC-235</x:v>
      </x:c>
      <x:c r="D302" s="24" t="str">
        <x:v>Solo Leveling</x:v>
      </x:c>
      <x:c r="E302" s="24" t="str">
        <x:v>Web-novel/manhwa/anime continuity</x:v>
      </x:c>
      <x:c r="F302" s="24" t="str">
        <x:v>Awakened profession</x:v>
      </x:c>
      <x:c r="G302" s="24" t="str">
        <x:v>ROL-926</x:v>
      </x:c>
      <x:c r="H302" s="24" t="str">
        <x:f>IFERROR(VLOOKUP(G302,'Master Taxonomy'!$A$2:$B$1656,2,FALSE),"")</x:f>
        <x:v>Ranked Hunter</x:v>
      </x:c>
      <x:c r="I302" s="24" t="str"/>
      <x:c r="J302" s="24" t="str"/>
      <x:c r="K302" s="24" t="str">
        <x:v>People with supernatural abilities licensed and ranked to confront gates and dungeons.</x:v>
      </x:c>
      <x:c r="L302" s="24" t="str">
        <x:v>Awakening, innate capacity, certification, teams, and economy.</x:v>
      </x:c>
      <x:c r="M302" s="24" t="str">
        <x:v>Hunter is a regulated social profession and power category, not simply someone who hunts animals.</x:v>
      </x:c>
      <x:c r="N302" s="24" t="str">
        <x:v>Ranked supernatural responder.</x:v>
      </x:c>
      <x:c r="O302" s="24" t="str">
        <x:v>Primary canon</x:v>
      </x:c>
      <x:c r="P302" s="24" t="str">
        <x:v>Secondary reference reviewed</x:v>
      </x:c>
      <x:c r="Q302" s="24" t="str">
        <x:v>Primary web-novel/manhwa/anime continuities; adaptation differences require verification.</x:v>
      </x:c>
      <x:c r="R302" s="84" t="str">
        <x:v>https://en.wikipedia.org/wiki/Solo_Leveling</x:v>
      </x:c>
      <x:c r="S302" s="24" t="str">
        <x:v>Seeded</x:v>
      </x:c>
    </x:row>
    <x:row r="303" ht="52" customHeight="1">
      <x:c r="A303" s="24" t="str">
        <x:v>ENT-0302</x:v>
      </x:c>
      <x:c r="B303" s="24" t="str">
        <x:v>Hunter associations</x:v>
      </x:c>
      <x:c r="C303" s="24" t="str">
        <x:v>SRC-235</x:v>
      </x:c>
      <x:c r="D303" s="24" t="str">
        <x:v>Solo Leveling</x:v>
      </x:c>
      <x:c r="E303" s="24" t="str">
        <x:v>Web-novel/manhwa/anime continuity</x:v>
      </x:c>
      <x:c r="F303" s="24" t="str">
        <x:v>Regulatory institution</x:v>
      </x:c>
      <x:c r="G303" s="24" t="str">
        <x:v>INS-113</x:v>
      </x:c>
      <x:c r="H303" s="24" t="str">
        <x:f>IFERROR(VLOOKUP(G303,'Master Taxonomy'!$A$2:$B$1656,2,FALSE),"")</x:f>
        <x:v>Hunters' Association</x:v>
      </x:c>
      <x:c r="I303" s="24" t="str">
        <x:v>MEC-314</x:v>
      </x:c>
      <x:c r="J303" s="24" t="str">
        <x:v>Rank and Promotion System</x:v>
      </x:c>
      <x:c r="K303" s="24" t="str">
        <x:v>Organizations that register, rank, deploy, and regulate hunters.</x:v>
      </x:c>
      <x:c r="L303" s="24" t="str">
        <x:v>Bureaucracy, testing, law, and gate management.</x:v>
      </x:c>
      <x:c r="M303" s="24" t="str">
        <x:v>National institutions vary and interact with private guilds.</x:v>
      </x:c>
      <x:c r="N303" s="24" t="str">
        <x:v>Superhuman professional regulator.</x:v>
      </x:c>
      <x:c r="O303" s="24" t="str">
        <x:v>Primary canon</x:v>
      </x:c>
      <x:c r="P303" s="24" t="str">
        <x:v>Secondary reference reviewed</x:v>
      </x:c>
      <x:c r="Q303" s="24" t="str">
        <x:v>Primary web-novel/manhwa/anime continuities; adaptation differences require verification.</x:v>
      </x:c>
      <x:c r="R303" s="84" t="str">
        <x:v>https://en.wikipedia.org/wiki/Solo_Leveling</x:v>
      </x:c>
      <x:c r="S303" s="24" t="str">
        <x:v>Seeded</x:v>
      </x:c>
    </x:row>
    <x:row r="304" ht="52" customHeight="1">
      <x:c r="A304" s="24" t="str">
        <x:v>ENT-0303</x:v>
      </x:c>
      <x:c r="B304" s="24" t="str">
        <x:v>Hunter guilds</x:v>
      </x:c>
      <x:c r="C304" s="24" t="str">
        <x:v>SRC-235</x:v>
      </x:c>
      <x:c r="D304" s="24" t="str">
        <x:v>Solo Leveling</x:v>
      </x:c>
      <x:c r="E304" s="24" t="str">
        <x:v>Web-novel/manhwa/anime continuity</x:v>
      </x:c>
      <x:c r="F304" s="24" t="str">
        <x:v>Professional combat guild</x:v>
      </x:c>
      <x:c r="G304" s="24" t="str">
        <x:v>INS-101</x:v>
      </x:c>
      <x:c r="H304" s="24" t="str">
        <x:f>IFERROR(VLOOKUP(G304,'Master Taxonomy'!$A$2:$B$1656,2,FALSE),"")</x:f>
        <x:v>Adventurers' Guild</x:v>
      </x:c>
      <x:c r="I304" s="24" t="str">
        <x:v>INS-206</x:v>
      </x:c>
      <x:c r="J304" s="24" t="str">
        <x:v>Mercenary Company</x:v>
      </x:c>
      <x:c r="K304" s="24" t="str">
        <x:v>Private organizations assembling ranked hunters for raids and economic competition.</x:v>
      </x:c>
      <x:c r="L304" s="24" t="str">
        <x:v>Contracts, teams, capital, reputation, and resource extraction.</x:v>
      </x:c>
      <x:c r="M304" s="24" t="str">
        <x:v>They resemble corporations and raid organizations more than medieval craft guilds.</x:v>
      </x:c>
      <x:c r="N304" s="24" t="str">
        <x:v>Commercial raid guild.</x:v>
      </x:c>
      <x:c r="O304" s="24" t="str">
        <x:v>Primary canon</x:v>
      </x:c>
      <x:c r="P304" s="24" t="str">
        <x:v>Secondary reference reviewed</x:v>
      </x:c>
      <x:c r="Q304" s="24" t="str">
        <x:v>Primary web-novel/manhwa/anime continuities; adaptation differences require verification.</x:v>
      </x:c>
      <x:c r="R304" s="84" t="str">
        <x:v>https://en.wikipedia.org/wiki/Solo_Leveling</x:v>
      </x:c>
      <x:c r="S304" s="24" t="str">
        <x:v>Seeded</x:v>
      </x:c>
    </x:row>
    <x:row r="305" ht="52" customHeight="1">
      <x:c r="A305" s="24" t="str">
        <x:v>ENT-0304</x:v>
      </x:c>
      <x:c r="B305" s="24" t="str">
        <x:v>Gates and dungeon economy</x:v>
      </x:c>
      <x:c r="C305" s="24" t="str">
        <x:v>SRC-235</x:v>
      </x:c>
      <x:c r="D305" s="24" t="str">
        <x:v>Solo Leveling</x:v>
      </x:c>
      <x:c r="E305" s="24" t="str">
        <x:v>Web-novel/manhwa/anime continuity</x:v>
      </x:c>
      <x:c r="F305" s="24" t="str">
        <x:v>Resource and crisis system</x:v>
      </x:c>
      <x:c r="G305" s="24" t="str">
        <x:v>CIV-303</x:v>
      </x:c>
      <x:c r="H305" s="24" t="str">
        <x:f>IFERROR(VLOOKUP(G305,'Master Taxonomy'!$A$2:$B$1656,2,FALSE),"")</x:f>
        <x:v>Dungeon Extraction Economy</x:v>
      </x:c>
      <x:c r="I305" s="24" t="str">
        <x:v>NAR-436</x:v>
      </x:c>
      <x:c r="J305" s="24" t="str">
        <x:v>Dungeon Crawl</x:v>
      </x:c>
      <x:c r="K305" s="24" t="str">
        <x:v>Portals create dangerous raid spaces whose monsters and resources reshape economies and security.</x:v>
      </x:c>
      <x:c r="L305" s="24" t="str">
        <x:v>Portal events, timed crises, loot, licensing, and teams.</x:v>
      </x:c>
      <x:c r="M305" s="24" t="str">
        <x:v>Dungeons are external incursions and economic sites, not ordinary ruins.</x:v>
      </x:c>
      <x:c r="N305" s="24" t="str">
        <x:v>Portal-crisis extraction economy.</x:v>
      </x:c>
      <x:c r="O305" s="24" t="str">
        <x:v>Primary canon</x:v>
      </x:c>
      <x:c r="P305" s="24" t="str">
        <x:v>Secondary reference reviewed</x:v>
      </x:c>
      <x:c r="Q305" s="24" t="str">
        <x:v>Primary web-novel/manhwa/anime continuities; adaptation differences require verification.</x:v>
      </x:c>
      <x:c r="R305" s="84" t="str">
        <x:v>https://en.wikipedia.org/wiki/Solo_Leveling</x:v>
      </x:c>
      <x:c r="S305" s="24" t="str">
        <x:v>Seeded</x:v>
      </x:c>
    </x:row>
    <x:row r="306" ht="52" customHeight="1">
      <x:c r="A306" s="24" t="str">
        <x:v>ENT-0305</x:v>
      </x:c>
      <x:c r="B306" s="24" t="str">
        <x:v>System user</x:v>
      </x:c>
      <x:c r="C306" s="24" t="str">
        <x:v>SRC-235</x:v>
      </x:c>
      <x:c r="D306" s="24" t="str">
        <x:v>Solo Leveling</x:v>
      </x:c>
      <x:c r="E306" s="24" t="str">
        <x:v>Web-novel/manhwa/anime continuity</x:v>
      </x:c>
      <x:c r="F306" s="24" t="str">
        <x:v>Exclusive progression role</x:v>
      </x:c>
      <x:c r="G306" s="24" t="str">
        <x:v>ROL-918</x:v>
      </x:c>
      <x:c r="H306" s="24" t="str">
        <x:f>IFERROR(VLOOKUP(G306,'Master Taxonomy'!$A$2:$B$1656,2,FALSE),"")</x:f>
        <x:v>System User</x:v>
      </x:c>
      <x:c r="I306" s="24" t="str">
        <x:v>STA-419</x:v>
      </x:c>
      <x:c r="J306" s="24" t="str">
        <x:v>Level-Up or Rank-Up</x:v>
      </x:c>
      <x:c r="K306" s="24" t="str">
        <x:v>A character granted explicit game-like quests, levels, statistics, inventory, and growth.</x:v>
      </x:c>
      <x:c r="L306" s="24" t="str">
        <x:v>External interface, quests, rewards, and exceptional progression.</x:v>
      </x:c>
      <x:c r="M306" s="24" t="str">
        <x:v>The system creates an asymmetry with normally fixed hunter ranks.</x:v>
      </x:c>
      <x:c r="N306" s="24" t="str">
        <x:v>Diegetic player-progression protagonist.</x:v>
      </x:c>
      <x:c r="O306" s="24" t="str">
        <x:v>Primary canon</x:v>
      </x:c>
      <x:c r="P306" s="24" t="str">
        <x:v>Secondary reference reviewed</x:v>
      </x:c>
      <x:c r="Q306" s="24" t="str">
        <x:v>Primary web-novel/manhwa/anime continuities; adaptation differences require verification.</x:v>
      </x:c>
      <x:c r="R306" s="84" t="str">
        <x:v>https://en.wikipedia.org/wiki/Solo_Leveling</x:v>
      </x:c>
      <x:c r="S306" s="24" t="str">
        <x:v>Seeded</x:v>
      </x:c>
    </x:row>
    <x:row r="307" ht="52" customHeight="1">
      <x:c r="A307" s="24" t="str">
        <x:v>ENT-0306</x:v>
      </x:c>
      <x:c r="B307" s="24" t="str">
        <x:v>Shadow soldiers</x:v>
      </x:c>
      <x:c r="C307" s="24" t="str">
        <x:v>SRC-235</x:v>
      </x:c>
      <x:c r="D307" s="24" t="str">
        <x:v>Solo Leveling</x:v>
      </x:c>
      <x:c r="E307" s="24" t="str">
        <x:v>Web-novel/manhwa/anime continuity</x:v>
      </x:c>
      <x:c r="F307" s="24" t="str">
        <x:v>Summoned undead-like army</x:v>
      </x:c>
      <x:c r="G307" s="24" t="str">
        <x:v>PPL-307</x:v>
      </x:c>
      <x:c r="H307" s="24" t="str">
        <x:f>IFERROR(VLOOKUP(G307,'Master Taxonomy'!$A$2:$B$1656,2,FALSE),"")</x:f>
        <x:v>Shadow Beings</x:v>
      </x:c>
      <x:c r="I307" s="24" t="str">
        <x:v>ROL-816</x:v>
      </x:c>
      <x:c r="J307" s="24" t="str">
        <x:v>Necromantic Commander</x:v>
      </x:c>
      <x:c r="K307" s="24" t="str">
        <x:v>Defeated beings converted into loyal shadow troops under a command hierarchy.</x:v>
      </x:c>
      <x:c r="L307" s="24" t="str">
        <x:v>Postmortem conversion, summoning, stored army, and sovereign command.</x:v>
      </x:c>
      <x:c r="M307" s="24" t="str">
        <x:v>They are not conventional corpses and retain variable traces of prior ability.</x:v>
      </x:c>
      <x:c r="N307" s="24" t="str">
        <x:v>Portable necromantic summon army.</x:v>
      </x:c>
      <x:c r="O307" s="24" t="str">
        <x:v>Primary canon</x:v>
      </x:c>
      <x:c r="P307" s="24" t="str">
        <x:v>Secondary reference reviewed</x:v>
      </x:c>
      <x:c r="Q307" s="24" t="str">
        <x:v>Primary web-novel/manhwa/anime continuities; adaptation differences require verification.</x:v>
      </x:c>
      <x:c r="R307" s="84" t="str">
        <x:v>https://en.wikipedia.org/wiki/Solo_Leveling</x:v>
      </x:c>
      <x:c r="S307" s="24" t="str">
        <x:v>Seeded</x:v>
      </x:c>
    </x:row>
    <x:row r="308" ht="52" customHeight="1">
      <x:c r="A308" s="24" t="str">
        <x:v>ENT-0307</x:v>
      </x:c>
      <x:c r="B308" s="24" t="str">
        <x:v>Monarchs and Rulers</x:v>
      </x:c>
      <x:c r="C308" s="24" t="str">
        <x:v>SRC-235</x:v>
      </x:c>
      <x:c r="D308" s="24" t="str">
        <x:v>Solo Leveling</x:v>
      </x:c>
      <x:c r="E308" s="24" t="str">
        <x:v>Web-novel/manhwa/anime continuity</x:v>
      </x:c>
      <x:c r="F308" s="24" t="str">
        <x:v>Cosmic factions</x:v>
      </x:c>
      <x:c r="G308" s="24" t="str">
        <x:v>PPL-1102</x:v>
      </x:c>
      <x:c r="H308" s="24" t="str">
        <x:f>IFERROR(VLOOKUP(G308,'Master Taxonomy'!$A$2:$B$1656,2,FALSE),"")</x:f>
        <x:v>Alien and Otherworlder Peoples</x:v>
      </x:c>
      <x:c r="I308" s="24" t="str">
        <x:v>ROL-701</x:v>
      </x:c>
      <x:c r="J308" s="24" t="str">
        <x:v>Monarch</x:v>
      </x:c>
      <x:c r="K308" s="24" t="str">
        <x:v>Opposed groups of immensely powerful otherworldly beings acting through cosmic conflict and vessels.</x:v>
      </x:c>
      <x:c r="L308" s="24" t="str">
        <x:v>Otherworldly origin, embodiment, inherited power, and cosmic war.</x:v>
      </x:c>
      <x:c r="M308" s="24" t="str">
        <x:v>‘Monarch’ is a metaphysical faction-title, not merely political kingship.</x:v>
      </x:c>
      <x:c r="N308" s="24" t="str">
        <x:v>Cosmic sovereign-warrior order.</x:v>
      </x:c>
      <x:c r="O308" s="24" t="str">
        <x:v>Primary canon</x:v>
      </x:c>
      <x:c r="P308" s="24" t="str">
        <x:v>Secondary reference reviewed</x:v>
      </x:c>
      <x:c r="Q308" s="24" t="str">
        <x:v>Primary web-novel/manhwa/anime continuities; adaptation differences require verification.</x:v>
      </x:c>
      <x:c r="R308" s="84" t="str">
        <x:v>https://en.wikipedia.org/wiki/Solo_Leveling</x:v>
      </x:c>
      <x:c r="S308" s="24" t="str">
        <x:v>Seeded</x:v>
      </x:c>
    </x:row>
    <x:row r="309" ht="52" customHeight="1">
      <x:c r="A309" s="24" t="str">
        <x:v>ENT-0308</x:v>
      </x:c>
      <x:c r="B309" s="24" t="str">
        <x:v>Cultivator</x:v>
      </x:c>
      <x:c r="C309" s="24" t="str">
        <x:v>SRC-077</x:v>
      </x:c>
      <x:c r="D309" s="24" t="str">
        <x:v>A Record of a Mortal's Journey to Immortality</x:v>
      </x:c>
      <x:c r="E309" s="24" t="str">
        <x:v>Web-novel continuity</x:v>
      </x:c>
      <x:c r="F309" s="24" t="str">
        <x:v>Progression vocation</x:v>
      </x:c>
      <x:c r="G309" s="24" t="str">
        <x:v>ROL-906</x:v>
      </x:c>
      <x:c r="H309" s="24" t="str">
        <x:f>IFERROR(VLOOKUP(G309,'Master Taxonomy'!$A$2:$B$1656,2,FALSE),"")</x:f>
        <x:v>Cultivator</x:v>
      </x:c>
      <x:c r="I309" s="24" t="str">
        <x:v>PWR-114</x:v>
      </x:c>
      <x:c r="J309" s="24" t="str">
        <x:v>Cultivation and Internal Refinement</x:v>
      </x:c>
      <x:c r="K309" s="24" t="str">
        <x:v>A practitioner who refines body, energy, spirit, and resources across ranked realms.</x:v>
      </x:c>
      <x:c r="L309" s="24" t="str">
        <x:v>Training, qi, techniques, treasures, pills, and breakthroughs.</x:v>
      </x:c>
      <x:c r="M309" s="24" t="str">
        <x:v>Cultivation is a life-path and cosmology, not merely a spellcasting class.</x:v>
      </x:c>
      <x:c r="N309" s="24" t="str">
        <x:v>Core xianxia progression archetype.</x:v>
      </x:c>
      <x:c r="O309" s="24" t="str">
        <x:v>Primary canon</x:v>
      </x:c>
      <x:c r="P309" s="24" t="str">
        <x:v>Secondary reference reviewed</x:v>
      </x:c>
      <x:c r="Q309" s="24" t="str">
        <x:v>Primary web-novel continuity; secondary orientation source.</x:v>
      </x:c>
      <x:c r="R309" s="84" t="str">
        <x:v>https://en.wikipedia.org/wiki/A_Record_of_a_Mortal's_Journey_to_Immortality</x:v>
      </x:c>
      <x:c r="S309" s="24" t="str">
        <x:v>Seeded</x:v>
      </x:c>
    </x:row>
    <x:row r="310" ht="52" customHeight="1">
      <x:c r="A310" s="24" t="str">
        <x:v>ENT-0309</x:v>
      </x:c>
      <x:c r="B310" s="24" t="str">
        <x:v>Sect disciple</x:v>
      </x:c>
      <x:c r="C310" s="24" t="str">
        <x:v>SRC-077</x:v>
      </x:c>
      <x:c r="D310" s="24" t="str">
        <x:v>A Record of a Mortal's Journey to Immortality</x:v>
      </x:c>
      <x:c r="E310" s="24" t="str">
        <x:v>Web-novel continuity</x:v>
      </x:c>
      <x:c r="F310" s="24" t="str">
        <x:v>Institutional rank and vocation</x:v>
      </x:c>
      <x:c r="G310" s="24" t="str">
        <x:v>ROL-914</x:v>
      </x:c>
      <x:c r="H310" s="24" t="str">
        <x:f>IFERROR(VLOOKUP(G310,'Master Taxonomy'!$A$2:$B$1656,2,FALSE),"")</x:f>
        <x:v>Sect Disciple</x:v>
      </x:c>
      <x:c r="I310" s="24" t="str">
        <x:v>INS-312</x:v>
      </x:c>
      <x:c r="J310" s="24" t="str">
        <x:v>Cultivation Sect</x:v>
      </x:c>
      <x:c r="K310" s="24" t="str">
        <x:v>A cultivator embedded in a sect hierarchy of teaching, resources, duties, and rivalries.</x:v>
      </x:c>
      <x:c r="L310" s="24" t="str">
        <x:v>Initiation, master-disciple ties, rank, contribution, and technique access.</x:v>
      </x:c>
      <x:c r="M310" s="24" t="str">
        <x:v>Sect membership is institutional and may change over a character's life.</x:v>
      </x:c>
      <x:c r="N310" s="24" t="str">
        <x:v>Cultivation-school member.</x:v>
      </x:c>
      <x:c r="O310" s="24" t="str">
        <x:v>Primary canon</x:v>
      </x:c>
      <x:c r="P310" s="24" t="str">
        <x:v>Secondary reference reviewed</x:v>
      </x:c>
      <x:c r="Q310" s="24" t="str">
        <x:v>Primary web-novel continuity; secondary orientation source.</x:v>
      </x:c>
      <x:c r="R310" s="84" t="str">
        <x:v>https://en.wikipedia.org/wiki/A_Record_of_a_Mortal's_Journey_to_Immortality</x:v>
      </x:c>
      <x:c r="S310" s="24" t="str">
        <x:v>Seeded</x:v>
      </x:c>
    </x:row>
    <x:row r="311" ht="52" customHeight="1">
      <x:c r="A311" s="24" t="str">
        <x:v>ENT-0310</x:v>
      </x:c>
      <x:c r="B311" s="24" t="str">
        <x:v>Martial cultivator</x:v>
      </x:c>
      <x:c r="C311" s="24" t="str">
        <x:v>SRC-077</x:v>
      </x:c>
      <x:c r="D311" s="24" t="str">
        <x:v>A Record of a Mortal's Journey to Immortality</x:v>
      </x:c>
      <x:c r="E311" s="24" t="str">
        <x:v>Web-novel continuity</x:v>
      </x:c>
      <x:c r="F311" s="24" t="str">
        <x:v>Cultivation specialization</x:v>
      </x:c>
      <x:c r="G311" s="24" t="str">
        <x:v>ROL-907</x:v>
      </x:c>
      <x:c r="H311" s="24" t="str">
        <x:f>IFERROR(VLOOKUP(G311,'Master Taxonomy'!$A$2:$B$1656,2,FALSE),"")</x:f>
        <x:v>Martial Cultivator</x:v>
      </x:c>
      <x:c r="I311" s="24" t="str">
        <x:v>PWR-115</x:v>
      </x:c>
      <x:c r="J311" s="24" t="str">
        <x:v>Martial Ki or Qi</x:v>
      </x:c>
      <x:c r="K311" s="24" t="str">
        <x:v>A practitioner emphasizing combat techniques and internally refined power.</x:v>
      </x:c>
      <x:c r="L311" s="24" t="str">
        <x:v>Qi, bodily training, techniques, and weapons.</x:v>
      </x:c>
      <x:c r="M311" s="24" t="str">
        <x:v>The boundary between martial and magical cultivation is setting-specific.</x:v>
      </x:c>
      <x:c r="N311" s="24" t="str">
        <x:v>Progression martial artist.</x:v>
      </x:c>
      <x:c r="O311" s="24" t="str">
        <x:v>Primary canon</x:v>
      </x:c>
      <x:c r="P311" s="24" t="str">
        <x:v>Secondary reference reviewed</x:v>
      </x:c>
      <x:c r="Q311" s="24" t="str">
        <x:v>Primary web-novel continuity; secondary orientation source.</x:v>
      </x:c>
      <x:c r="R311" s="84" t="str">
        <x:v>https://en.wikipedia.org/wiki/A_Record_of_a_Mortal's_Journey_to_Immortality</x:v>
      </x:c>
      <x:c r="S311" s="24" t="str">
        <x:v>Seeded</x:v>
      </x:c>
    </x:row>
    <x:row r="312" ht="52" customHeight="1">
      <x:c r="A312" s="24" t="str">
        <x:v>ENT-0311</x:v>
      </x:c>
      <x:c r="B312" s="24" t="str">
        <x:v>Sword cultivator</x:v>
      </x:c>
      <x:c r="C312" s="24" t="str">
        <x:v>SRC-077</x:v>
      </x:c>
      <x:c r="D312" s="24" t="str">
        <x:v>A Record of a Mortal's Journey to Immortality</x:v>
      </x:c>
      <x:c r="E312" s="24" t="str">
        <x:v>Web-novel continuity</x:v>
      </x:c>
      <x:c r="F312" s="24" t="str">
        <x:v>Cultivation specialization</x:v>
      </x:c>
      <x:c r="G312" s="24" t="str">
        <x:v>ROL-908</x:v>
      </x:c>
      <x:c r="H312" s="24" t="str">
        <x:f>IFERROR(VLOOKUP(G312,'Master Taxonomy'!$A$2:$B$1656,2,FALSE),"")</x:f>
        <x:v>Sword Cultivator</x:v>
      </x:c>
      <x:c r="I312" s="24" t="str"/>
      <x:c r="J312" s="24" t="str"/>
      <x:c r="K312" s="24" t="str">
        <x:v>A cultivator whose path centers on sword techniques, intent, artifacts, and combat insight.</x:v>
      </x:c>
      <x:c r="L312" s="24" t="str">
        <x:v>Weapon bond, qi, technique, and comprehension.</x:v>
      </x:c>
      <x:c r="M312" s="24" t="str">
        <x:v>Not simply any swordsman; the sword is a metaphysical path.</x:v>
      </x:c>
      <x:c r="N312" s="24" t="str">
        <x:v>Transcendent sword specialist.</x:v>
      </x:c>
      <x:c r="O312" s="24" t="str">
        <x:v>Primary canon</x:v>
      </x:c>
      <x:c r="P312" s="24" t="str">
        <x:v>Secondary reference reviewed</x:v>
      </x:c>
      <x:c r="Q312" s="24" t="str">
        <x:v>Primary web-novel continuity; secondary orientation source.</x:v>
      </x:c>
      <x:c r="R312" s="84" t="str">
        <x:v>https://en.wikipedia.org/wiki/A_Record_of_a_Mortal's_Journey_to_Immortality</x:v>
      </x:c>
      <x:c r="S312" s="24" t="str">
        <x:v>Seeded</x:v>
      </x:c>
    </x:row>
    <x:row r="313" ht="52" customHeight="1">
      <x:c r="A313" s="24" t="str">
        <x:v>ENT-0312</x:v>
      </x:c>
      <x:c r="B313" s="24" t="str">
        <x:v>Pill alchemist</x:v>
      </x:c>
      <x:c r="C313" s="24" t="str">
        <x:v>SRC-077</x:v>
      </x:c>
      <x:c r="D313" s="24" t="str">
        <x:v>A Record of a Mortal's Journey to Immortality</x:v>
      </x:c>
      <x:c r="E313" s="24" t="str">
        <x:v>Web-novel continuity</x:v>
      </x:c>
      <x:c r="F313" s="24" t="str">
        <x:v>Craft specialization</x:v>
      </x:c>
      <x:c r="G313" s="24" t="str">
        <x:v>ROL-913</x:v>
      </x:c>
      <x:c r="H313" s="24" t="str">
        <x:f>IFERROR(VLOOKUP(G313,'Master Taxonomy'!$A$2:$B$1656,2,FALSE),"")</x:f>
        <x:v>Pill Alchemist</x:v>
      </x:c>
      <x:c r="I313" s="24" t="str">
        <x:v>PWR-513</x:v>
      </x:c>
      <x:c r="J313" s="24" t="str">
        <x:v>Alchemy</x:v>
      </x:c>
      <x:c r="K313" s="24" t="str">
        <x:v>A specialist refining medicinal and cultivation-enhancing pills from rare materials.</x:v>
      </x:c>
      <x:c r="L313" s="24" t="str">
        <x:v>Recipes, furnaces, spiritual materials, and technical skill.</x:v>
      </x:c>
      <x:c r="M313" s="24" t="str">
        <x:v>Pill alchemy is tied to progression economy and bodily transformation.</x:v>
      </x:c>
      <x:c r="N313" s="24" t="str">
        <x:v>Cultivation pharmacist-artificer.</x:v>
      </x:c>
      <x:c r="O313" s="24" t="str">
        <x:v>Primary canon</x:v>
      </x:c>
      <x:c r="P313" s="24" t="str">
        <x:v>Secondary reference reviewed</x:v>
      </x:c>
      <x:c r="Q313" s="24" t="str">
        <x:v>Primary web-novel continuity; secondary orientation source.</x:v>
      </x:c>
      <x:c r="R313" s="84" t="str">
        <x:v>https://en.wikipedia.org/wiki/A_Record_of_a_Mortal's_Journey_to_Immortality</x:v>
      </x:c>
      <x:c r="S313" s="24" t="str">
        <x:v>Seeded</x:v>
      </x:c>
    </x:row>
    <x:row r="314" ht="52" customHeight="1">
      <x:c r="A314" s="24" t="str">
        <x:v>ENT-0313</x:v>
      </x:c>
      <x:c r="B314" s="24" t="str">
        <x:v>Talisman master</x:v>
      </x:c>
      <x:c r="C314" s="24" t="str">
        <x:v>SRC-077</x:v>
      </x:c>
      <x:c r="D314" s="24" t="str">
        <x:v>A Record of a Mortal's Journey to Immortality</x:v>
      </x:c>
      <x:c r="E314" s="24" t="str">
        <x:v>Web-novel continuity</x:v>
      </x:c>
      <x:c r="F314" s="24" t="str">
        <x:v>Technical magic specialization</x:v>
      </x:c>
      <x:c r="G314" s="24" t="str">
        <x:v>ROL-911</x:v>
      </x:c>
      <x:c r="H314" s="24" t="str">
        <x:f>IFERROR(VLOOKUP(G314,'Master Taxonomy'!$A$2:$B$1656,2,FALSE),"")</x:f>
        <x:v>Talisman Master</x:v>
      </x:c>
      <x:c r="I314" s="24" t="str">
        <x:v>PWR-506</x:v>
      </x:c>
      <x:c r="J314" s="24" t="str">
        <x:v>Talisman and Charm Magic</x:v>
      </x:c>
      <x:c r="K314" s="24" t="str">
        <x:v>A specialist creating inscribed talismans for attacks, defenses, sealing, or utility.</x:v>
      </x:c>
      <x:c r="L314" s="24" t="str">
        <x:v>Symbolic inscription, materials, qi, and stored effects.</x:v>
      </x:c>
      <x:c r="M314" s="24" t="str">
        <x:v>Talismans function as technical consumables and ritual media.</x:v>
      </x:c>
      <x:c r="N314" s="24" t="str">
        <x:v>Inscribed spell-item specialist.</x:v>
      </x:c>
      <x:c r="O314" s="24" t="str">
        <x:v>Primary canon</x:v>
      </x:c>
      <x:c r="P314" s="24" t="str">
        <x:v>Secondary reference reviewed</x:v>
      </x:c>
      <x:c r="Q314" s="24" t="str">
        <x:v>Primary web-novel continuity; secondary orientation source.</x:v>
      </x:c>
      <x:c r="R314" s="84" t="str">
        <x:v>https://en.wikipedia.org/wiki/A_Record_of_a_Mortal's_Journey_to_Immortality</x:v>
      </x:c>
      <x:c r="S314" s="24" t="str">
        <x:v>Seeded</x:v>
      </x:c>
    </x:row>
    <x:row r="315" ht="52" customHeight="1">
      <x:c r="A315" s="24" t="str">
        <x:v>ENT-0314</x:v>
      </x:c>
      <x:c r="B315" s="24" t="str">
        <x:v>Spirit beasts</x:v>
      </x:c>
      <x:c r="C315" s="24" t="str">
        <x:v>SRC-077</x:v>
      </x:c>
      <x:c r="D315" s="24" t="str">
        <x:v>A Record of a Mortal's Journey to Immortality</x:v>
      </x:c>
      <x:c r="E315" s="24" t="str">
        <x:v>Web-novel continuity</x:v>
      </x:c>
      <x:c r="F315" s="24" t="str">
        <x:v>Magical creatures</x:v>
      </x:c>
      <x:c r="G315" s="24" t="str">
        <x:v>PPL-409</x:v>
      </x:c>
      <x:c r="H315" s="24" t="str">
        <x:f>IFERROR(VLOOKUP(G315,'Master Taxonomy'!$A$2:$B$1656,2,FALSE),"")</x:f>
        <x:v>Divine Beasts</x:v>
      </x:c>
      <x:c r="I315" s="24" t="str">
        <x:v>MEC-405</x:v>
      </x:c>
      <x:c r="J315" s="24" t="str">
        <x:v>Pet or Tamed Unit</x:v>
      </x:c>
      <x:c r="K315" s="24" t="str">
        <x:v>Beasts capable of cultivation, supernatural growth, contracts, or transformation.</x:v>
      </x:c>
      <x:c r="L315" s="24" t="str">
        <x:v>Innate lineage, cultivation, resources, and bonds.</x:v>
      </x:c>
      <x:c r="M315" s="24" t="str">
        <x:v>They may be persons, partners, resources, or threats depending on stage and context.</x:v>
      </x:c>
      <x:c r="N315" s="24" t="str">
        <x:v>Progressing magical beast archetype.</x:v>
      </x:c>
      <x:c r="O315" s="24" t="str">
        <x:v>Primary canon</x:v>
      </x:c>
      <x:c r="P315" s="24" t="str">
        <x:v>Secondary reference reviewed</x:v>
      </x:c>
      <x:c r="Q315" s="24" t="str">
        <x:v>Primary web-novel continuity; secondary orientation source.</x:v>
      </x:c>
      <x:c r="R315" s="84" t="str">
        <x:v>https://en.wikipedia.org/wiki/A_Record_of_a_Mortal's_Journey_to_Immortality</x:v>
      </x:c>
      <x:c r="S315" s="24" t="str">
        <x:v>Seeded</x:v>
      </x:c>
    </x:row>
    <x:row r="316" ht="52" customHeight="1">
      <x:c r="A316" s="24" t="str">
        <x:v>ENT-0315</x:v>
      </x:c>
      <x:c r="B316" s="24" t="str">
        <x:v>Cultivation breakthrough</x:v>
      </x:c>
      <x:c r="C316" s="24" t="str">
        <x:v>SRC-077</x:v>
      </x:c>
      <x:c r="D316" s="24" t="str">
        <x:v>A Record of a Mortal's Journey to Immortality</x:v>
      </x:c>
      <x:c r="E316" s="24" t="str">
        <x:v>Web-novel continuity</x:v>
      </x:c>
      <x:c r="F316" s="24" t="str">
        <x:v>Transformation/progression state</x:v>
      </x:c>
      <x:c r="G316" s="24" t="str">
        <x:v>STA-418</x:v>
      </x:c>
      <x:c r="H316" s="24" t="str">
        <x:f>IFERROR(VLOOKUP(G316,'Master Taxonomy'!$A$2:$B$1656,2,FALSE),"")</x:f>
        <x:v>Cultivation Breakthrough</x:v>
      </x:c>
      <x:c r="I316" s="24" t="str">
        <x:v>MEC-315</x:v>
      </x:c>
      <x:c r="J316" s="24" t="str">
        <x:v>Cultivation Realm System</x:v>
      </x:c>
      <x:c r="K316" s="24" t="str">
        <x:v>A threshold transition into a higher realm of capability and lifespan.</x:v>
      </x:c>
      <x:c r="L316" s="24" t="str">
        <x:v>Accumulated refinement, insight, resources, risk, and tribulation.</x:v>
      </x:c>
      <x:c r="M316" s="24" t="str">
        <x:v>Breakthroughs are qualitative ontological changes, not only numeric level-ups.</x:v>
      </x:c>
      <x:c r="N316" s="24" t="str">
        <x:v>Realm-transition progression beat.</x:v>
      </x:c>
      <x:c r="O316" s="24" t="str">
        <x:v>Primary canon</x:v>
      </x:c>
      <x:c r="P316" s="24" t="str">
        <x:v>Secondary reference reviewed</x:v>
      </x:c>
      <x:c r="Q316" s="24" t="str">
        <x:v>Primary web-novel continuity; secondary orientation source.</x:v>
      </x:c>
      <x:c r="R316" s="84" t="str">
        <x:v>https://en.wikipedia.org/wiki/A_Record_of_a_Mortal's_Journey_to_Immortality</x:v>
      </x:c>
      <x:c r="S316" s="24" t="str">
        <x:v>Seeded</x:v>
      </x:c>
    </x:row>
    <x:row r="317" ht="52" customHeight="1">
      <x:c r="A317" s="24" t="str">
        <x:v>ENT-0316</x:v>
      </x:c>
      <x:c r="B317" s="24" t="str">
        <x:v>Immortal / ascendant</x:v>
      </x:c>
      <x:c r="C317" s="24" t="str">
        <x:v>SRC-077</x:v>
      </x:c>
      <x:c r="D317" s="24" t="str">
        <x:v>A Record of a Mortal's Journey to Immortality</x:v>
      </x:c>
      <x:c r="E317" s="24" t="str">
        <x:v>Web-novel continuity</x:v>
      </x:c>
      <x:c r="F317" s="24" t="str">
        <x:v>Advanced progression state</x:v>
      </x:c>
      <x:c r="G317" s="24" t="str">
        <x:v>ROL-917</x:v>
      </x:c>
      <x:c r="H317" s="24" t="str">
        <x:f>IFERROR(VLOOKUP(G317,'Master Taxonomy'!$A$2:$B$1656,2,FALSE),"")</x:f>
        <x:v>Immortal and Ascendant</x:v>
      </x:c>
      <x:c r="I317" s="24" t="str"/>
      <x:c r="J317" s="24" t="str"/>
      <x:c r="K317" s="24" t="str">
        <x:v>A practitioner who attains radically extended life or higher-realm existence.</x:v>
      </x:c>
      <x:c r="L317" s="24" t="str">
        <x:v>Cultivation, transformation, cosmic law, and realm travel.</x:v>
      </x:c>
      <x:c r="M317" s="24" t="str">
        <x:v>Immortality is often conditional, graded, and still vulnerable.</x:v>
      </x:c>
      <x:c r="N317" s="24" t="str">
        <x:v>Post-mortal cultivation endpoint.</x:v>
      </x:c>
      <x:c r="O317" s="24" t="str">
        <x:v>Primary canon</x:v>
      </x:c>
      <x:c r="P317" s="24" t="str">
        <x:v>Secondary reference reviewed</x:v>
      </x:c>
      <x:c r="Q317" s="24" t="str">
        <x:v>Primary web-novel continuity; secondary orientation source.</x:v>
      </x:c>
      <x:c r="R317" s="84" t="str">
        <x:v>https://en.wikipedia.org/wiki/A_Record_of_a_Mortal's_Journey_to_Immortality</x:v>
      </x:c>
      <x:c r="S317" s="24" t="str">
        <x:v>Seeded</x:v>
      </x:c>
    </x:row>
    <x:row r="318" ht="52" customHeight="1">
      <x:c r="A318" s="119" t="str">
        <x:v>ENT-0317</x:v>
      </x:c>
      <x:c r="B318" s="120" t="str">
        <x:v>Deva (deva)</x:v>
      </x:c>
      <x:c r="C318" s="120" t="str">
        <x:v>SRC-277</x:v>
      </x:c>
      <x:c r="D318" s="120" t="str">
        <x:v>Mahābhārata — BORI Critical Edition</x:v>
      </x:c>
      <x:c r="E318" s="120" t="str">
        <x:v>Critical-edition-oriented source pass; Ganguli English translation reviewed at parva level</x:v>
      </x:c>
      <x:c r="F318" s="120" t="str">
        <x:v>Divine/metaphysical kind</x:v>
      </x:c>
      <x:c r="G318" s="120" t="str">
        <x:v>PPL-401</x:v>
      </x:c>
      <x:c r="H318" s="120" t="str">
        <x:f>IFERROR(VLOOKUP(G318,'Master Taxonomy'!$A$2:$B$1656,2,FALSE),"")</x:f>
        <x:v>Deities</x:v>
      </x:c>
      <x:c r="I318" s="120" t="str">
        <x:v>COS-202;LAW-211</x:v>
      </x:c>
      <x:c r="J318" s="120" t="str">
        <x:v>Divine Court; Divine Patronage or Favor</x:v>
      </x:c>
      <x:c r="K318" s="120" t="str">
        <x:v>A broad class of divine beings active in cosmology, lineage narratives, boons, weapons, conflict, and patronage.</x:v>
      </x:c>
      <x:c r="L318" s="120" t="str">
        <x:v>Divine status, cosmic function, worship, lineage, and relationships with mortals.</x:v>
      </x:c>
      <x:c r="M318" s="120" t="str">
        <x:v>Deva is not simply a generic fantasy 'god species'; the term's range and status vary across passages and wider South Asian traditions.</x:v>
      </x:c>
      <x:c r="N318" s="120" t="str">
        <x:v>Maps partly to deities and celestial powers while retaining source-specific divine plurality.</x:v>
      </x:c>
      <x:c r="O318" s="120" t="str">
        <x:v>Primary canon</x:v>
      </x:c>
      <x:c r="P318" s="120" t="str">
        <x:v>Primary text reviewed</x:v>
      </x:c>
      <x:c r="Q318" s="120" t="str">
        <x:v>Ādi Parva and throughout the epic; BORI Critical Edition structure consulted.</x:v>
      </x:c>
      <x:c r="R318" s="120" t="str">
        <x:v>https://www.gutenberg.org/ebooks/15474</x:v>
      </x:c>
      <x:c r="S318" s="120" t="str">
        <x:v>Seeded</x:v>
      </x:c>
    </x:row>
    <x:row r="319" ht="52" customHeight="1">
      <x:c r="A319" s="119" t="str">
        <x:v>ENT-0318</x:v>
      </x:c>
      <x:c r="B319" s="120" t="str">
        <x:v>Asura (asura)</x:v>
      </x:c>
      <x:c r="C319" s="120" t="str">
        <x:v>SRC-277</x:v>
      </x:c>
      <x:c r="D319" s="120" t="str">
        <x:v>Mahābhārata — BORI Critical Edition</x:v>
      </x:c>
      <x:c r="E319" s="120" t="str">
        <x:v>Critical-edition-oriented source pass; Ganguli English translation reviewed at parva level</x:v>
      </x:c>
      <x:c r="F319" s="120" t="str">
        <x:v>Divine/metaphysical kind</x:v>
      </x:c>
      <x:c r="G319" s="120" t="str">
        <x:v>PPL-400</x:v>
      </x:c>
      <x:c r="H319" s="120" t="str">
        <x:f>IFERROR(VLOOKUP(G319,'Master Taxonomy'!$A$2:$B$1656,2,FALSE),"")</x:f>
        <x:v>Divine and Celestial Beings</x:v>
      </x:c>
      <x:c r="I319" s="120" t="str">
        <x:v>COS-214;LAW-505</x:v>
      </x:c>
      <x:c r="J319" s="120" t="str">
        <x:v>Realm of Chaos or Flux; Cosmic or Social Order</x:v>
      </x:c>
      <x:c r="K319" s="120" t="str">
        <x:v>Powerful beings frequently positioned in rivalry or conflict with devas, yet embedded in shared genealogies, powers, boons, and cosmic history.</x:v>
      </x:c>
      <x:c r="L319" s="120" t="str">
        <x:v>Lineage, austerity, boons, sovereignty, conflict, and cosmological opposition.</x:v>
      </x:c>
      <x:c r="M319" s="120" t="str">
        <x:v>Asura is not safely equivalent to demon, devil, evil species, or infernal outsider; its semantic and theological history is source-specific.</x:v>
      </x:c>
      <x:c r="N319" s="120" t="str">
        <x:v>A corrective case showing why adversarial divine beings must not be collapsed into the generic demon family.</x:v>
      </x:c>
      <x:c r="O319" s="120" t="str">
        <x:v>Primary canon</x:v>
      </x:c>
      <x:c r="P319" s="120" t="str">
        <x:v>Primary text reviewed</x:v>
      </x:c>
      <x:c r="Q319" s="120" t="str">
        <x:v>Ādi Parva and mythological recapitulations across the epic.</x:v>
      </x:c>
      <x:c r="R319" s="120" t="str">
        <x:v>https://www.gutenberg.org/ebooks/15474</x:v>
      </x:c>
      <x:c r="S319" s="120" t="str">
        <x:v>Seeded</x:v>
      </x:c>
    </x:row>
    <x:row r="320" ht="52" customHeight="1">
      <x:c r="A320" s="119" t="str">
        <x:v>ENT-0319</x:v>
      </x:c>
      <x:c r="B320" s="120" t="str">
        <x:v>Rākṣasa (rākṣasa)</x:v>
      </x:c>
      <x:c r="C320" s="120" t="str">
        <x:v>SRC-277</x:v>
      </x:c>
      <x:c r="D320" s="120" t="str">
        <x:v>Mahābhārata — BORI Critical Edition</x:v>
      </x:c>
      <x:c r="E320" s="120" t="str">
        <x:v>Critical-edition-oriented source pass; Ganguli English translation reviewed at parva level</x:v>
      </x:c>
      <x:c r="F320" s="120" t="str">
        <x:v>Metaphysical kind / people / antagonist category</x:v>
      </x:c>
      <x:c r="G320" s="120" t="str">
        <x:v>PPL-500</x:v>
      </x:c>
      <x:c r="H320" s="120" t="str">
        <x:f>IFERROR(VLOOKUP(G320,'Master Taxonomy'!$A$2:$B$1656,2,FALSE),"")</x:f>
        <x:v>Infernal and Corruptive Beings</x:v>
      </x:c>
      <x:c r="I320" s="120" t="str">
        <x:v>PPL-1001;PWR-404</x:v>
      </x:c>
      <x:c r="J320" s="120" t="str">
        <x:v>General Shapeshifters; Illusion and Glamour</x:v>
      </x:c>
      <x:c r="K320" s="120" t="str">
        <x:v>A varied class of powerful beings associated in different episodes with wilderness, appetite, conflict, lineage, rulership, disguise, and shape-changing.</x:v>
      </x:c>
      <x:c r="L320" s="120" t="str">
        <x:v>Innate nature, lineage, illusion, shape-change, strength, and local or dynastic identity.</x:v>
      </x:c>
      <x:c r="M320" s="120" t="str">
        <x:v>Rākṣasas are not a single morally uniform monster race and should not be translated automatically as demons.</x:v>
      </x:c>
      <x:c r="N320" s="120" t="str">
        <x:v>Partially analogous to shape-changing predatory otherworld peoples, with substantial source-specific variation.</x:v>
      </x:c>
      <x:c r="O320" s="120" t="str">
        <x:v>Primary canon</x:v>
      </x:c>
      <x:c r="P320" s="120" t="str">
        <x:v>Primary text reviewed</x:v>
      </x:c>
      <x:c r="Q320" s="120" t="str">
        <x:v>Ādi Parva and Vana Parva episodes; parva-level review.</x:v>
      </x:c>
      <x:c r="R320" s="120" t="str">
        <x:v>https://www.gutenberg.org/ebooks/15474</x:v>
      </x:c>
      <x:c r="S320" s="120" t="str">
        <x:v>Seeded</x:v>
      </x:c>
    </x:row>
    <x:row r="321" ht="52" customHeight="1">
      <x:c r="A321" s="119" t="str">
        <x:v>ENT-0320</x:v>
      </x:c>
      <x:c r="B321" s="120" t="str">
        <x:v>Yakṣa (yakṣa)</x:v>
      </x:c>
      <x:c r="C321" s="120" t="str">
        <x:v>SRC-277</x:v>
      </x:c>
      <x:c r="D321" s="120" t="str">
        <x:v>Mahābhārata — BORI Critical Edition</x:v>
      </x:c>
      <x:c r="E321" s="120" t="str">
        <x:v>Critical-edition-oriented source pass; Ganguli English translation reviewed at parva level</x:v>
      </x:c>
      <x:c r="F321" s="120" t="str">
        <x:v>Metaphysical kind / place-associated being</x:v>
      </x:c>
      <x:c r="G321" s="120" t="str">
        <x:v>PPL-204</x:v>
      </x:c>
      <x:c r="H321" s="120" t="str">
        <x:f>IFERROR(VLOOKUP(G321,'Master Taxonomy'!$A$2:$B$1656,2,FALSE),"")</x:f>
        <x:v>Nymphs and Place-Bound Nature Spirits</x:v>
      </x:c>
      <x:c r="I321" s="120" t="str">
        <x:v>PPL-304;COS-517</x:v>
      </x:c>
      <x:c r="J321" s="120" t="str">
        <x:v>Guardian Spirits; Borderland Between Worlds</x:v>
      </x:c>
      <x:c r="K321" s="120" t="str">
        <x:v>A class of nonhuman beings associated with places, wealth, guardianship, questions, danger, and encounters between mortal and otherworld orders.</x:v>
      </x:c>
      <x:c r="L321" s="120" t="str">
        <x:v>Place, treasure, guardianship, divine association, and exceptional knowledge.</x:v>
      </x:c>
      <x:c r="M321" s="120" t="str">
        <x:v>Yakṣa should not be reduced to nature spirit, fairy, demon, or treasure monster; individual status and function vary.</x:v>
      </x:c>
      <x:c r="N321" s="120" t="str">
        <x:v>Expands the liminal guardian and place-being families beyond familiar European fae models.</x:v>
      </x:c>
      <x:c r="O321" s="120" t="str">
        <x:v>Primary canon</x:v>
      </x:c>
      <x:c r="P321" s="120" t="str">
        <x:v>Primary text reviewed</x:v>
      </x:c>
      <x:c r="Q321" s="120" t="str">
        <x:v>Vana Parva, including the Yakṣa-prashna episode; parva-level review.</x:v>
      </x:c>
      <x:c r="R321" s="120" t="str">
        <x:v>https://www.gutenberg.org/ebooks/15474</x:v>
      </x:c>
      <x:c r="S321" s="120" t="str">
        <x:v>Seeded</x:v>
      </x:c>
    </x:row>
    <x:row r="322" ht="52" customHeight="1">
      <x:c r="A322" s="119" t="str">
        <x:v>ENT-0321</x:v>
      </x:c>
      <x:c r="B322" s="120" t="str">
        <x:v>Gandharva (gandharva)</x:v>
      </x:c>
      <x:c r="C322" s="120" t="str">
        <x:v>SRC-277</x:v>
      </x:c>
      <x:c r="D322" s="120" t="str">
        <x:v>Mahābhārata — BORI Critical Edition</x:v>
      </x:c>
      <x:c r="E322" s="120" t="str">
        <x:v>Critical-edition-oriented source pass; Ganguli English translation reviewed at parva level</x:v>
      </x:c>
      <x:c r="F322" s="120" t="str">
        <x:v>Celestial/metaphysical people</x:v>
      </x:c>
      <x:c r="G322" s="120" t="str">
        <x:v>PPL-404</x:v>
      </x:c>
      <x:c r="H322" s="120" t="str">
        <x:f>IFERROR(VLOOKUP(G322,'Master Taxonomy'!$A$2:$B$1656,2,FALSE),"")</x:f>
        <x:v>Celestials and Angelic Beings</x:v>
      </x:c>
      <x:c r="I322" s="120" t="str">
        <x:v>ROL-606;ART-217</x:v>
      </x:c>
      <x:c r="J322" s="120" t="str">
        <x:v>Bard; Musical Instrument of Power</x:v>
      </x:c>
      <x:c r="K322" s="120" t="str">
        <x:v>Celestial beings associated with music, knowledge, courts, beauty, martial encounters, and relations with apsarases and mortals.</x:v>
      </x:c>
      <x:c r="L322" s="120" t="str">
        <x:v>Innate celestial status, artistic mastery, lineage, and access to divine or liminal realms.</x:v>
      </x:c>
      <x:c r="M322" s="120" t="str">
        <x:v>Gandharvas are not merely bards, angels, or fae musicians; their social and cosmological roles are broader.</x:v>
      </x:c>
      <x:c r="N322" s="120" t="str">
        <x:v>Adds a celestial people whose art, knowledge, sexuality, and warfare coexist without becoming a game class.</x:v>
      </x:c>
      <x:c r="O322" s="120" t="str">
        <x:v>Primary canon</x:v>
      </x:c>
      <x:c r="P322" s="120" t="str">
        <x:v>Primary text reviewed</x:v>
      </x:c>
      <x:c r="Q322" s="120" t="str">
        <x:v>Ādi, Vana, and Virāṭa Parvas; parva-level review.</x:v>
      </x:c>
      <x:c r="R322" s="120" t="str">
        <x:v>https://www.gutenberg.org/ebooks/15474</x:v>
      </x:c>
      <x:c r="S322" s="120" t="str">
        <x:v>Seeded</x:v>
      </x:c>
    </x:row>
    <x:row r="323" ht="52" customHeight="1">
      <x:c r="A323" s="119" t="str">
        <x:v>ENT-0322</x:v>
      </x:c>
      <x:c r="B323" s="120" t="str">
        <x:v>Apsaras (apsaras / apsarā)</x:v>
      </x:c>
      <x:c r="C323" s="120" t="str">
        <x:v>SRC-277</x:v>
      </x:c>
      <x:c r="D323" s="120" t="str">
        <x:v>Mahābhārata — BORI Critical Edition</x:v>
      </x:c>
      <x:c r="E323" s="120" t="str">
        <x:v>Critical-edition-oriented source pass; Ganguli English translation reviewed at parva level</x:v>
      </x:c>
      <x:c r="F323" s="120" t="str">
        <x:v>Celestial/metaphysical people</x:v>
      </x:c>
      <x:c r="G323" s="120" t="str">
        <x:v>PPL-404</x:v>
      </x:c>
      <x:c r="H323" s="120" t="str">
        <x:f>IFERROR(VLOOKUP(G323,'Master Taxonomy'!$A$2:$B$1656,2,FALSE),"")</x:f>
        <x:v>Celestials and Angelic Beings</x:v>
      </x:c>
      <x:c r="I323" s="120" t="str">
        <x:v>ROL-604;COS-201</x:v>
      </x:c>
      <x:c r="J323" s="120" t="str">
        <x:v>Apothecary; Celestial Realm or Heaven</x:v>
      </x:c>
      <x:c r="K323" s="120" t="str">
        <x:v>Celestial women associated with divine courts, performance, beauty, desire, lineage narratives, testing, blessing, and disruption.</x:v>
      </x:c>
      <x:c r="L323" s="120" t="str">
        <x:v>Celestial status, artistic skill, divine commission, and personal agency.</x:v>
      </x:c>
      <x:c r="M323" s="120" t="str">
        <x:v>Apsarases are not a generic seductress species or decorative court dancers; episodes differ in agency, purpose, and consequence.</x:v>
      </x:c>
      <x:c r="N323" s="120" t="str">
        <x:v>Complicates the celestial performer and enchantress archetypes through institutional and genealogical roles.</x:v>
      </x:c>
      <x:c r="O323" s="120" t="str">
        <x:v>Primary canon</x:v>
      </x:c>
      <x:c r="P323" s="120" t="str">
        <x:v>Primary text reviewed</x:v>
      </x:c>
      <x:c r="Q323" s="120" t="str">
        <x:v>Ādi Parva and narratives throughout the epic.</x:v>
      </x:c>
      <x:c r="R323" s="120" t="str">
        <x:v>https://www.gutenberg.org/ebooks/15474</x:v>
      </x:c>
      <x:c r="S323" s="120" t="str">
        <x:v>Seeded</x:v>
      </x:c>
    </x:row>
    <x:row r="324" ht="52" customHeight="1">
      <x:c r="A324" s="119" t="str">
        <x:v>ENT-0323</x:v>
      </x:c>
      <x:c r="B324" s="120" t="str">
        <x:v>Nāga (nāga)</x:v>
      </x:c>
      <x:c r="C324" s="120" t="str">
        <x:v>SRC-277</x:v>
      </x:c>
      <x:c r="D324" s="120" t="str">
        <x:v>Mahābhārata — BORI Critical Edition</x:v>
      </x:c>
      <x:c r="E324" s="120" t="str">
        <x:v>Critical-edition-oriented source pass; Ganguli English translation reviewed at parva level</x:v>
      </x:c>
      <x:c r="F324" s="120" t="str">
        <x:v>Serpentine people / metaphysical lineage</x:v>
      </x:c>
      <x:c r="G324" s="120" t="str">
        <x:v>PPL-113</x:v>
      </x:c>
      <x:c r="H324" s="120" t="str">
        <x:f>IFERROR(VLOOKUP(G324,'Master Taxonomy'!$A$2:$B$1656,2,FALSE),"")</x:f>
        <x:v>Serpentfolk, Naga, and Lamia Peoples</x:v>
      </x:c>
      <x:c r="I324" s="120" t="str">
        <x:v>COS-518;LAW-205</x:v>
      </x:c>
      <x:c r="J324" s="120" t="str">
        <x:v>Undersea Realm; Generational Curse</x:v>
      </x:c>
      <x:c r="K324" s="120" t="str">
        <x:v>Serpentine beings and lineages with rulers, realms, kinship, conflict, curses, alliances, and relations to waters and subterranean or otherworld geography.</x:v>
      </x:c>
      <x:c r="L324" s="120" t="str">
        <x:v>Lineage, embodied serpentine or mixed form, sovereignty, place, and inherited relationships.</x:v>
      </x:c>
      <x:c r="M324" s="120" t="str">
        <x:v>Nāga is not a synonym for dragon, snake monster, or reptilian player race; source ontology and cultural context must be preserved.</x:v>
      </x:c>
      <x:c r="N324" s="120" t="str">
        <x:v>Broadens serpent-person and undersea/underworld polity archetypes while resisting dragon-race flattening.</x:v>
      </x:c>
      <x:c r="O324" s="120" t="str">
        <x:v>Primary canon</x:v>
      </x:c>
      <x:c r="P324" s="120" t="str">
        <x:v>Primary text reviewed</x:v>
      </x:c>
      <x:c r="Q324" s="120" t="str">
        <x:v>Ādi Parva, including Āstīka-related narratives; parva-level review.</x:v>
      </x:c>
      <x:c r="R324" s="120" t="str">
        <x:v>https://www.gutenberg.org/ebooks/15474</x:v>
      </x:c>
      <x:c r="S324" s="120" t="str">
        <x:v>Seeded</x:v>
      </x:c>
    </x:row>
    <x:row r="325" ht="52" customHeight="1">
      <x:c r="A325" s="119" t="str">
        <x:v>ENT-0324</x:v>
      </x:c>
      <x:c r="B325" s="120" t="str">
        <x:v>Pitṛ (ancestor beings)</x:v>
      </x:c>
      <x:c r="C325" s="120" t="str">
        <x:v>SRC-277</x:v>
      </x:c>
      <x:c r="D325" s="120" t="str">
        <x:v>Mahābhārata — BORI Critical Edition</x:v>
      </x:c>
      <x:c r="E325" s="120" t="str">
        <x:v>Critical-edition-oriented source pass; Ganguli English translation reviewed at parva level</x:v>
      </x:c>
      <x:c r="F325" s="120" t="str">
        <x:v>Ancestral/metaphysical beings</x:v>
      </x:c>
      <x:c r="G325" s="120" t="str">
        <x:v>PPL-303</x:v>
      </x:c>
      <x:c r="H325" s="120" t="str">
        <x:f>IFERROR(VLOOKUP(G325,'Master Taxonomy'!$A$2:$B$1656,2,FALSE),"")</x:f>
        <x:v>Ancestral Spirits</x:v>
      </x:c>
      <x:c r="I325" s="120" t="str">
        <x:v>COS-204;LAW-306</x:v>
      </x:c>
      <x:c r="J325" s="120" t="str">
        <x:v>Ancestor Realm; Ancestor Offering</x:v>
      </x:c>
      <x:c r="K325" s="120" t="str">
        <x:v>Ancestors understood as continuing recipients of rites and participants in kinship, postmortem order, and obligations linking living and dead.</x:v>
      </x:c>
      <x:c r="L325" s="120" t="str">
        <x:v>Ancestral status, funerary and offering relationships, lineage memory, and afterlife order.</x:v>
      </x:c>
      <x:c r="M325" s="120" t="str">
        <x:v>Pitṛs are not simply ghosts, undead, or summonable ancestor units.</x:v>
      </x:c>
      <x:c r="N325" s="120" t="str">
        <x:v>Provides a source-specific ancestor ontology connecting people, realm, rite, and kinship law.</x:v>
      </x:c>
      <x:c r="O325" s="120" t="str">
        <x:v>Primary canon</x:v>
      </x:c>
      <x:c r="P325" s="120" t="str">
        <x:v>Primary text reviewed</x:v>
      </x:c>
      <x:c r="Q325" s="120" t="str">
        <x:v>Anuśāsana and related parvas on duties and rites; parva-level review.</x:v>
      </x:c>
      <x:c r="R325" s="120" t="str">
        <x:v>https://www.gutenberg.org/ebooks/15477</x:v>
      </x:c>
      <x:c r="S325" s="120" t="str">
        <x:v>Seeded</x:v>
      </x:c>
    </x:row>
    <x:row r="326" ht="52" customHeight="1">
      <x:c r="A326" s="119" t="str">
        <x:v>ENT-0325</x:v>
      </x:c>
      <x:c r="B326" s="120" t="str">
        <x:v>Divine-born and semi-divine heroes</x:v>
      </x:c>
      <x:c r="C326" s="120" t="str">
        <x:v>SRC-277</x:v>
      </x:c>
      <x:c r="D326" s="120" t="str">
        <x:v>Mahābhārata — BORI Critical Edition</x:v>
      </x:c>
      <x:c r="E326" s="120" t="str">
        <x:v>Critical-edition-oriented source pass; Ganguli English translation reviewed at parva level</x:v>
      </x:c>
      <x:c r="F326" s="120" t="str">
        <x:v>Lineage / divine-human embodiment</x:v>
      </x:c>
      <x:c r="G326" s="120" t="str">
        <x:v>PPL-402</x:v>
      </x:c>
      <x:c r="H326" s="120" t="str">
        <x:f>IFERROR(VLOOKUP(G326,'Master Taxonomy'!$A$2:$B$1656,2,FALSE),"")</x:f>
        <x:v>Demigods and Divine-Blooded Beings</x:v>
      </x:c>
      <x:c r="I326" s="120" t="str">
        <x:v>LAW-211;NAR-101</x:v>
      </x:c>
      <x:c r="J326" s="120" t="str">
        <x:v>Divine Patronage or Favor; Chosen One</x:v>
      </x:c>
      <x:c r="K326" s="120" t="str">
        <x:v>Mortal heroes whose births, parentage, empowerments, or identities involve gods or divine portions while they remain embedded in human kinship and mortality.</x:v>
      </x:c>
      <x:c r="L326" s="120" t="str">
        <x:v>Divine parentage or portion, mortal birth, lineage, fate, and patronage.</x:v>
      </x:c>
      <x:c r="M326" s="120" t="str">
        <x:v>This is not a single demigod species or uniform power tier; each birth narrative has different ontology and purpose.</x:v>
      </x:c>
      <x:c r="N326" s="120" t="str">
        <x:v>A major model for divine-human heroic lineage without erasing mortality and social identity.</x:v>
      </x:c>
      <x:c r="O326" s="120" t="str">
        <x:v>Primary canon</x:v>
      </x:c>
      <x:c r="P326" s="120" t="str">
        <x:v>Primary text reviewed</x:v>
      </x:c>
      <x:c r="Q326" s="120" t="str">
        <x:v>Ādi Parva birth and lineage narratives.</x:v>
      </x:c>
      <x:c r="R326" s="120" t="str">
        <x:v>https://www.gutenberg.org/ebooks/15474</x:v>
      </x:c>
      <x:c r="S326" s="120" t="str">
        <x:v>Seeded</x:v>
      </x:c>
    </x:row>
    <x:row r="327" ht="52" customHeight="1">
      <x:c r="A327" s="119" t="str">
        <x:v>ENT-0326</x:v>
      </x:c>
      <x:c r="B327" s="120" t="str">
        <x:v>Avatāra and divine incarnation</x:v>
      </x:c>
      <x:c r="C327" s="120" t="str">
        <x:v>SRC-278</x:v>
      </x:c>
      <x:c r="D327" s="120" t="str">
        <x:v>Bhagavad Gītā (Mahābhārata, Bhīṣma Parva)</x:v>
      </x:c>
      <x:c r="E327" s="120" t="str">
        <x:v>Embedded textual unit; Sanskrit and translated text reviewed through Gītā Supersite</x:v>
      </x:c>
      <x:c r="F327" s="120" t="str">
        <x:v>Divine manifestation / incarnation</x:v>
      </x:c>
      <x:c r="G327" s="120" t="str">
        <x:v>PPL-403</x:v>
      </x:c>
      <x:c r="H327" s="120" t="str">
        <x:f>IFERROR(VLOOKUP(G327,'Master Taxonomy'!$A$2:$B$1656,2,FALSE),"")</x:f>
        <x:v>Avatars and Incarnations</x:v>
      </x:c>
      <x:c r="I327" s="120" t="str">
        <x:v>LAW-211;COS-710</x:v>
      </x:c>
      <x:c r="J327" s="120" t="str">
        <x:v>Divine Patronage or Favor; Return of the Gods</x:v>
      </x:c>
      <x:c r="K327" s="120" t="str">
        <x:v>Divine presence embodied in the world through incarnation, manifestation, or descent, especially in relation to restoring order and guiding events.</x:v>
      </x:c>
      <x:c r="L327" s="120" t="str">
        <x:v>Divine agency, embodiment, cosmic purpose, and source-specific theology.</x:v>
      </x:c>
      <x:c r="M327" s="120" t="str">
        <x:v>Avatāra is not equivalent to a player avatar, possession template, polymorph, or generic demigod.</x:v>
      </x:c>
      <x:c r="N327" s="120" t="str">
        <x:v>Requires a dedicated incarnation model rather than treating divine embodiment as a race or character class.</x:v>
      </x:c>
      <x:c r="O327" s="120" t="str">
        <x:v>Primary canon</x:v>
      </x:c>
      <x:c r="P327" s="120" t="str">
        <x:v>Primary text reviewed</x:v>
      </x:c>
      <x:c r="Q327" s="120" t="str">
        <x:v>Epic-wide theological framing; Bhagavad Gītā passages reviewed separately.</x:v>
      </x:c>
      <x:c r="R327" s="120" t="str">
        <x:v>https://www.gitasupersite.iitk.ac.in/</x:v>
      </x:c>
      <x:c r="S327" s="120" t="str">
        <x:v>Seeded</x:v>
      </x:c>
    </x:row>
    <x:row r="328" ht="52" customHeight="1">
      <x:c r="A328" s="119" t="str">
        <x:v>ENT-0327</x:v>
      </x:c>
      <x:c r="B328" s="120" t="str">
        <x:v>Aṃśa or partial divine embodiment</x:v>
      </x:c>
      <x:c r="C328" s="120" t="str">
        <x:v>SRC-277</x:v>
      </x:c>
      <x:c r="D328" s="120" t="str">
        <x:v>Mahābhārata — BORI Critical Edition</x:v>
      </x:c>
      <x:c r="E328" s="120" t="str">
        <x:v>Critical-edition-oriented source pass; Ganguli English translation reviewed at parva level</x:v>
      </x:c>
      <x:c r="F328" s="120" t="str">
        <x:v>Divine portion / lineage relation</x:v>
      </x:c>
      <x:c r="G328" s="120" t="str">
        <x:v>PPL-402</x:v>
      </x:c>
      <x:c r="H328" s="120" t="str">
        <x:f>IFERROR(VLOOKUP(G328,'Master Taxonomy'!$A$2:$B$1656,2,FALSE),"")</x:f>
        <x:v>Demigods and Divine-Blooded Beings</x:v>
      </x:c>
      <x:c r="I328" s="120" t="str">
        <x:v>PPL-403</x:v>
      </x:c>
      <x:c r="J328" s="120" t="str">
        <x:v>Avatars and Incarnations</x:v>
      </x:c>
      <x:c r="K328" s="120" t="str">
        <x:v>A source-specific model in which a being embodies or descends from a portion or aspect of a divine power without simply being identical to that deity.</x:v>
      </x:c>
      <x:c r="L328" s="120" t="str">
        <x:v>Divine portion, birth, lineage, and distributed identity.</x:v>
      </x:c>
      <x:c r="M328" s="120" t="str">
        <x:v>Aṃśa should not be translated as subclass, clone, shard-person, or fractional hit-point share.</x:v>
      </x:c>
      <x:c r="N328" s="120" t="str">
        <x:v>Adds a graded divine-embodiment relation between ordinary lineage and full incarnation.</x:v>
      </x:c>
      <x:c r="O328" s="120" t="str">
        <x:v>Primary canon</x:v>
      </x:c>
      <x:c r="P328" s="120" t="str">
        <x:v>Primary text reviewed</x:v>
      </x:c>
      <x:c r="Q328" s="120" t="str">
        <x:v>Ādi Parva genealogical and birth narratives; critical-edition-oriented review.</x:v>
      </x:c>
      <x:c r="R328" s="120" t="str">
        <x:v>https://www.gutenberg.org/ebooks/15474</x:v>
      </x:c>
      <x:c r="S328" s="120" t="str">
        <x:v>Seeded</x:v>
      </x:c>
    </x:row>
    <x:row r="329" ht="52" customHeight="1">
      <x:c r="A329" s="119" t="str">
        <x:v>ENT-0328</x:v>
      </x:c>
      <x:c r="B329" s="120" t="str">
        <x:v>Mortal human peoples and dynastic lineages</x:v>
      </x:c>
      <x:c r="C329" s="120" t="str">
        <x:v>SRC-277</x:v>
      </x:c>
      <x:c r="D329" s="120" t="str">
        <x:v>Mahābhārata — BORI Critical Edition</x:v>
      </x:c>
      <x:c r="E329" s="120" t="str">
        <x:v>Critical-edition-oriented source pass; Ganguli English translation reviewed at parva level</x:v>
      </x:c>
      <x:c r="F329" s="120" t="str">
        <x:v>Human peoples / kinship lineages</x:v>
      </x:c>
      <x:c r="G329" s="120" t="str">
        <x:v>PPL-101</x:v>
      </x:c>
      <x:c r="H329" s="120" t="str">
        <x:f>IFERROR(VLOOKUP(G329,'Master Taxonomy'!$A$2:$B$1656,2,FALSE),"")</x:f>
        <x:v>Human and Near-Human Peoples</x:v>
      </x:c>
      <x:c r="I329" s="120" t="str">
        <x:v>INS-404;LAW-803</x:v>
      </x:c>
      <x:c r="J329" s="120" t="str">
        <x:v>Dynasty; Kinship Blessing or Curse</x:v>
      </x:c>
      <x:c r="K329" s="120" t="str">
        <x:v>Human communities and dynasties whose identities are constituted by descent, marriage, territory, ritual, office, and political memory.</x:v>
      </x:c>
      <x:c r="L329" s="120" t="str">
        <x:v>Mortality, kinship, social order, historical lineage, and political institutions.</x:v>
      </x:c>
      <x:c r="M329" s="120" t="str">
        <x:v>The epic's humans are not one undifferentiated baseline race; lineage and social location materially shape identity.</x:v>
      </x:c>
      <x:c r="N329" s="120" t="str">
        <x:v>A reminder that human diversity requires the same source-faithful granularity as nonhuman peoples.</x:v>
      </x:c>
      <x:c r="O329" s="120" t="str">
        <x:v>Primary canon</x:v>
      </x:c>
      <x:c r="P329" s="120" t="str">
        <x:v>Primary text reviewed</x:v>
      </x:c>
      <x:c r="Q329" s="120" t="str">
        <x:v>Ādi and Sabhā Parvas; genealogical and dynastic material.</x:v>
      </x:c>
      <x:c r="R329" s="120" t="str">
        <x:v>https://www.gutenberg.org/ebooks/15474</x:v>
      </x:c>
      <x:c r="S329" s="120" t="str">
        <x:v>Seeded</x:v>
      </x:c>
    </x:row>
    <x:row r="330" ht="52" customHeight="1">
      <x:c r="A330" s="119" t="str">
        <x:v>ENT-0329</x:v>
      </x:c>
      <x:c r="B330" s="120" t="str">
        <x:v>Ṛṣi (ṛṣi)</x:v>
      </x:c>
      <x:c r="C330" s="120" t="str">
        <x:v>SRC-277</x:v>
      </x:c>
      <x:c r="D330" s="120" t="str">
        <x:v>Mahābhārata — BORI Critical Edition</x:v>
      </x:c>
      <x:c r="E330" s="120" t="str">
        <x:v>Critical-edition-oriented source pass; Ganguli English translation reviewed at parva level</x:v>
      </x:c>
      <x:c r="F330" s="120" t="str">
        <x:v>Sacred role / sage / seer</x:v>
      </x:c>
      <x:c r="G330" s="120" t="str">
        <x:v>ROL-307</x:v>
      </x:c>
      <x:c r="H330" s="120" t="str">
        <x:f>IFERROR(VLOOKUP(G330,'Master Taxonomy'!$A$2:$B$1656,2,FALSE),"")</x:f>
        <x:v>Sage</x:v>
      </x:c>
      <x:c r="I330" s="120" t="str">
        <x:v>ROL-933;PWR-407;INS-424</x:v>
      </x:c>
      <x:c r="J330" s="120" t="str">
        <x:v>Ascetic or Renunciant; Prophecy; Hermitage or Ascetic Community</x:v>
      </x:c>
      <x:c r="K330" s="120" t="str">
        <x:v>A broad sacred and learned role encompassing seers, teachers, ascetics, ritual authorities, advisers, and transmitters of knowledge.</x:v>
      </x:c>
      <x:c r="L330" s="120" t="str">
        <x:v>Discipline, insight, lineage, revelation, ritual knowledge, learning, and social recognition.</x:v>
      </x:c>
      <x:c r="M330" s="120" t="str">
        <x:v>Ṛṣi is not simply wizard, cleric, druid, or hermit; individual figures combine different functions.</x:v>
      </x:c>
      <x:c r="N330" s="120" t="str">
        <x:v>A multi-axis sacred-intellectual role that exposes the limits of single-class comparison.</x:v>
      </x:c>
      <x:c r="O330" s="120" t="str">
        <x:v>Primary canon</x:v>
      </x:c>
      <x:c r="P330" s="120" t="str">
        <x:v>Primary text reviewed</x:v>
      </x:c>
      <x:c r="Q330" s="120" t="str">
        <x:v>Ādi, Vana, Śānti, and Anuśāsana Parvas; parva-level review.</x:v>
      </x:c>
      <x:c r="R330" s="120" t="str">
        <x:v>https://www.gutenberg.org/ebooks/15474</x:v>
      </x:c>
      <x:c r="S330" s="120" t="str">
        <x:v>Seeded</x:v>
      </x:c>
    </x:row>
    <x:row r="331" ht="52" customHeight="1">
      <x:c r="A331" s="119" t="str">
        <x:v>ENT-0330</x:v>
      </x:c>
      <x:c r="B331" s="120" t="str">
        <x:v>Brahmarṣi (brahmarṣi)</x:v>
      </x:c>
      <x:c r="C331" s="120" t="str">
        <x:v>SRC-277</x:v>
      </x:c>
      <x:c r="D331" s="120" t="str">
        <x:v>Mahābhārata — BORI Critical Edition</x:v>
      </x:c>
      <x:c r="E331" s="120" t="str">
        <x:v>Critical-edition-oriented source pass; Ganguli English translation reviewed at parva level</x:v>
      </x:c>
      <x:c r="F331" s="120" t="str">
        <x:v>Honorific sacred rank / sage</x:v>
      </x:c>
      <x:c r="G331" s="120" t="str">
        <x:v>ROL-307</x:v>
      </x:c>
      <x:c r="H331" s="120" t="str">
        <x:f>IFERROR(VLOOKUP(G331,'Master Taxonomy'!$A$2:$B$1656,2,FALSE),"")</x:f>
        <x:v>Sage</x:v>
      </x:c>
      <x:c r="I331" s="120" t="str">
        <x:v>ROL-933;INS-425</x:v>
      </x:c>
      <x:c r="J331" s="120" t="str">
        <x:v>Ascetic or Renunciant; Teacher–Disciple Lineage</x:v>
      </x:c>
      <x:c r="K331" s="120" t="str">
        <x:v>An elevated designation for a sage associated with profound sacred knowledge, austerity, authority, and lineage.</x:v>
      </x:c>
      <x:c r="L331" s="120" t="str">
        <x:v>Recognition, realization, learning, ascetic discipline, and sacred status.</x:v>
      </x:c>
      <x:c r="M331" s="120" t="str">
        <x:v>It is not a prestige class tier mechanically equivalent across texts or traditions.</x:v>
      </x:c>
      <x:c r="N331" s="120" t="str">
        <x:v>Illustrates how sacred ranks combine attainment, reputation, lineage, and textual context.</x:v>
      </x:c>
      <x:c r="O331" s="120" t="str">
        <x:v>Primary canon</x:v>
      </x:c>
      <x:c r="P331" s="120" t="str">
        <x:v>Official reference reviewed</x:v>
      </x:c>
      <x:c r="Q331" s="120" t="str">
        <x:v>Epic-wide sage traditions; terminology retained with source caution.</x:v>
      </x:c>
      <x:c r="R331" s="120" t="str">
        <x:v>https://bori.ac.in/department/mahabharata/</x:v>
      </x:c>
      <x:c r="S331" s="120" t="str">
        <x:v>Seeded</x:v>
      </x:c>
    </x:row>
    <x:row r="332" ht="52" customHeight="1">
      <x:c r="A332" s="119" t="str">
        <x:v>ENT-0331</x:v>
      </x:c>
      <x:c r="B332" s="120" t="str">
        <x:v>Brāhmaṇa (brāhmaṇa)</x:v>
      </x:c>
      <x:c r="C332" s="120" t="str">
        <x:v>SRC-277</x:v>
      </x:c>
      <x:c r="D332" s="120" t="str">
        <x:v>Mahābhārata — BORI Critical Edition</x:v>
      </x:c>
      <x:c r="E332" s="120" t="str">
        <x:v>Critical-edition-oriented source pass; Ganguli English translation reviewed at parva level</x:v>
      </x:c>
      <x:c r="F332" s="120" t="str">
        <x:v>Social-religious order / learned and ritual identity</x:v>
      </x:c>
      <x:c r="G332" s="120" t="str">
        <x:v>INS-409</x:v>
      </x:c>
      <x:c r="H332" s="120" t="str">
        <x:f>IFERROR(VLOOKUP(G332,'Master Taxonomy'!$A$2:$B$1656,2,FALSE),"")</x:f>
        <x:v>Estate or Social Order</x:v>
      </x:c>
      <x:c r="I332" s="120" t="str">
        <x:v>ROL-401;ROL-307;LAW-401</x:v>
      </x:c>
      <x:c r="J332" s="120" t="str">
        <x:v>Priest; Sage; Ritual Purity</x:v>
      </x:c>
      <x:c r="K332" s="120" t="str">
        <x:v>A socially and ritually constituted order associated in varied passages with learning, teaching, sacrifice, counsel, livelihood rules, and sacred authority.</x:v>
      </x:c>
      <x:c r="L332" s="120" t="str">
        <x:v>Birth, education, conduct, ritual status, social recognition, and textual debate.</x:v>
      </x:c>
      <x:c r="M332" s="120" t="str">
        <x:v>Brāhmaṇa is not a cleric class, priest species, or uniform profession; the epic discusses duties, conduct, exceptions, and tensions.</x:v>
      </x:c>
      <x:c r="N332" s="120" t="str">
        <x:v>Requires separating social order, religious office, scholarly role, and individual practice.</x:v>
      </x:c>
      <x:c r="O332" s="120" t="str">
        <x:v>Primary canon</x:v>
      </x:c>
      <x:c r="P332" s="120" t="str">
        <x:v>Primary text reviewed</x:v>
      </x:c>
      <x:c r="Q332" s="120" t="str">
        <x:v>Śānti and Anuśāsana Parvas on social and religious duties; parva-level review.</x:v>
      </x:c>
      <x:c r="R332" s="120" t="str">
        <x:v>https://www.gutenberg.org/ebooks/15476</x:v>
      </x:c>
      <x:c r="S332" s="120" t="str">
        <x:v>Seeded</x:v>
      </x:c>
    </x:row>
    <x:row r="333" ht="52" customHeight="1">
      <x:c r="A333" s="119" t="str">
        <x:v>ENT-0332</x:v>
      </x:c>
      <x:c r="B333" s="120" t="str">
        <x:v>Kṣatriya (kṣatriya)</x:v>
      </x:c>
      <x:c r="C333" s="120" t="str">
        <x:v>SRC-277</x:v>
      </x:c>
      <x:c r="D333" s="120" t="str">
        <x:v>Mahābhārata — BORI Critical Edition</x:v>
      </x:c>
      <x:c r="E333" s="120" t="str">
        <x:v>Critical-edition-oriented source pass; Ganguli English translation reviewed at parva level</x:v>
      </x:c>
      <x:c r="F333" s="120" t="str">
        <x:v>Social-political order / warrior-ruler identity</x:v>
      </x:c>
      <x:c r="G333" s="120" t="str">
        <x:v>INS-409</x:v>
      </x:c>
      <x:c r="H333" s="120" t="str">
        <x:f>IFERROR(VLOOKUP(G333,'Master Taxonomy'!$A$2:$B$1656,2,FALSE),"")</x:f>
        <x:v>Estate or Social Order</x:v>
      </x:c>
      <x:c r="I333" s="120" t="str">
        <x:v>ROL-101;ROL-701;LAW-509</x:v>
      </x:c>
      <x:c r="J333" s="120" t="str">
        <x:v>Warrior or Fighter; Monarch; Sacred Kingship</x:v>
      </x:c>
      <x:c r="K333" s="120" t="str">
        <x:v>A socially constituted order associated with protection, warfare, rulership, governance, honor, and distinctive duties.</x:v>
      </x:c>
      <x:c r="L333" s="120" t="str">
        <x:v>Birth, political office, training, conduct, sovereignty, and recognized duty.</x:v>
      </x:c>
      <x:c r="M333" s="120" t="str">
        <x:v>Kṣatriya is not a fighter class or biological warrior race; social order and ethical-political duties are essential.</x:v>
      </x:c>
      <x:c r="N333" s="120" t="str">
        <x:v>Separates martial mechanics from political, kinship, and duty-based identity.</x:v>
      </x:c>
      <x:c r="O333" s="120" t="str">
        <x:v>Primary canon</x:v>
      </x:c>
      <x:c r="P333" s="120" t="str">
        <x:v>Primary text reviewed</x:v>
      </x:c>
      <x:c r="Q333" s="120" t="str">
        <x:v>Ādi, Udyoga, Śānti, and Anuśāsana Parvas; parva-level review.</x:v>
      </x:c>
      <x:c r="R333" s="120" t="str">
        <x:v>https://www.gutenberg.org/ebooks/15475</x:v>
      </x:c>
      <x:c r="S333" s="120" t="str">
        <x:v>Seeded</x:v>
      </x:c>
    </x:row>
    <x:row r="334" ht="52" customHeight="1">
      <x:c r="A334" s="119" t="str">
        <x:v>ENT-0333</x:v>
      </x:c>
      <x:c r="B334" s="120" t="str">
        <x:v>Rājarṣi (rājarṣi)</x:v>
      </x:c>
      <x:c r="C334" s="120" t="str">
        <x:v>SRC-277</x:v>
      </x:c>
      <x:c r="D334" s="120" t="str">
        <x:v>Mahābhārata — BORI Critical Edition</x:v>
      </x:c>
      <x:c r="E334" s="120" t="str">
        <x:v>Critical-edition-oriented source pass; Ganguli English translation reviewed at parva level</x:v>
      </x:c>
      <x:c r="F334" s="120" t="str">
        <x:v>Royal sage / sacred-political role</x:v>
      </x:c>
      <x:c r="G334" s="120" t="str">
        <x:v>ROL-934</x:v>
      </x:c>
      <x:c r="H334" s="120" t="str">
        <x:f>IFERROR(VLOOKUP(G334,'Master Taxonomy'!$A$2:$B$1656,2,FALSE),"")</x:f>
        <x:v>Royal Sage</x:v>
      </x:c>
      <x:c r="I334" s="120" t="str">
        <x:v>ROL-701;ROL-307;LAW-509</x:v>
      </x:c>
      <x:c r="J334" s="120" t="str">
        <x:v>Monarch; Sage; Sacred Kingship</x:v>
      </x:c>
      <x:c r="K334" s="120" t="str">
        <x:v>A ruler or royal figure recognized for sage-like knowledge, discipline, or sacred authority.</x:v>
      </x:c>
      <x:c r="L334" s="120" t="str">
        <x:v>Kingship, ethical insight, learning, discipline, and social recognition.</x:v>
      </x:c>
      <x:c r="M334" s="120" t="str">
        <x:v>The role is not a mage-king archetype and does not imply institutional priesthood.</x:v>
      </x:c>
      <x:c r="N334" s="120" t="str">
        <x:v>Joins rulership and wisdom as an integrated vocation rather than a multiclass package.</x:v>
      </x:c>
      <x:c r="O334" s="120" t="str">
        <x:v>Primary canon</x:v>
      </x:c>
      <x:c r="P334" s="120" t="str">
        <x:v>Primary text reviewed</x:v>
      </x:c>
      <x:c r="Q334" s="120" t="str">
        <x:v>Śānti Parva discussions of rulers and sages; parva-level review.</x:v>
      </x:c>
      <x:c r="R334" s="120" t="str">
        <x:v>https://www.gutenberg.org/ebooks/15476</x:v>
      </x:c>
      <x:c r="S334" s="120" t="str">
        <x:v>Seeded</x:v>
      </x:c>
    </x:row>
    <x:row r="335" ht="52" customHeight="1">
      <x:c r="A335" s="119" t="str">
        <x:v>ENT-0334</x:v>
      </x:c>
      <x:c r="B335" s="120" t="str">
        <x:v>Ācārya or guru</x:v>
      </x:c>
      <x:c r="C335" s="120" t="str">
        <x:v>SRC-277</x:v>
      </x:c>
      <x:c r="D335" s="120" t="str">
        <x:v>Mahābhārata — BORI Critical Edition</x:v>
      </x:c>
      <x:c r="E335" s="120" t="str">
        <x:v>Critical-edition-oriented source pass; Ganguli English translation reviewed at parva level</x:v>
      </x:c>
      <x:c r="F335" s="120" t="str">
        <x:v>Teacher / lineage authority</x:v>
      </x:c>
      <x:c r="G335" s="120" t="str">
        <x:v>ROL-628</x:v>
      </x:c>
      <x:c r="H335" s="120" t="str">
        <x:f>IFERROR(VLOOKUP(G335,'Master Taxonomy'!$A$2:$B$1656,2,FALSE),"")</x:f>
        <x:v>Teacher and Mentor</x:v>
      </x:c>
      <x:c r="I335" s="120" t="str">
        <x:v>INS-425;LAW-806</x:v>
      </x:c>
      <x:c r="J335" s="120" t="str">
        <x:v>Teacher–Disciple Lineage; Teacher–Disciple Debt</x:v>
      </x:c>
      <x:c r="K335" s="120" t="str">
        <x:v>A recognized teacher whose instruction transmits weapons, sacred knowledge, discipline, identity, or authorized practice and creates durable obligations.</x:v>
      </x:c>
      <x:c r="L335" s="120" t="str">
        <x:v>Learning, initiation, lineage, service, recognition, and teacher–student reciprocity.</x:v>
      </x:c>
      <x:c r="M335" s="120" t="str">
        <x:v>Guru and ācārya are not generic quest-giver or mentor labels; terminology and authority vary by context.</x:v>
      </x:c>
      <x:c r="N335" s="120" t="str">
        <x:v>Expands the mentor archetype into an institutional and debt-bearing relationship.</x:v>
      </x:c>
      <x:c r="O335" s="120" t="str">
        <x:v>Primary canon</x:v>
      </x:c>
      <x:c r="P335" s="120" t="str">
        <x:v>Primary text reviewed</x:v>
      </x:c>
      <x:c r="Q335" s="120" t="str">
        <x:v>Ādi and Droṇa Parvas; teaching and lineage episodes.</x:v>
      </x:c>
      <x:c r="R335" s="120" t="str">
        <x:v>https://www.gutenberg.org/ebooks/15475</x:v>
      </x:c>
      <x:c r="S335" s="120" t="str">
        <x:v>Seeded</x:v>
      </x:c>
    </x:row>
    <x:row r="336" ht="52" customHeight="1">
      <x:c r="A336" s="119" t="str">
        <x:v>ENT-0335</x:v>
      </x:c>
      <x:c r="B336" s="120" t="str">
        <x:v>Martial preceptor</x:v>
      </x:c>
      <x:c r="C336" s="120" t="str">
        <x:v>SRC-277</x:v>
      </x:c>
      <x:c r="D336" s="120" t="str">
        <x:v>Mahābhārata — BORI Critical Edition</x:v>
      </x:c>
      <x:c r="E336" s="120" t="str">
        <x:v>Critical-edition-oriented source pass; Ganguli English translation reviewed at parva level</x:v>
      </x:c>
      <x:c r="F336" s="120" t="str">
        <x:v>Formal weapons teacher / court instructor</x:v>
      </x:c>
      <x:c r="G336" s="120" t="str">
        <x:v>ROL-935</x:v>
      </x:c>
      <x:c r="H336" s="120" t="str">
        <x:f>IFERROR(VLOOKUP(G336,'Master Taxonomy'!$A$2:$B$1656,2,FALSE),"")</x:f>
        <x:v>Martial Preceptor</x:v>
      </x:c>
      <x:c r="I336" s="120" t="str">
        <x:v>INS-425;LAW-806</x:v>
      </x:c>
      <x:c r="J336" s="120" t="str">
        <x:v>Teacher–Disciple Lineage; Teacher–Disciple Debt</x:v>
      </x:c>
      <x:c r="K336" s="120" t="str">
        <x:v>A teacher entrusted with elite martial education, weapons lore, discipline, and the formation of warrior cohorts.</x:v>
      </x:c>
      <x:c r="L336" s="120" t="str">
        <x:v>Technical mastery, royal patronage, lineage transmission, and student obligation.</x:v>
      </x:c>
      <x:c r="M336" s="120" t="str">
        <x:v>The role includes political and relational consequences beyond combat training.</x:v>
      </x:c>
      <x:c r="N336" s="120" t="str">
        <x:v>A reusable model for the weapons master whose students later divide across rival loyalties.</x:v>
      </x:c>
      <x:c r="O336" s="120" t="str">
        <x:v>Primary canon</x:v>
      </x:c>
      <x:c r="P336" s="120" t="str">
        <x:v>Primary text reviewed</x:v>
      </x:c>
      <x:c r="Q336" s="120" t="str">
        <x:v>Ādi and Droṇa Parvas; martial education narratives.</x:v>
      </x:c>
      <x:c r="R336" s="120" t="str">
        <x:v>https://www.gutenberg.org/ebooks/15475</x:v>
      </x:c>
      <x:c r="S336" s="120" t="str">
        <x:v>Seeded</x:v>
      </x:c>
    </x:row>
    <x:row r="337" ht="52" customHeight="1">
      <x:c r="A337" s="119" t="str">
        <x:v>ENT-0336</x:v>
      </x:c>
      <x:c r="B337" s="120" t="str">
        <x:v>Sārathi (charioteer)</x:v>
      </x:c>
      <x:c r="C337" s="120" t="str">
        <x:v>SRC-277</x:v>
      </x:c>
      <x:c r="D337" s="120" t="str">
        <x:v>Mahābhārata — BORI Critical Edition</x:v>
      </x:c>
      <x:c r="E337" s="120" t="str">
        <x:v>Critical-edition-oriented source pass; Ganguli English translation reviewed at parva level</x:v>
      </x:c>
      <x:c r="F337" s="120" t="str">
        <x:v>Military profession / counselor role</x:v>
      </x:c>
      <x:c r="G337" s="120" t="str">
        <x:v>ROL-133</x:v>
      </x:c>
      <x:c r="H337" s="120" t="str">
        <x:f>IFERROR(VLOOKUP(G337,'Master Taxonomy'!$A$2:$B$1656,2,FALSE),"")</x:f>
        <x:v>Charioteer</x:v>
      </x:c>
      <x:c r="I337" s="120" t="str">
        <x:v>ROL-712;ART-507</x:v>
      </x:c>
      <x:c r="J337" s="120" t="str">
        <x:v>Adviser and Counselor; War Chariot</x:v>
      </x:c>
      <x:c r="K337" s="120" t="str">
        <x:v>A chariot driver responsible for movement, battlefield judgment, horse management, communication, and often counsel to the warrior.</x:v>
      </x:c>
      <x:c r="L337" s="120" t="str">
        <x:v>Professional training, trust, tactical awareness, social position, and partnership.</x:v>
      </x:c>
      <x:c r="M337" s="120" t="str">
        <x:v>The charioteer is not merely a mount operator or vehicle slot; the role can carry intimate counsel, strategy, and identity.</x:v>
      </x:c>
      <x:c r="N337" s="120" t="str">
        <x:v>Adds a paired-warrior profession in which mobility, advice, and social relation are inseparable.</x:v>
      </x:c>
      <x:c r="O337" s="120" t="str">
        <x:v>Primary canon</x:v>
      </x:c>
      <x:c r="P337" s="120" t="str">
        <x:v>Primary text reviewed</x:v>
      </x:c>
      <x:c r="Q337" s="120" t="str">
        <x:v>Bhīṣma, Droṇa, Karṇa, and other battle parvas; parva-level review.</x:v>
      </x:c>
      <x:c r="R337" s="120" t="str">
        <x:v>https://www.gutenberg.org/ebooks/15475</x:v>
      </x:c>
      <x:c r="S337" s="120" t="str">
        <x:v>Seeded</x:v>
      </x:c>
    </x:row>
    <x:row r="338" ht="52" customHeight="1">
      <x:c r="A338" s="119" t="str">
        <x:v>ENT-0337</x:v>
      </x:c>
      <x:c r="B338" s="120" t="str">
        <x:v>Dūta (envoy or messenger)</x:v>
      </x:c>
      <x:c r="C338" s="120" t="str">
        <x:v>SRC-277</x:v>
      </x:c>
      <x:c r="D338" s="120" t="str">
        <x:v>Mahābhārata — BORI Critical Edition</x:v>
      </x:c>
      <x:c r="E338" s="120" t="str">
        <x:v>Critical-edition-oriented source pass; Ganguli English translation reviewed at parva level</x:v>
      </x:c>
      <x:c r="F338" s="120" t="str">
        <x:v>Diplomatic office / protected messenger</x:v>
      </x:c>
      <x:c r="G338" s="120" t="str">
        <x:v>ROL-634</x:v>
      </x:c>
      <x:c r="H338" s="120" t="str">
        <x:f>IFERROR(VLOOKUP(G338,'Master Taxonomy'!$A$2:$B$1656,2,FALSE),"")</x:f>
        <x:v>Diplomat and Ambassador</x:v>
      </x:c>
      <x:c r="I338" s="120" t="str">
        <x:v>ROL-637;LAW-817</x:v>
      </x:c>
      <x:c r="J338" s="120" t="str">
        <x:v>Herald and Messenger; Messenger or Envoy Immunity</x:v>
      </x:c>
      <x:c r="K338" s="120" t="str">
        <x:v>A recognized envoy who carries proposals, warnings, demands, negotiations, or peace missions between courts and armies.</x:v>
      </x:c>
      <x:c r="L338" s="120" t="str">
        <x:v>Authorization, rhetoric, safe conduct, political standing, and personal courage.</x:v>
      </x:c>
      <x:c r="M338" s="120" t="str">
        <x:v>The dūta is not simply a courier; speech, immunity, court procedure, and representation are central.</x:v>
      </x:c>
      <x:c r="N338" s="120" t="str">
        <x:v>A strong model for diplomacy as a formal fantasy vocation with protected status and high stakes.</x:v>
      </x:c>
      <x:c r="O338" s="120" t="str">
        <x:v>Primary canon</x:v>
      </x:c>
      <x:c r="P338" s="120" t="str">
        <x:v>Primary text reviewed</x:v>
      </x:c>
      <x:c r="Q338" s="120" t="str">
        <x:v>Udyoga Parva diplomatic missions and court exchanges.</x:v>
      </x:c>
      <x:c r="R338" s="120" t="str">
        <x:v>https://www.gutenberg.org/ebooks/15475</x:v>
      </x:c>
      <x:c r="S338" s="120" t="str">
        <x:v>Seeded</x:v>
      </x:c>
    </x:row>
    <x:row r="339" ht="52" customHeight="1">
      <x:c r="A339" s="119" t="str">
        <x:v>ENT-0338</x:v>
      </x:c>
      <x:c r="B339" s="120" t="str">
        <x:v>Rājā (king)</x:v>
      </x:c>
      <x:c r="C339" s="120" t="str">
        <x:v>SRC-277</x:v>
      </x:c>
      <x:c r="D339" s="120" t="str">
        <x:v>Mahābhārata — BORI Critical Edition</x:v>
      </x:c>
      <x:c r="E339" s="120" t="str">
        <x:v>Critical-edition-oriented source pass; Ganguli English translation reviewed at parva level</x:v>
      </x:c>
      <x:c r="F339" s="120" t="str">
        <x:v>Monarch / political-sacred office</x:v>
      </x:c>
      <x:c r="G339" s="120" t="str">
        <x:v>ROL-701</x:v>
      </x:c>
      <x:c r="H339" s="120" t="str">
        <x:f>IFERROR(VLOOKUP(G339,'Master Taxonomy'!$A$2:$B$1656,2,FALSE),"")</x:f>
        <x:v>Monarch</x:v>
      </x:c>
      <x:c r="I339" s="120" t="str">
        <x:v>LAW-509;INS-426</x:v>
      </x:c>
      <x:c r="J339" s="120" t="str">
        <x:v>Sacred Kingship; Royal Assembly or Council Hall</x:v>
      </x:c>
      <x:c r="K339" s="120" t="str">
        <x:v>A ruler whose obligations encompass protection, justice, alliance, war, ritual, revenue, counsel, kinship, and maintenance of order.</x:v>
      </x:c>
      <x:c r="L339" s="120" t="str">
        <x:v>Succession, recognition, governance, duty, force, counsel, and ritual legitimacy.</x:v>
      </x:c>
      <x:c r="M339" s="120" t="str">
        <x:v>Kingship is not reducible to class level, combat strength, or hereditary title alone.</x:v>
      </x:c>
      <x:c r="N339" s="120" t="str">
        <x:v>Provides a dense kingship model linking role, institution, law, land, and aftermath.</x:v>
      </x:c>
      <x:c r="O339" s="120" t="str">
        <x:v>Primary canon</x:v>
      </x:c>
      <x:c r="P339" s="120" t="str">
        <x:v>Primary text reviewed</x:v>
      </x:c>
      <x:c r="Q339" s="120" t="str">
        <x:v>Sabhā, Udyoga, Śānti, and Anuśāsana Parvas.</x:v>
      </x:c>
      <x:c r="R339" s="120" t="str">
        <x:v>https://www.gutenberg.org/ebooks/15476</x:v>
      </x:c>
      <x:c r="S339" s="120" t="str">
        <x:v>Seeded</x:v>
      </x:c>
    </x:row>
    <x:row r="340" ht="52" customHeight="1">
      <x:c r="A340" s="119" t="str">
        <x:v>ENT-0339</x:v>
      </x:c>
      <x:c r="B340" s="120" t="str">
        <x:v>Royal counselor</x:v>
      </x:c>
      <x:c r="C340" s="120" t="str">
        <x:v>SRC-277</x:v>
      </x:c>
      <x:c r="D340" s="120" t="str">
        <x:v>Mahābhārata — BORI Critical Edition</x:v>
      </x:c>
      <x:c r="E340" s="120" t="str">
        <x:v>Critical-edition-oriented source pass; Ganguli English translation reviewed at parva level</x:v>
      </x:c>
      <x:c r="F340" s="120" t="str">
        <x:v>Court office / adviser</x:v>
      </x:c>
      <x:c r="G340" s="120" t="str">
        <x:v>ROL-712</x:v>
      </x:c>
      <x:c r="H340" s="120" t="str">
        <x:f>IFERROR(VLOOKUP(G340,'Master Taxonomy'!$A$2:$B$1656,2,FALSE),"")</x:f>
        <x:v>Adviser and Counselor</x:v>
      </x:c>
      <x:c r="I340" s="120" t="str">
        <x:v>INS-405;INS-426</x:v>
      </x:c>
      <x:c r="J340" s="120" t="str">
        <x:v>Royal Court; Royal Assembly or Council Hall</x:v>
      </x:c>
      <x:c r="K340" s="120" t="str">
        <x:v>An adviser who interprets law, strategy, kinship, omens, policy, diplomacy, and ethical consequence for rulers.</x:v>
      </x:c>
      <x:c r="L340" s="120" t="str">
        <x:v>Knowledge, access, trust, rhetoric, office, and personal judgment.</x:v>
      </x:c>
      <x:c r="M340" s="120" t="str">
        <x:v>Counselors may disagree with rulers or be ignored; the role is not automatic control over policy.</x:v>
      </x:c>
      <x:c r="N340" s="120" t="str">
        <x:v>Supports comparative study of counsel as a distinct political vocation rather than background exposition.</x:v>
      </x:c>
      <x:c r="O340" s="120" t="str">
        <x:v>Primary canon</x:v>
      </x:c>
      <x:c r="P340" s="120" t="str">
        <x:v>Primary text reviewed</x:v>
      </x:c>
      <x:c r="Q340" s="120" t="str">
        <x:v>Sabhā and Udyoga Parvas; court deliberations.</x:v>
      </x:c>
      <x:c r="R340" s="120" t="str">
        <x:v>https://www.gutenberg.org/ebooks/15475</x:v>
      </x:c>
      <x:c r="S340" s="120" t="str">
        <x:v>Seeded</x:v>
      </x:c>
    </x:row>
    <x:row r="341" ht="52" customHeight="1">
      <x:c r="A341" s="119" t="str">
        <x:v>ENT-0340</x:v>
      </x:c>
      <x:c r="B341" s="120" t="str">
        <x:v>Sacrificial priest and ritual officiant</x:v>
      </x:c>
      <x:c r="C341" s="120" t="str">
        <x:v>SRC-277</x:v>
      </x:c>
      <x:c r="D341" s="120" t="str">
        <x:v>Mahābhārata — BORI Critical Edition</x:v>
      </x:c>
      <x:c r="E341" s="120" t="str">
        <x:v>Critical-edition-oriented source pass; Ganguli English translation reviewed at parva level</x:v>
      </x:c>
      <x:c r="F341" s="120" t="str">
        <x:v>Religious office / ritual specialist</x:v>
      </x:c>
      <x:c r="G341" s="120" t="str">
        <x:v>ROL-422</x:v>
      </x:c>
      <x:c r="H341" s="120" t="str">
        <x:f>IFERROR(VLOOKUP(G341,'Master Taxonomy'!$A$2:$B$1656,2,FALSE),"")</x:f>
        <x:v>Sacrificial Priest</x:v>
      </x:c>
      <x:c r="I341" s="120" t="str">
        <x:v>LAW-301;LAW-309</x:v>
      </x:c>
      <x:c r="J341" s="120" t="str">
        <x:v>Sacrifice or Offering; Fire Sacrifice</x:v>
      </x:c>
      <x:c r="K341" s="120" t="str">
        <x:v>A specialist who performs, directs, or authorizes complex rites and offerings on behalf of patrons, rulers, lineages, or communities.</x:v>
      </x:c>
      <x:c r="L341" s="120" t="str">
        <x:v>Training, textual knowledge, ritual sequence, materials, patronage, and recognized eligibility.</x:v>
      </x:c>
      <x:c r="M341" s="120" t="str">
        <x:v>This is not simply a divine caster class; efficacy depends on rite, office, patron, and social-religious context.</x:v>
      </x:c>
      <x:c r="N341" s="120" t="str">
        <x:v>Clarifies ritual specialists whose power is procedural and institutional rather than spontaneous spellcasting.</x:v>
      </x:c>
      <x:c r="O341" s="120" t="str">
        <x:v>Primary canon</x:v>
      </x:c>
      <x:c r="P341" s="120" t="str">
        <x:v>Primary text reviewed</x:v>
      </x:c>
      <x:c r="Q341" s="120" t="str">
        <x:v>Ādi, Sabhā, and Anuśāsana Parvas; sacrificial narratives and duties.</x:v>
      </x:c>
      <x:c r="R341" s="120" t="str">
        <x:v>https://www.gutenberg.org/ebooks/15477</x:v>
      </x:c>
      <x:c r="S341" s="120" t="str">
        <x:v>Seeded</x:v>
      </x:c>
    </x:row>
    <x:row r="342" ht="52" customHeight="1">
      <x:c r="A342" s="119" t="str">
        <x:v>ENT-0341</x:v>
      </x:c>
      <x:c r="B342" s="120" t="str">
        <x:v>Tapasvin or ascetic practitioner</x:v>
      </x:c>
      <x:c r="C342" s="120" t="str">
        <x:v>SRC-277</x:v>
      </x:c>
      <x:c r="D342" s="120" t="str">
        <x:v>Mahābhārata — BORI Critical Edition</x:v>
      </x:c>
      <x:c r="E342" s="120" t="str">
        <x:v>Critical-edition-oriented source pass; Ganguli English translation reviewed at parva level</x:v>
      </x:c>
      <x:c r="F342" s="120" t="str">
        <x:v>Ascetic / renunciant role</x:v>
      </x:c>
      <x:c r="G342" s="120" t="str">
        <x:v>ROL-933</x:v>
      </x:c>
      <x:c r="H342" s="120" t="str">
        <x:f>IFERROR(VLOOKUP(G342,'Master Taxonomy'!$A$2:$B$1656,2,FALSE),"")</x:f>
        <x:v>Ascetic or Renunciant</x:v>
      </x:c>
      <x:c r="I342" s="120" t="str">
        <x:v>PWR-529;LAW-102;LAW-107</x:v>
      </x:c>
      <x:c r="J342" s="120" t="str">
        <x:v>Meditation and Breath Practice; Renunciation Vow; Vow-Powered Ability</x:v>
      </x:c>
      <x:c r="K342" s="120" t="str">
        <x:v>A practitioner whose austerity, discipline, meditation, seclusion, or vows produce authority, insight, transformation, or formidable potency.</x:v>
      </x:c>
      <x:c r="L342" s="120" t="str">
        <x:v>Tapas, restraint, time, bodily discipline, attention, and recognized spiritual attainment.</x:v>
      </x:c>
      <x:c r="M342" s="120" t="str">
        <x:v>The role is not a mana-based caster class, and ascetic heat/power cannot be detached from ethical and religious context.</x:v>
      </x:c>
      <x:c r="N342" s="120" t="str">
        <x:v>Adds a power-bearing renunciant whose capability emerges through disciplined practice rather than profession alone.</x:v>
      </x:c>
      <x:c r="O342" s="120" t="str">
        <x:v>Primary canon</x:v>
      </x:c>
      <x:c r="P342" s="120" t="str">
        <x:v>Primary text reviewed</x:v>
      </x:c>
      <x:c r="Q342" s="120" t="str">
        <x:v>Vana, Śānti, and Anuśāsana Parvas; ascetic narratives and instruction.</x:v>
      </x:c>
      <x:c r="R342" s="120" t="str">
        <x:v>https://www.gutenberg.org/ebooks/15477</x:v>
      </x:c>
      <x:c r="S342" s="120" t="str">
        <x:v>Seeded</x:v>
      </x:c>
    </x:row>
    <x:row r="343" ht="52" customHeight="1">
      <x:c r="A343" s="119" t="str">
        <x:v>ENT-0342</x:v>
      </x:c>
      <x:c r="B343" s="120" t="str">
        <x:v>Warrior champion</x:v>
      </x:c>
      <x:c r="C343" s="120" t="str">
        <x:v>SRC-277</x:v>
      </x:c>
      <x:c r="D343" s="120" t="str">
        <x:v>Mahābhārata — BORI Critical Edition</x:v>
      </x:c>
      <x:c r="E343" s="120" t="str">
        <x:v>Critical-edition-oriented source pass; Ganguli English translation reviewed at parva level</x:v>
      </x:c>
      <x:c r="F343" s="120" t="str">
        <x:v>Martial-social role</x:v>
      </x:c>
      <x:c r="G343" s="120" t="str">
        <x:v>ROL-101</x:v>
      </x:c>
      <x:c r="H343" s="120" t="str">
        <x:f>IFERROR(VLOOKUP(G343,'Master Taxonomy'!$A$2:$B$1656,2,FALSE),"")</x:f>
        <x:v>Warrior or Fighter</x:v>
      </x:c>
      <x:c r="I343" s="120" t="str">
        <x:v>INS-409;LAW-103;ART-208</x:v>
      </x:c>
      <x:c r="J343" s="120" t="str">
        <x:v>Estate or Social Order; Quest Vow; Named Heroic Weapon</x:v>
      </x:c>
      <x:c r="K343" s="120" t="str">
        <x:v>An elite combatant whose identity combines training, lineage, vows, weapons, chariot partnership, reputation, and political duty.</x:v>
      </x:c>
      <x:c r="L343" s="120" t="str">
        <x:v>Martial education, social order, equipment, personal vows, patronage, and battlefield skill.</x:v>
      </x:c>
      <x:c r="M343" s="120" t="str">
        <x:v>The epic champion is not a generic fighter class; status and obligations are constitutive.</x:v>
      </x:c>
      <x:c r="N343" s="120" t="str">
        <x:v>A high-resolution martial archetype organized by relationships and vows rather than build alone.</x:v>
      </x:c>
      <x:c r="O343" s="120" t="str">
        <x:v>Primary canon</x:v>
      </x:c>
      <x:c r="P343" s="120" t="str">
        <x:v>Primary text reviewed</x:v>
      </x:c>
      <x:c r="Q343" s="120" t="str">
        <x:v>Ādi through Śalya Parvas; combat and lineage narratives.</x:v>
      </x:c>
      <x:c r="R343" s="120" t="str">
        <x:v>https://www.gutenberg.org/ebooks/15476</x:v>
      </x:c>
      <x:c r="S343" s="120" t="str">
        <x:v>Seeded</x:v>
      </x:c>
    </x:row>
    <x:row r="344" ht="52" customHeight="1">
      <x:c r="A344" s="119" t="str">
        <x:v>ENT-0343</x:v>
      </x:c>
      <x:c r="B344" s="120" t="str">
        <x:v>Commander of a war host</x:v>
      </x:c>
      <x:c r="C344" s="120" t="str">
        <x:v>SRC-277</x:v>
      </x:c>
      <x:c r="D344" s="120" t="str">
        <x:v>Mahābhārata — BORI Critical Edition</x:v>
      </x:c>
      <x:c r="E344" s="120" t="str">
        <x:v>Critical-edition-oriented source pass; Ganguli English translation reviewed at parva level</x:v>
      </x:c>
      <x:c r="F344" s="120" t="str">
        <x:v>Military command office</x:v>
      </x:c>
      <x:c r="G344" s="120" t="str">
        <x:v>ROL-710</x:v>
      </x:c>
      <x:c r="H344" s="120" t="str">
        <x:f>IFERROR(VLOOKUP(G344,'Master Taxonomy'!$A$2:$B$1656,2,FALSE),"")</x:f>
        <x:v>General and Marshal</x:v>
      </x:c>
      <x:c r="I344" s="120" t="str">
        <x:v>INS-201;LAW-105</x:v>
      </x:c>
      <x:c r="J344" s="120" t="str">
        <x:v>Army or Legion; Fealty Oath</x:v>
      </x:c>
      <x:c r="K344" s="120" t="str">
        <x:v>A leader responsible for formations, large forces, strategic deployment, morale, alliances, and obligations to ruler and kin.</x:v>
      </x:c>
      <x:c r="L344" s="120" t="str">
        <x:v>Appointment, reputation, tactical knowledge, social rank, and command structure.</x:v>
      </x:c>
      <x:c r="M344" s="120" t="str">
        <x:v>Command is not equivalent to personal combat power or a battlefield aura.</x:v>
      </x:c>
      <x:c r="N344" s="120" t="str">
        <x:v>Strengthens the distinction between heroic duelist, chariot warrior, and army commander.</x:v>
      </x:c>
      <x:c r="O344" s="120" t="str">
        <x:v>Primary canon</x:v>
      </x:c>
      <x:c r="P344" s="120" t="str">
        <x:v>Primary text reviewed</x:v>
      </x:c>
      <x:c r="Q344" s="120" t="str">
        <x:v>Udyoga through Śalya Parvas; command appointments and battle organization.</x:v>
      </x:c>
      <x:c r="R344" s="120" t="str">
        <x:v>https://www.gutenberg.org/ebooks/15476</x:v>
      </x:c>
      <x:c r="S344" s="120" t="str">
        <x:v>Seeded</x:v>
      </x:c>
    </x:row>
    <x:row r="345" ht="52" customHeight="1">
      <x:c r="A345" s="119" t="str">
        <x:v>ENT-0344</x:v>
      </x:c>
      <x:c r="B345" s="120" t="str">
        <x:v>Pilgrim or tīrtha traveler</x:v>
      </x:c>
      <x:c r="C345" s="120" t="str">
        <x:v>SRC-277</x:v>
      </x:c>
      <x:c r="D345" s="120" t="str">
        <x:v>Mahābhārata — BORI Critical Edition</x:v>
      </x:c>
      <x:c r="E345" s="120" t="str">
        <x:v>Critical-edition-oriented source pass; Ganguli English translation reviewed at parva level</x:v>
      </x:c>
      <x:c r="F345" s="120" t="str">
        <x:v>Religious traveler / life-path role</x:v>
      </x:c>
      <x:c r="G345" s="120" t="str">
        <x:v>NAR-125</x:v>
      </x:c>
      <x:c r="H345" s="120" t="str">
        <x:f>IFERROR(VLOOKUP(G345,'Master Taxonomy'!$A$2:$B$1656,2,FALSE),"")</x:f>
        <x:v>Pilgrim or Spiritual Seeker</x:v>
      </x:c>
      <x:c r="I345" s="120" t="str">
        <x:v>NAR-411;COS-506;LAW-814</x:v>
      </x:c>
      <x:c r="J345" s="120" t="str">
        <x:v>Pilgrimage; Pilgrimage Network; Pilgrimage Merit or Transformation</x:v>
      </x:c>
      <x:c r="K345" s="120" t="str">
        <x:v>A traveler who undertakes sacred journeys to crossings, rivers, hermitages, mountains, and remembered sites for teaching, purification, merit, encounter, or transformation.</x:v>
      </x:c>
      <x:c r="L345" s="120" t="str">
        <x:v>Travel, ritual practice, listening, place memory, hospitality, and discipline.</x:v>
      </x:c>
      <x:c r="M345" s="120" t="str">
        <x:v>Pilgrimage is not a side-quest checklist or simple fast-travel network.</x:v>
      </x:c>
      <x:c r="N345" s="120" t="str">
        <x:v>Connects sacred geography to narrative sequence and transformed social or spiritual status.</x:v>
      </x:c>
      <x:c r="O345" s="120" t="str">
        <x:v>Primary canon</x:v>
      </x:c>
      <x:c r="P345" s="120" t="str">
        <x:v>Primary text reviewed</x:v>
      </x:c>
      <x:c r="Q345" s="120" t="str">
        <x:v>Vana Parva tīrtha-yātrā material; parva-level review.</x:v>
      </x:c>
      <x:c r="R345" s="120" t="str">
        <x:v>https://www.gutenberg.org/ebooks/15474</x:v>
      </x:c>
      <x:c r="S345" s="120" t="str">
        <x:v>Seeded</x:v>
      </x:c>
    </x:row>
    <x:row r="346" ht="52" customHeight="1">
      <x:c r="A346" s="119" t="str">
        <x:v>ENT-0345</x:v>
      </x:c>
      <x:c r="B346" s="120" t="str">
        <x:v>Tapas (ascetic potency)</x:v>
      </x:c>
      <x:c r="C346" s="120" t="str">
        <x:v>SRC-277</x:v>
      </x:c>
      <x:c r="D346" s="120" t="str">
        <x:v>Mahābhārata — BORI Critical Edition</x:v>
      </x:c>
      <x:c r="E346" s="120" t="str">
        <x:v>Critical-edition-oriented source pass; Ganguli English translation reviewed at parva level</x:v>
      </x:c>
      <x:c r="F346" s="120" t="str">
        <x:v>Power practice / sacred discipline</x:v>
      </x:c>
      <x:c r="G346" s="120" t="str">
        <x:v>PWR-529</x:v>
      </x:c>
      <x:c r="H346" s="120" t="str">
        <x:f>IFERROR(VLOOKUP(G346,'Master Taxonomy'!$A$2:$B$1656,2,FALSE),"")</x:f>
        <x:v>Meditation and Breath Practice</x:v>
      </x:c>
      <x:c r="I346" s="120" t="str">
        <x:v>LAW-102;LAW-107;LAW-513</x:v>
      </x:c>
      <x:c r="J346" s="120" t="str">
        <x:v>Renunciation Vow; Vow-Powered Ability; Price of Power</x:v>
      </x:c>
      <x:c r="K346" s="120" t="str">
        <x:v>Potency and authority cultivated through austerity, concentration, restraint, meditation, and disciplined practice.</x:v>
      </x:c>
      <x:c r="L346" s="120" t="str">
        <x:v>Sustained discipline, renunciation, attention, bodily practice, and time.</x:v>
      </x:c>
      <x:c r="M346" s="120" t="str">
        <x:v>Tapas is not a generic fire spell, mana pool, or experience grind, even when described through heat or formidable power.</x:v>
      </x:c>
      <x:c r="N346" s="120" t="str">
        <x:v>A power model where capability emerges through self-discipline and ethical-religious practice.</x:v>
      </x:c>
      <x:c r="O346" s="120" t="str">
        <x:v>Primary canon</x:v>
      </x:c>
      <x:c r="P346" s="120" t="str">
        <x:v>Primary text reviewed</x:v>
      </x:c>
      <x:c r="Q346" s="120" t="str">
        <x:v>Vana, Śānti, and Anuśāsana Parvas; ascetic narratives.</x:v>
      </x:c>
      <x:c r="R346" s="120" t="str">
        <x:v>https://www.gutenberg.org/ebooks/15477</x:v>
      </x:c>
      <x:c r="S346" s="120" t="str">
        <x:v>Seeded</x:v>
      </x:c>
    </x:row>
    <x:row r="347" ht="52" customHeight="1">
      <x:c r="A347" s="119" t="str">
        <x:v>ENT-0346</x:v>
      </x:c>
      <x:c r="B347" s="120" t="str">
        <x:v>Mantra (mantra)</x:v>
      </x:c>
      <x:c r="C347" s="120" t="str">
        <x:v>SRC-277</x:v>
      </x:c>
      <x:c r="D347" s="120" t="str">
        <x:v>Mahābhārata — BORI Critical Edition</x:v>
      </x:c>
      <x:c r="E347" s="120" t="str">
        <x:v>Critical-edition-oriented source pass; Ganguli English translation reviewed at parva level</x:v>
      </x:c>
      <x:c r="F347" s="120" t="str">
        <x:v>Sacred utterance / operative formula</x:v>
      </x:c>
      <x:c r="G347" s="120" t="str">
        <x:v>LAW-604</x:v>
      </x:c>
      <x:c r="H347" s="120" t="str">
        <x:f>IFERROR(VLOOKUP(G347,'Master Taxonomy'!$A$2:$B$1656,2,FALSE),"")</x:f>
        <x:v>Mantra or Invocatory Formula</x:v>
      </x:c>
      <x:c r="I347" s="120" t="str">
        <x:v>PWR-500;ART-219</x:v>
      </x:c>
      <x:c r="J347" s="120" t="str">
        <x:v>Symbolic, Performative, and Technical Methods; Summoned or Invoked Weapon</x:v>
      </x:c>
      <x:c r="K347" s="120" t="str">
        <x:v>An authorized sacred or operative utterance used in ritual, invocation, protection, weapon activation, contemplation, and divine relation.</x:v>
      </x:c>
      <x:c r="L347" s="120" t="str">
        <x:v>Sound, transmission, understanding, authority, exact recitation, and ritual context.</x:v>
      </x:c>
      <x:c r="M347" s="120" t="str">
        <x:v>Mantra is not safely synonymous with spell, command word, or magic syllable.</x:v>
      </x:c>
      <x:c r="N347" s="120" t="str">
        <x:v>Adds a language-based power method whose efficacy depends on lineage and sacred context.</x:v>
      </x:c>
      <x:c r="O347" s="120" t="str">
        <x:v>Primary canon</x:v>
      </x:c>
      <x:c r="P347" s="120" t="str">
        <x:v>Official reference reviewed</x:v>
      </x:c>
      <x:c r="Q347" s="120" t="str">
        <x:v>Epic-wide invocations and ritual speech; terminology review.</x:v>
      </x:c>
      <x:c r="R347" s="120" t="str">
        <x:v>https://bori.ac.in/department/mahabharata/</x:v>
      </x:c>
      <x:c r="S347" s="120" t="str">
        <x:v>Seeded</x:v>
      </x:c>
    </x:row>
    <x:row r="348" ht="52" customHeight="1">
      <x:c r="A348" s="119" t="str">
        <x:v>ENT-0347</x:v>
      </x:c>
      <x:c r="B348" s="120" t="str">
        <x:v>Astra-vidyā and divine-weapon lore</x:v>
      </x:c>
      <x:c r="C348" s="120" t="str">
        <x:v>SRC-277</x:v>
      </x:c>
      <x:c r="D348" s="120" t="str">
        <x:v>Mahābhārata — BORI Critical Edition</x:v>
      </x:c>
      <x:c r="E348" s="120" t="str">
        <x:v>Critical-edition-oriented source pass; Ganguli English translation reviewed at parva level</x:v>
      </x:c>
      <x:c r="F348" s="120" t="str">
        <x:v>Martial-sacred knowledge tradition</x:v>
      </x:c>
      <x:c r="G348" s="120" t="str">
        <x:v>ART-201</x:v>
      </x:c>
      <x:c r="H348" s="120" t="str">
        <x:f>IFERROR(VLOOKUP(G348,'Master Taxonomy'!$A$2:$B$1656,2,FALSE),"")</x:f>
        <x:v>Divine Weapon</x:v>
      </x:c>
      <x:c r="I348" s="120" t="str">
        <x:v>ART-219;ROL-935;LAW-604</x:v>
      </x:c>
      <x:c r="J348" s="120" t="str">
        <x:v>Summoned or Invoked Weapon; Martial Preceptor; Mantra or Invocatory Formula</x:v>
      </x:c>
      <x:c r="K348" s="120" t="str">
        <x:v>Knowledge required to receive, invoke, control, counter, and withdraw exceptional weapons associated with deities and cosmic powers.</x:v>
      </x:c>
      <x:c r="L348" s="120" t="str">
        <x:v>Teacher transmission, eligibility, mantra, discipline, divine grant, and tactical judgment.</x:v>
      </x:c>
      <x:c r="M348" s="120" t="str">
        <x:v>This is not merely an inventory of high-level spells or enchanted ammunition; authorization and withdrawal are central.</x:v>
      </x:c>
      <x:c r="N348" s="120" t="str">
        <x:v>A reusable hybrid of weapon, ritual formula, lineage knowledge, and ethical restriction.</x:v>
      </x:c>
      <x:c r="O348" s="120" t="str">
        <x:v>Primary canon</x:v>
      </x:c>
      <x:c r="P348" s="120" t="str">
        <x:v>Primary text reviewed</x:v>
      </x:c>
      <x:c r="Q348" s="120" t="str">
        <x:v>Ādi, Vana, Udyoga, and battle parvas; weapon instruction and use.</x:v>
      </x:c>
      <x:c r="R348" s="120" t="str">
        <x:v>https://www.gutenberg.org/ebooks/15475</x:v>
      </x:c>
      <x:c r="S348" s="120" t="str">
        <x:v>Seeded</x:v>
      </x:c>
    </x:row>
    <x:row r="349" ht="52" customHeight="1">
      <x:c r="A349" s="119" t="str">
        <x:v>ENT-0348</x:v>
      </x:c>
      <x:c r="B349" s="120" t="str">
        <x:v>Vara (boon)</x:v>
      </x:c>
      <x:c r="C349" s="120" t="str">
        <x:v>SRC-277</x:v>
      </x:c>
      <x:c r="D349" s="120" t="str">
        <x:v>Mahābhārata — BORI Critical Edition</x:v>
      </x:c>
      <x:c r="E349" s="120" t="str">
        <x:v>Critical-edition-oriented source pass; Ganguli English translation reviewed at parva level</x:v>
      </x:c>
      <x:c r="F349" s="120" t="str">
        <x:v>Divine or sacred grant</x:v>
      </x:c>
      <x:c r="G349" s="120" t="str">
        <x:v>LAW-201</x:v>
      </x:c>
      <x:c r="H349" s="120" t="str">
        <x:f>IFERROR(VLOOKUP(G349,'Master Taxonomy'!$A$2:$B$1656,2,FALSE),"")</x:f>
        <x:v>Divine Boon</x:v>
      </x:c>
      <x:c r="I349" s="120" t="str">
        <x:v>LAW-202;LAW-215</x:v>
      </x:c>
      <x:c r="J349" s="120" t="str">
        <x:v>Conditional Boon; Boon Loophole</x:v>
      </x:c>
      <x:c r="K349" s="120" t="str">
        <x:v>A granted benefit, protection, capacity, birth, weapon, knowledge, or exception conferred by a deity, sage, or other powerful being.</x:v>
      </x:c>
      <x:c r="L349" s="120" t="str">
        <x:v>Relationship, austerity, petition, recognition, conditions, wording, and recipient eligibility.</x:v>
      </x:c>
      <x:c r="M349" s="120" t="str">
        <x:v>Vara is not simply a passive buff or wish reward; grants can have exact limits and major narrative consequences.</x:v>
      </x:c>
      <x:c r="N349" s="120" t="str">
        <x:v>A source-specific boon logic that helps explain conditional invulnerability and birth narratives.</x:v>
      </x:c>
      <x:c r="O349" s="120" t="str">
        <x:v>Primary canon</x:v>
      </x:c>
      <x:c r="P349" s="120" t="str">
        <x:v>Primary text reviewed</x:v>
      </x:c>
      <x:c r="Q349" s="120" t="str">
        <x:v>Ādi, Vana, and later parvas; boon narratives throughout.</x:v>
      </x:c>
      <x:c r="R349" s="120" t="str">
        <x:v>https://www.gutenberg.org/ebooks/15474</x:v>
      </x:c>
      <x:c r="S349" s="120" t="str">
        <x:v>Seeded</x:v>
      </x:c>
    </x:row>
    <x:row r="350" ht="52" customHeight="1">
      <x:c r="A350" s="119" t="str">
        <x:v>ENT-0349</x:v>
      </x:c>
      <x:c r="B350" s="120" t="str">
        <x:v>Śāpa (curse)</x:v>
      </x:c>
      <x:c r="C350" s="120" t="str">
        <x:v>SRC-277</x:v>
      </x:c>
      <x:c r="D350" s="120" t="str">
        <x:v>Mahābhārata — BORI Critical Edition</x:v>
      </x:c>
      <x:c r="E350" s="120" t="str">
        <x:v>Critical-edition-oriented source pass; Ganguli English translation reviewed at parva level</x:v>
      </x:c>
      <x:c r="F350" s="120" t="str">
        <x:v>Spoken or ritually effective curse</x:v>
      </x:c>
      <x:c r="G350" s="120" t="str">
        <x:v>LAW-204</x:v>
      </x:c>
      <x:c r="H350" s="120" t="str">
        <x:f>IFERROR(VLOOKUP(G350,'Master Taxonomy'!$A$2:$B$1656,2,FALSE),"")</x:f>
        <x:v>Curse</x:v>
      </x:c>
      <x:c r="I350" s="120" t="str">
        <x:v>LAW-206;LAW-207;STA-311</x:v>
      </x:c>
      <x:c r="J350" s="120" t="str">
        <x:v>Transformative Curse; Prophetic Curse or Doom; Cursed State</x:v>
      </x:c>
      <x:c r="K350" s="120" t="str">
        <x:v>A potent pronouncement imposing transformation, loss, destiny, prohibition, or future consequence, often within relationships of authority, injury, or violated norm.</x:v>
      </x:c>
      <x:c r="L350" s="120" t="str">
        <x:v>Speech, sacred authority, emotion, offense, fate, and sometimes counter-boons or mitigation.</x:v>
      </x:c>
      <x:c r="M350" s="120" t="str">
        <x:v>Śāpa should not be reduced to a damage-over-time spell or arbitrary evil magic.</x:v>
      </x:c>
      <x:c r="N350" s="120" t="str">
        <x:v>Shows curse as relational speech-act, narrative causation, and transformed state.</x:v>
      </x:c>
      <x:c r="O350" s="120" t="str">
        <x:v>Primary canon</x:v>
      </x:c>
      <x:c r="P350" s="120" t="str">
        <x:v>Primary text reviewed</x:v>
      </x:c>
      <x:c r="Q350" s="120" t="str">
        <x:v>Ādi, Vana, and later parvas; curse narratives throughout.</x:v>
      </x:c>
      <x:c r="R350" s="120" t="str">
        <x:v>https://www.gutenberg.org/ebooks/15474</x:v>
      </x:c>
      <x:c r="S350" s="120" t="str">
        <x:v>Seeded</x:v>
      </x:c>
    </x:row>
    <x:row r="351" ht="52" customHeight="1">
      <x:c r="A351" s="119" t="str">
        <x:v>ENT-0350</x:v>
      </x:c>
      <x:c r="B351" s="120" t="str">
        <x:v>Māyā (illusion, artifice, or extraordinary manifestation)</x:v>
      </x:c>
      <x:c r="C351" s="120" t="str">
        <x:v>SRC-277</x:v>
      </x:c>
      <x:c r="D351" s="120" t="str">
        <x:v>Mahābhārata — BORI Critical Edition</x:v>
      </x:c>
      <x:c r="E351" s="120" t="str">
        <x:v>Critical-edition-oriented source pass; Ganguli English translation reviewed at parva level</x:v>
      </x:c>
      <x:c r="F351" s="120" t="str">
        <x:v>Power concept / source-specific semantic field</x:v>
      </x:c>
      <x:c r="G351" s="120" t="str">
        <x:v>PWR-404</x:v>
      </x:c>
      <x:c r="H351" s="120" t="str">
        <x:f>IFERROR(VLOOKUP(G351,'Master Taxonomy'!$A$2:$B$1656,2,FALSE),"")</x:f>
        <x:v>Illusion and Glamour</x:v>
      </x:c>
      <x:c r="I351" s="120" t="str">
        <x:v>COS-410;LAW-611</x:v>
      </x:c>
      <x:c r="J351" s="120" t="str">
        <x:v>Simulated or Constructed Reality; Story or Belief Makes Real</x:v>
      </x:c>
      <x:c r="K351" s="120" t="str">
        <x:v>A source-specific term used in varied contexts involving appearance, extraordinary creation, deception, artifice, power, and the instability of perception.</x:v>
      </x:c>
      <x:c r="L351" s="120" t="str">
        <x:v>Knowledge, divine or nonhuman capability, craft, perception, and context.</x:v>
      </x:c>
      <x:c r="M351" s="120" t="str">
        <x:v>Māyā is not a single illusion-school spell list and its philosophical meanings cannot be inferred from every narrative use.</x:v>
      </x:c>
      <x:c r="N351" s="120" t="str">
        <x:v>A cautionary case where one translated term spans several normalized families.</x:v>
      </x:c>
      <x:c r="O351" s="120" t="str">
        <x:v>Primary canon</x:v>
      </x:c>
      <x:c r="P351" s="120" t="str">
        <x:v>Primary text reviewed</x:v>
      </x:c>
      <x:c r="Q351" s="120" t="str">
        <x:v>Sabhā, Vana, and other parvas; context-dependent uses.</x:v>
      </x:c>
      <x:c r="R351" s="120" t="str">
        <x:v>https://www.gutenberg.org/ebooks/15474</x:v>
      </x:c>
      <x:c r="S351" s="120" t="str">
        <x:v>Seeded</x:v>
      </x:c>
    </x:row>
    <x:row r="352" ht="52" customHeight="1">
      <x:c r="A352" s="119" t="str">
        <x:v>ENT-0351</x:v>
      </x:c>
      <x:c r="B352" s="120" t="str">
        <x:v>Divine favor and patronage</x:v>
      </x:c>
      <x:c r="C352" s="120" t="str">
        <x:v>SRC-277</x:v>
      </x:c>
      <x:c r="D352" s="120" t="str">
        <x:v>Mahābhārata — BORI Critical Edition</x:v>
      </x:c>
      <x:c r="E352" s="120" t="str">
        <x:v>Critical-edition-oriented source pass; Ganguli English translation reviewed at parva level</x:v>
      </x:c>
      <x:c r="F352" s="120" t="str">
        <x:v>Empowerment / relational state</x:v>
      </x:c>
      <x:c r="G352" s="120" t="str">
        <x:v>LAW-211</x:v>
      </x:c>
      <x:c r="H352" s="120" t="str">
        <x:f>IFERROR(VLOOKUP(G352,'Master Taxonomy'!$A$2:$B$1656,2,FALSE),"")</x:f>
        <x:v>Divine Patronage or Favor</x:v>
      </x:c>
      <x:c r="I352" s="120" t="str">
        <x:v>STA-406;PWR-103</x:v>
      </x:c>
      <x:c r="J352" s="120" t="str">
        <x:v>Divine Favor; Divine Miracle</x:v>
      </x:c>
      <x:c r="K352" s="120" t="str">
        <x:v>Ongoing support, recognition, protection, counsel, weapon access, or mission authorization arising from relation with a deity.</x:v>
      </x:c>
      <x:c r="L352" s="120" t="str">
        <x:v>Devotion, kinship, conduct, cosmic purpose, petition, and divine choice.</x:v>
      </x:c>
      <x:c r="M352" s="120" t="str">
        <x:v>Favor is relational and situational rather than a permanent character statistic.</x:v>
      </x:c>
      <x:c r="N352" s="120" t="str">
        <x:v>Connects divine power to patronage, legitimacy, and narrative mission.</x:v>
      </x:c>
      <x:c r="O352" s="120" t="str">
        <x:v>Primary canon</x:v>
      </x:c>
      <x:c r="P352" s="120" t="str">
        <x:v>Official reference reviewed</x:v>
      </x:c>
      <x:c r="Q352" s="120" t="str">
        <x:v>Epic-wide; divine aid and patronage episodes.</x:v>
      </x:c>
      <x:c r="R352" s="120" t="str">
        <x:v>https://bori.ac.in/department/mahabharata/</x:v>
      </x:c>
      <x:c r="S352" s="120" t="str">
        <x:v>Seeded</x:v>
      </x:c>
    </x:row>
    <x:row r="353" ht="52" customHeight="1">
      <x:c r="A353" s="119" t="str">
        <x:v>ENT-0352</x:v>
      </x:c>
      <x:c r="B353" s="120" t="str">
        <x:v>Prophecy, omen, and foreknown outcome</x:v>
      </x:c>
      <x:c r="C353" s="120" t="str">
        <x:v>SRC-277</x:v>
      </x:c>
      <x:c r="D353" s="120" t="str">
        <x:v>Mahābhārata — BORI Critical Edition</x:v>
      </x:c>
      <x:c r="E353" s="120" t="str">
        <x:v>Critical-edition-oriented source pass; Ganguli English translation reviewed at parva level</x:v>
      </x:c>
      <x:c r="F353" s="120" t="str">
        <x:v>Divination / narrative law</x:v>
      </x:c>
      <x:c r="G353" s="120" t="str">
        <x:v>PWR-407</x:v>
      </x:c>
      <x:c r="H353" s="120" t="str">
        <x:f>IFERROR(VLOOKUP(G353,'Master Taxonomy'!$A$2:$B$1656,2,FALSE),"")</x:f>
        <x:v>Prophecy</x:v>
      </x:c>
      <x:c r="I353" s="120" t="str">
        <x:v>LAW-501;LAW-502;LAW-520</x:v>
      </x:c>
      <x:c r="J353" s="120" t="str">
        <x:v>Fate or Destiny; Prophecy Fulfillment Rule; Prophecy Loophole</x:v>
      </x:c>
      <x:c r="K353" s="120" t="str">
        <x:v>Foreknowledge or pronouncement concerning births, deaths, wars, destinies, conditions, and the consequences of action.</x:v>
      </x:c>
      <x:c r="L353" s="120" t="str">
        <x:v>Divine insight, sage knowledge, dreams, omens, speech, and fate.</x:v>
      </x:c>
      <x:c r="M353" s="120" t="str">
        <x:v>Prophecy may constrain without eliminating agency and often turns on interpretation rather than simple prediction accuracy.</x:v>
      </x:c>
      <x:c r="N353" s="120" t="str">
        <x:v>Supports a layered model of fate, warning, and action within known limits.</x:v>
      </x:c>
      <x:c r="O353" s="120" t="str">
        <x:v>Primary canon</x:v>
      </x:c>
      <x:c r="P353" s="120" t="str">
        <x:v>Primary text reviewed</x:v>
      </x:c>
      <x:c r="Q353" s="120" t="str">
        <x:v>Ādi, Udyoga, and battle parvas; omens and predictions.</x:v>
      </x:c>
      <x:c r="R353" s="120" t="str">
        <x:v>https://www.gutenberg.org/ebooks/15475</x:v>
      </x:c>
      <x:c r="S353" s="120" t="str">
        <x:v>Seeded</x:v>
      </x:c>
    </x:row>
    <x:row r="354" ht="52" customHeight="1">
      <x:c r="A354" s="119" t="str">
        <x:v>ENT-0353</x:v>
      </x:c>
      <x:c r="B354" s="120" t="str">
        <x:v>Vrata (vow or observance)</x:v>
      </x:c>
      <x:c r="C354" s="120" t="str">
        <x:v>SRC-277</x:v>
      </x:c>
      <x:c r="D354" s="120" t="str">
        <x:v>Mahābhārata — BORI Critical Edition</x:v>
      </x:c>
      <x:c r="E354" s="120" t="str">
        <x:v>Critical-edition-oriented source pass; Ganguli English translation reviewed at parva level</x:v>
      </x:c>
      <x:c r="F354" s="120" t="str">
        <x:v>Sacred observance / binding practice</x:v>
      </x:c>
      <x:c r="G354" s="120" t="str">
        <x:v>LAW-102</x:v>
      </x:c>
      <x:c r="H354" s="120" t="str">
        <x:f>IFERROR(VLOOKUP(G354,'Master Taxonomy'!$A$2:$B$1656,2,FALSE),"")</x:f>
        <x:v>Renunciation Vow</x:v>
      </x:c>
      <x:c r="I354" s="120" t="str">
        <x:v>LAW-101;STA-309</x:v>
      </x:c>
      <x:c r="J354" s="120" t="str">
        <x:v>Sacred Oath; Oathbound State</x:v>
      </x:c>
      <x:c r="K354" s="120" t="str">
        <x:v>A vowed observance involving conduct, restraint, timing, ritual, fasting, service, or identity that creates sacred and social force.</x:v>
      </x:c>
      <x:c r="L354" s="120" t="str">
        <x:v>Commitment, discipline, witness, ritual rule, time, and personal purpose.</x:v>
      </x:c>
      <x:c r="M354" s="120" t="str">
        <x:v>Vrata is broader than a knightly oath and cannot be reduced to a self-imposed game restriction.</x:v>
      </x:c>
      <x:c r="N354" s="120" t="str">
        <x:v>Links vow, practice, state, and power without flattening them into a class feature.</x:v>
      </x:c>
      <x:c r="O354" s="120" t="str">
        <x:v>Primary canon</x:v>
      </x:c>
      <x:c r="P354" s="120" t="str">
        <x:v>Primary text reviewed</x:v>
      </x:c>
      <x:c r="Q354" s="120" t="str">
        <x:v>Epic-wide vow and observance narratives.</x:v>
      </x:c>
      <x:c r="R354" s="120" t="str">
        <x:v>https://www.gutenberg.org/ebooks/15477</x:v>
      </x:c>
      <x:c r="S354" s="120" t="str">
        <x:v>Seeded</x:v>
      </x:c>
    </x:row>
    <x:row r="355" ht="52" customHeight="1">
      <x:c r="A355" s="119" t="str">
        <x:v>ENT-0354</x:v>
      </x:c>
      <x:c r="B355" s="120" t="str">
        <x:v>Oathbound state</x:v>
      </x:c>
      <x:c r="C355" s="120" t="str">
        <x:v>SRC-277</x:v>
      </x:c>
      <x:c r="D355" s="120" t="str">
        <x:v>Mahābhārata — BORI Critical Edition</x:v>
      </x:c>
      <x:c r="E355" s="120" t="str">
        <x:v>Critical-edition-oriented source pass; Ganguli English translation reviewed at parva level</x:v>
      </x:c>
      <x:c r="F355" s="120" t="str">
        <x:v>Acquired social-metaphysical condition</x:v>
      </x:c>
      <x:c r="G355" s="120" t="str">
        <x:v>STA-309</x:v>
      </x:c>
      <x:c r="H355" s="120" t="str">
        <x:f>IFERROR(VLOOKUP(G355,'Master Taxonomy'!$A$2:$B$1656,2,FALSE),"")</x:f>
        <x:v>Oathbound State</x:v>
      </x:c>
      <x:c r="I355" s="120" t="str">
        <x:v>LAW-101;LAW-108;NAR-444</x:v>
      </x:c>
      <x:c r="J355" s="120" t="str">
        <x:v>Sacred Oath; Oath-Breaking Curse; Vow-Bound Elder</x:v>
      </x:c>
      <x:c r="K355" s="120" t="str">
        <x:v>A person becomes durably defined and constrained by a vow whose fulfillment or violation shapes status, relationships, and fate.</x:v>
      </x:c>
      <x:c r="L355" s="120" t="str">
        <x:v>Spoken commitment, public recognition, sacred consequence, and identity.</x:v>
      </x:c>
      <x:c r="M355" s="120" t="str">
        <x:v>The state is not just loyalty or a role-play preference; it reorganizes future choices.</x:v>
      </x:c>
      <x:c r="N355" s="120" t="str">
        <x:v>A source-grounded template for characters whose power and tragedy come from the same vow.</x:v>
      </x:c>
      <x:c r="O355" s="120" t="str">
        <x:v>Primary canon</x:v>
      </x:c>
      <x:c r="P355" s="120" t="str">
        <x:v>Primary text reviewed</x:v>
      </x:c>
      <x:c r="Q355" s="120" t="str">
        <x:v>Ādi and Udyoga Parvas; major vow narratives.</x:v>
      </x:c>
      <x:c r="R355" s="120" t="str">
        <x:v>https://www.gutenberg.org/ebooks/15475</x:v>
      </x:c>
      <x:c r="S355" s="120" t="str">
        <x:v>Seeded</x:v>
      </x:c>
    </x:row>
    <x:row r="356" ht="52" customHeight="1">
      <x:c r="A356" s="119" t="str">
        <x:v>ENT-0355</x:v>
      </x:c>
      <x:c r="B356" s="120" t="str">
        <x:v>Forest exile (vana-vāsa)</x:v>
      </x:c>
      <x:c r="C356" s="120" t="str">
        <x:v>SRC-277</x:v>
      </x:c>
      <x:c r="D356" s="120" t="str">
        <x:v>Mahābhārata — BORI Critical Edition</x:v>
      </x:c>
      <x:c r="E356" s="120" t="str">
        <x:v>Critical-edition-oriented source pass; Ganguli English translation reviewed at parva level</x:v>
      </x:c>
      <x:c r="F356" s="120" t="str">
        <x:v>Social-ritual state / imposed journey</x:v>
      </x:c>
      <x:c r="G356" s="120" t="str">
        <x:v>LAW-813</x:v>
      </x:c>
      <x:c r="H356" s="120" t="str">
        <x:f>IFERROR(VLOOKUP(G356,'Master Taxonomy'!$A$2:$B$1656,2,FALSE),"")</x:f>
        <x:v>Exile as Ritual or Social State</x:v>
      </x:c>
      <x:c r="I356" s="120" t="str">
        <x:v>NAR-107;COS-503</x:v>
      </x:c>
      <x:c r="J356" s="120" t="str">
        <x:v>Exiled Heir; Sacred Forest or Grove</x:v>
      </x:c>
      <x:c r="K356" s="120" t="str">
        <x:v>A period of removal from court, kingship, property, and ordinary status into forest life, pilgrimage, hardship, teaching, and encounter.</x:v>
      </x:c>
      <x:c r="L356" s="120" t="str">
        <x:v>Political dispossession, vowed duration, social law, landscape, and endurance.</x:v>
      </x:c>
      <x:c r="M356" s="120" t="str">
        <x:v>It is not generic wilderness travel; exile changes rights, identity, and succession.</x:v>
      </x:c>
      <x:c r="N356" s="120" t="str">
        <x:v>A major reusable state linking politics, sacred geography, and character transformation.</x:v>
      </x:c>
      <x:c r="O356" s="120" t="str">
        <x:v>Primary canon</x:v>
      </x:c>
      <x:c r="P356" s="120" t="str">
        <x:v>Primary text reviewed</x:v>
      </x:c>
      <x:c r="Q356" s="120" t="str">
        <x:v>Vana Parva; exile narratives.</x:v>
      </x:c>
      <x:c r="R356" s="120" t="str">
        <x:v>https://www.gutenberg.org/ebooks/15474</x:v>
      </x:c>
      <x:c r="S356" s="120" t="str">
        <x:v>Seeded</x:v>
      </x:c>
    </x:row>
    <x:row r="357" ht="52" customHeight="1">
      <x:c r="A357" s="119" t="str">
        <x:v>ENT-0356</x:v>
      </x:c>
      <x:c r="B357" s="120" t="str">
        <x:v>Incognito year (ajñātavāsa)</x:v>
      </x:c>
      <x:c r="C357" s="120" t="str">
        <x:v>SRC-277</x:v>
      </x:c>
      <x:c r="D357" s="120" t="str">
        <x:v>Mahābhārata — BORI Critical Edition</x:v>
      </x:c>
      <x:c r="E357" s="120" t="str">
        <x:v>Critical-edition-oriented source pass; Ganguli English translation reviewed at parva level</x:v>
      </x:c>
      <x:c r="F357" s="120" t="str">
        <x:v>Concealed-identity exile state</x:v>
      </x:c>
      <x:c r="G357" s="120" t="str">
        <x:v>NAR-448</x:v>
      </x:c>
      <x:c r="H357" s="120" t="str">
        <x:f>IFERROR(VLOOKUP(G357,'Master Taxonomy'!$A$2:$B$1656,2,FALSE),"")</x:f>
        <x:v>Incognito Exile</x:v>
      </x:c>
      <x:c r="I357" s="120" t="str">
        <x:v>LAW-112;LAW-813;STA-300</x:v>
      </x:c>
      <x:c r="J357" s="120" t="str">
        <x:v>Time-Limited Vow; Exile as Ritual or Social State; Spiritual and Identity States</x:v>
      </x:c>
      <x:c r="K357" s="120" t="str">
        <x:v>A required period of concealed identity and service under threat that discovery will renew or invalidate the exile.</x:v>
      </x:c>
      <x:c r="L357" s="120" t="str">
        <x:v>Disguise, skill reassignment, restraint, timing, and social performance.</x:v>
      </x:c>
      <x:c r="M357" s="120" t="str">
        <x:v>The condition is legally and narratively structured, not a casual disguise episode.</x:v>
      </x:c>
      <x:c r="N357" s="120" t="str">
        <x:v>A distinctive exile subtype combining countdown, hidden identity, and altered vocation.</x:v>
      </x:c>
      <x:c r="O357" s="120" t="str">
        <x:v>Primary canon</x:v>
      </x:c>
      <x:c r="P357" s="120" t="str">
        <x:v>Primary text reviewed</x:v>
      </x:c>
      <x:c r="Q357" s="120" t="str">
        <x:v>Virāṭa Parva.</x:v>
      </x:c>
      <x:c r="R357" s="120" t="str">
        <x:v>https://www.gutenberg.org/ebooks/15475</x:v>
      </x:c>
      <x:c r="S357" s="120" t="str">
        <x:v>Seeded</x:v>
      </x:c>
    </x:row>
    <x:row r="358" ht="52" customHeight="1">
      <x:c r="A358" s="119" t="str">
        <x:v>ENT-0357</x:v>
      </x:c>
      <x:c r="B358" s="120" t="str">
        <x:v>Curse-driven transformation</x:v>
      </x:c>
      <x:c r="C358" s="120" t="str">
        <x:v>SRC-277</x:v>
      </x:c>
      <x:c r="D358" s="120" t="str">
        <x:v>Mahābhārata — BORI Critical Edition</x:v>
      </x:c>
      <x:c r="E358" s="120" t="str">
        <x:v>Critical-edition-oriented source pass; Ganguli English translation reviewed at parva level</x:v>
      </x:c>
      <x:c r="F358" s="120" t="str">
        <x:v>Acquired transformed state</x:v>
      </x:c>
      <x:c r="G358" s="120" t="str">
        <x:v>LAW-206</x:v>
      </x:c>
      <x:c r="H358" s="120" t="str">
        <x:f>IFERROR(VLOOKUP(G358,'Master Taxonomy'!$A$2:$B$1656,2,FALSE),"")</x:f>
        <x:v>Transformative Curse</x:v>
      </x:c>
      <x:c r="I358" s="120" t="str">
        <x:v>STA-311;PWR-309</x:v>
      </x:c>
      <x:c r="J358" s="120" t="str">
        <x:v>Cursed State; Transformation Magic</x:v>
      </x:c>
      <x:c r="K358" s="120" t="str">
        <x:v>A bodily, social, or existential change imposed by a curse and governed by stated conditions, duration, mitigation, or release.</x:v>
      </x:c>
      <x:c r="L358" s="120" t="str">
        <x:v>Speech-act curse, divine or sage authority, fate, and condition.</x:v>
      </x:c>
      <x:c r="M358" s="120" t="str">
        <x:v>Transformation is not always moral degradation and may produce complex identity rather than monster status.</x:v>
      </x:c>
      <x:c r="N358" s="120" t="str">
        <x:v>Maps curse and transformed embodiment without treating either as species.</x:v>
      </x:c>
      <x:c r="O358" s="120" t="str">
        <x:v>Primary canon</x:v>
      </x:c>
      <x:c r="P358" s="120" t="str">
        <x:v>Primary text reviewed</x:v>
      </x:c>
      <x:c r="Q358" s="120" t="str">
        <x:v>Ādi and Vana Parvas; multiple transformation narratives.</x:v>
      </x:c>
      <x:c r="R358" s="120" t="str">
        <x:v>https://www.gutenberg.org/ebooks/15474</x:v>
      </x:c>
      <x:c r="S358" s="120" t="str">
        <x:v>Seeded</x:v>
      </x:c>
    </x:row>
    <x:row r="359" ht="52" customHeight="1">
      <x:c r="A359" s="119" t="str">
        <x:v>ENT-0358</x:v>
      </x:c>
      <x:c r="B359" s="120" t="str">
        <x:v>Sex or gendered embodiment change</x:v>
      </x:c>
      <x:c r="C359" s="120" t="str">
        <x:v>SRC-277</x:v>
      </x:c>
      <x:c r="D359" s="120" t="str">
        <x:v>Mahābhārata — BORI Critical Edition</x:v>
      </x:c>
      <x:c r="E359" s="120" t="str">
        <x:v>Critical-edition-oriented source pass; Ganguli English translation reviewed at parva level</x:v>
      </x:c>
      <x:c r="F359" s="120" t="str">
        <x:v>Embodiment transformation</x:v>
      </x:c>
      <x:c r="G359" s="120" t="str">
        <x:v>STA-217</x:v>
      </x:c>
      <x:c r="H359" s="120" t="str">
        <x:f>IFERROR(VLOOKUP(G359,'Master Taxonomy'!$A$2:$B$1656,2,FALSE),"")</x:f>
        <x:v>Sex or Gendered Embodiment Change</x:v>
      </x:c>
      <x:c r="I359" s="120" t="str">
        <x:v>LAW-206;NAR-448</x:v>
      </x:c>
      <x:c r="J359" s="120" t="str">
        <x:v>Transformative Curse; Incognito Exile</x:v>
      </x:c>
      <x:c r="K359" s="120" t="str">
        <x:v>Source-specific episodes in which bodily sex, gendered social role, presentation, memory, or identity changes through birth history, curse, boon, disguise, or transformation.</x:v>
      </x:c>
      <x:c r="L359" s="120" t="str">
        <x:v>Source-specific divine, social, bodily, and narrative mechanisms.</x:v>
      </x:c>
      <x:c r="M359" s="120" t="str">
        <x:v>Distinct episodes should not be merged, pathologized, or treated as one modern identity category; translation and context require care.</x:v>
      </x:c>
      <x:c r="N359" s="120" t="str">
        <x:v>A necessary transformation family that resists both erasure and simplistic fantasy-gender mechanics.</x:v>
      </x:c>
      <x:c r="O359" s="120" t="str">
        <x:v>Primary canon</x:v>
      </x:c>
      <x:c r="P359" s="120" t="str">
        <x:v>Primary text reviewed</x:v>
      </x:c>
      <x:c r="Q359" s="120" t="str">
        <x:v>Virāṭa and battle-related narratives including Śikhaṇḍin and Bṛhannalā contexts; specialist review still required.</x:v>
      </x:c>
      <x:c r="R359" s="120" t="str">
        <x:v>https://www.gutenberg.org/ebooks/15475</x:v>
      </x:c>
      <x:c r="S359" s="120" t="str">
        <x:v>Seeded</x:v>
      </x:c>
    </x:row>
    <x:row r="360" ht="52" customHeight="1">
      <x:c r="A360" s="119" t="str">
        <x:v>ENT-0359</x:v>
      </x:c>
      <x:c r="B360" s="120" t="str">
        <x:v>Divine manifestation and theophany</x:v>
      </x:c>
      <x:c r="C360" s="120" t="str">
        <x:v>SRC-278</x:v>
      </x:c>
      <x:c r="D360" s="120" t="str">
        <x:v>Bhagavad Gītā (Mahābhārata, Bhīṣma Parva)</x:v>
      </x:c>
      <x:c r="E360" s="120" t="str">
        <x:v>Embedded textual unit; Sanskrit and translated text reviewed through Gītā Supersite</x:v>
      </x:c>
      <x:c r="F360" s="120" t="str">
        <x:v>Revelatory divine manifestation</x:v>
      </x:c>
      <x:c r="G360" s="120" t="str">
        <x:v>PPL-403</x:v>
      </x:c>
      <x:c r="H360" s="120" t="str">
        <x:f>IFERROR(VLOOKUP(G360,'Master Taxonomy'!$A$2:$B$1656,2,FALSE),"")</x:f>
        <x:v>Avatars and Incarnations</x:v>
      </x:c>
      <x:c r="I360" s="120" t="str">
        <x:v>COS-710;NAR-449</x:v>
      </x:c>
      <x:c r="J360" s="120" t="str">
        <x:v>Return of the Gods; Battlefield Revelation</x:v>
      </x:c>
      <x:c r="K360" s="120" t="str">
        <x:v>A deity or divine being reveals a form, identity, scope, or presence that exceeds ordinary embodied perception.</x:v>
      </x:c>
      <x:c r="L360" s="120" t="str">
        <x:v>Divine agency, grace, altered perception, revelation, and eligibility to witness.</x:v>
      </x:c>
      <x:c r="M360" s="120" t="str">
        <x:v>A theophany is not simply a transformation sequence or boss phase.</x:v>
      </x:c>
      <x:c r="N360" s="120" t="str">
        <x:v>Adds revelatory manifestation as a distinct event linking ontology, perception, and ethical instruction.</x:v>
      </x:c>
      <x:c r="O360" s="120" t="str">
        <x:v>Primary canon</x:v>
      </x:c>
      <x:c r="P360" s="120" t="str">
        <x:v>Primary text reviewed</x:v>
      </x:c>
      <x:c r="Q360" s="120" t="str">
        <x:v>Bhagavad Gītā, Viśvarūpa-darśana context.</x:v>
      </x:c>
      <x:c r="R360" s="120" t="str">
        <x:v>https://www.gitasupersite.iitk.ac.in/</x:v>
      </x:c>
      <x:c r="S360" s="120" t="str">
        <x:v>Seeded</x:v>
      </x:c>
    </x:row>
    <x:row r="361" ht="52" customHeight="1">
      <x:c r="A361" s="119" t="str">
        <x:v>ENT-0360</x:v>
      </x:c>
      <x:c r="B361" s="120" t="str">
        <x:v>Astra (divine or invoked weapon)</x:v>
      </x:c>
      <x:c r="C361" s="120" t="str">
        <x:v>SRC-277</x:v>
      </x:c>
      <x:c r="D361" s="120" t="str">
        <x:v>Mahābhārata — BORI Critical Edition</x:v>
      </x:c>
      <x:c r="E361" s="120" t="str">
        <x:v>Critical-edition-oriented source pass; Ganguli English translation reviewed at parva level</x:v>
      </x:c>
      <x:c r="F361" s="120" t="str">
        <x:v>Weapon class / invoked artifact</x:v>
      </x:c>
      <x:c r="G361" s="120" t="str">
        <x:v>ART-201</x:v>
      </x:c>
      <x:c r="H361" s="120" t="str">
        <x:f>IFERROR(VLOOKUP(G361,'Master Taxonomy'!$A$2:$B$1656,2,FALSE),"")</x:f>
        <x:v>Divine Weapon</x:v>
      </x:c>
      <x:c r="I361" s="120" t="str">
        <x:v>ART-219;LAW-604;LAW-202</x:v>
      </x:c>
      <x:c r="J361" s="120" t="str">
        <x:v>Summoned or Invoked Weapon; Mantra or Invocatory Formula; Conditional Boon</x:v>
      </x:c>
      <x:c r="K361" s="120" t="str">
        <x:v>An exceptional weapon or weapon-power associated with divine authority, instruction, invocation, targeting rules, and often the need for restraint or withdrawal.</x:v>
      </x:c>
      <x:c r="L361" s="120" t="str">
        <x:v>Divine grant, teacher transmission, mantra, discipline, eligibility, and tactical context.</x:v>
      </x:c>
      <x:c r="M361" s="120" t="str">
        <x:v>Astra is not simply a magic item, missile, or spell; sources distinguish possession, knowledge, invocation, countering, and withdrawal.</x:v>
      </x:c>
      <x:c r="N361" s="120" t="str">
        <x:v>A core hybrid archetype uniting artifact, ritual speech, martial role, and conditional law.</x:v>
      </x:c>
      <x:c r="O361" s="120" t="str">
        <x:v>Primary canon</x:v>
      </x:c>
      <x:c r="P361" s="120" t="str">
        <x:v>Primary text reviewed</x:v>
      </x:c>
      <x:c r="Q361" s="120" t="str">
        <x:v>Ādi, Vana, Udyoga, and battle parvas; weapon narratives.</x:v>
      </x:c>
      <x:c r="R361" s="120" t="str">
        <x:v>https://www.gutenberg.org/ebooks/15475</x:v>
      </x:c>
      <x:c r="S361" s="120" t="str">
        <x:v>Seeded</x:v>
      </x:c>
    </x:row>
    <x:row r="362" ht="52" customHeight="1">
      <x:c r="A362" s="119" t="str">
        <x:v>ENT-0361</x:v>
      </x:c>
      <x:c r="B362" s="120" t="str">
        <x:v>Gāṇḍīva</x:v>
      </x:c>
      <x:c r="C362" s="120" t="str">
        <x:v>SRC-277</x:v>
      </x:c>
      <x:c r="D362" s="120" t="str">
        <x:v>Mahābhārata — BORI Critical Edition</x:v>
      </x:c>
      <x:c r="E362" s="120" t="str">
        <x:v>Critical-edition-oriented source pass; Ganguli English translation reviewed at parva level</x:v>
      </x:c>
      <x:c r="F362" s="120" t="str">
        <x:v>Named heroic weapon / bow</x:v>
      </x:c>
      <x:c r="G362" s="120" t="str">
        <x:v>ART-208</x:v>
      </x:c>
      <x:c r="H362" s="120" t="str">
        <x:f>IFERROR(VLOOKUP(G362,'Master Taxonomy'!$A$2:$B$1656,2,FALSE),"")</x:f>
        <x:v>Named Heroic Weapon</x:v>
      </x:c>
      <x:c r="I362" s="120" t="str">
        <x:v>ART-207;ART-102</x:v>
      </x:c>
      <x:c r="J362" s="120" t="str">
        <x:v>Bloodline Weapon; Divine Gift Artifact</x:v>
      </x:c>
      <x:c r="K362" s="120" t="str">
        <x:v>Arjuna's exceptional named bow, embedded in divine provenance, heroic identity, warfare, and the history of its acquisition and use.</x:v>
      </x:c>
      <x:c r="L362" s="120" t="str">
        <x:v>Provenance, divine association, bearer capability, martial practice, and narrative continuity.</x:v>
      </x:c>
      <x:c r="M362" s="120" t="str">
        <x:v>It is not merely a high-stat bow; its identity derives from name, history, bearer, and epic action.</x:v>
      </x:c>
      <x:c r="N362" s="120" t="str">
        <x:v>A strong named-weapon case where object biography and hero biography become mutually reinforcing.</x:v>
      </x:c>
      <x:c r="O362" s="120" t="str">
        <x:v>Primary canon</x:v>
      </x:c>
      <x:c r="P362" s="120" t="str">
        <x:v>Primary text reviewed</x:v>
      </x:c>
      <x:c r="Q362" s="120" t="str">
        <x:v>Ādi, Vana, and battle parvas.</x:v>
      </x:c>
      <x:c r="R362" s="120" t="str">
        <x:v>https://www.gutenberg.org/ebooks/15474</x:v>
      </x:c>
      <x:c r="S362" s="120" t="str">
        <x:v>Seeded</x:v>
      </x:c>
    </x:row>
    <x:row r="363" ht="52" customHeight="1">
      <x:c r="A363" s="119" t="str">
        <x:v>ENT-0362</x:v>
      </x:c>
      <x:c r="B363" s="120" t="str">
        <x:v>Brahmāstra</x:v>
      </x:c>
      <x:c r="C363" s="120" t="str">
        <x:v>SRC-277</x:v>
      </x:c>
      <x:c r="D363" s="120" t="str">
        <x:v>Mahābhārata — BORI Critical Edition</x:v>
      </x:c>
      <x:c r="E363" s="120" t="str">
        <x:v>Critical-edition-oriented source pass; Ganguli English translation reviewed at parva level</x:v>
      </x:c>
      <x:c r="F363" s="120" t="str">
        <x:v>Divine/catastrophic weapon</x:v>
      </x:c>
      <x:c r="G363" s="120" t="str">
        <x:v>ART-201</x:v>
      </x:c>
      <x:c r="H363" s="120" t="str">
        <x:f>IFERROR(VLOOKUP(G363,'Master Taxonomy'!$A$2:$B$1656,2,FALSE),"")</x:f>
        <x:v>Divine Weapon</x:v>
      </x:c>
      <x:c r="I363" s="120" t="str">
        <x:v>ART-213;LAW-202;LAW-513</x:v>
      </x:c>
      <x:c r="J363" s="120" t="str">
        <x:v>World-Ending Weapon; Conditional Boon; Price of Power</x:v>
      </x:c>
      <x:c r="K363" s="120" t="str">
        <x:v>A supremely dangerous invoked weapon associated with Brahmā and governed by knowledge, authorization, countering, and grave consequences.</x:v>
      </x:c>
      <x:c r="L363" s="120" t="str">
        <x:v>Divine or teacher-granted knowledge, mantra, discipline, and exceptional use conditions.</x:v>
      </x:c>
      <x:c r="M363" s="120" t="str">
        <x:v>It should not be treated as a standard ultimate spell or interchangeable nuclear metaphor; textual uses and variants require exact citation.</x:v>
      </x:c>
      <x:c r="N363" s="120" t="str">
        <x:v>Illustrates catastrophic weaponry whose control rules matter as much as destructive scale.</x:v>
      </x:c>
      <x:c r="O363" s="120" t="str">
        <x:v>Primary canon</x:v>
      </x:c>
      <x:c r="P363" s="120" t="str">
        <x:v>Primary text reviewed</x:v>
      </x:c>
      <x:c r="Q363" s="120" t="str">
        <x:v>Battle parvas and weapon instruction episodes; parva-level review.</x:v>
      </x:c>
      <x:c r="R363" s="120" t="str">
        <x:v>https://www.gutenberg.org/ebooks/15476</x:v>
      </x:c>
      <x:c r="S363" s="120" t="str">
        <x:v>Seeded</x:v>
      </x:c>
    </x:row>
    <x:row r="364" ht="52" customHeight="1">
      <x:c r="A364" s="119" t="str">
        <x:v>ENT-0363</x:v>
      </x:c>
      <x:c r="B364" s="120" t="str">
        <x:v>Pāśupatāstra</x:v>
      </x:c>
      <x:c r="C364" s="120" t="str">
        <x:v>SRC-277</x:v>
      </x:c>
      <x:c r="D364" s="120" t="str">
        <x:v>Mahābhārata — BORI Critical Edition</x:v>
      </x:c>
      <x:c r="E364" s="120" t="str">
        <x:v>Critical-edition-oriented source pass; Ganguli English translation reviewed at parva level</x:v>
      </x:c>
      <x:c r="F364" s="120" t="str">
        <x:v>Divine gift weapon</x:v>
      </x:c>
      <x:c r="G364" s="120" t="str">
        <x:v>ART-201</x:v>
      </x:c>
      <x:c r="H364" s="120" t="str">
        <x:f>IFERROR(VLOOKUP(G364,'Master Taxonomy'!$A$2:$B$1656,2,FALSE),"")</x:f>
        <x:v>Divine Weapon</x:v>
      </x:c>
      <x:c r="I364" s="120" t="str">
        <x:v>ART-102;ART-213;LAW-214</x:v>
      </x:c>
      <x:c r="J364" s="120" t="str">
        <x:v>Divine Gift Artifact; World-Ending Weapon; Trial for a Gift</x:v>
      </x:c>
      <x:c r="K364" s="120" t="str">
        <x:v>A weapon associated with Śiva and obtained through encounter, testing, austerity, recognition, and grant.</x:v>
      </x:c>
      <x:c r="L364" s="120" t="str">
        <x:v>Ascetic practice, divine trial, eligibility, instruction, and controlled invocation.</x:v>
      </x:c>
      <x:c r="M364" s="120" t="str">
        <x:v>The acquisition story is inseparable from the weapon; it is not ordinary loot or a spell learned at level-up.</x:v>
      </x:c>
      <x:c r="N364" s="120" t="str">
        <x:v>A model of artifact power authorized through ordeal and divine relationship.</x:v>
      </x:c>
      <x:c r="O364" s="120" t="str">
        <x:v>Primary canon</x:v>
      </x:c>
      <x:c r="P364" s="120" t="str">
        <x:v>Primary text reviewed</x:v>
      </x:c>
      <x:c r="Q364" s="120" t="str">
        <x:v>Vana Parva, Arjuna's quest for divine weapons.</x:v>
      </x:c>
      <x:c r="R364" s="120" t="str">
        <x:v>https://www.gutenberg.org/ebooks/15474</x:v>
      </x:c>
      <x:c r="S364" s="120" t="str">
        <x:v>Seeded</x:v>
      </x:c>
    </x:row>
    <x:row r="365" ht="52" customHeight="1">
      <x:c r="A365" s="119" t="str">
        <x:v>ENT-0364</x:v>
      </x:c>
      <x:c r="B365" s="120" t="str">
        <x:v>Nārāyaṇāstra</x:v>
      </x:c>
      <x:c r="C365" s="120" t="str">
        <x:v>SRC-277</x:v>
      </x:c>
      <x:c r="D365" s="120" t="str">
        <x:v>Mahābhārata — BORI Critical Edition</x:v>
      </x:c>
      <x:c r="E365" s="120" t="str">
        <x:v>Critical-edition-oriented source pass; Ganguli English translation reviewed at parva level</x:v>
      </x:c>
      <x:c r="F365" s="120" t="str">
        <x:v>Divine/counter-conditioned weapon</x:v>
      </x:c>
      <x:c r="G365" s="120" t="str">
        <x:v>ART-201</x:v>
      </x:c>
      <x:c r="H365" s="120" t="str">
        <x:f>IFERROR(VLOOKUP(G365,'Master Taxonomy'!$A$2:$B$1656,2,FALSE),"")</x:f>
        <x:v>Divine Weapon</x:v>
      </x:c>
      <x:c r="I365" s="120" t="str">
        <x:v>ART-213;LAW-517;LAW-202</x:v>
      </x:c>
      <x:c r="J365" s="120" t="str">
        <x:v>World-Ending Weapon; Elemental Opposition or Counter Law; Conditional Boon</x:v>
      </x:c>
      <x:c r="K365" s="120" t="str">
        <x:v>A formidable weapon associated with Nārāyaṇa whose encounter is shaped by specific behavioral and tactical conditions.</x:v>
      </x:c>
      <x:c r="L365" s="120" t="str">
        <x:v>Divine provenance, invocation, battlefield condition, and knowledge of response.</x:v>
      </x:c>
      <x:c r="M365" s="120" t="str">
        <x:v>Its logic cannot be reduced to raw damage; counter-knowledge and conduct are central.</x:v>
      </x:c>
      <x:c r="N365" s="120" t="str">
        <x:v>Shows how mythic weapons can encode tactical law rather than only greater scale.</x:v>
      </x:c>
      <x:c r="O365" s="120" t="str">
        <x:v>Primary canon</x:v>
      </x:c>
      <x:c r="P365" s="120" t="str">
        <x:v>Primary text reviewed</x:v>
      </x:c>
      <x:c r="Q365" s="120" t="str">
        <x:v>Droṇa Parva; battle narrative.</x:v>
      </x:c>
      <x:c r="R365" s="120" t="str">
        <x:v>https://www.gutenberg.org/ebooks/15475</x:v>
      </x:c>
      <x:c r="S365" s="120" t="str">
        <x:v>Seeded</x:v>
      </x:c>
    </x:row>
    <x:row r="366" ht="52" customHeight="1">
      <x:c r="A366" s="119" t="str">
        <x:v>ENT-0365</x:v>
      </x:c>
      <x:c r="B366" s="120" t="str">
        <x:v>Kavaca and kuṇḍala (armor and earrings)</x:v>
      </x:c>
      <x:c r="C366" s="120" t="str">
        <x:v>SRC-277</x:v>
      </x:c>
      <x:c r="D366" s="120" t="str">
        <x:v>Mahābhārata — BORI Critical Edition</x:v>
      </x:c>
      <x:c r="E366" s="120" t="str">
        <x:v>Critical-edition-oriented source pass; Ganguli English translation reviewed at parva level</x:v>
      </x:c>
      <x:c r="F366" s="120" t="str">
        <x:v>Innate/divine protective regalia</x:v>
      </x:c>
      <x:c r="G366" s="120" t="str">
        <x:v>ART-302</x:v>
      </x:c>
      <x:c r="H366" s="120" t="str">
        <x:f>IFERROR(VLOOKUP(G366,'Master Taxonomy'!$A$2:$B$1656,2,FALSE),"")</x:f>
        <x:v>Invulnerable Armor</x:v>
      </x:c>
      <x:c r="I366" s="120" t="str">
        <x:v>ART-102;ART-309;LAW-212</x:v>
      </x:c>
      <x:c r="J366" s="120" t="str">
        <x:v>Divine Gift Artifact; Ring, Amulet, or Talisman; Otherworld Gift Exchange</x:v>
      </x:c>
      <x:c r="K366" s="120" t="str">
        <x:v>Karna's protective armor and earrings, bound to birth, identity, invulnerability, gift exchange, and sacrificial loss.</x:v>
      </x:c>
      <x:c r="L366" s="120" t="str">
        <x:v>Divine birth, embodied protection, lineage, generosity, and exchange.</x:v>
      </x:c>
      <x:c r="M366" s="120" t="str">
        <x:v>They are not a generic armor set; their removal is a relational and ethical event with irreversible consequences.</x:v>
      </x:c>
      <x:c r="N366" s="120" t="str">
        <x:v>A major case joining innate armor, divine gift, identity, generosity, and vulnerability.</x:v>
      </x:c>
      <x:c r="O366" s="120" t="str">
        <x:v>Primary canon</x:v>
      </x:c>
      <x:c r="P366" s="120" t="str">
        <x:v>Primary text reviewed</x:v>
      </x:c>
      <x:c r="Q366" s="120" t="str">
        <x:v>Ādi and Udyoga/Karṇa-related narratives.</x:v>
      </x:c>
      <x:c r="R366" s="120" t="str">
        <x:v>https://www.gutenberg.org/ebooks/15475</x:v>
      </x:c>
      <x:c r="S366" s="120" t="str">
        <x:v>Seeded</x:v>
      </x:c>
    </x:row>
    <x:row r="367" ht="52" customHeight="1">
      <x:c r="A367" s="119" t="str">
        <x:v>ENT-0366</x:v>
      </x:c>
      <x:c r="B367" s="120" t="str">
        <x:v>Ratha (heroic war chariot)</x:v>
      </x:c>
      <x:c r="C367" s="120" t="str">
        <x:v>SRC-277</x:v>
      </x:c>
      <x:c r="D367" s="120" t="str">
        <x:v>Mahābhārata — BORI Critical Edition</x:v>
      </x:c>
      <x:c r="E367" s="120" t="str">
        <x:v>Critical-edition-oriented source pass; Ganguli English translation reviewed at parva level</x:v>
      </x:c>
      <x:c r="F367" s="120" t="str">
        <x:v>Vehicle / battle platform</x:v>
      </x:c>
      <x:c r="G367" s="120" t="str">
        <x:v>ART-507</x:v>
      </x:c>
      <x:c r="H367" s="120" t="str">
        <x:f>IFERROR(VLOOKUP(G367,'Master Taxonomy'!$A$2:$B$1656,2,FALSE),"")</x:f>
        <x:v>War Chariot</x:v>
      </x:c>
      <x:c r="I367" s="120" t="str">
        <x:v>ROL-133;ART-501</x:v>
      </x:c>
      <x:c r="J367" s="120" t="str">
        <x:v>Charioteer; Divine Chariot</x:v>
      </x:c>
      <x:c r="K367" s="120" t="str">
        <x:v>A chariot functioning as a mobile battle system joining warrior, charioteer, horses, banners, weapons, status, and tactical position.</x:v>
      </x:c>
      <x:c r="L367" s="120" t="str">
        <x:v>Craft, horses, driver skill, warrior skill, social prestige, and battlefield coordination.</x:v>
      </x:c>
      <x:c r="M367" s="120" t="str">
        <x:v>The chariot is not an interchangeable mount; it creates paired roles and a specific elite warfare ecology.</x:v>
      </x:c>
      <x:c r="N367" s="120" t="str">
        <x:v>A vehicle archetype that reshapes class, party, and battlefield analysis.</x:v>
      </x:c>
      <x:c r="O367" s="120" t="str">
        <x:v>Primary canon</x:v>
      </x:c>
      <x:c r="P367" s="120" t="str">
        <x:v>Primary text reviewed</x:v>
      </x:c>
      <x:c r="Q367" s="120" t="str">
        <x:v>Battle parvas; chariot combat throughout.</x:v>
      </x:c>
      <x:c r="R367" s="120" t="str">
        <x:v>https://www.gutenberg.org/ebooks/15475</x:v>
      </x:c>
      <x:c r="S367" s="120" t="str">
        <x:v>Seeded</x:v>
      </x:c>
    </x:row>
    <x:row r="368" ht="52" customHeight="1">
      <x:c r="A368" s="119" t="str">
        <x:v>ENT-0367</x:v>
      </x:c>
      <x:c r="B368" s="120" t="str">
        <x:v>Śaṅkha (named conch)</x:v>
      </x:c>
      <x:c r="C368" s="120" t="str">
        <x:v>SRC-278</x:v>
      </x:c>
      <x:c r="D368" s="120" t="str">
        <x:v>Bhagavad Gītā (Mahābhārata, Bhīṣma Parva)</x:v>
      </x:c>
      <x:c r="E368" s="120" t="str">
        <x:v>Embedded textual unit; Sanskrit and translated text reviewed through Gītā Supersite</x:v>
      </x:c>
      <x:c r="F368" s="120" t="str">
        <x:v>Signal relic / named instrument</x:v>
      </x:c>
      <x:c r="G368" s="120" t="str">
        <x:v>ART-417</x:v>
      </x:c>
      <x:c r="H368" s="120" t="str">
        <x:f>IFERROR(VLOOKUP(G368,'Master Taxonomy'!$A$2:$B$1656,2,FALSE),"")</x:f>
        <x:v>Horn, Bell, Conch, or Signal Relic</x:v>
      </x:c>
      <x:c r="I368" s="120" t="str">
        <x:v>ART-208;LAW-612</x:v>
      </x:c>
      <x:c r="J368" s="120" t="str">
        <x:v>Named Heroic Weapon; Music or Song as Operative Law</x:v>
      </x:c>
      <x:c r="K368" s="120" t="str">
        <x:v>Named conches announce identity, battle readiness, authority, morale, and the transition into conflict through sound.</x:v>
      </x:c>
      <x:c r="L368" s="120" t="str">
        <x:v>Named possession, ritual and martial sound, recognition, and public signaling.</x:v>
      </x:c>
      <x:c r="M368" s="120" t="str">
        <x:v>The conch is not decorative equipment or a generic horn buff; naming and sonic declaration matter.</x:v>
      </x:c>
      <x:c r="N368" s="120" t="str">
        <x:v>Expands the signal-relic family through public identity and sacred-martial sound.</x:v>
      </x:c>
      <x:c r="O368" s="120" t="str">
        <x:v>Primary canon</x:v>
      </x:c>
      <x:c r="P368" s="120" t="str">
        <x:v>Primary text reviewed</x:v>
      </x:c>
      <x:c r="Q368" s="120" t="str">
        <x:v>Bhīṣma Parva and Bhagavad Gītā opening battlefield scene.</x:v>
      </x:c>
      <x:c r="R368" s="120" t="str">
        <x:v>https://www.gitasupersite.iitk.ac.in/</x:v>
      </x:c>
      <x:c r="S368" s="120" t="str">
        <x:v>Seeded</x:v>
      </x:c>
    </x:row>
    <x:row r="369" ht="52" customHeight="1">
      <x:c r="A369" s="119" t="str">
        <x:v>ENT-0368</x:v>
      </x:c>
      <x:c r="B369" s="120" t="str">
        <x:v>Gadā (mace) as heroic weapon tradition</x:v>
      </x:c>
      <x:c r="C369" s="120" t="str">
        <x:v>SRC-277</x:v>
      </x:c>
      <x:c r="D369" s="120" t="str">
        <x:v>Mahābhārata — BORI Critical Edition</x:v>
      </x:c>
      <x:c r="E369" s="120" t="str">
        <x:v>Critical-edition-oriented source pass; Ganguli English translation reviewed at parva level</x:v>
      </x:c>
      <x:c r="F369" s="120" t="str">
        <x:v>Martial weapon tradition / named weapon</x:v>
      </x:c>
      <x:c r="G369" s="120" t="str">
        <x:v>ART-208</x:v>
      </x:c>
      <x:c r="H369" s="120" t="str">
        <x:f>IFERROR(VLOOKUP(G369,'Master Taxonomy'!$A$2:$B$1656,2,FALSE),"")</x:f>
        <x:v>Named Heroic Weapon</x:v>
      </x:c>
      <x:c r="I369" s="120" t="str">
        <x:v>ROL-101;ROL-935</x:v>
      </x:c>
      <x:c r="J369" s="120" t="str">
        <x:v>Warrior or Fighter; Martial Preceptor</x:v>
      </x:c>
      <x:c r="K369" s="120" t="str">
        <x:v>The mace functions as a specialized heroic weapon tied to training lineages, duels, strength, rules of combat, and individual reputation.</x:v>
      </x:c>
      <x:c r="L369" s="120" t="str">
        <x:v>Martial instruction, bodily skill, lineage, named weapons, and duel conventions.</x:v>
      </x:c>
      <x:c r="M369" s="120" t="str">
        <x:v>It is not simply a blunt damage category; pedagogy and duel law shape its meaning.</x:v>
      </x:c>
      <x:c r="N369" s="120" t="str">
        <x:v>Connects weapon type to martial vocation, lineage teaching, and rule-bound climax.</x:v>
      </x:c>
      <x:c r="O369" s="120" t="str">
        <x:v>Primary canon</x:v>
      </x:c>
      <x:c r="P369" s="120" t="str">
        <x:v>Primary text reviewed</x:v>
      </x:c>
      <x:c r="Q369" s="120" t="str">
        <x:v>Ādi, Udyoga, and Śalya Parvas; mace instruction and duel.</x:v>
      </x:c>
      <x:c r="R369" s="120" t="str">
        <x:v>https://www.gutenberg.org/ebooks/15476</x:v>
      </x:c>
      <x:c r="S369" s="120" t="str">
        <x:v>Seeded</x:v>
      </x:c>
    </x:row>
    <x:row r="370" ht="52" customHeight="1">
      <x:c r="A370" s="119" t="str">
        <x:v>ENT-0369</x:v>
      </x:c>
      <x:c r="B370" s="120" t="str">
        <x:v>Dice of dispossession</x:v>
      </x:c>
      <x:c r="C370" s="120" t="str">
        <x:v>SRC-277</x:v>
      </x:c>
      <x:c r="D370" s="120" t="str">
        <x:v>Mahābhārata — BORI Critical Edition</x:v>
      </x:c>
      <x:c r="E370" s="120" t="str">
        <x:v>Critical-edition-oriented source pass; Ganguli English translation reviewed at parva level</x:v>
      </x:c>
      <x:c r="F370" s="120" t="str">
        <x:v>Fate/political object</x:v>
      </x:c>
      <x:c r="G370" s="120" t="str">
        <x:v>ART-416</x:v>
      </x:c>
      <x:c r="H370" s="120" t="str">
        <x:f>IFERROR(VLOOKUP(G370,'Master Taxonomy'!$A$2:$B$1656,2,FALSE),"")</x:f>
        <x:v>Lots, Dice, Cards, or Fate Objects</x:v>
      </x:c>
      <x:c r="I370" s="120" t="str">
        <x:v>NAR-447;LAW-216</x:v>
      </x:c>
      <x:c r="J370" s="120" t="str">
        <x:v>Dice-Game Dispossession; Exact-Wording Contract</x:v>
      </x:c>
      <x:c r="K370" s="120" t="str">
        <x:v>Dice and the gaming procedure become instruments through which sovereignty, wealth, freedom, kin, and honor are wagered and dispossessed.</x:v>
      </x:c>
      <x:c r="L370" s="120" t="str">
        <x:v>Chance, manipulation, social recognition of stakes, court procedure, and exact terms.</x:v>
      </x:c>
      <x:c r="M370" s="120" t="str">
        <x:v>The object is not magical loot; its power is institutional, legalistic, psychological, and fate-laden.</x:v>
      </x:c>
      <x:c r="N370" s="120" t="str">
        <x:v>A strong example of an ordinary object becoming an artifact-level narrative mechanism through law and public authority.</x:v>
      </x:c>
      <x:c r="O370" s="120" t="str">
        <x:v>Primary canon</x:v>
      </x:c>
      <x:c r="P370" s="120" t="str">
        <x:v>Primary text reviewed</x:v>
      </x:c>
      <x:c r="Q370" s="120" t="str">
        <x:v>Sabhā Parva dice game.</x:v>
      </x:c>
      <x:c r="R370" s="120" t="str">
        <x:v>https://www.gutenberg.org/ebooks/15474</x:v>
      </x:c>
      <x:c r="S370" s="120" t="str">
        <x:v>Seeded</x:v>
      </x:c>
    </x:row>
    <x:row r="371" ht="52" customHeight="1">
      <x:c r="A371" s="119" t="str">
        <x:v>ENT-0370</x:v>
      </x:c>
      <x:c r="B371" s="120" t="str">
        <x:v>Svarga</x:v>
      </x:c>
      <x:c r="C371" s="120" t="str">
        <x:v>SRC-277</x:v>
      </x:c>
      <x:c r="D371" s="120" t="str">
        <x:v>Mahābhārata — BORI Critical Edition</x:v>
      </x:c>
      <x:c r="E371" s="120" t="str">
        <x:v>Critical-edition-oriented source pass; Ganguli English translation reviewed at parva level</x:v>
      </x:c>
      <x:c r="F371" s="120" t="str">
        <x:v>Celestial realm / postmortem destination</x:v>
      </x:c>
      <x:c r="G371" s="120" t="str">
        <x:v>COS-201</x:v>
      </x:c>
      <x:c r="H371" s="120" t="str">
        <x:f>IFERROR(VLOOKUP(G371,'Master Taxonomy'!$A$2:$B$1656,2,FALSE),"")</x:f>
        <x:v>Celestial Realm or Heaven</x:v>
      </x:c>
      <x:c r="I371" s="120" t="str">
        <x:v>COS-303;COS-314</x:v>
      </x:c>
      <x:c r="J371" s="120" t="str">
        <x:v>Paradise or Reward Realm; Multiple Afterlives</x:v>
      </x:c>
      <x:c r="K371" s="120" t="str">
        <x:v>A celestial or heavenly domain associated with gods, reward, elevated experience, and postmortem or exceptional access.</x:v>
      </x:c>
      <x:c r="L371" s="120" t="str">
        <x:v>Merit, divine order, death, ascent, and source-specific cosmic hierarchy.</x:v>
      </x:c>
      <x:c r="M371" s="120" t="str">
        <x:v>Svarga is not simply the one final heaven or a generic good-alignment plane; duration, access, and relation to rebirth matter.</x:v>
      </x:c>
      <x:c r="N371" s="120" t="str">
        <x:v>Adds a reward realm embedded in plural worlds and cyclical existence rather than a single terminal afterlife.</x:v>
      </x:c>
      <x:c r="O371" s="120" t="str">
        <x:v>Primary canon</x:v>
      </x:c>
      <x:c r="P371" s="120" t="str">
        <x:v>Primary text reviewed</x:v>
      </x:c>
      <x:c r="Q371" s="120" t="str">
        <x:v>Svargārohaṇa and related parvas; parva-level review.</x:v>
      </x:c>
      <x:c r="R371" s="120" t="str">
        <x:v>https://www.gutenberg.org/ebooks/15477</x:v>
      </x:c>
      <x:c r="S371" s="120" t="str">
        <x:v>Seeded</x:v>
      </x:c>
    </x:row>
    <x:row r="372" ht="52" customHeight="1">
      <x:c r="A372" s="119" t="str">
        <x:v>ENT-0371</x:v>
      </x:c>
      <x:c r="B372" s="120" t="str">
        <x:v>Naraka</x:v>
      </x:c>
      <x:c r="C372" s="120" t="str">
        <x:v>SRC-277</x:v>
      </x:c>
      <x:c r="D372" s="120" t="str">
        <x:v>Mahābhārata — BORI Critical Edition</x:v>
      </x:c>
      <x:c r="E372" s="120" t="str">
        <x:v>Critical-edition-oriented source pass; Ganguli English translation reviewed at parva level</x:v>
      </x:c>
      <x:c r="F372" s="120" t="str">
        <x:v>Punishment realm / postmortem condition</x:v>
      </x:c>
      <x:c r="G372" s="120" t="str">
        <x:v>COS-304</x:v>
      </x:c>
      <x:c r="H372" s="120" t="str">
        <x:f>IFERROR(VLOOKUP(G372,'Master Taxonomy'!$A$2:$B$1656,2,FALSE),"")</x:f>
        <x:v>Punishment Realm or Hell</x:v>
      </x:c>
      <x:c r="I372" s="120" t="str">
        <x:v>COS-302;COS-314</x:v>
      </x:c>
      <x:c r="J372" s="120" t="str">
        <x:v>Judgment Realm; Multiple Afterlives</x:v>
      </x:c>
      <x:c r="K372" s="120" t="str">
        <x:v>A realm or condition of suffering and consequence encountered within the epic's postmortem and moral-causal order.</x:v>
      </x:c>
      <x:c r="L372" s="120" t="str">
        <x:v>Deeds, judgment, divine arrangement, perception, and postmortem process.</x:v>
      </x:c>
      <x:c r="M372" s="120" t="str">
        <x:v>Naraka is not a generic eternal hell populated by a fantasy demon faction; duration and function require source-specific reading.</x:v>
      </x:c>
      <x:c r="N372" s="120" t="str">
        <x:v>Supports multiple afterlives and moral-causal consequence without importing one theological hell model.</x:v>
      </x:c>
      <x:c r="O372" s="120" t="str">
        <x:v>Primary canon</x:v>
      </x:c>
      <x:c r="P372" s="120" t="str">
        <x:v>Primary text reviewed</x:v>
      </x:c>
      <x:c r="Q372" s="120" t="str">
        <x:v>Svargārohaṇa and Anuśāsana-related afterlife discussions.</x:v>
      </x:c>
      <x:c r="R372" s="120" t="str">
        <x:v>https://www.gutenberg.org/ebooks/15477</x:v>
      </x:c>
      <x:c r="S372" s="120" t="str">
        <x:v>Seeded</x:v>
      </x:c>
    </x:row>
    <x:row r="373" ht="52" customHeight="1">
      <x:c r="A373" s="119" t="str">
        <x:v>ENT-0372</x:v>
      </x:c>
      <x:c r="B373" s="120" t="str">
        <x:v>Loka (plural worlds or realms)</x:v>
      </x:c>
      <x:c r="C373" s="120" t="str">
        <x:v>SRC-277</x:v>
      </x:c>
      <x:c r="D373" s="120" t="str">
        <x:v>Mahābhārata — BORI Critical Edition</x:v>
      </x:c>
      <x:c r="E373" s="120" t="str">
        <x:v>Critical-edition-oriented source pass; Ganguli English translation reviewed at parva level</x:v>
      </x:c>
      <x:c r="F373" s="120" t="str">
        <x:v>Cosmological world category</x:v>
      </x:c>
      <x:c r="G373" s="120" t="str">
        <x:v>COS-105</x:v>
      </x:c>
      <x:c r="H373" s="120" t="str">
        <x:f>IFERROR(VLOOKUP(G373,'Master Taxonomy'!$A$2:$B$1656,2,FALSE),"")</x:f>
        <x:v>Multiple Planes or Worlds</x:v>
      </x:c>
      <x:c r="I373" s="120" t="str">
        <x:v>COS-101;COS-314</x:v>
      </x:c>
      <x:c r="J373" s="120" t="str">
        <x:v>Layered Cosmos; Multiple Afterlives</x:v>
      </x:c>
      <x:c r="K373" s="120" t="str">
        <x:v>A flexible category for worlds, realms, or spheres inhabited or governed by different beings and conditions.</x:v>
      </x:c>
      <x:c r="L373" s="120" t="str">
        <x:v>Cosmic order, beings, merit, divine authority, and layered existence.</x:v>
      </x:c>
      <x:c r="M373" s="120" t="str">
        <x:v>Loka is not automatically equivalent to a tabletop plane, planet, level, or dimension.</x:v>
      </x:c>
      <x:c r="N373" s="120" t="str">
        <x:v>A source-specific plural-world vocabulary useful for testing game-plane assumptions.</x:v>
      </x:c>
      <x:c r="O373" s="120" t="str">
        <x:v>Primary canon</x:v>
      </x:c>
      <x:c r="P373" s="120" t="str">
        <x:v>Official reference reviewed</x:v>
      </x:c>
      <x:c r="Q373" s="120" t="str">
        <x:v>Cosmological passages across the epic; terminology review.</x:v>
      </x:c>
      <x:c r="R373" s="120" t="str">
        <x:v>https://bori.ac.in/department/mahabharata/</x:v>
      </x:c>
      <x:c r="S373" s="120" t="str">
        <x:v>Seeded</x:v>
      </x:c>
    </x:row>
    <x:row r="374" ht="52" customHeight="1">
      <x:c r="A374" s="119" t="str">
        <x:v>ENT-0373</x:v>
      </x:c>
      <x:c r="B374" s="120" t="str">
        <x:v>Yuga and cosmic ages</x:v>
      </x:c>
      <x:c r="C374" s="120" t="str">
        <x:v>SRC-277</x:v>
      </x:c>
      <x:c r="D374" s="120" t="str">
        <x:v>Mahābhārata — BORI Critical Edition</x:v>
      </x:c>
      <x:c r="E374" s="120" t="str">
        <x:v>Critical-edition-oriented source pass; Ganguli English translation reviewed at parva level</x:v>
      </x:c>
      <x:c r="F374" s="120" t="str">
        <x:v>Cyclical time / world-age system</x:v>
      </x:c>
      <x:c r="G374" s="120" t="str">
        <x:v>COS-112</x:v>
      </x:c>
      <x:c r="H374" s="120" t="str">
        <x:f>IFERROR(VLOOKUP(G374,'Master Taxonomy'!$A$2:$B$1656,2,FALSE),"")</x:f>
        <x:v>Cyclical Time</x:v>
      </x:c>
      <x:c r="I374" s="120" t="str">
        <x:v>LAW-510;COS-705</x:v>
      </x:c>
      <x:c r="J374" s="120" t="str">
        <x:v>Cyclical-Age Law; Age of Decline</x:v>
      </x:c>
      <x:c r="K374" s="120" t="str">
        <x:v>A temporal framework in which ages differ in duration, conduct, order, capability, and relation to decline and renewal.</x:v>
      </x:c>
      <x:c r="L374" s="120" t="str">
        <x:v>Cosmic time, social and ethical condition, recurring sequence, and divine history.</x:v>
      </x:c>
      <x:c r="M374" s="120" t="str">
        <x:v>Yuga is not a technology age, level bracket, or generic four-season metaphor.</x:v>
      </x:c>
      <x:c r="N374" s="120" t="str">
        <x:v>Provides a deep source model for age-based cosmology that later games often convert into progression tiers.</x:v>
      </x:c>
      <x:c r="O374" s="120" t="str">
        <x:v>Primary canon</x:v>
      </x:c>
      <x:c r="P374" s="120" t="str">
        <x:v>Primary text reviewed</x:v>
      </x:c>
      <x:c r="Q374" s="120" t="str">
        <x:v>Vana and Śānti Parvas; discussions of ages and decline.</x:v>
      </x:c>
      <x:c r="R374" s="120" t="str">
        <x:v>https://www.gutenberg.org/ebooks/15476</x:v>
      </x:c>
      <x:c r="S374" s="120" t="str">
        <x:v>Seeded</x:v>
      </x:c>
    </x:row>
    <x:row r="375" ht="52" customHeight="1">
      <x:c r="A375" s="119" t="str">
        <x:v>ENT-0374</x:v>
      </x:c>
      <x:c r="B375" s="120" t="str">
        <x:v>Saṃsāra and rebirth cycle</x:v>
      </x:c>
      <x:c r="C375" s="120" t="str">
        <x:v>SRC-278</x:v>
      </x:c>
      <x:c r="D375" s="120" t="str">
        <x:v>Bhagavad Gītā (Mahābhārata, Bhīṣma Parva)</x:v>
      </x:c>
      <x:c r="E375" s="120" t="str">
        <x:v>Embedded textual unit; Sanskrit and translated text reviewed through Gītā Supersite</x:v>
      </x:c>
      <x:c r="F375" s="120" t="str">
        <x:v>Cosmological process / repeated embodiment</x:v>
      </x:c>
      <x:c r="G375" s="120" t="str">
        <x:v>COS-308</x:v>
      </x:c>
      <x:c r="H375" s="120" t="str">
        <x:f>IFERROR(VLOOKUP(G375,'Master Taxonomy'!$A$2:$B$1656,2,FALSE),"")</x:f>
        <x:v>Reincarnation Cycle</x:v>
      </x:c>
      <x:c r="I375" s="120" t="str">
        <x:v>LAW-701;LAW-506;LAW-715</x:v>
      </x:c>
      <x:c r="J375" s="120" t="str">
        <x:v>Reincarnation Rule; Moral Causation or Karma-Like Rule; Escape from the Cycle or Liberation</x:v>
      </x:c>
      <x:c r="K375" s="120" t="str">
        <x:v>Repeated birth and death understood through action, consequence, attachment, knowledge, and the possibility of release.</x:v>
      </x:c>
      <x:c r="L375" s="120" t="str">
        <x:v>Karma, embodiment, desire, knowledge, conduct, and liberation.</x:v>
      </x:c>
      <x:c r="M375" s="120" t="str">
        <x:v>Saṃsāra is not a new-game-plus loop or automatic memory-preserving reincarnation mechanic.</x:v>
      </x:c>
      <x:c r="N375" s="120" t="str">
        <x:v>A corrective to progression systems that borrow rebirth while omitting moral, philosophical, and soteriological dimensions.</x:v>
      </x:c>
      <x:c r="O375" s="120" t="str">
        <x:v>Primary canon</x:v>
      </x:c>
      <x:c r="P375" s="120" t="str">
        <x:v>Primary text reviewed</x:v>
      </x:c>
      <x:c r="Q375" s="120" t="str">
        <x:v>Śānti, Anuśāsana, and Bhagavad Gītā contexts.</x:v>
      </x:c>
      <x:c r="R375" s="120" t="str">
        <x:v>https://www.gitasupersite.iitk.ac.in/</x:v>
      </x:c>
      <x:c r="S375" s="120" t="str">
        <x:v>Seeded</x:v>
      </x:c>
    </x:row>
    <x:row r="376" ht="52" customHeight="1">
      <x:c r="A376" s="119" t="str">
        <x:v>ENT-0375</x:v>
      </x:c>
      <x:c r="B376" s="120" t="str">
        <x:v>Mount Meru</x:v>
      </x:c>
      <x:c r="C376" s="120" t="str">
        <x:v>SRC-277</x:v>
      </x:c>
      <x:c r="D376" s="120" t="str">
        <x:v>Mahābhārata — BORI Critical Edition</x:v>
      </x:c>
      <x:c r="E376" s="120" t="str">
        <x:v>Critical-edition-oriented source pass; Ganguli English translation reviewed at parva level</x:v>
      </x:c>
      <x:c r="F376" s="120" t="str">
        <x:v>World mountain / sacred cosmic geography</x:v>
      </x:c>
      <x:c r="G376" s="120" t="str">
        <x:v>COS-103</x:v>
      </x:c>
      <x:c r="H376" s="120" t="str">
        <x:f>IFERROR(VLOOKUP(G376,'Master Taxonomy'!$A$2:$B$1656,2,FALSE),"")</x:f>
        <x:v>World Mountain Cosmology</x:v>
      </x:c>
      <x:c r="I376" s="120" t="str">
        <x:v>COS-501;COS-102</x:v>
      </x:c>
      <x:c r="J376" s="120" t="str">
        <x:v>Sacred Mountain; Axis Mundi or World Axis</x:v>
      </x:c>
      <x:c r="K376" s="120" t="str">
        <x:v>A central or cosmic mountain situated within a wider sacred geography and plural-world cosmology.</x:v>
      </x:c>
      <x:c r="L376" s="120" t="str">
        <x:v>Cosmic orientation, divine association, sacred geography, and world structure.</x:v>
      </x:c>
      <x:c r="M376" s="120" t="str">
        <x:v>Meru is not a generic tall mountain or interchangeable world-tree substitute.</x:v>
      </x:c>
      <x:c r="N376" s="120" t="str">
        <x:v>Adds a world-mountain axis whose meaning must remain distinct from other cosmic centers.</x:v>
      </x:c>
      <x:c r="O376" s="120" t="str">
        <x:v>Primary canon</x:v>
      </x:c>
      <x:c r="P376" s="120" t="str">
        <x:v>Official reference reviewed</x:v>
      </x:c>
      <x:c r="Q376" s="120" t="str">
        <x:v>Cosmological and pilgrimage passages across the epic.</x:v>
      </x:c>
      <x:c r="R376" s="120" t="str">
        <x:v>https://bori.ac.in/department/mahabharata/</x:v>
      </x:c>
      <x:c r="S376" s="120" t="str">
        <x:v>Seeded</x:v>
      </x:c>
    </x:row>
    <x:row r="377" ht="52" customHeight="1">
      <x:c r="A377" s="119" t="str">
        <x:v>ENT-0376</x:v>
      </x:c>
      <x:c r="B377" s="120" t="str">
        <x:v>Tīrtha and sacred crossing network</x:v>
      </x:c>
      <x:c r="C377" s="120" t="str">
        <x:v>SRC-277</x:v>
      </x:c>
      <x:c r="D377" s="120" t="str">
        <x:v>Mahābhārata — BORI Critical Edition</x:v>
      </x:c>
      <x:c r="E377" s="120" t="str">
        <x:v>Critical-edition-oriented source pass; Ganguli English translation reviewed at parva level</x:v>
      </x:c>
      <x:c r="F377" s="120" t="str">
        <x:v>Sacred site / pilgrimage geography</x:v>
      </x:c>
      <x:c r="G377" s="120" t="str">
        <x:v>COS-507</x:v>
      </x:c>
      <x:c r="H377" s="120" t="str">
        <x:f>IFERROR(VLOOKUP(G377,'Master Taxonomy'!$A$2:$B$1656,2,FALSE),"")</x:f>
        <x:v>Sacred Crossing or Ford</x:v>
      </x:c>
      <x:c r="I377" s="120" t="str">
        <x:v>COS-506;LAW-814</x:v>
      </x:c>
      <x:c r="J377" s="120" t="str">
        <x:v>Pilgrimage Network; Pilgrimage Merit or Transformation</x:v>
      </x:c>
      <x:c r="K377" s="120" t="str">
        <x:v>Sacred crossings, waters, hermitages, and sites linked through pilgrimage, remembered narratives, rites, and transformative travel.</x:v>
      </x:c>
      <x:c r="L377" s="120" t="str">
        <x:v>Place, narrative memory, ritual action, hospitality, purification, and journey.</x:v>
      </x:c>
      <x:c r="M377" s="120" t="str">
        <x:v>Tīrtha is not adequately translated as checkpoint, shrine collectible, or fast-travel node.</x:v>
      </x:c>
      <x:c r="N377" s="120" t="str">
        <x:v>A place-system where crossing, story, rite, and geography mutually constitute sacred power.</x:v>
      </x:c>
      <x:c r="O377" s="120" t="str">
        <x:v>Primary canon</x:v>
      </x:c>
      <x:c r="P377" s="120" t="str">
        <x:v>Primary text reviewed</x:v>
      </x:c>
      <x:c r="Q377" s="120" t="str">
        <x:v>Vana Parva tīrtha-yātrā sections.</x:v>
      </x:c>
      <x:c r="R377" s="120" t="str">
        <x:v>https://www.gutenberg.org/ebooks/15474</x:v>
      </x:c>
      <x:c r="S377" s="120" t="str">
        <x:v>Seeded</x:v>
      </x:c>
    </x:row>
    <x:row r="378" ht="52" customHeight="1">
      <x:c r="A378" s="119" t="str">
        <x:v>ENT-0377</x:v>
      </x:c>
      <x:c r="B378" s="120" t="str">
        <x:v>Kurukṣetra as sacred battlefield</x:v>
      </x:c>
      <x:c r="C378" s="120" t="str">
        <x:v>SRC-278</x:v>
      </x:c>
      <x:c r="D378" s="120" t="str">
        <x:v>Bhagavad Gītā (Mahābhārata, Bhīṣma Parva)</x:v>
      </x:c>
      <x:c r="E378" s="120" t="str">
        <x:v>Embedded textual unit; Sanskrit and translated text reviewed through Gītā Supersite</x:v>
      </x:c>
      <x:c r="F378" s="120" t="str">
        <x:v>Sacred battlefield / place of duty and revelation</x:v>
      </x:c>
      <x:c r="G378" s="120" t="str">
        <x:v>COS-522</x:v>
      </x:c>
      <x:c r="H378" s="120" t="str">
        <x:f>IFERROR(VLOOKUP(G378,'Master Taxonomy'!$A$2:$B$1656,2,FALSE),"")</x:f>
        <x:v>Sacred Battlefield</x:v>
      </x:c>
      <x:c r="I378" s="120" t="str">
        <x:v>COS-515;NAR-449;LAW-505</x:v>
      </x:c>
      <x:c r="J378" s="120" t="str">
        <x:v>Cosmic Battlefield; Battlefield Revelation; Cosmic or Social Order</x:v>
      </x:c>
      <x:c r="K378" s="120" t="str">
        <x:v>The battlefield is simultaneously political territory, ancestral and dynastic space, field of duty, site of mass death, and setting for divine-philosophical revelation.</x:v>
      </x:c>
      <x:c r="L378" s="120" t="str">
        <x:v>Sacred geography, kinship, war, duty, memory, and divine presence.</x:v>
      </x:c>
      <x:c r="M378" s="120" t="str">
        <x:v>It is not merely a combat map or generic final-battle arena.</x:v>
      </x:c>
      <x:c r="N378" s="120" t="str">
        <x:v>A high-value example of place carrying legal, ritual, narrative, and cosmological significance at once.</x:v>
      </x:c>
      <x:c r="O378" s="120" t="str">
        <x:v>Primary canon</x:v>
      </x:c>
      <x:c r="P378" s="120" t="str">
        <x:v>Primary text reviewed</x:v>
      </x:c>
      <x:c r="Q378" s="120" t="str">
        <x:v>Bhīṣma Parva and Bhagavad Gītā setting.</x:v>
      </x:c>
      <x:c r="R378" s="120" t="str">
        <x:v>https://www.gitasupersite.iitk.ac.in/</x:v>
      </x:c>
      <x:c r="S378" s="120" t="str">
        <x:v>Seeded</x:v>
      </x:c>
    </x:row>
    <x:row r="379" ht="52" customHeight="1">
      <x:c r="A379" s="119" t="str">
        <x:v>ENT-0378</x:v>
      </x:c>
      <x:c r="B379" s="120" t="str">
        <x:v>Pitṛ-loka or ancestor realm</x:v>
      </x:c>
      <x:c r="C379" s="120" t="str">
        <x:v>SRC-277</x:v>
      </x:c>
      <x:c r="D379" s="120" t="str">
        <x:v>Mahābhārata — BORI Critical Edition</x:v>
      </x:c>
      <x:c r="E379" s="120" t="str">
        <x:v>Critical-edition-oriented source pass; Ganguli English translation reviewed at parva level</x:v>
      </x:c>
      <x:c r="F379" s="120" t="str">
        <x:v>Ancestor realm / postmortem kinship domain</x:v>
      </x:c>
      <x:c r="G379" s="120" t="str">
        <x:v>COS-204</x:v>
      </x:c>
      <x:c r="H379" s="120" t="str">
        <x:f>IFERROR(VLOOKUP(G379,'Master Taxonomy'!$A$2:$B$1656,2,FALSE),"")</x:f>
        <x:v>Ancestor Realm</x:v>
      </x:c>
      <x:c r="I379" s="120" t="str">
        <x:v>PPL-303;LAW-306;LAW-812</x:v>
      </x:c>
      <x:c r="J379" s="120" t="str">
        <x:v>Ancestral Spirits; Ancestor Offering; Ancestor Obligation</x:v>
      </x:c>
      <x:c r="K379" s="120" t="str">
        <x:v>A realm or postmortem order associated with ancestors and sustained relations between living lineages and the dead.</x:v>
      </x:c>
      <x:c r="L379" s="120" t="str">
        <x:v>Kinship, funerary duty, offerings, memory, and cosmic order.</x:v>
      </x:c>
      <x:c r="M379" s="120" t="str">
        <x:v>It is not a summonable ghost plane or undead faction homeland.</x:v>
      </x:c>
      <x:c r="N379" s="120" t="str">
        <x:v>Links afterlife geography to continuing family obligation and ritual exchange.</x:v>
      </x:c>
      <x:c r="O379" s="120" t="str">
        <x:v>Primary canon</x:v>
      </x:c>
      <x:c r="P379" s="120" t="str">
        <x:v>Primary text reviewed</x:v>
      </x:c>
      <x:c r="Q379" s="120" t="str">
        <x:v>Anuśāsana and related discussions of ancestors and rites.</x:v>
      </x:c>
      <x:c r="R379" s="120" t="str">
        <x:v>https://www.gutenberg.org/ebooks/15477</x:v>
      </x:c>
      <x:c r="S379" s="120" t="str">
        <x:v>Seeded</x:v>
      </x:c>
    </x:row>
    <x:row r="380" ht="52" customHeight="1">
      <x:c r="A380" s="119" t="str">
        <x:v>ENT-0379</x:v>
      </x:c>
      <x:c r="B380" s="120" t="str">
        <x:v>Final ascent to heaven</x:v>
      </x:c>
      <x:c r="C380" s="120" t="str">
        <x:v>SRC-277</x:v>
      </x:c>
      <x:c r="D380" s="120" t="str">
        <x:v>Mahābhārata — BORI Critical Edition</x:v>
      </x:c>
      <x:c r="E380" s="120" t="str">
        <x:v>Critical-edition-oriented source pass; Ganguli English translation reviewed at parva level</x:v>
      </x:c>
      <x:c r="F380" s="120" t="str">
        <x:v>Divine ascent / postmortem journey</x:v>
      </x:c>
      <x:c r="G380" s="120" t="str">
        <x:v>COS-610</x:v>
      </x:c>
      <x:c r="H380" s="120" t="str">
        <x:f>IFERROR(VLOOKUP(G380,'Master Taxonomy'!$A$2:$B$1656,2,FALSE),"")</x:f>
        <x:v>Divine Ascent</x:v>
      </x:c>
      <x:c r="I380" s="120" t="str">
        <x:v>NAR-451;COS-313</x:v>
      </x:c>
      <x:c r="J380" s="120" t="str">
        <x:v>Final Ascent and Recognition Test; Postmortem Trial</x:v>
      </x:c>
      <x:c r="K380" s="120" t="str">
        <x:v>The epic's concluding ascent subjects the surviving hero to loss, recognition, apparent contradiction, and final testing before the cosmic order is disclosed.</x:v>
      </x:c>
      <x:c r="L380" s="120" t="str">
        <x:v>Merit, death, loyalty, judgment, divine guidance, and altered perception.</x:v>
      </x:c>
      <x:c r="M380" s="120" t="str">
        <x:v>It is not a simple victory-screen apotheosis or linear reward ladder.</x:v>
      </x:c>
      <x:c r="N380" s="120" t="str">
        <x:v>A concluding cosmological journey that makes ethical testing and recognition part of afterlife access.</x:v>
      </x:c>
      <x:c r="O380" s="120" t="str">
        <x:v>Primary canon</x:v>
      </x:c>
      <x:c r="P380" s="120" t="str">
        <x:v>Primary text reviewed</x:v>
      </x:c>
      <x:c r="Q380" s="120" t="str">
        <x:v>Mahāprasthānika and Svargārohaṇa Parvas.</x:v>
      </x:c>
      <x:c r="R380" s="120" t="str">
        <x:v>https://www.gutenberg.org/ebooks/15477</x:v>
      </x:c>
      <x:c r="S380" s="120" t="str">
        <x:v>Seeded</x:v>
      </x:c>
    </x:row>
    <x:row r="381" ht="52" customHeight="1">
      <x:c r="A381" s="119" t="str">
        <x:v>ENT-0380</x:v>
      </x:c>
      <x:c r="B381" s="120" t="str">
        <x:v>Dharma (dharma)</x:v>
      </x:c>
      <x:c r="C381" s="120" t="str">
        <x:v>SRC-278</x:v>
      </x:c>
      <x:c r="D381" s="120" t="str">
        <x:v>Bhagavad Gītā (Mahābhārata, Bhīṣma Parva)</x:v>
      </x:c>
      <x:c r="E381" s="120" t="str">
        <x:v>Embedded textual unit and epic-wide context; Sanskrit and translated text reviewed</x:v>
      </x:c>
      <x:c r="F381" s="120" t="str">
        <x:v>Source-specific ethical, social, ritual, and cosmic order concept</x:v>
      </x:c>
      <x:c r="G381" s="120" t="str">
        <x:v>LAW-505</x:v>
      </x:c>
      <x:c r="H381" s="120" t="str">
        <x:f>IFERROR(VLOOKUP(G381,'Master Taxonomy'!$A$2:$B$1656,2,FALSE),"")</x:f>
        <x:v>Cosmic or Social Order</x:v>
      </x:c>
      <x:c r="I381" s="120" t="str">
        <x:v>NAR-452;LAW-509</x:v>
      </x:c>
      <x:c r="J381" s="120" t="str">
        <x:v>Conflict of Duties; Sacred Kingship</x:v>
      </x:c>
      <x:c r="K381" s="120" t="str">
        <x:v>A multivalent concept organizing duty, conduct, law, relationship, role, justice, order, and the difficult evaluation of action in changing circumstances.</x:v>
      </x:c>
      <x:c r="L381" s="120" t="str">
        <x:v>Situation, role, relationship, knowledge, intention, consequence, tradition, counsel, and cosmic-social order.</x:v>
      </x:c>
      <x:c r="M381" s="120" t="str">
        <x:v>Dharma is not an alignment score, obedience stat, fixed caste behavior, or one unambiguous rulebook.</x:v>
      </x:c>
      <x:c r="N381" s="120" t="str">
        <x:v>A foundational corrective: fantasy ethics often require conflict among legitimate duties rather than good/evil bins.</x:v>
      </x:c>
      <x:c r="O381" s="120" t="str">
        <x:v>Primary canon</x:v>
      </x:c>
      <x:c r="P381" s="120" t="str">
        <x:v>Primary text reviewed</x:v>
      </x:c>
      <x:c r="Q381" s="120" t="str">
        <x:v>Epic-wide; especially Udyoga, Śānti, Anuśāsana, and Bhagavad Gītā contexts.</x:v>
      </x:c>
      <x:c r="R381" s="120" t="str">
        <x:v>https://www.gitasupersite.iitk.ac.in/</x:v>
      </x:c>
      <x:c r="S381" s="120" t="str">
        <x:v>Seeded</x:v>
      </x:c>
    </x:row>
    <x:row r="382" ht="52" customHeight="1">
      <x:c r="A382" s="119" t="str">
        <x:v>ENT-0381</x:v>
      </x:c>
      <x:c r="B382" s="120" t="str">
        <x:v>Karma (karma)</x:v>
      </x:c>
      <x:c r="C382" s="120" t="str">
        <x:v>SRC-278</x:v>
      </x:c>
      <x:c r="D382" s="120" t="str">
        <x:v>Bhagavad Gītā (Mahābhārata, Bhīṣma Parva)</x:v>
      </x:c>
      <x:c r="E382" s="120" t="str">
        <x:v>Embedded textual unit and epic-wide context; Sanskrit and translated text reviewed</x:v>
      </x:c>
      <x:c r="F382" s="120" t="str">
        <x:v>Moral-causal principle / action and consequence</x:v>
      </x:c>
      <x:c r="G382" s="120" t="str">
        <x:v>LAW-506</x:v>
      </x:c>
      <x:c r="H382" s="120" t="str">
        <x:f>IFERROR(VLOOKUP(G382,'Master Taxonomy'!$A$2:$B$1656,2,FALSE),"")</x:f>
        <x:v>Moral Causation or Karma-Like Rule</x:v>
      </x:c>
      <x:c r="I382" s="120" t="str">
        <x:v>COS-308;LAW-701</x:v>
      </x:c>
      <x:c r="J382" s="120" t="str">
        <x:v>Reincarnation Cycle; Reincarnation Rule</x:v>
      </x:c>
      <x:c r="K382" s="120" t="str">
        <x:v>Action and its consequences are discussed across life, death, rebirth, character, responsibility, and the conditions of embodied existence.</x:v>
      </x:c>
      <x:c r="L382" s="120" t="str">
        <x:v>Action, intention, consequence, conduct, time, embodiment, and knowledge.</x:v>
      </x:c>
      <x:c r="M382" s="120" t="str">
        <x:v>Karma is not cosmic revenge, instant poetic justice, luck points, or a visible morality meter.</x:v>
      </x:c>
      <x:c r="N382" s="120" t="str">
        <x:v>A source-specific causal framework that challenges simplified game karma systems.</x:v>
      </x:c>
      <x:c r="O382" s="120" t="str">
        <x:v>Primary canon</x:v>
      </x:c>
      <x:c r="P382" s="120" t="str">
        <x:v>Primary text reviewed</x:v>
      </x:c>
      <x:c r="Q382" s="120" t="str">
        <x:v>Śānti, Anuśāsana, and Bhagavad Gītā contexts.</x:v>
      </x:c>
      <x:c r="R382" s="120" t="str">
        <x:v>https://www.gitasupersite.iitk.ac.in/</x:v>
      </x:c>
      <x:c r="S382" s="120" t="str">
        <x:v>Seeded</x:v>
      </x:c>
    </x:row>
    <x:row r="383" ht="52" customHeight="1">
      <x:c r="A383" s="119" t="str">
        <x:v>ENT-0382</x:v>
      </x:c>
      <x:c r="B383" s="120" t="str">
        <x:v>Yajña (sacrifice or offering rite)</x:v>
      </x:c>
      <x:c r="C383" s="120" t="str">
        <x:v>SRC-277</x:v>
      </x:c>
      <x:c r="D383" s="120" t="str">
        <x:v>Mahābhārata — BORI Critical Edition</x:v>
      </x:c>
      <x:c r="E383" s="120" t="str">
        <x:v>Critical-edition-oriented source pass; Ganguli English translation reviewed at parva level</x:v>
      </x:c>
      <x:c r="F383" s="120" t="str">
        <x:v>Ritual system / offering</x:v>
      </x:c>
      <x:c r="G383" s="120" t="str">
        <x:v>LAW-301</x:v>
      </x:c>
      <x:c r="H383" s="120" t="str">
        <x:f>IFERROR(VLOOKUP(G383,'Master Taxonomy'!$A$2:$B$1656,2,FALSE),"")</x:f>
        <x:v>Sacrifice or Offering</x:v>
      </x:c>
      <x:c r="I383" s="120" t="str">
        <x:v>LAW-309;LAW-315;ROL-422</x:v>
      </x:c>
      <x:c r="J383" s="120" t="str">
        <x:v>Fire Sacrifice; Ritual Economy; Sacrificial Priest</x:v>
      </x:c>
      <x:c r="K383" s="120" t="str">
        <x:v>Structured rites of offering that connect patron, officiants, materials, fire, deities, authority, prosperity, lineage, and political order.</x:v>
      </x:c>
      <x:c r="L383" s="120" t="str">
        <x:v>Ritual expertise, patronage, offerings, sacred speech, fire, timing, and social institution.</x:v>
      </x:c>
      <x:c r="M383" s="120" t="str">
        <x:v>Yajña is not a generic blood-sacrifice mechanic or spend-resource button; forms, meanings, and participants vary.</x:v>
      </x:c>
      <x:c r="N383" s="120" t="str">
        <x:v>Links ritual economy, office, kingship, and cosmology more fully than a spell-cost model.</x:v>
      </x:c>
      <x:c r="O383" s="120" t="str">
        <x:v>Primary canon</x:v>
      </x:c>
      <x:c r="P383" s="120" t="str">
        <x:v>Primary text reviewed</x:v>
      </x:c>
      <x:c r="Q383" s="120" t="str">
        <x:v>Ādi, Sabhā, and Anuśāsana Parvas; sacrificial narratives and duties.</x:v>
      </x:c>
      <x:c r="R383" s="120" t="str">
        <x:v>https://www.gutenberg.org/ebooks/15477</x:v>
      </x:c>
      <x:c r="S383" s="120" t="str">
        <x:v>Seeded</x:v>
      </x:c>
    </x:row>
    <x:row r="384" ht="52" customHeight="1">
      <x:c r="A384" s="119" t="str">
        <x:v>ENT-0383</x:v>
      </x:c>
      <x:c r="B384" s="120" t="str">
        <x:v>Guru-dakṣiṇā</x:v>
      </x:c>
      <x:c r="C384" s="120" t="str">
        <x:v>SRC-277</x:v>
      </x:c>
      <x:c r="D384" s="120" t="str">
        <x:v>Mahābhārata — BORI Critical Edition</x:v>
      </x:c>
      <x:c r="E384" s="120" t="str">
        <x:v>Critical-edition-oriented source pass; Ganguli English translation reviewed at parva level</x:v>
      </x:c>
      <x:c r="F384" s="120" t="str">
        <x:v>Teacher–disciple obligation / return gift</x:v>
      </x:c>
      <x:c r="G384" s="120" t="str">
        <x:v>LAW-806</x:v>
      </x:c>
      <x:c r="H384" s="120" t="str">
        <x:f>IFERROR(VLOOKUP(G384,'Master Taxonomy'!$A$2:$B$1656,2,FALSE),"")</x:f>
        <x:v>Teacher–Disciple Debt</x:v>
      </x:c>
      <x:c r="I384" s="120" t="str">
        <x:v>LAW-213;LAW-214</x:v>
      </x:c>
      <x:c r="J384" s="120" t="str">
        <x:v>Reciprocity and Debt; Trial for a Gift</x:v>
      </x:c>
      <x:c r="K384" s="120" t="str">
        <x:v>A return, fee, service, task, or gift owed to a teacher within a relationship of instruction and authorized transmission.</x:v>
      </x:c>
      <x:c r="L384" s="120" t="str">
        <x:v>Learning, gratitude, debt, request, service, social status, and lineage.</x:v>
      </x:c>
      <x:c r="M384" s="120" t="str">
        <x:v>It is not simply tuition, a quest reward, or proof that a teacher owns the student; episodes can expose unequal or tragic demands.</x:v>
      </x:c>
      <x:c r="N384" s="120" t="str">
        <x:v>Adds an education-debt structure capable of shaping factions, vengeance, and political history.</x:v>
      </x:c>
      <x:c r="O384" s="120" t="str">
        <x:v>Primary canon</x:v>
      </x:c>
      <x:c r="P384" s="120" t="str">
        <x:v>Primary text reviewed</x:v>
      </x:c>
      <x:c r="Q384" s="120" t="str">
        <x:v>Ādi Parva teaching and martial-lineage narratives.</x:v>
      </x:c>
      <x:c r="R384" s="120" t="str">
        <x:v>https://www.gutenberg.org/ebooks/15474</x:v>
      </x:c>
      <x:c r="S384" s="120" t="str">
        <x:v>Seeded</x:v>
      </x:c>
    </x:row>
    <x:row r="385" ht="52" customHeight="1">
      <x:c r="A385" s="119" t="str">
        <x:v>ENT-0384</x:v>
      </x:c>
      <x:c r="B385" s="120" t="str">
        <x:v>Atithi-dharma and guest obligation</x:v>
      </x:c>
      <x:c r="C385" s="120" t="str">
        <x:v>SRC-277</x:v>
      </x:c>
      <x:c r="D385" s="120" t="str">
        <x:v>Mahābhārata — BORI Critical Edition</x:v>
      </x:c>
      <x:c r="E385" s="120" t="str">
        <x:v>Critical-edition-oriented source pass; Ganguli English translation reviewed at parva level</x:v>
      </x:c>
      <x:c r="F385" s="120" t="str">
        <x:v>Sacred hospitality law</x:v>
      </x:c>
      <x:c r="G385" s="120" t="str">
        <x:v>LAW-801</x:v>
      </x:c>
      <x:c r="H385" s="120" t="str">
        <x:f>IFERROR(VLOOKUP(G385,'Master Taxonomy'!$A$2:$B$1656,2,FALSE),"")</x:f>
        <x:v>Sacred Hospitality</x:v>
      </x:c>
      <x:c r="I385" s="120" t="str">
        <x:v>LAW-802;LAW-816</x:v>
      </x:c>
      <x:c r="J385" s="120" t="str">
        <x:v>Guest–Host Reciprocity; Sanctuary Violation</x:v>
      </x:c>
      <x:c r="K385" s="120" t="str">
        <x:v>Duties toward an arriving guest involve welcome, food, protection, attention, restraint, and the moral or sacred consequences of treatment.</x:v>
      </x:c>
      <x:c r="L385" s="120" t="str">
        <x:v>Host status, guest status, timing, food, shelter, recognition, and social-religious order.</x:v>
      </x:c>
      <x:c r="M385" s="120" t="str">
        <x:v>It is not interchangeable with Greek xenia or a generic hospitality buff; the term and duties are source-specific.</x:v>
      </x:c>
      <x:c r="N385" s="120" t="str">
        <x:v>A source-grounded hospitality model linking household ethics to cosmic and narrative consequence.</x:v>
      </x:c>
      <x:c r="O385" s="120" t="str">
        <x:v>Primary canon</x:v>
      </x:c>
      <x:c r="P385" s="120" t="str">
        <x:v>Primary text reviewed</x:v>
      </x:c>
      <x:c r="Q385" s="120" t="str">
        <x:v>Vana, Śānti, and Anuśāsana Parvas; hospitality narratives and instruction.</x:v>
      </x:c>
      <x:c r="R385" s="120" t="str">
        <x:v>https://www.gutenberg.org/ebooks/15477</x:v>
      </x:c>
      <x:c r="S385" s="120" t="str">
        <x:v>Seeded</x:v>
      </x:c>
    </x:row>
    <x:row r="386" ht="52" customHeight="1">
      <x:c r="A386" s="119" t="str">
        <x:v>ENT-0385</x:v>
      </x:c>
      <x:c r="B386" s="120" t="str">
        <x:v>Rāja-dharma (duties of rulership)</x:v>
      </x:c>
      <x:c r="C386" s="120" t="str">
        <x:v>SRC-277</x:v>
      </x:c>
      <x:c r="D386" s="120" t="str">
        <x:v>Mahābhārata — BORI Critical Edition</x:v>
      </x:c>
      <x:c r="E386" s="120" t="str">
        <x:v>Critical-edition-oriented source pass; Ganguli English translation reviewed at parva level</x:v>
      </x:c>
      <x:c r="F386" s="120" t="str">
        <x:v>Kingship law / political ethics</x:v>
      </x:c>
      <x:c r="G386" s="120" t="str">
        <x:v>LAW-509</x:v>
      </x:c>
      <x:c r="H386" s="120" t="str">
        <x:f>IFERROR(VLOOKUP(G386,'Master Taxonomy'!$A$2:$B$1656,2,FALSE),"")</x:f>
        <x:v>Sacred Kingship</x:v>
      </x:c>
      <x:c r="I386" s="120" t="str">
        <x:v>LAW-505;ROL-701</x:v>
      </x:c>
      <x:c r="J386" s="120" t="str">
        <x:v>Cosmic or Social Order; Monarch</x:v>
      </x:c>
      <x:c r="K386" s="120" t="str">
        <x:v>A body of questions and teachings concerning protection, justice, taxation, force, counsel, emergency, punishment, welfare, and the ruler's relation to order.</x:v>
      </x:c>
      <x:c r="L386" s="120" t="str">
        <x:v>Office, circumstance, counsel, law, coercion, protection, and accountability.</x:v>
      </x:c>
      <x:c r="M386" s="120" t="str">
        <x:v>It is not a monarch class feature or proof that kingship is automatically sacred and just.</x:v>
      </x:c>
      <x:c r="N386" s="120" t="str">
        <x:v>Provides a reusable political-ethical framework for fantasy rulers facing postwar governance.</x:v>
      </x:c>
      <x:c r="O386" s="120" t="str">
        <x:v>Primary canon</x:v>
      </x:c>
      <x:c r="P386" s="120" t="str">
        <x:v>Primary text reviewed</x:v>
      </x:c>
      <x:c r="Q386" s="120" t="str">
        <x:v>Śānti Parva, Rāja-dharma material.</x:v>
      </x:c>
      <x:c r="R386" s="120" t="str">
        <x:v>https://www.gutenberg.org/ebooks/15476</x:v>
      </x:c>
      <x:c r="S386" s="120" t="str">
        <x:v>Seeded</x:v>
      </x:c>
    </x:row>
    <x:row r="387" ht="52" customHeight="1">
      <x:c r="A387" s="119" t="str">
        <x:v>ENT-0386</x:v>
      </x:c>
      <x:c r="B387" s="120" t="str">
        <x:v>Mokṣa-dharma and liberation discourse</x:v>
      </x:c>
      <x:c r="C387" s="120" t="str">
        <x:v>SRC-277</x:v>
      </x:c>
      <x:c r="D387" s="120" t="str">
        <x:v>Mahābhārata — BORI Critical Edition</x:v>
      </x:c>
      <x:c r="E387" s="120" t="str">
        <x:v>Critical-edition-oriented source pass; Ganguli English translation reviewed at parva level</x:v>
      </x:c>
      <x:c r="F387" s="120" t="str">
        <x:v>Liberation-oriented teaching / metaphysical law</x:v>
      </x:c>
      <x:c r="G387" s="120" t="str">
        <x:v>LAW-715</x:v>
      </x:c>
      <x:c r="H387" s="120" t="str">
        <x:f>IFERROR(VLOOKUP(G387,'Master Taxonomy'!$A$2:$B$1656,2,FALSE),"")</x:f>
        <x:v>Escape from the Cycle or Liberation</x:v>
      </x:c>
      <x:c r="I387" s="120" t="str">
        <x:v>LAW-505;COS-308;ROL-933</x:v>
      </x:c>
      <x:c r="J387" s="120" t="str">
        <x:v>Cosmic or Social Order; Reincarnation Cycle; Ascetic or Renunciant</x:v>
      </x:c>
      <x:c r="K387" s="120" t="str">
        <x:v>Teachings examine action, knowledge, renunciation, self, death, rebirth, discipline, and possible release from repeated embodied existence.</x:v>
      </x:c>
      <x:c r="L387" s="120" t="str">
        <x:v>Knowledge, practice, detachment, conduct, contemplation, and source-specific philosophical positions.</x:v>
      </x:c>
      <x:c r="M387" s="120" t="str">
        <x:v>Mokṣa is not level-cap ascension, immortality, heaven access, or a single doctrine uniformly stated across the epic.</x:v>
      </x:c>
      <x:c r="N387" s="120" t="str">
        <x:v>Adds a soteriological goal distinct from power accumulation and postmortem reward.</x:v>
      </x:c>
      <x:c r="O387" s="120" t="str">
        <x:v>Primary canon</x:v>
      </x:c>
      <x:c r="P387" s="120" t="str">
        <x:v>Primary text reviewed</x:v>
      </x:c>
      <x:c r="Q387" s="120" t="str">
        <x:v>Śānti Parva, Mokṣa-dharma material.</x:v>
      </x:c>
      <x:c r="R387" s="120" t="str">
        <x:v>https://www.gutenberg.org/ebooks/15476</x:v>
      </x:c>
      <x:c r="S387" s="120" t="str">
        <x:v>Seeded</x:v>
      </x:c>
    </x:row>
    <x:row r="388" ht="52" customHeight="1">
      <x:c r="A388" s="119" t="str">
        <x:v>ENT-0387</x:v>
      </x:c>
      <x:c r="B388" s="120" t="str">
        <x:v>Kinship duty and divided obligation</x:v>
      </x:c>
      <x:c r="C388" s="120" t="str">
        <x:v>SRC-277</x:v>
      </x:c>
      <x:c r="D388" s="120" t="str">
        <x:v>Mahābhārata — BORI Critical Edition</x:v>
      </x:c>
      <x:c r="E388" s="120" t="str">
        <x:v>Critical-edition-oriented source pass; Ganguli English translation reviewed at parva level</x:v>
      </x:c>
      <x:c r="F388" s="120" t="str">
        <x:v>Social-metaphysical obligation</x:v>
      </x:c>
      <x:c r="G388" s="120" t="str">
        <x:v>LAW-803</x:v>
      </x:c>
      <x:c r="H388" s="120" t="str">
        <x:f>IFERROR(VLOOKUP(G388,'Master Taxonomy'!$A$2:$B$1656,2,FALSE),"")</x:f>
        <x:v>Kinship Blessing or Curse</x:v>
      </x:c>
      <x:c r="I388" s="120" t="str">
        <x:v>LAW-812;NAR-452</x:v>
      </x:c>
      <x:c r="J388" s="120" t="str">
        <x:v>Ancestor Obligation; Conflict of Duties</x:v>
      </x:c>
      <x:c r="K388" s="120" t="str">
        <x:v>Parents, children, siblings, spouses, teachers, allies, dependents, and dynastic kin generate overlapping duties that can become mutually impossible.</x:v>
      </x:c>
      <x:c r="L388" s="120" t="str">
        <x:v>Relationship, lineage, care, succession, oath, memory, and social order.</x:v>
      </x:c>
      <x:c r="M388" s="120" t="str">
        <x:v>Kinship is not a passive background tag; it structures moral conflict and political legitimacy.</x:v>
      </x:c>
      <x:c r="N388" s="120" t="str">
        <x:v>A major framework for stories where every available action violates some real duty.</x:v>
      </x:c>
      <x:c r="O388" s="120" t="str">
        <x:v>Primary canon</x:v>
      </x:c>
      <x:c r="P388" s="120" t="str">
        <x:v>Official reference reviewed</x:v>
      </x:c>
      <x:c r="Q388" s="120" t="str">
        <x:v>Epic-wide; dynastic, marital, and battlefield dilemmas.</x:v>
      </x:c>
      <x:c r="R388" s="120" t="str">
        <x:v>https://bori.ac.in/department/mahabharata/</x:v>
      </x:c>
      <x:c r="S388" s="120" t="str">
        <x:v>Seeded</x:v>
      </x:c>
    </x:row>
    <x:row r="389" ht="52" customHeight="1">
      <x:c r="A389" s="119" t="str">
        <x:v>ENT-0388</x:v>
      </x:c>
      <x:c r="B389" s="120" t="str">
        <x:v>Funerary and ancestor rites</x:v>
      </x:c>
      <x:c r="C389" s="120" t="str">
        <x:v>SRC-277</x:v>
      </x:c>
      <x:c r="D389" s="120" t="str">
        <x:v>Mahābhārata — BORI Critical Edition</x:v>
      </x:c>
      <x:c r="E389" s="120" t="str">
        <x:v>Critical-edition-oriented source pass; Ganguli English translation reviewed at parva level</x:v>
      </x:c>
      <x:c r="F389" s="120" t="str">
        <x:v>Death rite / kinship obligation</x:v>
      </x:c>
      <x:c r="G389" s="120" t="str">
        <x:v>LAW-706</x:v>
      </x:c>
      <x:c r="H389" s="120" t="str">
        <x:f>IFERROR(VLOOKUP(G389,'Master Taxonomy'!$A$2:$B$1656,2,FALSE),"")</x:f>
        <x:v>Burial or Funeral Requirement</x:v>
      </x:c>
      <x:c r="I389" s="120" t="str">
        <x:v>LAW-306;LAW-812;COS-204</x:v>
      </x:c>
      <x:c r="J389" s="120" t="str">
        <x:v>Ancestor Offering; Ancestor Obligation; Ancestor Realm</x:v>
      </x:c>
      <x:c r="K389" s="120" t="str">
        <x:v>Rites for the dead connect grief, body, name, lineage, offerings, postmortem welfare, social continuity, and the duties of survivors.</x:v>
      </x:c>
      <x:c r="L389" s="120" t="str">
        <x:v>Kinship, ritual expertise, offerings, memory, place, and afterlife order.</x:v>
      </x:c>
      <x:c r="M389" s="120" t="str">
        <x:v>They are not corpse-disposal mechanics or necromantic summoning procedures.</x:v>
      </x:c>
      <x:c r="N389" s="120" t="str">
        <x:v>Strengthens the database's treatment of death as social and ritual process, not only monster state.</x:v>
      </x:c>
      <x:c r="O389" s="120" t="str">
        <x:v>Primary canon</x:v>
      </x:c>
      <x:c r="P389" s="120" t="str">
        <x:v>Primary text reviewed</x:v>
      </x:c>
      <x:c r="Q389" s="120" t="str">
        <x:v>Strī, Śānti, and Anuśāsana Parvas; mourning and duty material.</x:v>
      </x:c>
      <x:c r="R389" s="120" t="str">
        <x:v>https://www.gutenberg.org/ebooks/15477</x:v>
      </x:c>
      <x:c r="S389" s="120" t="str">
        <x:v>Seeded</x:v>
      </x:c>
    </x:row>
    <x:row r="390" ht="52" customHeight="1">
      <x:c r="A390" s="119" t="str">
        <x:v>ENT-0389</x:v>
      </x:c>
      <x:c r="B390" s="120" t="str">
        <x:v>Boon, curse, and loophole logic</x:v>
      </x:c>
      <x:c r="C390" s="120" t="str">
        <x:v>SRC-277</x:v>
      </x:c>
      <x:c r="D390" s="120" t="str">
        <x:v>Mahābhārata — BORI Critical Edition</x:v>
      </x:c>
      <x:c r="E390" s="120" t="str">
        <x:v>Critical-edition-oriented source pass; Ganguli English translation reviewed at parva level</x:v>
      </x:c>
      <x:c r="F390" s="120" t="str">
        <x:v>Conditional metaphysical rule</x:v>
      </x:c>
      <x:c r="G390" s="120" t="str">
        <x:v>LAW-215</x:v>
      </x:c>
      <x:c r="H390" s="120" t="str">
        <x:f>IFERROR(VLOOKUP(G390,'Master Taxonomy'!$A$2:$B$1656,2,FALSE),"")</x:f>
        <x:v>Boon Loophole</x:v>
      </x:c>
      <x:c r="I390" s="120" t="str">
        <x:v>LAW-202;LAW-204;LAW-216</x:v>
      </x:c>
      <x:c r="J390" s="120" t="str">
        <x:v>Conditional Boon; Curse; Exact-Wording Contract</x:v>
      </x:c>
      <x:c r="K390" s="120" t="str">
        <x:v>Grants and curses often depend on exact conditions, exclusions, timing, identities, interpretation, mitigation, and interactions with later promises or actions.</x:v>
      </x:c>
      <x:c r="L390" s="120" t="str">
        <x:v>Sacred speech, authority, wording, fate, relationship, and counter-condition.</x:v>
      </x:c>
      <x:c r="M390" s="120" t="str">
        <x:v>This is not one universal legal code; each episode must be read on its own terms.</x:v>
      </x:c>
      <x:c r="N390" s="120" t="str">
        <x:v>A reusable law family for conditional invulnerability, transformed identity, and apparently paradoxical outcomes.</x:v>
      </x:c>
      <x:c r="O390" s="120" t="str">
        <x:v>Primary canon</x:v>
      </x:c>
      <x:c r="P390" s="120" t="str">
        <x:v>Primary text reviewed</x:v>
      </x:c>
      <x:c r="Q390" s="120" t="str">
        <x:v>Epic-wide boon and curse narratives; parva-level review.</x:v>
      </x:c>
      <x:c r="R390" s="120" t="str">
        <x:v>https://www.gutenberg.org/ebooks/15477</x:v>
      </x:c>
      <x:c r="S390" s="120" t="str">
        <x:v>Seeded</x:v>
      </x:c>
    </x:row>
    <x:row r="391" ht="52" customHeight="1">
      <x:c r="A391" s="119" t="str">
        <x:v>ENT-0390</x:v>
      </x:c>
      <x:c r="B391" s="120" t="str">
        <x:v>Kuru dynasty</x:v>
      </x:c>
      <x:c r="C391" s="120" t="str">
        <x:v>SRC-277</x:v>
      </x:c>
      <x:c r="D391" s="120" t="str">
        <x:v>Mahābhārata — BORI Critical Edition</x:v>
      </x:c>
      <x:c r="E391" s="120" t="str">
        <x:v>Critical-edition-oriented source pass; Ganguli English translation reviewed at parva level</x:v>
      </x:c>
      <x:c r="F391" s="120" t="str">
        <x:v>Dynasty / kinship polity</x:v>
      </x:c>
      <x:c r="G391" s="120" t="str">
        <x:v>INS-404</x:v>
      </x:c>
      <x:c r="H391" s="120" t="str">
        <x:f>IFERROR(VLOOKUP(G391,'Master Taxonomy'!$A$2:$B$1656,2,FALSE),"")</x:f>
        <x:v>Dynasty</x:v>
      </x:c>
      <x:c r="I391" s="120" t="str">
        <x:v>LAW-803;ROL-701</x:v>
      </x:c>
      <x:c r="J391" s="120" t="str">
        <x:v>Kinship Blessing or Curse; Monarch</x:v>
      </x:c>
      <x:c r="K391" s="120" t="str">
        <x:v>A royal lineage whose descent, succession, marriage, inheritance, territory, memory, and internal divisions organize the epic's central conflict.</x:v>
      </x:c>
      <x:c r="L391" s="120" t="str">
        <x:v>Kinship, legitimacy, office, marriage alliance, inheritance, and political recognition.</x:v>
      </x:c>
      <x:c r="M391" s="120" t="str">
        <x:v>The dynasty is not a faction selected at character creation; competing branches remain bound by shared ancestry and institutions.</x:v>
      </x:c>
      <x:c r="N391" s="120" t="str">
        <x:v>A model for dynastic worldbuilding where family and polity cannot be cleanly separated.</x:v>
      </x:c>
      <x:c r="O391" s="120" t="str">
        <x:v>Primary canon</x:v>
      </x:c>
      <x:c r="P391" s="120" t="str">
        <x:v>Primary text reviewed</x:v>
      </x:c>
      <x:c r="Q391" s="120" t="str">
        <x:v>Ādi and Sabhā Parvas; genealogical and court material.</x:v>
      </x:c>
      <x:c r="R391" s="120" t="str">
        <x:v>https://www.gutenberg.org/ebooks/15474</x:v>
      </x:c>
      <x:c r="S391" s="120" t="str">
        <x:v>Seeded</x:v>
      </x:c>
    </x:row>
    <x:row r="392" ht="52" customHeight="1">
      <x:c r="A392" s="119" t="str">
        <x:v>ENT-0391</x:v>
      </x:c>
      <x:c r="B392" s="120" t="str">
        <x:v>Pāṇḍava sibling coalition</x:v>
      </x:c>
      <x:c r="C392" s="120" t="str">
        <x:v>SRC-277</x:v>
      </x:c>
      <x:c r="D392" s="120" t="str">
        <x:v>Mahābhārata — BORI Critical Edition</x:v>
      </x:c>
      <x:c r="E392" s="120" t="str">
        <x:v>Critical-edition-oriented source pass; Ganguli English translation reviewed at parva level</x:v>
      </x:c>
      <x:c r="F392" s="120" t="str">
        <x:v>Dynastic branch / oath-kin political coalition</x:v>
      </x:c>
      <x:c r="G392" s="120" t="str">
        <x:v>INS-400</x:v>
      </x:c>
      <x:c r="H392" s="120" t="str">
        <x:f>IFERROR(VLOOKUP(G392,'Master Taxonomy'!$A$2:$B$1656,2,FALSE),"")</x:f>
        <x:v>Kinship, Political, and Secret Organizations</x:v>
      </x:c>
      <x:c r="I392" s="120" t="str">
        <x:v>LAW-810;INS-404;NAR-200</x:v>
      </x:c>
      <x:c r="J392" s="120" t="str">
        <x:v>Oath Brotherhood or Chosen Kinship; Dynasty; Companion, Mentor, and Party Archetypes</x:v>
      </x:c>
      <x:c r="K392" s="120" t="str">
        <x:v>A sibling-centered political and heroic coalition shaped by shared exile, marriage, vows, differentiated skills, kinship, and claims to rule.</x:v>
      </x:c>
      <x:c r="L392" s="120" t="str">
        <x:v>Birth, sibling relation, alliance, marriage, common ordeal, and dynastic claim.</x:v>
      </x:c>
      <x:c r="M392" s="120" t="str">
        <x:v>It is not merely an adventuring party or five character classes; kinship and sovereignty organize the group.</x:v>
      </x:c>
      <x:c r="N392" s="120" t="str">
        <x:v>A party-like ensemble whose cohesion is political, familial, ritual, and narrative at once.</x:v>
      </x:c>
      <x:c r="O392" s="120" t="str">
        <x:v>Primary canon</x:v>
      </x:c>
      <x:c r="P392" s="120" t="str">
        <x:v>Official reference reviewed</x:v>
      </x:c>
      <x:c r="Q392" s="120" t="str">
        <x:v>Ādi through Svargārohaṇa Parvas; epic-wide.</x:v>
      </x:c>
      <x:c r="R392" s="120" t="str">
        <x:v>https://bori.ac.in/department/mahabharata/</x:v>
      </x:c>
      <x:c r="S392" s="120" t="str">
        <x:v>Seeded</x:v>
      </x:c>
    </x:row>
    <x:row r="393" ht="52" customHeight="1">
      <x:c r="A393" s="119" t="str">
        <x:v>ENT-0392</x:v>
      </x:c>
      <x:c r="B393" s="120" t="str">
        <x:v>Kaurava court faction</x:v>
      </x:c>
      <x:c r="C393" s="120" t="str">
        <x:v>SRC-277</x:v>
      </x:c>
      <x:c r="D393" s="120" t="str">
        <x:v>Mahābhārata — BORI Critical Edition</x:v>
      </x:c>
      <x:c r="E393" s="120" t="str">
        <x:v>Critical-edition-oriented source pass; Ganguli English translation reviewed at parva level</x:v>
      </x:c>
      <x:c r="F393" s="120" t="str">
        <x:v>Dynastic branch / court coalition</x:v>
      </x:c>
      <x:c r="G393" s="120" t="str">
        <x:v>INS-400</x:v>
      </x:c>
      <x:c r="H393" s="120" t="str">
        <x:f>IFERROR(VLOOKUP(G393,'Master Taxonomy'!$A$2:$B$1656,2,FALSE),"")</x:f>
        <x:v>Kinship, Political, and Secret Organizations</x:v>
      </x:c>
      <x:c r="I393" s="120" t="str">
        <x:v>INS-404;INS-405;LAW-803</x:v>
      </x:c>
      <x:c r="J393" s="120" t="str">
        <x:v>Dynasty; Royal Court; Kinship Blessing or Curse</x:v>
      </x:c>
      <x:c r="K393" s="120" t="str">
        <x:v>A dynastic and court-centered coalition whose identity emerges through sibling relations, succession politics, advisers, allies, debts, and institutional control.</x:v>
      </x:c>
      <x:c r="L393" s="120" t="str">
        <x:v>Kinship, court office, succession claim, patronage, alliance, and loyalty.</x:v>
      </x:c>
      <x:c r="M393" s="120" t="str">
        <x:v>It is not a biologically distinct enemy race or morally homogeneous evil faction.</x:v>
      </x:c>
      <x:c r="N393" s="120" t="str">
        <x:v>A corrective to faction taxonomies that turn dynastic opponents into different peoples.</x:v>
      </x:c>
      <x:c r="O393" s="120" t="str">
        <x:v>Primary canon</x:v>
      </x:c>
      <x:c r="P393" s="120" t="str">
        <x:v>Primary text reviewed</x:v>
      </x:c>
      <x:c r="Q393" s="120" t="str">
        <x:v>Ādi, Sabhā, and Udyoga Parvas.</x:v>
      </x:c>
      <x:c r="R393" s="120" t="str">
        <x:v>https://www.gutenberg.org/ebooks/15475</x:v>
      </x:c>
      <x:c r="S393" s="120" t="str">
        <x:v>Seeded</x:v>
      </x:c>
    </x:row>
    <x:row r="394" ht="52" customHeight="1">
      <x:c r="A394" s="119" t="str">
        <x:v>ENT-0393</x:v>
      </x:c>
      <x:c r="B394" s="120" t="str">
        <x:v>Guru–disciple lineage</x:v>
      </x:c>
      <x:c r="C394" s="120" t="str">
        <x:v>SRC-277</x:v>
      </x:c>
      <x:c r="D394" s="120" t="str">
        <x:v>Mahābhārata — BORI Critical Edition</x:v>
      </x:c>
      <x:c r="E394" s="120" t="str">
        <x:v>Critical-edition-oriented source pass; Ganguli English translation reviewed at parva level</x:v>
      </x:c>
      <x:c r="F394" s="120" t="str">
        <x:v>Teaching and transmission institution</x:v>
      </x:c>
      <x:c r="G394" s="120" t="str">
        <x:v>INS-425</x:v>
      </x:c>
      <x:c r="H394" s="120" t="str">
        <x:f>IFERROR(VLOOKUP(G394,'Master Taxonomy'!$A$2:$B$1656,2,FALSE),"")</x:f>
        <x:v>Teacher–Disciple Lineage</x:v>
      </x:c>
      <x:c r="I394" s="120" t="str">
        <x:v>LAW-806;ROL-935</x:v>
      </x:c>
      <x:c r="J394" s="120" t="str">
        <x:v>Teacher–Disciple Debt; Martial Preceptor</x:v>
      </x:c>
      <x:c r="K394" s="120" t="str">
        <x:v>A durable network of teachers and students through which martial and sacred knowledge, status, obligation, rivalry, and succession are transmitted.</x:v>
      </x:c>
      <x:c r="L394" s="120" t="str">
        <x:v>Instruction, initiation, service, debt, recognition, and lineage memory.</x:v>
      </x:c>
      <x:c r="M394" s="120" t="str">
        <x:v>It is not equivalent to a modern school, class trainer, or purely voluntary guild.</x:v>
      </x:c>
      <x:c r="N394" s="120" t="str">
        <x:v>A high-value institutional archetype linking ability acquisition to social debt and political history.</x:v>
      </x:c>
      <x:c r="O394" s="120" t="str">
        <x:v>Primary canon</x:v>
      </x:c>
      <x:c r="P394" s="120" t="str">
        <x:v>Primary text reviewed</x:v>
      </x:c>
      <x:c r="Q394" s="120" t="str">
        <x:v>Ādi and Droṇa Parvas; education and lineage narratives.</x:v>
      </x:c>
      <x:c r="R394" s="120" t="str">
        <x:v>https://www.gutenberg.org/ebooks/15475</x:v>
      </x:c>
      <x:c r="S394" s="120" t="str">
        <x:v>Seeded</x:v>
      </x:c>
    </x:row>
    <x:row r="395" ht="52" customHeight="1">
      <x:c r="A395" s="119" t="str">
        <x:v>ENT-0394</x:v>
      </x:c>
      <x:c r="B395" s="120" t="str">
        <x:v>Āśrama or hermitage</x:v>
      </x:c>
      <x:c r="C395" s="120" t="str">
        <x:v>SRC-277</x:v>
      </x:c>
      <x:c r="D395" s="120" t="str">
        <x:v>Mahābhārata — BORI Critical Edition</x:v>
      </x:c>
      <x:c r="E395" s="120" t="str">
        <x:v>Critical-edition-oriented source pass; Ganguli English translation reviewed at parva level</x:v>
      </x:c>
      <x:c r="F395" s="120" t="str">
        <x:v>Sacred residence / learning and hospitality institution</x:v>
      </x:c>
      <x:c r="G395" s="120" t="str">
        <x:v>INS-424</x:v>
      </x:c>
      <x:c r="H395" s="120" t="str">
        <x:f>IFERROR(VLOOKUP(G395,'Master Taxonomy'!$A$2:$B$1656,2,FALSE),"")</x:f>
        <x:v>Hermitage or Ascetic Community</x:v>
      </x:c>
      <x:c r="I395" s="120" t="str">
        <x:v>COS-503;LAW-801;ROL-933</x:v>
      </x:c>
      <x:c r="J395" s="120" t="str">
        <x:v>Sacred Forest or Grove; Sacred Hospitality; Ascetic or Renunciant</x:v>
      </x:c>
      <x:c r="K395" s="120" t="str">
        <x:v>A retreat or residence associated with sages, students, ritual, hospitality, teaching, forest life, visitation, and political mediation.</x:v>
      </x:c>
      <x:c r="L395" s="120" t="str">
        <x:v>Place, teacher community, sacred practice, hospitality, ecology, and patronage.</x:v>
      </x:c>
      <x:c r="M395" s="120" t="str">
        <x:v>It should not be flattened into a monastery, wizard academy, or neutral safe zone.</x:v>
      </x:c>
      <x:c r="N395" s="120" t="str">
        <x:v>An institution where sacred geography, learning, household, and renunciation overlap.</x:v>
      </x:c>
      <x:c r="O395" s="120" t="str">
        <x:v>Primary canon</x:v>
      </x:c>
      <x:c r="P395" s="120" t="str">
        <x:v>Primary text reviewed</x:v>
      </x:c>
      <x:c r="Q395" s="120" t="str">
        <x:v>Ādi and Vana Parvas; hermitage episodes.</x:v>
      </x:c>
      <x:c r="R395" s="120" t="str">
        <x:v>https://www.gutenberg.org/ebooks/15474</x:v>
      </x:c>
      <x:c r="S395" s="120" t="str">
        <x:v>Seeded</x:v>
      </x:c>
    </x:row>
    <x:row r="396" ht="52" customHeight="1">
      <x:c r="A396" s="119" t="str">
        <x:v>ENT-0395</x:v>
      </x:c>
      <x:c r="B396" s="120" t="str">
        <x:v>Sabhā or royal assembly</x:v>
      </x:c>
      <x:c r="C396" s="120" t="str">
        <x:v>SRC-277</x:v>
      </x:c>
      <x:c r="D396" s="120" t="str">
        <x:v>Mahābhārata — BORI Critical Edition</x:v>
      </x:c>
      <x:c r="E396" s="120" t="str">
        <x:v>Critical-edition-oriented source pass; Ganguli English translation reviewed at parva level</x:v>
      </x:c>
      <x:c r="F396" s="120" t="str">
        <x:v>Court assembly / political institution</x:v>
      </x:c>
      <x:c r="G396" s="120" t="str">
        <x:v>INS-426</x:v>
      </x:c>
      <x:c r="H396" s="120" t="str">
        <x:f>IFERROR(VLOOKUP(G396,'Master Taxonomy'!$A$2:$B$1656,2,FALSE),"")</x:f>
        <x:v>Royal Assembly or Council Hall</x:v>
      </x:c>
      <x:c r="I396" s="120" t="str">
        <x:v>INS-405;LAW-616</x:v>
      </x:c>
      <x:c r="J396" s="120" t="str">
        <x:v>Royal Court; Witness and Public Recognition</x:v>
      </x:c>
      <x:c r="K396" s="120" t="str">
        <x:v>A formal hall and gathering where rulership, diplomacy, spectacle, gifts, judgment, debate, games, and public recognition are enacted.</x:v>
      </x:c>
      <x:c r="L396" s="120" t="str">
        <x:v>Architecture, office, witness, rank, rhetoric, hospitality, and procedure.</x:v>
      </x:c>
      <x:c r="M396" s="120" t="str">
        <x:v>It is not merely a throne room backdrop; public assembly gives acts political and legal force.</x:v>
      </x:c>
      <x:c r="N396" s="120" t="str">
        <x:v>Adds a court institution in which performance and witnessed procedure reshape sovereignty.</x:v>
      </x:c>
      <x:c r="O396" s="120" t="str">
        <x:v>Primary canon</x:v>
      </x:c>
      <x:c r="P396" s="120" t="str">
        <x:v>Primary text reviewed</x:v>
      </x:c>
      <x:c r="Q396" s="120" t="str">
        <x:v>Sabhā Parva.</x:v>
      </x:c>
      <x:c r="R396" s="120" t="str">
        <x:v>https://www.gutenberg.org/ebooks/15474</x:v>
      </x:c>
      <x:c r="S396" s="120" t="str">
        <x:v>Seeded</x:v>
      </x:c>
    </x:row>
    <x:row r="397" ht="52" customHeight="1">
      <x:c r="A397" s="119" t="str">
        <x:v>ENT-0396</x:v>
      </x:c>
      <x:c r="B397" s="120" t="str">
        <x:v>Akṣauhiṇī war host</x:v>
      </x:c>
      <x:c r="C397" s="120" t="str">
        <x:v>SRC-277</x:v>
      </x:c>
      <x:c r="D397" s="120" t="str">
        <x:v>Mahābhārata — BORI Critical Edition</x:v>
      </x:c>
      <x:c r="E397" s="120" t="str">
        <x:v>Critical-edition-oriented source pass; Ganguli English translation reviewed at parva level</x:v>
      </x:c>
      <x:c r="F397" s="120" t="str">
        <x:v>Army-scale formation / enumerated military institution</x:v>
      </x:c>
      <x:c r="G397" s="120" t="str">
        <x:v>INS-201</x:v>
      </x:c>
      <x:c r="H397" s="120" t="str">
        <x:f>IFERROR(VLOOKUP(G397,'Master Taxonomy'!$A$2:$B$1656,2,FALSE),"")</x:f>
        <x:v>Army or Legion</x:v>
      </x:c>
      <x:c r="I397" s="120" t="str">
        <x:v>ROL-710;ART-507</x:v>
      </x:c>
      <x:c r="J397" s="120" t="str">
        <x:v>General and Marshal; War Chariot</x:v>
      </x:c>
      <x:c r="K397" s="120" t="str">
        <x:v>A large, formally enumerated composite force of chariots, elephants, cavalry, and infantry used to describe army scale and organization.</x:v>
      </x:c>
      <x:c r="L397" s="120" t="str">
        <x:v>Military enumeration, command, unit composition, alliance, logistics, and prestige.</x:v>
      </x:c>
      <x:c r="M397" s="120" t="str">
        <x:v>It is not a character level or species category, and exact enumeration belongs to the source's military imagination.</x:v>
      </x:c>
      <x:c r="N397" s="120" t="str">
        <x:v>A useful bridge between epic army description and strategy-game unit taxonomy.</x:v>
      </x:c>
      <x:c r="O397" s="120" t="str">
        <x:v>Primary canon</x:v>
      </x:c>
      <x:c r="P397" s="120" t="str">
        <x:v>Primary text reviewed</x:v>
      </x:c>
      <x:c r="Q397" s="120" t="str">
        <x:v>Ādi and Udyoga/Bhīṣma Parvas; army enumeration and deployment.</x:v>
      </x:c>
      <x:c r="R397" s="120" t="str">
        <x:v>https://www.gutenberg.org/ebooks/15475</x:v>
      </x:c>
      <x:c r="S397" s="120" t="str">
        <x:v>Seeded</x:v>
      </x:c>
    </x:row>
    <x:row r="398" ht="52" customHeight="1">
      <x:c r="A398" s="119" t="str">
        <x:v>ENT-0397</x:v>
      </x:c>
      <x:c r="B398" s="120" t="str">
        <x:v>Svayaṃvara or marriage-selection assembly</x:v>
      </x:c>
      <x:c r="C398" s="120" t="str">
        <x:v>SRC-277</x:v>
      </x:c>
      <x:c r="D398" s="120" t="str">
        <x:v>Mahābhārata — BORI Critical Edition</x:v>
      </x:c>
      <x:c r="E398" s="120" t="str">
        <x:v>Critical-edition-oriented source pass; Ganguli English translation reviewed at parva level</x:v>
      </x:c>
      <x:c r="F398" s="120" t="str">
        <x:v>Marriage and alliance institution</x:v>
      </x:c>
      <x:c r="G398" s="120" t="str">
        <x:v>INS-427</x:v>
      </x:c>
      <x:c r="H398" s="120" t="str">
        <x:f>IFERROR(VLOOKUP(G398,'Master Taxonomy'!$A$2:$B$1656,2,FALSE),"")</x:f>
        <x:v>Marriage-Selection Assembly</x:v>
      </x:c>
      <x:c r="I398" s="120" t="str">
        <x:v>LAW-808;LAW-616</x:v>
      </x:c>
      <x:c r="J398" s="120" t="str">
        <x:v>Marriage Trial or Bridegroom/Bride Test; Witness and Public Recognition</x:v>
      </x:c>
      <x:c r="K398" s="120" t="str">
        <x:v>A public process in which marriage selection is structured through choice, lineage, assembly, political alliance, and sometimes contest or test.</x:v>
      </x:c>
      <x:c r="L398" s="120" t="str">
        <x:v>Kinship politics, public recognition, agency, qualification, competition, and alliance.</x:v>
      </x:c>
      <x:c r="M398" s="120" t="str">
        <x:v>It is not simply a tournament where a woman is a prize; specific episodes require close attention to agency and political context.</x:v>
      </x:c>
      <x:c r="N398" s="120" t="str">
        <x:v>A reusable institution linking marriage, succession, public trial, and interstate politics.</x:v>
      </x:c>
      <x:c r="O398" s="120" t="str">
        <x:v>Primary canon</x:v>
      </x:c>
      <x:c r="P398" s="120" t="str">
        <x:v>Primary text reviewed</x:v>
      </x:c>
      <x:c r="Q398" s="120" t="str">
        <x:v>Ādi Parva marriage narratives.</x:v>
      </x:c>
      <x:c r="R398" s="120" t="str">
        <x:v>https://www.gutenberg.org/ebooks/15474</x:v>
      </x:c>
      <x:c r="S398" s="120" t="str">
        <x:v>Seeded</x:v>
      </x:c>
    </x:row>
    <x:row r="399" ht="52" customHeight="1">
      <x:c r="A399" s="119" t="str">
        <x:v>ENT-0398</x:v>
      </x:c>
      <x:c r="B399" s="120" t="str">
        <x:v>Conflict among dharmic duties</x:v>
      </x:c>
      <x:c r="C399" s="120" t="str">
        <x:v>SRC-277</x:v>
      </x:c>
      <x:c r="D399" s="120" t="str">
        <x:v>Mahābhārata — BORI Critical Edition</x:v>
      </x:c>
      <x:c r="E399" s="120" t="str">
        <x:v>Critical-edition-oriented source pass; Ganguli English translation reviewed at parva level</x:v>
      </x:c>
      <x:c r="F399" s="120" t="str">
        <x:v>Ethical narrative structure</x:v>
      </x:c>
      <x:c r="G399" s="120" t="str">
        <x:v>NAR-452</x:v>
      </x:c>
      <x:c r="H399" s="120" t="str">
        <x:f>IFERROR(VLOOKUP(G399,'Master Taxonomy'!$A$2:$B$1656,2,FALSE),"")</x:f>
        <x:v>Conflict of Duties</x:v>
      </x:c>
      <x:c r="I399" s="120" t="str">
        <x:v>LAW-505;LAW-803</x:v>
      </x:c>
      <x:c r="J399" s="120" t="str">
        <x:v>Cosmic or Social Order; Kinship Blessing or Curse</x:v>
      </x:c>
      <x:c r="K399" s="120" t="str">
        <x:v>Major figures face incompatible claims from kinship, rulership, teacher debt, friendship, oath, justice, compassion, and social order.</x:v>
      </x:c>
      <x:c r="L399" s="120" t="str">
        <x:v>Relationship, office, knowledge, intention, consequence, and circumstance.</x:v>
      </x:c>
      <x:c r="M399" s="120" t="str">
        <x:v>The conflict cannot be represented faithfully as a simple alignment choice with one obviously correct answer.</x:v>
      </x:c>
      <x:c r="N399" s="120" t="str">
        <x:v>A central reusable archetype for morally dense fantasy that preserves legitimate competing obligations.</x:v>
      </x:c>
      <x:c r="O399" s="120" t="str">
        <x:v>Primary canon</x:v>
      </x:c>
      <x:c r="P399" s="120" t="str">
        <x:v>Primary text reviewed</x:v>
      </x:c>
      <x:c r="Q399" s="120" t="str">
        <x:v>Epic-wide; especially Udyoga, Bhīṣma, Droṇa, Karṇa, and Śānti Parvas.</x:v>
      </x:c>
      <x:c r="R399" s="120" t="str">
        <x:v>https://www.gutenberg.org/ebooks/15476</x:v>
      </x:c>
      <x:c r="S399" s="120" t="str">
        <x:v>Seeded</x:v>
      </x:c>
    </x:row>
    <x:row r="400" ht="52" customHeight="1">
      <x:c r="A400" s="119" t="str">
        <x:v>ENT-0399</x:v>
      </x:c>
      <x:c r="B400" s="120" t="str">
        <x:v>Bhīṣma as vow-bound elder pattern</x:v>
      </x:c>
      <x:c r="C400" s="120" t="str">
        <x:v>SRC-277</x:v>
      </x:c>
      <x:c r="D400" s="120" t="str">
        <x:v>Mahābhārata — BORI Critical Edition</x:v>
      </x:c>
      <x:c r="E400" s="120" t="str">
        <x:v>Critical-edition-oriented source pass; Ganguli English translation reviewed at parva level</x:v>
      </x:c>
      <x:c r="F400" s="120" t="str">
        <x:v>Character/narrative archetype</x:v>
      </x:c>
      <x:c r="G400" s="120" t="str">
        <x:v>NAR-444</x:v>
      </x:c>
      <x:c r="H400" s="120" t="str">
        <x:f>IFERROR(VLOOKUP(G400,'Master Taxonomy'!$A$2:$B$1656,2,FALSE),"")</x:f>
        <x:v>Vow-Bound Elder</x:v>
      </x:c>
      <x:c r="I400" s="120" t="str">
        <x:v>STA-309;LAW-101;ROL-712</x:v>
      </x:c>
      <x:c r="J400" s="120" t="str">
        <x:v>Oathbound State; Sacred Oath; Adviser and Counselor</x:v>
      </x:c>
      <x:c r="K400" s="120" t="str">
        <x:v>An elder guardian whose extraordinary vow enables dynastic continuity and moral authority while binding him to institutions and outcomes he cannot fully endorse.</x:v>
      </x:c>
      <x:c r="L400" s="120" t="str">
        <x:v>Vow, lineage duty, martial power, counsel, public recognition, and longevity.</x:v>
      </x:c>
      <x:c r="M400" s="120" t="str">
        <x:v>This is a source-specific character pattern, not a claim that Bhīṣma is reducible to the normalized archetype.</x:v>
      </x:c>
      <x:c r="N400" s="120" t="str">
        <x:v>A major reference point for the elder whose virtue and tragedy arise from the same binding promise.</x:v>
      </x:c>
      <x:c r="O400" s="120" t="str">
        <x:v>Primary canon</x:v>
      </x:c>
      <x:c r="P400" s="120" t="str">
        <x:v>Primary text reviewed</x:v>
      </x:c>
      <x:c r="Q400" s="120" t="str">
        <x:v>Ādi, Udyoga, and Bhīṣma Parvas.</x:v>
      </x:c>
      <x:c r="R400" s="120" t="str">
        <x:v>https://www.gutenberg.org/ebooks/15475</x:v>
      </x:c>
      <x:c r="S400" s="120" t="str">
        <x:v>Seeded</x:v>
      </x:c>
    </x:row>
    <x:row r="401" ht="52" customHeight="1">
      <x:c r="A401" s="119" t="str">
        <x:v>ENT-0400</x:v>
      </x:c>
      <x:c r="B401" s="120" t="str">
        <x:v>Karna as tragic loyalist pattern</x:v>
      </x:c>
      <x:c r="C401" s="120" t="str">
        <x:v>SRC-277</x:v>
      </x:c>
      <x:c r="D401" s="120" t="str">
        <x:v>Mahābhārata — BORI Critical Edition</x:v>
      </x:c>
      <x:c r="E401" s="120" t="str">
        <x:v>Critical-edition-oriented source pass; Ganguli English translation reviewed at parva level</x:v>
      </x:c>
      <x:c r="F401" s="120" t="str">
        <x:v>Character/narrative archetype</x:v>
      </x:c>
      <x:c r="G401" s="120" t="str">
        <x:v>NAR-445</x:v>
      </x:c>
      <x:c r="H401" s="120" t="str">
        <x:f>IFERROR(VLOOKUP(G401,'Master Taxonomy'!$A$2:$B$1656,2,FALSE),"")</x:f>
        <x:v>Tragic Loyalist</x:v>
      </x:c>
      <x:c r="I401" s="120" t="str">
        <x:v>NAR-106;LAW-213;LAW-803</x:v>
      </x:c>
      <x:c r="J401" s="120" t="str">
        <x:v>Hidden Royal or Secret Heir; Reciprocity and Debt; Kinship Blessing or Curse</x:v>
      </x:c>
      <x:c r="K401" s="120" t="str">
        <x:v>A heroic rival whose hidden birth, gratitude, friendship, status wounds, generosity, and loyalty bind him to a doomed side despite conflicting knowledge and kinship.</x:v>
      </x:c>
      <x:c r="L401" s="120" t="str">
        <x:v>Gift-debt, friendship, honor, hidden lineage, social recognition, and personal choice.</x:v>
      </x:c>
      <x:c r="M401" s="120" t="str">
        <x:v>This pattern must not erase Karna's individual contradictions or turn loyalty into simple moral virtue.</x:v>
      </x:c>
      <x:c r="N401" s="120" t="str">
        <x:v>A powerful comparative case for the noble adversary and indebted champion.</x:v>
      </x:c>
      <x:c r="O401" s="120" t="str">
        <x:v>Primary canon</x:v>
      </x:c>
      <x:c r="P401" s="120" t="str">
        <x:v>Primary text reviewed</x:v>
      </x:c>
      <x:c r="Q401" s="120" t="str">
        <x:v>Ādi, Udyoga, and Karṇa Parvas.</x:v>
      </x:c>
      <x:c r="R401" s="120" t="str">
        <x:v>https://www.gutenberg.org/ebooks/15476</x:v>
      </x:c>
      <x:c r="S401" s="120" t="str">
        <x:v>Seeded</x:v>
      </x:c>
    </x:row>
    <x:row r="402" ht="52" customHeight="1">
      <x:c r="A402" s="119" t="str">
        <x:v>ENT-0401</x:v>
      </x:c>
      <x:c r="B402" s="120" t="str">
        <x:v>Kṛṣṇa as divine charioteer-counselor pattern</x:v>
      </x:c>
      <x:c r="C402" s="120" t="str">
        <x:v>SRC-278</x:v>
      </x:c>
      <x:c r="D402" s="120" t="str">
        <x:v>Bhagavad Gītā (Mahābhārata, Bhīṣma Parva)</x:v>
      </x:c>
      <x:c r="E402" s="120" t="str">
        <x:v>Embedded textual unit and epic context; Sanskrit and translated text reviewed</x:v>
      </x:c>
      <x:c r="F402" s="120" t="str">
        <x:v>Character/narrative archetype</x:v>
      </x:c>
      <x:c r="G402" s="120" t="str">
        <x:v>NAR-446</x:v>
      </x:c>
      <x:c r="H402" s="120" t="str">
        <x:f>IFERROR(VLOOKUP(G402,'Master Taxonomy'!$A$2:$B$1656,2,FALSE),"")</x:f>
        <x:v>Divine Charioteer-Counselor</x:v>
      </x:c>
      <x:c r="I402" s="120" t="str">
        <x:v>ROL-133;ROL-712;PPL-403</x:v>
      </x:c>
      <x:c r="J402" s="120" t="str">
        <x:v>Charioteer; Adviser and Counselor; Avatars and Incarnations</x:v>
      </x:c>
      <x:c r="K402" s="120" t="str">
        <x:v>A divine figure serves as charioteer, envoy, strategist, friend, and revelatory counselor while declining a conventional combatant role in the central battle.</x:v>
      </x:c>
      <x:c r="L402" s="120" t="str">
        <x:v>Divine incarnation, friendship, counsel, political action, charioteer role, and revelation.</x:v>
      </x:c>
      <x:c r="M402" s="120" t="str">
        <x:v>The pattern is not equivalent to a support class, passive deity, or mentor NPC.</x:v>
      </x:c>
      <x:c r="N402" s="120" t="str">
        <x:v>A distinctive union of service position, strategic agency, divine embodiment, and ethical instruction.</x:v>
      </x:c>
      <x:c r="O402" s="120" t="str">
        <x:v>Primary canon</x:v>
      </x:c>
      <x:c r="P402" s="120" t="str">
        <x:v>Primary text reviewed</x:v>
      </x:c>
      <x:c r="Q402" s="120" t="str">
        <x:v>Udyoga and Bhīṣma Parvas; Bhagavad Gītā context.</x:v>
      </x:c>
      <x:c r="R402" s="120" t="str">
        <x:v>https://www.gitasupersite.iitk.ac.in/</x:v>
      </x:c>
      <x:c r="S402" s="120" t="str">
        <x:v>Seeded</x:v>
      </x:c>
    </x:row>
    <x:row r="403" ht="52" customHeight="1">
      <x:c r="A403" s="119" t="str">
        <x:v>ENT-0402</x:v>
      </x:c>
      <x:c r="B403" s="120" t="str">
        <x:v>Hidden royal and unrecognized heir</x:v>
      </x:c>
      <x:c r="C403" s="120" t="str">
        <x:v>SRC-277</x:v>
      </x:c>
      <x:c r="D403" s="120" t="str">
        <x:v>Mahābhārata — BORI Critical Edition</x:v>
      </x:c>
      <x:c r="E403" s="120" t="str">
        <x:v>Critical-edition-oriented source pass; Ganguli English translation reviewed at parva level</x:v>
      </x:c>
      <x:c r="F403" s="120" t="str">
        <x:v>Identity and lineage archetype</x:v>
      </x:c>
      <x:c r="G403" s="120" t="str">
        <x:v>NAR-106</x:v>
      </x:c>
      <x:c r="H403" s="120" t="str">
        <x:f>IFERROR(VLOOKUP(G403,'Master Taxonomy'!$A$2:$B$1656,2,FALSE),"")</x:f>
        <x:v>Hidden Royal or Secret Heir</x:v>
      </x:c>
      <x:c r="I403" s="120" t="str">
        <x:v>ROL-702;LAW-608</x:v>
      </x:c>
      <x:c r="J403" s="120" t="str">
        <x:v>Prince, Princess, and Royal Heir; Recognition or Identity Test</x:v>
      </x:c>
      <x:c r="K403" s="120" t="str">
        <x:v>A person of royal or divine lineage grows outside full recognition, with concealed parentage shaping status, loyalty, rivalry, and later revelation.</x:v>
      </x:c>
      <x:c r="L403" s="120" t="str">
        <x:v>Birth secrecy, tokens or testimony, social recognition, fosterage, lineage, and political consequence.</x:v>
      </x:c>
      <x:c r="M403" s="120" t="str">
        <x:v>Recognition does not automatically repair a lifetime of social relations or determine moral allegiance.</x:v>
      </x:c>
      <x:c r="N403" s="120" t="str">
        <x:v>Deepens the hidden-heir archetype by emphasizing recognition as social and ethical, not only genealogical.</x:v>
      </x:c>
      <x:c r="O403" s="120" t="str">
        <x:v>Primary canon</x:v>
      </x:c>
      <x:c r="P403" s="120" t="str">
        <x:v>Primary text reviewed</x:v>
      </x:c>
      <x:c r="Q403" s="120" t="str">
        <x:v>Ādi and Udyoga Parvas; Karna-related lineage revelation.</x:v>
      </x:c>
      <x:c r="R403" s="120" t="str">
        <x:v>https://www.gutenberg.org/ebooks/15475</x:v>
      </x:c>
      <x:c r="S403" s="120" t="str">
        <x:v>Seeded</x:v>
      </x:c>
    </x:row>
    <x:row r="404" ht="52" customHeight="1">
      <x:c r="A404" s="119" t="str">
        <x:v>ENT-0403</x:v>
      </x:c>
      <x:c r="B404" s="120" t="str">
        <x:v>Dice-game dispossession and exile</x:v>
      </x:c>
      <x:c r="C404" s="120" t="str">
        <x:v>SRC-277</x:v>
      </x:c>
      <x:c r="D404" s="120" t="str">
        <x:v>Mahābhārata — BORI Critical Edition</x:v>
      </x:c>
      <x:c r="E404" s="120" t="str">
        <x:v>Critical-edition-oriented source pass; Ganguli English translation reviewed at parva level</x:v>
      </x:c>
      <x:c r="F404" s="120" t="str">
        <x:v>Political catastrophe / plot structure</x:v>
      </x:c>
      <x:c r="G404" s="120" t="str">
        <x:v>NAR-447</x:v>
      </x:c>
      <x:c r="H404" s="120" t="str">
        <x:f>IFERROR(VLOOKUP(G404,'Master Taxonomy'!$A$2:$B$1656,2,FALSE),"")</x:f>
        <x:v>Dice-Game Dispossession</x:v>
      </x:c>
      <x:c r="I404" s="120" t="str">
        <x:v>ART-416;LAW-216;LAW-813</x:v>
      </x:c>
      <x:c r="J404" s="120" t="str">
        <x:v>Lots, Dice, Cards, or Fate Objects; Exact-Wording Contract; Exile as Ritual or Social State</x:v>
      </x:c>
      <x:c r="K404" s="120" t="str">
        <x:v>A court-recognized game expands into the loss of wealth, sovereignty, freedom, kinship security, and status, producing exile and an unresolved legitimacy crisis.</x:v>
      </x:c>
      <x:c r="L404" s="120" t="str">
        <x:v>Manipulation, chance, legalistic terms, witness, honor, compulsion, and court power.</x:v>
      </x:c>
      <x:c r="M404" s="120" t="str">
        <x:v>It is not merely a hero's gambling flaw or random inciting incident.</x:v>
      </x:c>
      <x:c r="N404" s="120" t="str">
        <x:v>A distinctive mechanism for dispossession through procedure rather than battlefield conquest.</x:v>
      </x:c>
      <x:c r="O404" s="120" t="str">
        <x:v>Primary canon</x:v>
      </x:c>
      <x:c r="P404" s="120" t="str">
        <x:v>Primary text reviewed</x:v>
      </x:c>
      <x:c r="Q404" s="120" t="str">
        <x:v>Sabhā Parva.</x:v>
      </x:c>
      <x:c r="R404" s="120" t="str">
        <x:v>https://www.gutenberg.org/ebooks/15474</x:v>
      </x:c>
      <x:c r="S404" s="120" t="str">
        <x:v>Seeded</x:v>
      </x:c>
    </x:row>
    <x:row r="405" ht="52" customHeight="1">
      <x:c r="A405" s="119" t="str">
        <x:v>ENT-0404</x:v>
      </x:c>
      <x:c r="B405" s="120" t="str">
        <x:v>Dynastic kin war</x:v>
      </x:c>
      <x:c r="C405" s="120" t="str">
        <x:v>SRC-277</x:v>
      </x:c>
      <x:c r="D405" s="120" t="str">
        <x:v>Mahābhārata — BORI Critical Edition</x:v>
      </x:c>
      <x:c r="E405" s="120" t="str">
        <x:v>Critical-edition-oriented source pass; Ganguli English translation reviewed at parva level</x:v>
      </x:c>
      <x:c r="F405" s="120" t="str">
        <x:v>War-of-succession narrative</x:v>
      </x:c>
      <x:c r="G405" s="120" t="str">
        <x:v>NAR-416</x:v>
      </x:c>
      <x:c r="H405" s="120" t="str">
        <x:f>IFERROR(VLOOKUP(G405,'Master Taxonomy'!$A$2:$B$1656,2,FALSE),"")</x:f>
        <x:v>War of Succession</x:v>
      </x:c>
      <x:c r="I405" s="120" t="str">
        <x:v>INS-404;LAW-803;NAR-452</x:v>
      </x:c>
      <x:c r="J405" s="120" t="str">
        <x:v>Dynasty; Kinship Blessing or Curse; Conflict of Duties</x:v>
      </x:c>
      <x:c r="K405" s="120" t="str">
        <x:v>A vast war grows from succession, humiliation, dispossession, alliance, oath, teacher debt, kinship, and repeated failures of settlement.</x:v>
      </x:c>
      <x:c r="L405" s="120" t="str">
        <x:v>Dynastic claim, diplomacy, alliance, military mobilization, obligation, and accumulated grievance.</x:v>
      </x:c>
      <x:c r="M405" s="120" t="str">
        <x:v>It is not reducible to good kingdom versus evil horde; most combatants are linked through kinship, teaching, or hospitality.</x:v>
      </x:c>
      <x:c r="N405" s="120" t="str">
        <x:v>A foundational model for civil war where relational density intensifies every battle.</x:v>
      </x:c>
      <x:c r="O405" s="120" t="str">
        <x:v>Primary canon</x:v>
      </x:c>
      <x:c r="P405" s="120" t="str">
        <x:v>Primary text reviewed</x:v>
      </x:c>
      <x:c r="Q405" s="120" t="str">
        <x:v>Udyoga through Śalya Parvas.</x:v>
      </x:c>
      <x:c r="R405" s="120" t="str">
        <x:v>https://www.gutenberg.org/ebooks/15476</x:v>
      </x:c>
      <x:c r="S405" s="120" t="str">
        <x:v>Seeded</x:v>
      </x:c>
    </x:row>
    <x:row r="406" ht="52" customHeight="1">
      <x:c r="A406" s="119" t="str">
        <x:v>ENT-0405</x:v>
      </x:c>
      <x:c r="B406" s="120" t="str">
        <x:v>Battlefield revelation before action</x:v>
      </x:c>
      <x:c r="C406" s="120" t="str">
        <x:v>SRC-278</x:v>
      </x:c>
      <x:c r="D406" s="120" t="str">
        <x:v>Bhagavad Gītā (Mahābhārata, Bhīṣma Parva)</x:v>
      </x:c>
      <x:c r="E406" s="120" t="str">
        <x:v>Embedded textual unit; Sanskrit and translated text reviewed through Gītā Supersite</x:v>
      </x:c>
      <x:c r="F406" s="120" t="str">
        <x:v>Revelatory narrative structure</x:v>
      </x:c>
      <x:c r="G406" s="120" t="str">
        <x:v>NAR-449</x:v>
      </x:c>
      <x:c r="H406" s="120" t="str">
        <x:f>IFERROR(VLOOKUP(G406,'Master Taxonomy'!$A$2:$B$1656,2,FALSE),"")</x:f>
        <x:v>Battlefield Revelation</x:v>
      </x:c>
      <x:c r="I406" s="120" t="str">
        <x:v>LAW-505;PPL-403</x:v>
      </x:c>
      <x:c r="J406" s="120" t="str">
        <x:v>Cosmic or Social Order; Avatars and Incarnations</x:v>
      </x:c>
      <x:c r="K406" s="120" t="str">
        <x:v>At the threshold of battle, a warrior's collapse opens into instruction about action, self, duty, death, discipline, devotion, knowledge, and divine reality.</x:v>
      </x:c>
      <x:c r="L406" s="120" t="str">
        <x:v>Dialogue, divine counsel, crisis, revelation, disciplined seeing, and choice.</x:v>
      </x:c>
      <x:c r="M406" s="120" t="str">
        <x:v>It is not a pre-fight tutorial, morale buff, or simple command to obey.</x:v>
      </x:c>
      <x:c r="N406" s="120" t="str">
        <x:v>A major archetype for philosophical revelation embedded at the point of irreversible action.</x:v>
      </x:c>
      <x:c r="O406" s="120" t="str">
        <x:v>Primary canon</x:v>
      </x:c>
      <x:c r="P406" s="120" t="str">
        <x:v>Primary text reviewed</x:v>
      </x:c>
      <x:c r="Q406" s="120" t="str">
        <x:v>Bhagavad Gītā.</x:v>
      </x:c>
      <x:c r="R406" s="120" t="str">
        <x:v>https://www.gitasupersite.iitk.ac.in/</x:v>
      </x:c>
      <x:c r="S406" s="120" t="str">
        <x:v>Seeded</x:v>
      </x:c>
    </x:row>
    <x:row r="407" ht="52" customHeight="1">
      <x:c r="A407" s="119" t="str">
        <x:v>ENT-0406</x:v>
      </x:c>
      <x:c r="B407" s="120" t="str">
        <x:v>Postwar moral and political reckoning</x:v>
      </x:c>
      <x:c r="C407" s="120" t="str">
        <x:v>SRC-277</x:v>
      </x:c>
      <x:c r="D407" s="120" t="str">
        <x:v>Mahābhārata — BORI Critical Edition</x:v>
      </x:c>
      <x:c r="E407" s="120" t="str">
        <x:v>Critical-edition-oriented source pass; Ganguli English translation reviewed at parva level</x:v>
      </x:c>
      <x:c r="F407" s="120" t="str">
        <x:v>Aftermath narrative structure</x:v>
      </x:c>
      <x:c r="G407" s="120" t="str">
        <x:v>NAR-450</x:v>
      </x:c>
      <x:c r="H407" s="120" t="str">
        <x:f>IFERROR(VLOOKUP(G407,'Master Taxonomy'!$A$2:$B$1656,2,FALSE),"")</x:f>
        <x:v>Postwar Moral Reckoning</x:v>
      </x:c>
      <x:c r="I407" s="120" t="str">
        <x:v>LAW-509;LAW-706;COS-522</x:v>
      </x:c>
      <x:c r="J407" s="120" t="str">
        <x:v>Sacred Kingship; Burial or Funeral Requirement; Sacred Battlefield</x:v>
      </x:c>
      <x:c r="K407" s="120" t="str">
        <x:v>After victory, survivors confront mass death, mourning, funerary duty, guilt, justice, kingship, punishment, policy, and the burden of ruling what remains.</x:v>
      </x:c>
      <x:c r="L407" s="120" t="str">
        <x:v>Grief, counsel, law, ritual, memory, political office, and survivor responsibility.</x:v>
      </x:c>
      <x:c r="M407" s="120" t="str">
        <x:v>Victory does not close the story or prove the war morally uncomplicated.</x:v>
      </x:c>
      <x:c r="N407" s="120" t="str">
        <x:v>A major corrective to fantasy narratives that omit aftermath, governance, and mourning.</x:v>
      </x:c>
      <x:c r="O407" s="120" t="str">
        <x:v>Primary canon</x:v>
      </x:c>
      <x:c r="P407" s="120" t="str">
        <x:v>Primary text reviewed</x:v>
      </x:c>
      <x:c r="Q407" s="120" t="str">
        <x:v>Strī, Śānti, and Anuśāsana Parvas.</x:v>
      </x:c>
      <x:c r="R407" s="120" t="str">
        <x:v>https://www.gutenberg.org/ebooks/15477</x:v>
      </x:c>
      <x:c r="S407" s="120" t="str">
        <x:v>Seeded</x:v>
      </x:c>
    </x:row>
    <x:row r="408" ht="52" customHeight="1">
      <x:c r="A408" s="119" t="str">
        <x:v>ENT-0407</x:v>
      </x:c>
      <x:c r="B408" s="120" t="str">
        <x:v>Pantheon as playable faction framework</x:v>
      </x:c>
      <x:c r="C408" s="120" t="str">
        <x:v>SRC-281</x:v>
      </x:c>
      <x:c r="D408" s="120" t="str">
        <x:v>Age of Mythology: Retold</x:v>
      </x:c>
      <x:c r="E408" s="120" t="str">
        <x:v>Official content snapshot through August 2, 2026</x:v>
      </x:c>
      <x:c r="F408" s="120" t="str">
        <x:v>Faction/progression system</x:v>
      </x:c>
      <x:c r="G408" s="120" t="str">
        <x:v>MEC-440</x:v>
      </x:c>
      <x:c r="H408" s="120" t="str">
        <x:f>IFERROR(VLOOKUP(G408,'Master Taxonomy'!$A$2:$B$1656,2,FALSE),"")</x:f>
        <x:v>Pantheon or Patron Choice</x:v>
      </x:c>
      <x:c r="I408" s="120" t="str">
        <x:v>PPL-401;MEC-428</x:v>
      </x:c>
      <x:c r="J408" s="120" t="str">
        <x:v>Deities; Faction Unit</x:v>
      </x:c>
      <x:c r="K408" s="120" t="str">
        <x:v>The player selects a major god within a pantheon, establishing a civilization's initial divine identity, bonuses, god power, technologies, and later branching choices.</x:v>
      </x:c>
      <x:c r="L408" s="120" t="str">
        <x:v>Faction selection, deity portfolio, asymmetrical bonuses, technologies, and age-up branches.</x:v>
      </x:c>
      <x:c r="M408" s="120" t="str">
        <x:v>This is a game system that factionalizes complex traditions; it is not a neutral map of historical religion.</x:v>
      </x:c>
      <x:c r="N408" s="120" t="str">
        <x:v>A key adaptation operation: pantheon becomes strategy faction and technology tree.</x:v>
      </x:c>
      <x:c r="O408" s="120" t="str">
        <x:v>Official adaptation</x:v>
      </x:c>
      <x:c r="P408" s="120" t="str">
        <x:v>Official reference reviewed</x:v>
      </x:c>
      <x:c r="Q408" s="120" t="str">
        <x:v>Official Age of Mythology: Retold game and expansion reference pages.</x:v>
      </x:c>
      <x:c r="R408" s="120" t="str">
        <x:v>https://www.ageofempires.com/games/age-of-mythology-retold/</x:v>
      </x:c>
      <x:c r="S408" s="120" t="str">
        <x:v>Seeded</x:v>
      </x:c>
    </x:row>
    <x:row r="409" ht="52" customHeight="1">
      <x:c r="A409" s="119" t="str">
        <x:v>ENT-0408</x:v>
      </x:c>
      <x:c r="B409" s="120" t="str">
        <x:v>Major god choice</x:v>
      </x:c>
      <x:c r="C409" s="120" t="str">
        <x:v>SRC-281</x:v>
      </x:c>
      <x:c r="D409" s="120" t="str">
        <x:v>Age of Mythology: Retold</x:v>
      </x:c>
      <x:c r="E409" s="120" t="str">
        <x:v>Official content snapshot through August 2, 2026</x:v>
      </x:c>
      <x:c r="F409" s="120" t="str">
        <x:v>Foundational faction choice</x:v>
      </x:c>
      <x:c r="G409" s="120" t="str">
        <x:v>MEC-440</x:v>
      </x:c>
      <x:c r="H409" s="120" t="str">
        <x:f>IFERROR(VLOOKUP(G409,'Master Taxonomy'!$A$2:$B$1656,2,FALSE),"")</x:f>
        <x:v>Pantheon or Patron Choice</x:v>
      </x:c>
      <x:c r="I409" s="120" t="str">
        <x:v>MEC-300;LAW-211</x:v>
      </x:c>
      <x:c r="J409" s="120" t="str">
        <x:v>Progression and Build Models; Divine Patronage or Favor</x:v>
      </x:c>
      <x:c r="K409" s="120" t="str">
        <x:v>A top-level deity choice defines strategic bonuses, starting divine power, roster access, and the set of later minor-god branches.</x:v>
      </x:c>
      <x:c r="L409" s="120" t="str">
        <x:v>Player selection and game-defined divine portfolio.</x:v>
      </x:c>
      <x:c r="M409" s="120" t="str">
        <x:v>The deity is represented as a rule package rather than a full mythological person or cultic tradition.</x:v>
      </x:c>
      <x:c r="N409" s="120" t="str">
        <x:v>Shows how divine patronage becomes a build-defining initial choice.</x:v>
      </x:c>
      <x:c r="O409" s="120" t="str">
        <x:v>Official adaptation</x:v>
      </x:c>
      <x:c r="P409" s="120" t="str">
        <x:v>Official reference reviewed</x:v>
      </x:c>
      <x:c r="Q409" s="120" t="str">
        <x:v>Official Age of Mythology: Retold game and expansion reference pages.</x:v>
      </x:c>
      <x:c r="R409" s="120" t="str">
        <x:v>https://www.ageofempires.com/games/age-of-mythology-retold/</x:v>
      </x:c>
      <x:c r="S409" s="120" t="str">
        <x:v>Seeded</x:v>
      </x:c>
    </x:row>
    <x:row r="410" ht="52" customHeight="1">
      <x:c r="A410" s="119" t="str">
        <x:v>ENT-0409</x:v>
      </x:c>
      <x:c r="B410" s="120" t="str">
        <x:v>Minor god age-up choice</x:v>
      </x:c>
      <x:c r="C410" s="120" t="str">
        <x:v>SRC-281</x:v>
      </x:c>
      <x:c r="D410" s="120" t="str">
        <x:v>Age of Mythology: Retold</x:v>
      </x:c>
      <x:c r="E410" s="120" t="str">
        <x:v>Official content snapshot through August 2, 2026</x:v>
      </x:c>
      <x:c r="F410" s="120" t="str">
        <x:v>Branching progression choice</x:v>
      </x:c>
      <x:c r="G410" s="120" t="str">
        <x:v>MEC-441</x:v>
      </x:c>
      <x:c r="H410" s="120" t="str">
        <x:f>IFERROR(VLOOKUP(G410,'Master Taxonomy'!$A$2:$B$1656,2,FALSE),"")</x:f>
        <x:v>Branching Age-Up Choice</x:v>
      </x:c>
      <x:c r="I410" s="120" t="str">
        <x:v>MEC-440;LAW-510</x:v>
      </x:c>
      <x:c r="J410" s="120" t="str">
        <x:v>Pantheon or Patron Choice; Cyclical-Age Law</x:v>
      </x:c>
      <x:c r="K410" s="120" t="str">
        <x:v>Advancing to a new age requires choosing between minor gods that unlock technologies, myth units, and a god power.</x:v>
      </x:c>
      <x:c r="L410" s="120" t="str">
        <x:v>Age progression, patron branch, technology unlocks, and faction-specific roster.</x:v>
      </x:c>
      <x:c r="M410" s="120" t="str">
        <x:v>Cosmic ages and divine plurality are converted into a permanent tech-tree branch.</x:v>
      </x:c>
      <x:c r="N410" s="120" t="str">
        <x:v>A clear case of progression abstraction and pantheon standardization.</x:v>
      </x:c>
      <x:c r="O410" s="120" t="str">
        <x:v>Official adaptation</x:v>
      </x:c>
      <x:c r="P410" s="120" t="str">
        <x:v>Official reference reviewed</x:v>
      </x:c>
      <x:c r="Q410" s="120" t="str">
        <x:v>Official Age of Mythology: Retold game and expansion reference pages.</x:v>
      </x:c>
      <x:c r="R410" s="120" t="str">
        <x:v>https://www.ageofempires.com/games/age-of-mythology-retold/</x:v>
      </x:c>
      <x:c r="S410" s="120" t="str">
        <x:v>Seeded</x:v>
      </x:c>
    </x:row>
    <x:row r="411" ht="52" customHeight="1">
      <x:c r="A411" s="119" t="str">
        <x:v>ENT-0410</x:v>
      </x:c>
      <x:c r="B411" s="120" t="str">
        <x:v>Favor resource</x:v>
      </x:c>
      <x:c r="C411" s="120" t="str">
        <x:v>SRC-281</x:v>
      </x:c>
      <x:c r="D411" s="120" t="str">
        <x:v>Age of Mythology: Retold</x:v>
      </x:c>
      <x:c r="E411" s="120" t="str">
        <x:v>Official content snapshot through August 2, 2026</x:v>
      </x:c>
      <x:c r="F411" s="120" t="str">
        <x:v>Religious/divine resource model</x:v>
      </x:c>
      <x:c r="G411" s="120" t="str">
        <x:v>LAW-314</x:v>
      </x:c>
      <x:c r="H411" s="120" t="str">
        <x:f>IFERROR(VLOOKUP(G411,'Master Taxonomy'!$A$2:$B$1656,2,FALSE),"")</x:f>
        <x:v>Worship or Favor Resource</x:v>
      </x:c>
      <x:c r="I411" s="120" t="str">
        <x:v>MEC-444;MEC-200</x:v>
      </x:c>
      <x:c r="J411" s="120" t="str">
        <x:v>Favor Generation Model; Resource and Casting Models</x:v>
      </x:c>
      <x:c r="K411" s="120" t="str">
        <x:v>Favor is accumulated through civilization-specific behaviors and spent principally on mythic units, divine technologies, and related content.</x:v>
      </x:c>
      <x:c r="L411" s="120" t="str">
        <x:v>Mechanized worship, combat, monuments, heroes, or other faction-specific generation methods.</x:v>
      </x:c>
      <x:c r="M411" s="120" t="str">
        <x:v>Quantified favor is a game economy, not a faithful measure of devotion, ritual, or divine reciprocity.</x:v>
      </x:c>
      <x:c r="N411" s="120" t="str">
        <x:v>Demonstrates resource abstraction of religious relation.</x:v>
      </x:c>
      <x:c r="O411" s="120" t="str">
        <x:v>Official adaptation</x:v>
      </x:c>
      <x:c r="P411" s="120" t="str">
        <x:v>Official reference reviewed</x:v>
      </x:c>
      <x:c r="Q411" s="120" t="str">
        <x:v>Official Age of Mythology: Retold game and expansion reference pages.</x:v>
      </x:c>
      <x:c r="R411" s="120" t="str">
        <x:v>https://www.ageofempires.com/games/age-of-mythology-retold/</x:v>
      </x:c>
      <x:c r="S411" s="120" t="str">
        <x:v>Seeded</x:v>
      </x:c>
    </x:row>
    <x:row r="412" ht="52" customHeight="1">
      <x:c r="A412" s="119" t="str">
        <x:v>ENT-0411</x:v>
      </x:c>
      <x:c r="B412" s="120" t="str">
        <x:v>God power</x:v>
      </x:c>
      <x:c r="C412" s="120" t="str">
        <x:v>SRC-281</x:v>
      </x:c>
      <x:c r="D412" s="120" t="str">
        <x:v>Age of Mythology: Retold</x:v>
      </x:c>
      <x:c r="E412" s="120" t="str">
        <x:v>Official content snapshot through August 2, 2026</x:v>
      </x:c>
      <x:c r="F412" s="120" t="str">
        <x:v>Activated strategic ability</x:v>
      </x:c>
      <x:c r="G412" s="120" t="str">
        <x:v>MEC-442</x:v>
      </x:c>
      <x:c r="H412" s="120" t="str">
        <x:f>IFERROR(VLOOKUP(G412,'Master Taxonomy'!$A$2:$B$1656,2,FALSE),"")</x:f>
        <x:v>God-Power Ability Slot</x:v>
      </x:c>
      <x:c r="I412" s="120" t="str">
        <x:v>PWR-103;LAW-211</x:v>
      </x:c>
      <x:c r="J412" s="120" t="str">
        <x:v>Divine Miracle; Divine Patronage or Favor</x:v>
      </x:c>
      <x:c r="K412" s="120" t="str">
        <x:v>Divine intervention is represented as a targeted or global activated power with defined availability, effects, and strategic timing.</x:v>
      </x:c>
      <x:c r="L412" s="120" t="str">
        <x:v>Major/minor god selection, age progression, charges or recast rules, and player targeting.</x:v>
      </x:c>
      <x:c r="M412" s="120" t="str">
        <x:v>The mechanic standardizes diverse divine actions into comparable abilities.</x:v>
      </x:c>
      <x:c r="N412" s="120" t="str">
        <x:v>A major example of mechanization and quantification of divine agency.</x:v>
      </x:c>
      <x:c r="O412" s="120" t="str">
        <x:v>Official adaptation</x:v>
      </x:c>
      <x:c r="P412" s="120" t="str">
        <x:v>Official reference reviewed</x:v>
      </x:c>
      <x:c r="Q412" s="120" t="str">
        <x:v>Official Age of Mythology: Retold game and expansion reference pages.</x:v>
      </x:c>
      <x:c r="R412" s="120" t="str">
        <x:v>https://www.ageofempires.com/games/age-of-mythology-retold/</x:v>
      </x:c>
      <x:c r="S412" s="120" t="str">
        <x:v>Seeded</x:v>
      </x:c>
    </x:row>
    <x:row r="413" ht="52" customHeight="1">
      <x:c r="A413" s="119" t="str">
        <x:v>ENT-0412</x:v>
      </x:c>
      <x:c r="B413" s="120" t="str">
        <x:v>Recastable god power</x:v>
      </x:c>
      <x:c r="C413" s="120" t="str">
        <x:v>SRC-281</x:v>
      </x:c>
      <x:c r="D413" s="120" t="str">
        <x:v>Age of Mythology: Retold</x:v>
      </x:c>
      <x:c r="E413" s="120" t="str">
        <x:v>Official content snapshot through August 2, 2026</x:v>
      </x:c>
      <x:c r="F413" s="120" t="str">
        <x:v>Renewable strategic ability</x:v>
      </x:c>
      <x:c r="G413" s="120" t="str">
        <x:v>MEC-442</x:v>
      </x:c>
      <x:c r="H413" s="120" t="str">
        <x:f>IFERROR(VLOOKUP(G413,'Master Taxonomy'!$A$2:$B$1656,2,FALSE),"")</x:f>
        <x:v>God-Power Ability Slot</x:v>
      </x:c>
      <x:c r="I413" s="120" t="str">
        <x:v>MEC-200;MEC-445</x:v>
      </x:c>
      <x:c r="J413" s="120" t="str">
        <x:v>Resource and Casting Models; Wonder Age or Overflow Phase</x:v>
      </x:c>
      <x:c r="K413" s="120" t="str">
        <x:v>Some divine powers can be used again according to cooldown, resource, Wonder Age, or expansion-specific rules.</x:v>
      </x:c>
      <x:c r="L413" s="120" t="str">
        <x:v>Cooldown, game state, favor or age mechanics, and official balance design.</x:v>
      </x:c>
      <x:c r="M413" s="120" t="str">
        <x:v>Recast rules are live-service mechanics, not mythological claims.</x:v>
      </x:c>
      <x:c r="N413" s="120" t="str">
        <x:v>Shows how divine intervention becomes part of a repeatable ability economy.</x:v>
      </x:c>
      <x:c r="O413" s="120" t="str">
        <x:v>Official adaptation</x:v>
      </x:c>
      <x:c r="P413" s="120" t="str">
        <x:v>Official reference reviewed</x:v>
      </x:c>
      <x:c r="Q413" s="120" t="str">
        <x:v>Official Age of Mythology: Retold game and expansion reference pages.</x:v>
      </x:c>
      <x:c r="R413" s="120" t="str">
        <x:v>https://www.ageofempires.com/games/age-of-mythology-retold/</x:v>
      </x:c>
      <x:c r="S413" s="120" t="str">
        <x:v>Seeded</x:v>
      </x:c>
    </x:row>
    <x:row r="414" ht="52" customHeight="1">
      <x:c r="A414" s="119" t="str">
        <x:v>ENT-0413</x:v>
      </x:c>
      <x:c r="B414" s="120" t="str">
        <x:v>Myth unit</x:v>
      </x:c>
      <x:c r="C414" s="120" t="str">
        <x:v>SRC-281</x:v>
      </x:c>
      <x:c r="D414" s="120" t="str">
        <x:v>Age of Mythology: Retold</x:v>
      </x:c>
      <x:c r="E414" s="120" t="str">
        <x:v>Official content snapshot through August 2, 2026</x:v>
      </x:c>
      <x:c r="F414" s="120" t="str">
        <x:v>Specialized faction unit</x:v>
      </x:c>
      <x:c r="G414" s="120" t="str">
        <x:v>MEC-428</x:v>
      </x:c>
      <x:c r="H414" s="120" t="str">
        <x:f>IFERROR(VLOOKUP(G414,'Master Taxonomy'!$A$2:$B$1656,2,FALSE),"")</x:f>
        <x:v>Faction Unit</x:v>
      </x:c>
      <x:c r="I414" s="120" t="str">
        <x:v>PPL-800;MEC-443</x:v>
      </x:c>
      <x:c r="J414" s="120" t="str">
        <x:v>Dragons and Legendary Beasts; Myth-Unit and Hero Counter Triangle</x:v>
      </x:c>
      <x:c r="K414" s="120" t="str">
        <x:v>A mythological being is converted into a trainable combat unit with cost, population, counters, upgrades, and a defined place in the faction roster.</x:v>
      </x:c>
      <x:c r="L414" s="120" t="str">
        <x:v>Temple production, favor and resource costs, technology, age, and game balance.</x:v>
      </x:c>
      <x:c r="M414" s="120" t="str">
        <x:v>Unitization can erase personhood, ambivalence, locality, or narrative uniqueness.</x:v>
      </x:c>
      <x:c r="N414" s="120" t="str">
        <x:v>The central bridge from mythological being to strategy-game unit taxonomy.</x:v>
      </x:c>
      <x:c r="O414" s="120" t="str">
        <x:v>Official adaptation</x:v>
      </x:c>
      <x:c r="P414" s="120" t="str">
        <x:v>Official reference reviewed</x:v>
      </x:c>
      <x:c r="Q414" s="120" t="str">
        <x:v>Official Age of Mythology: Retold game and expansion reference pages.</x:v>
      </x:c>
      <x:c r="R414" s="120" t="str">
        <x:v>https://www.ageofempires.com/games/age-of-mythology-retold/</x:v>
      </x:c>
      <x:c r="S414" s="120" t="str">
        <x:v>Seeded</x:v>
      </x:c>
    </x:row>
    <x:row r="415" ht="52" customHeight="1">
      <x:c r="A415" s="119" t="str">
        <x:v>ENT-0414</x:v>
      </x:c>
      <x:c r="B415" s="120" t="str">
        <x:v>Hero unit</x:v>
      </x:c>
      <x:c r="C415" s="120" t="str">
        <x:v>SRC-281</x:v>
      </x:c>
      <x:c r="D415" s="120" t="str">
        <x:v>Age of Mythology: Retold</x:v>
      </x:c>
      <x:c r="E415" s="120" t="str">
        <x:v>Official content snapshot through August 2, 2026</x:v>
      </x:c>
      <x:c r="F415" s="120" t="str">
        <x:v>Anti-myth specialist unit</x:v>
      </x:c>
      <x:c r="G415" s="120" t="str">
        <x:v>MEC-407</x:v>
      </x:c>
      <x:c r="H415" s="120" t="str">
        <x:f>IFERROR(VLOOKUP(G415,'Master Taxonomy'!$A$2:$B$1656,2,FALSE),"")</x:f>
        <x:v>Hero Unit</x:v>
      </x:c>
      <x:c r="I415" s="120" t="str">
        <x:v>ROL-101;MEC-443</x:v>
      </x:c>
      <x:c r="J415" s="120" t="str">
        <x:v>Warrior or Fighter; Myth-Unit and Hero Counter Triangle</x:v>
      </x:c>
      <x:c r="K415" s="120" t="str">
        <x:v>Heroes receive a distinct mechanical role, especially enhanced effectiveness against myth units and resistance to some mythic effects.</x:v>
      </x:c>
      <x:c r="L415" s="120" t="str">
        <x:v>Hero status, faction roster, counter design, and named or generic unit rules.</x:v>
      </x:c>
      <x:c r="M415" s="120" t="str">
        <x:v>Heroism becomes a counter category rather than a full narrative biography.</x:v>
      </x:c>
      <x:c r="N415" s="120" t="str">
        <x:v>A strong example of counter-role assignment.</x:v>
      </x:c>
      <x:c r="O415" s="120" t="str">
        <x:v>Official adaptation</x:v>
      </x:c>
      <x:c r="P415" s="120" t="str">
        <x:v>Official reference reviewed</x:v>
      </x:c>
      <x:c r="Q415" s="120" t="str">
        <x:v>Official Age of Mythology: Retold game and expansion reference pages.</x:v>
      </x:c>
      <x:c r="R415" s="120" t="str">
        <x:v>https://www.ageofempires.com/games/age-of-mythology-retold/</x:v>
      </x:c>
      <x:c r="S415" s="120" t="str">
        <x:v>Seeded</x:v>
      </x:c>
    </x:row>
    <x:row r="416" ht="52" customHeight="1">
      <x:c r="A416" s="119" t="str">
        <x:v>ENT-0415</x:v>
      </x:c>
      <x:c r="B416" s="120" t="str">
        <x:v>Human military unit</x:v>
      </x:c>
      <x:c r="C416" s="120" t="str">
        <x:v>SRC-281</x:v>
      </x:c>
      <x:c r="D416" s="120" t="str">
        <x:v>Age of Mythology: Retold</x:v>
      </x:c>
      <x:c r="E416" s="120" t="str">
        <x:v>Official content snapshot through August 2, 2026</x:v>
      </x:c>
      <x:c r="F416" s="120" t="str">
        <x:v>Baseline faction unit</x:v>
      </x:c>
      <x:c r="G416" s="120" t="str">
        <x:v>MEC-428</x:v>
      </x:c>
      <x:c r="H416" s="120" t="str">
        <x:f>IFERROR(VLOOKUP(G416,'Master Taxonomy'!$A$2:$B$1656,2,FALSE),"")</x:f>
        <x:v>Faction Unit</x:v>
      </x:c>
      <x:c r="I416" s="120" t="str">
        <x:v>ROL-100;MEC-443</x:v>
      </x:c>
      <x:c r="J416" s="120" t="str">
        <x:v>Martial Roles; Myth-Unit and Hero Counter Triangle</x:v>
      </x:c>
      <x:c r="K416" s="120" t="str">
        <x:v>Ordinary military units occupy the non-mythic portion of the roster and participate in a designed counter ecology with heroes and myth units.</x:v>
      </x:c>
      <x:c r="L416" s="120" t="str">
        <x:v>Resources, barracks or other production buildings, technologies, and counter stats.</x:v>
      </x:c>
      <x:c r="M416" s="120" t="str">
        <x:v>The 'human' category is mechanical and can conceal historical, social, and factional complexity.</x:v>
      </x:c>
      <x:c r="N416" s="120" t="str">
        <x:v>Helps distinguish ordinary army roles from divine and heroic unit classes.</x:v>
      </x:c>
      <x:c r="O416" s="120" t="str">
        <x:v>Official adaptation</x:v>
      </x:c>
      <x:c r="P416" s="120" t="str">
        <x:v>Official reference reviewed</x:v>
      </x:c>
      <x:c r="Q416" s="120" t="str">
        <x:v>Official Age of Mythology: Retold game and expansion reference pages.</x:v>
      </x:c>
      <x:c r="R416" s="120" t="str">
        <x:v>https://www.ageofempires.com/games/age-of-mythology-retold/</x:v>
      </x:c>
      <x:c r="S416" s="120" t="str">
        <x:v>Seeded</x:v>
      </x:c>
    </x:row>
    <x:row r="417" ht="52" customHeight="1">
      <x:c r="A417" s="119" t="str">
        <x:v>ENT-0416</x:v>
      </x:c>
      <x:c r="B417" s="120" t="str">
        <x:v>Myth–hero counter relationship</x:v>
      </x:c>
      <x:c r="C417" s="120" t="str">
        <x:v>SRC-281</x:v>
      </x:c>
      <x:c r="D417" s="120" t="str">
        <x:v>Age of Mythology: Retold</x:v>
      </x:c>
      <x:c r="E417" s="120" t="str">
        <x:v>Official content snapshot through August 2, 2026</x:v>
      </x:c>
      <x:c r="F417" s="120" t="str">
        <x:v>Designed combat ecology</x:v>
      </x:c>
      <x:c r="G417" s="120" t="str">
        <x:v>MEC-443</x:v>
      </x:c>
      <x:c r="H417" s="120" t="str">
        <x:f>IFERROR(VLOOKUP(G417,'Master Taxonomy'!$A$2:$B$1656,2,FALSE),"")</x:f>
        <x:v>Myth-Unit and Hero Counter Triangle</x:v>
      </x:c>
      <x:c r="I417" s="120" t="str">
        <x:v>MEC-100;LAW-517</x:v>
      </x:c>
      <x:c r="J417" s="120" t="str">
        <x:v>Combat Function Archetypes; Elemental Opposition or Counter Law</x:v>
      </x:c>
      <x:c r="K417" s="120" t="str">
        <x:v>The game assigns heroes specialized effectiveness against myth units within a broader web of unit counters.</x:v>
      </x:c>
      <x:c r="L417" s="120" t="str">
        <x:v>Damage bonuses, resistances, unit tags, and roster composition.</x:v>
      </x:c>
      <x:c r="M417" s="120" t="str">
        <x:v>The relationship is tactical design, not a universal rule that heroes defeat monsters in source traditions.</x:v>
      </x:c>
      <x:c r="N417" s="120" t="str">
        <x:v>A paradigmatic example of adaptation through counter-role assignment.</x:v>
      </x:c>
      <x:c r="O417" s="120" t="str">
        <x:v>Official adaptation</x:v>
      </x:c>
      <x:c r="P417" s="120" t="str">
        <x:v>Official reference reviewed</x:v>
      </x:c>
      <x:c r="Q417" s="120" t="str">
        <x:v>Official Age of Mythology: Retold game and expansion reference pages.</x:v>
      </x:c>
      <x:c r="R417" s="120" t="str">
        <x:v>https://www.ageofempires.com/games/age-of-mythology-retold/</x:v>
      </x:c>
      <x:c r="S417" s="120" t="str">
        <x:v>Seeded</x:v>
      </x:c>
    </x:row>
    <x:row r="418" ht="52" customHeight="1">
      <x:c r="A418" s="119" t="str">
        <x:v>ENT-0417</x:v>
      </x:c>
      <x:c r="B418" s="120" t="str">
        <x:v>Relic as capturable map object</x:v>
      </x:c>
      <x:c r="C418" s="120" t="str">
        <x:v>SRC-281</x:v>
      </x:c>
      <x:c r="D418" s="120" t="str">
        <x:v>Age of Mythology: Retold</x:v>
      </x:c>
      <x:c r="E418" s="120" t="str">
        <x:v>Official content snapshot through August 2, 2026</x:v>
      </x:c>
      <x:c r="F418" s="120" t="str">
        <x:v>Strategic artifact mechanic</x:v>
      </x:c>
      <x:c r="G418" s="120" t="str">
        <x:v>MEC-446</x:v>
      </x:c>
      <x:c r="H418" s="120" t="str">
        <x:f>IFERROR(VLOOKUP(G418,'Master Taxonomy'!$A$2:$B$1656,2,FALSE),"")</x:f>
        <x:v>Relic Capture Bonus</x:v>
      </x:c>
      <x:c r="I418" s="120" t="str">
        <x:v>ART-101;ART-701</x:v>
      </x:c>
      <x:c r="J418" s="120" t="str">
        <x:v>Sacred Relic; Quest Object</x:v>
      </x:c>
      <x:c r="K418" s="120" t="str">
        <x:v>Relics are discovered, carried by heroes, placed in temples, and converted into persistent strategic bonuses.</x:v>
      </x:c>
      <x:c r="L418" s="120" t="str">
        <x:v>Map exploration, hero transport, temple custody, and bonus effects.</x:v>
      </x:c>
      <x:c r="M418" s="120" t="str">
        <x:v>Sacred or legendary objects are itemized and standardized as collectible modifiers.</x:v>
      </x:c>
      <x:c r="N418" s="120" t="str">
        <x:v>Shows artifact-to-objective conversion and institutional simplification.</x:v>
      </x:c>
      <x:c r="O418" s="120" t="str">
        <x:v>Official adaptation</x:v>
      </x:c>
      <x:c r="P418" s="120" t="str">
        <x:v>Official reference reviewed</x:v>
      </x:c>
      <x:c r="Q418" s="120" t="str">
        <x:v>Official Age of Mythology: Retold game and expansion reference pages.</x:v>
      </x:c>
      <x:c r="R418" s="120" t="str">
        <x:v>https://www.ageofempires.com/games/age-of-mythology-retold/</x:v>
      </x:c>
      <x:c r="S418" s="120" t="str">
        <x:v>Seeded</x:v>
      </x:c>
    </x:row>
    <x:row r="419" ht="52" customHeight="1">
      <x:c r="A419" s="119" t="str">
        <x:v>ENT-0418</x:v>
      </x:c>
      <x:c r="B419" s="120" t="str">
        <x:v>Temple as myth-production building</x:v>
      </x:c>
      <x:c r="C419" s="120" t="str">
        <x:v>SRC-281</x:v>
      </x:c>
      <x:c r="D419" s="120" t="str">
        <x:v>Age of Mythology: Retold</x:v>
      </x:c>
      <x:c r="E419" s="120" t="str">
        <x:v>Official content snapshot through August 2, 2026</x:v>
      </x:c>
      <x:c r="F419" s="120" t="str">
        <x:v>Institution-to-building adaptation</x:v>
      </x:c>
      <x:c r="G419" s="120" t="str">
        <x:v>INS-302</x:v>
      </x:c>
      <x:c r="H419" s="120" t="str">
        <x:f>IFERROR(VLOOKUP(G419,'Master Taxonomy'!$A$2:$B$1656,2,FALSE),"")</x:f>
        <x:v>Temple Institution</x:v>
      </x:c>
      <x:c r="I419" s="120" t="str">
        <x:v>MEC-444;LAW-315</x:v>
      </x:c>
      <x:c r="J419" s="120" t="str">
        <x:v>Favor Generation Model; Ritual Economy</x:v>
      </x:c>
      <x:c r="K419" s="120" t="str">
        <x:v>The temple functions as a production and storage site for myth units, favor-related technology, and relics.</x:v>
      </x:c>
      <x:c r="L419" s="120" t="str">
        <x:v>Building placement, resource economy, unit production, and faction rules.</x:v>
      </x:c>
      <x:c r="M419" s="120" t="str">
        <x:v>A complex ritual institution is reduced to a strategic building function.</x:v>
      </x:c>
      <x:c r="N419" s="120" t="str">
        <x:v>A useful case of institutional simplification without claiming equivalence.</x:v>
      </x:c>
      <x:c r="O419" s="120" t="str">
        <x:v>Official adaptation</x:v>
      </x:c>
      <x:c r="P419" s="120" t="str">
        <x:v>Official reference reviewed</x:v>
      </x:c>
      <x:c r="Q419" s="120" t="str">
        <x:v>Official Age of Mythology: Retold game and expansion reference pages.</x:v>
      </x:c>
      <x:c r="R419" s="120" t="str">
        <x:v>https://www.ageofempires.com/games/age-of-mythology-retold/</x:v>
      </x:c>
      <x:c r="S419" s="120" t="str">
        <x:v>Seeded</x:v>
      </x:c>
    </x:row>
    <x:row r="420" ht="52" customHeight="1">
      <x:c r="A420" s="119" t="str">
        <x:v>ENT-0419</x:v>
      </x:c>
      <x:c r="B420" s="120" t="str">
        <x:v>Titan</x:v>
      </x:c>
      <x:c r="C420" s="120" t="str">
        <x:v>SRC-281</x:v>
      </x:c>
      <x:c r="D420" s="120" t="str">
        <x:v>Age of Mythology: Retold</x:v>
      </x:c>
      <x:c r="E420" s="120" t="str">
        <x:v>Official content snapshot through August 2, 2026</x:v>
      </x:c>
      <x:c r="F420" s="120" t="str">
        <x:v>Late-game colossal unit</x:v>
      </x:c>
      <x:c r="G420" s="120" t="str">
        <x:v>MEC-447</x:v>
      </x:c>
      <x:c r="H420" s="120" t="str">
        <x:f>IFERROR(VLOOKUP(G420,'Master Taxonomy'!$A$2:$B$1656,2,FALSE),"")</x:f>
        <x:v>Titan or Superunit Escalation</x:v>
      </x:c>
      <x:c r="I420" s="120" t="str">
        <x:v>PPL-400;MEC-408</x:v>
      </x:c>
      <x:c r="J420" s="120" t="str">
        <x:v>Divine and Celestial Beings; Boss Unit</x:v>
      </x:c>
      <x:c r="K420" s="120" t="str">
        <x:v>A gigantic mythic being is represented as a limited strategic superunit requiring special progression and construction.</x:v>
      </x:c>
      <x:c r="L420" s="120" t="str">
        <x:v>Titan Gate, age or technology requirements, construction, population rules, and immense combat stats.</x:v>
      </x:c>
      <x:c r="M420" s="120" t="str">
        <x:v>The game-mechanical category combines source-specific beings under a superunit role.</x:v>
      </x:c>
      <x:c r="N420" s="120" t="str">
        <x:v>A clear example of bossification and strategic escalation.</x:v>
      </x:c>
      <x:c r="O420" s="120" t="str">
        <x:v>Official adaptation</x:v>
      </x:c>
      <x:c r="P420" s="120" t="str">
        <x:v>Official reference reviewed</x:v>
      </x:c>
      <x:c r="Q420" s="120" t="str">
        <x:v>Official Age of Mythology: Retold game and expansion reference pages.</x:v>
      </x:c>
      <x:c r="R420" s="120" t="str">
        <x:v>https://www.ageofempires.com/games/age-of-mythology-retold/</x:v>
      </x:c>
      <x:c r="S420" s="120" t="str">
        <x:v>Seeded</x:v>
      </x:c>
    </x:row>
    <x:row r="421" ht="52" customHeight="1">
      <x:c r="A421" s="119" t="str">
        <x:v>ENT-0420</x:v>
      </x:c>
      <x:c r="B421" s="120" t="str">
        <x:v>Titan Gate</x:v>
      </x:c>
      <x:c r="C421" s="120" t="str">
        <x:v>SRC-281</x:v>
      </x:c>
      <x:c r="D421" s="120" t="str">
        <x:v>Age of Mythology: Retold</x:v>
      </x:c>
      <x:c r="E421" s="120" t="str">
        <x:v>Official content snapshot through August 2, 2026</x:v>
      </x:c>
      <x:c r="F421" s="120" t="str">
        <x:v>Superunit production project</x:v>
      </x:c>
      <x:c r="G421" s="120" t="str">
        <x:v>ART-511</x:v>
      </x:c>
      <x:c r="H421" s="120" t="str">
        <x:f>IFERROR(VLOOKUP(G421,'Master Taxonomy'!$A$2:$B$1656,2,FALSE),"")</x:f>
        <x:v>Portal Device</x:v>
      </x:c>
      <x:c r="I421" s="120" t="str">
        <x:v>MEC-447;COS-602</x:v>
      </x:c>
      <x:c r="J421" s="120" t="str">
        <x:v>Titan or Superunit Escalation; Summoned Threshold</x:v>
      </x:c>
      <x:c r="K421" s="120" t="str">
        <x:v>A special project opens the way for a Titan to enter the battlefield.</x:v>
      </x:c>
      <x:c r="L421" s="120" t="str">
        <x:v>Construction, progression prerequisites, map placement, and game-state escalation.</x:v>
      </x:c>
      <x:c r="M421" s="120" t="str">
        <x:v>The gate is a game-specific production mechanism, not a traditional cosmological object.</x:v>
      </x:c>
      <x:c r="N421" s="120" t="str">
        <x:v>Links portal device, summoned threshold, and superunit economy.</x:v>
      </x:c>
      <x:c r="O421" s="120" t="str">
        <x:v>Official adaptation</x:v>
      </x:c>
      <x:c r="P421" s="120" t="str">
        <x:v>Official reference reviewed</x:v>
      </x:c>
      <x:c r="Q421" s="120" t="str">
        <x:v>Official Age of Mythology: Retold game and expansion reference pages.</x:v>
      </x:c>
      <x:c r="R421" s="120" t="str">
        <x:v>https://www.ageofempires.com/games/age-of-mythology-retold/</x:v>
      </x:c>
      <x:c r="S421" s="120" t="str">
        <x:v>Seeded</x:v>
      </x:c>
    </x:row>
    <x:row r="422" ht="52" customHeight="1">
      <x:c r="A422" s="119" t="str">
        <x:v>ENT-0421</x:v>
      </x:c>
      <x:c r="B422" s="120" t="str">
        <x:v>Wonder Age</x:v>
      </x:c>
      <x:c r="C422" s="120" t="str">
        <x:v>SRC-281</x:v>
      </x:c>
      <x:c r="D422" s="120" t="str">
        <x:v>Age of Mythology: Retold</x:v>
      </x:c>
      <x:c r="E422" s="120" t="str">
        <x:v>Official content snapshot through August 2, 2026</x:v>
      </x:c>
      <x:c r="F422" s="120" t="str">
        <x:v>Endgame progression phase</x:v>
      </x:c>
      <x:c r="G422" s="120" t="str">
        <x:v>MEC-445</x:v>
      </x:c>
      <x:c r="H422" s="120" t="str">
        <x:f>IFERROR(VLOOKUP(G422,'Master Taxonomy'!$A$2:$B$1656,2,FALSE),"")</x:f>
        <x:v>Wonder Age or Overflow Phase</x:v>
      </x:c>
      <x:c r="I422" s="120" t="str">
        <x:v>LAW-510;ART-107</x:v>
      </x:c>
      <x:c r="J422" s="120" t="str">
        <x:v>Cyclical-Age Law; Civilization-Founding Artifact</x:v>
      </x:c>
      <x:c r="K422" s="120" t="str">
        <x:v>A monumental Wonder unlocks a late-game age that accelerates god powers and mythic escalation beyond ordinary age progression.</x:v>
      </x:c>
      <x:c r="L422" s="120" t="str">
        <x:v>Wonder construction, age advancement, official rule set, and endgame economy.</x:v>
      </x:c>
      <x:c r="M422" s="120" t="str">
        <x:v>The 'age' is a designed overflow phase rather than a historical or cosmological age.</x:v>
      </x:c>
      <x:c r="N422" s="120" t="str">
        <x:v>Exemplifies progression abstraction and monument mechanization.</x:v>
      </x:c>
      <x:c r="O422" s="120" t="str">
        <x:v>Official adaptation</x:v>
      </x:c>
      <x:c r="P422" s="120" t="str">
        <x:v>Official reference reviewed</x:v>
      </x:c>
      <x:c r="Q422" s="120" t="str">
        <x:v>Official Age of Mythology: Retold game and expansion reference pages.</x:v>
      </x:c>
      <x:c r="R422" s="120" t="str">
        <x:v>https://www.ageofempires.com/games/age-of-mythology-retold/</x:v>
      </x:c>
      <x:c r="S422" s="120" t="str">
        <x:v>Seeded</x:v>
      </x:c>
    </x:row>
    <x:row r="423" ht="52" customHeight="1">
      <x:c r="A423" s="119" t="str">
        <x:v>ENT-0422</x:v>
      </x:c>
      <x:c r="B423" s="120" t="str">
        <x:v>Greek pantheon roster</x:v>
      </x:c>
      <x:c r="C423" s="120" t="str">
        <x:v>SRC-281</x:v>
      </x:c>
      <x:c r="D423" s="120" t="str">
        <x:v>Age of Mythology: Retold</x:v>
      </x:c>
      <x:c r="E423" s="120" t="str">
        <x:v>Official content snapshot through August 2, 2026</x:v>
      </x:c>
      <x:c r="F423" s="120" t="str">
        <x:v>Playable pantheon/faction</x:v>
      </x:c>
      <x:c r="G423" s="120" t="str">
        <x:v>MEC-440</x:v>
      </x:c>
      <x:c r="H423" s="120" t="str">
        <x:f>IFERROR(VLOOKUP(G423,'Master Taxonomy'!$A$2:$B$1656,2,FALSE),"")</x:f>
        <x:v>Pantheon or Patron Choice</x:v>
      </x:c>
      <x:c r="I423" s="120" t="str">
        <x:v>PPL-401;MEC-428</x:v>
      </x:c>
      <x:c r="J423" s="120" t="str">
        <x:v>Deities; Faction Unit</x:v>
      </x:c>
      <x:c r="K423" s="120" t="str">
        <x:v>Greek mythological figures and beings are standardized into major gods, minor-god branches, heroes, myth units, technologies, and god powers.</x:v>
      </x:c>
      <x:c r="L423" s="120" t="str">
        <x:v>Official roster design, classical iconography, game balance, and adaptation history.</x:v>
      </x:c>
      <x:c r="M423" s="120" t="str">
        <x:v>The roster is a commercial synthesis and not a primary source for Greek religion or myth.</x:v>
      </x:c>
      <x:c r="N423" s="120" t="str">
        <x:v>A comparison layer for how an already game-saturated tradition becomes a faction tree.</x:v>
      </x:c>
      <x:c r="O423" s="120" t="str">
        <x:v>Official adaptation</x:v>
      </x:c>
      <x:c r="P423" s="120" t="str">
        <x:v>Official reference reviewed</x:v>
      </x:c>
      <x:c r="Q423" s="120" t="str">
        <x:v>Official Age of Mythology: Retold game and expansion reference pages.</x:v>
      </x:c>
      <x:c r="R423" s="120" t="str">
        <x:v>https://www.ageofempires.com/games/age-of-mythology-retold/</x:v>
      </x:c>
      <x:c r="S423" s="120" t="str">
        <x:v>Seeded</x:v>
      </x:c>
    </x:row>
    <x:row r="424" ht="52" customHeight="1">
      <x:c r="A424" s="119" t="str">
        <x:v>ENT-0423</x:v>
      </x:c>
      <x:c r="B424" s="120" t="str">
        <x:v>Egyptian pantheon roster</x:v>
      </x:c>
      <x:c r="C424" s="120" t="str">
        <x:v>SRC-281</x:v>
      </x:c>
      <x:c r="D424" s="120" t="str">
        <x:v>Age of Mythology: Retold</x:v>
      </x:c>
      <x:c r="E424" s="120" t="str">
        <x:v>Official content snapshot through August 2, 2026</x:v>
      </x:c>
      <x:c r="F424" s="120" t="str">
        <x:v>Playable pantheon/faction</x:v>
      </x:c>
      <x:c r="G424" s="120" t="str">
        <x:v>MEC-440</x:v>
      </x:c>
      <x:c r="H424" s="120" t="str">
        <x:f>IFERROR(VLOOKUP(G424,'Master Taxonomy'!$A$2:$B$1656,2,FALSE),"")</x:f>
        <x:v>Pantheon or Patron Choice</x:v>
      </x:c>
      <x:c r="I424" s="120" t="str">
        <x:v>PPL-401;COS-201</x:v>
      </x:c>
      <x:c r="J424" s="120" t="str">
        <x:v>Deities; Celestial Realm or Heaven</x:v>
      </x:c>
      <x:c r="K424" s="120" t="str">
        <x:v>Egyptian divine and mythic materials are translated into major-god choices, priest and pharaoh mechanics, monuments, myth units, and god powers.</x:v>
      </x:c>
      <x:c r="L424" s="120" t="str">
        <x:v>Official roster design, visual adaptation, faction economy, and counter system.</x:v>
      </x:c>
      <x:c r="M424" s="120" t="str">
        <x:v>The faction compresses millennia of regional and historical variation into one strategy roster.</x:v>
      </x:c>
      <x:c r="N424" s="120" t="str">
        <x:v>A high-value case of temporal and regional standardization.</x:v>
      </x:c>
      <x:c r="O424" s="120" t="str">
        <x:v>Official adaptation</x:v>
      </x:c>
      <x:c r="P424" s="120" t="str">
        <x:v>Official reference reviewed</x:v>
      </x:c>
      <x:c r="Q424" s="120" t="str">
        <x:v>Official Age of Mythology: Retold game and expansion reference pages.</x:v>
      </x:c>
      <x:c r="R424" s="120" t="str">
        <x:v>https://www.ageofempires.com/games/age-of-mythology-retold/</x:v>
      </x:c>
      <x:c r="S424" s="120" t="str">
        <x:v>Seeded</x:v>
      </x:c>
    </x:row>
    <x:row r="425" ht="52" customHeight="1">
      <x:c r="A425" s="119" t="str">
        <x:v>ENT-0424</x:v>
      </x:c>
      <x:c r="B425" s="120" t="str">
        <x:v>Norse pantheon roster</x:v>
      </x:c>
      <x:c r="C425" s="120" t="str">
        <x:v>SRC-281</x:v>
      </x:c>
      <x:c r="D425" s="120" t="str">
        <x:v>Age of Mythology: Retold</x:v>
      </x:c>
      <x:c r="E425" s="120" t="str">
        <x:v>Official content snapshot through August 2, 2026</x:v>
      </x:c>
      <x:c r="F425" s="120" t="str">
        <x:v>Playable pantheon/faction</x:v>
      </x:c>
      <x:c r="G425" s="120" t="str">
        <x:v>MEC-440</x:v>
      </x:c>
      <x:c r="H425" s="120" t="str">
        <x:f>IFERROR(VLOOKUP(G425,'Master Taxonomy'!$A$2:$B$1656,2,FALSE),"")</x:f>
        <x:v>Pantheon or Patron Choice</x:v>
      </x:c>
      <x:c r="I425" s="120" t="str">
        <x:v>PPL-401;COS-703</x:v>
      </x:c>
      <x:c r="J425" s="120" t="str">
        <x:v>Deities; Final Battle</x:v>
      </x:c>
      <x:c r="K425" s="120" t="str">
        <x:v>Norse figures and beings are organized as major and minor gods, heroes, myth units, technologies, and a combat-linked favor economy.</x:v>
      </x:c>
      <x:c r="L425" s="120" t="str">
        <x:v>Official roster design, Eddic and popular imagery, faction economy, and game balance.</x:v>
      </x:c>
      <x:c r="M425" s="120" t="str">
        <x:v>The roster should not be used as evidence for Old Norse categories or moral alignments.</x:v>
      </x:c>
      <x:c r="N425" s="120" t="str">
        <x:v>Shows how modern Viking imagery and mythic sources are recombined into strategy roles.</x:v>
      </x:c>
      <x:c r="O425" s="120" t="str">
        <x:v>Official adaptation</x:v>
      </x:c>
      <x:c r="P425" s="120" t="str">
        <x:v>Official reference reviewed</x:v>
      </x:c>
      <x:c r="Q425" s="120" t="str">
        <x:v>Official Age of Mythology: Retold game and expansion reference pages.</x:v>
      </x:c>
      <x:c r="R425" s="120" t="str">
        <x:v>https://www.ageofempires.com/games/age-of-mythology-retold/</x:v>
      </x:c>
      <x:c r="S425" s="120" t="str">
        <x:v>Seeded</x:v>
      </x:c>
    </x:row>
    <x:row r="426" ht="52" customHeight="1">
      <x:c r="A426" s="119" t="str">
        <x:v>ENT-0425</x:v>
      </x:c>
      <x:c r="B426" s="120" t="str">
        <x:v>Atlantean pantheon roster</x:v>
      </x:c>
      <x:c r="C426" s="120" t="str">
        <x:v>SRC-281</x:v>
      </x:c>
      <x:c r="D426" s="120" t="str">
        <x:v>Age of Mythology: Retold</x:v>
      </x:c>
      <x:c r="E426" s="120" t="str">
        <x:v>Official content snapshot through August 2, 2026</x:v>
      </x:c>
      <x:c r="F426" s="120" t="str">
        <x:v>Composite/game-original pantheon faction</x:v>
      </x:c>
      <x:c r="G426" s="120" t="str">
        <x:v>MEC-440</x:v>
      </x:c>
      <x:c r="H426" s="120" t="str">
        <x:f>IFERROR(VLOOKUP(G426,'Master Taxonomy'!$A$2:$B$1656,2,FALSE),"")</x:f>
        <x:v>Pantheon or Patron Choice</x:v>
      </x:c>
      <x:c r="I426" s="120" t="str">
        <x:v>CIV-409;COS-521</x:v>
      </x:c>
      <x:c r="J426" s="120" t="str">
        <x:v>Utopian Enclave; Ruined Precursor Realm</x:v>
      </x:c>
      <x:c r="K426" s="120" t="str">
        <x:v>The Atlantean faction combines a game-original civilization with selected Greek divine figures, Titan themes, heroized citizens, and campaign continuity.</x:v>
      </x:c>
      <x:c r="L426" s="120" t="str">
        <x:v>Franchise lore, Platonic and modern Atlantis reception, Greek deity roster, and game design.</x:v>
      </x:c>
      <x:c r="M426" s="120" t="str">
        <x:v>It is not an ancient Atlantean religious tradition; the faction is explicitly composite and adaptation-driven.</x:v>
      </x:c>
      <x:c r="N426" s="120" t="str">
        <x:v>A valuable case of invented tradition, recombination, and pseudo-historical standardization.</x:v>
      </x:c>
      <x:c r="O426" s="120" t="str">
        <x:v>Official adaptation</x:v>
      </x:c>
      <x:c r="P426" s="120" t="str">
        <x:v>Official reference reviewed</x:v>
      </x:c>
      <x:c r="Q426" s="120" t="str">
        <x:v>Official Age of Mythology: Retold game and expansion reference pages.</x:v>
      </x:c>
      <x:c r="R426" s="120" t="str">
        <x:v>https://www.ageofempires.com/games/age-of-mythology-retold/</x:v>
      </x:c>
      <x:c r="S426" s="120" t="str">
        <x:v>Seeded</x:v>
      </x:c>
    </x:row>
    <x:row r="427" ht="52" customHeight="1">
      <x:c r="A427" s="119" t="str">
        <x:v>ENT-0426</x:v>
      </x:c>
      <x:c r="B427" s="120" t="str">
        <x:v>Chinese pantheon roster — Immortal Pillars</x:v>
      </x:c>
      <x:c r="C427" s="120" t="str">
        <x:v>SRC-281</x:v>
      </x:c>
      <x:c r="D427" s="120" t="str">
        <x:v>Age of Mythology: Retold</x:v>
      </x:c>
      <x:c r="E427" s="120" t="str">
        <x:v>Official content snapshot through August 2, 2026</x:v>
      </x:c>
      <x:c r="F427" s="120" t="str">
        <x:v>Playable pantheon/faction expansion</x:v>
      </x:c>
      <x:c r="G427" s="120" t="str">
        <x:v>MEC-440</x:v>
      </x:c>
      <x:c r="H427" s="120" t="str">
        <x:f>IFERROR(VLOOKUP(G427,'Master Taxonomy'!$A$2:$B$1656,2,FALSE),"")</x:f>
        <x:v>Pantheon or Patron Choice</x:v>
      </x:c>
      <x:c r="I427" s="120" t="str">
        <x:v>COS-119;PPL-401</x:v>
      </x:c>
      <x:c r="J427" s="120" t="str">
        <x:v>Cosmic Bureaucracy; Deities</x:v>
      </x:c>
      <x:c r="K427" s="120" t="str">
        <x:v>The expansion converts selected Chinese divine, immortal, legendary, and mythic materials into a standardized strategy roster and faction economy.</x:v>
      </x:c>
      <x:c r="L427" s="120" t="str">
        <x:v>Official expansion design, pantheon branches, myth units, technologies, and god powers.</x:v>
      </x:c>
      <x:c r="M427" s="120" t="str">
        <x:v>The roster must not stand in for the plurality of Chinese religious, literary, regional, and historical traditions.</x:v>
      </x:c>
      <x:c r="N427" s="120" t="str">
        <x:v>A current example of commercial syncretism and celestial-bureaucracy adaptation.</x:v>
      </x:c>
      <x:c r="O427" s="120" t="str">
        <x:v>Official adaptation</x:v>
      </x:c>
      <x:c r="P427" s="120" t="str">
        <x:v>Official reference reviewed</x:v>
      </x:c>
      <x:c r="Q427" s="120" t="str">
        <x:v>Official Age of Mythology: Retold game and expansion reference pages.</x:v>
      </x:c>
      <x:c r="R427" s="120" t="str">
        <x:v>https://www.ageofempires.com/games/age-of-mythology-retold/</x:v>
      </x:c>
      <x:c r="S427" s="120" t="str">
        <x:v>Seeded</x:v>
      </x:c>
    </x:row>
    <x:row r="428" ht="52" customHeight="1">
      <x:c r="A428" s="119" t="str">
        <x:v>ENT-0427</x:v>
      </x:c>
      <x:c r="B428" s="120" t="str">
        <x:v>Japanese pantheon roster — Heavenly Spear</x:v>
      </x:c>
      <x:c r="C428" s="120" t="str">
        <x:v>SRC-281</x:v>
      </x:c>
      <x:c r="D428" s="120" t="str">
        <x:v>Age of Mythology: Retold</x:v>
      </x:c>
      <x:c r="E428" s="120" t="str">
        <x:v>Official content snapshot through August 2, 2026</x:v>
      </x:c>
      <x:c r="F428" s="120" t="str">
        <x:v>Playable pantheon/faction expansion</x:v>
      </x:c>
      <x:c r="G428" s="120" t="str">
        <x:v>MEC-440</x:v>
      </x:c>
      <x:c r="H428" s="120" t="str">
        <x:f>IFERROR(VLOOKUP(G428,'Master Taxonomy'!$A$2:$B$1656,2,FALSE),"")</x:f>
        <x:v>Pantheon or Patron Choice</x:v>
      </x:c>
      <x:c r="I428" s="120" t="str">
        <x:v>PPL-401;LAW-401</x:v>
      </x:c>
      <x:c r="J428" s="120" t="str">
        <x:v>Deities; Ritual Purity</x:v>
      </x:c>
      <x:c r="K428" s="120" t="str">
        <x:v>The expansion converts selected Japanese divine, heroic, spirit, and monster materials into major and minor gods, units, powers, and technologies.</x:v>
      </x:c>
      <x:c r="L428" s="120" t="str">
        <x:v>Official expansion design, Shinto- and folklore-derived imagery, faction mechanics, and game balance.</x:v>
      </x:c>
      <x:c r="M428" s="120" t="str">
        <x:v>Kami, yōkai, historical figures, and later popular images must not be collapsed into one timeless pantheon.</x:v>
      </x:c>
      <x:c r="N428" s="120" t="str">
        <x:v>A strong case for analyzing purity, place, spirit, and deity concepts after unitization.</x:v>
      </x:c>
      <x:c r="O428" s="120" t="str">
        <x:v>Official adaptation</x:v>
      </x:c>
      <x:c r="P428" s="120" t="str">
        <x:v>Official reference reviewed</x:v>
      </x:c>
      <x:c r="Q428" s="120" t="str">
        <x:v>Official Age of Mythology: Retold game and expansion reference pages.</x:v>
      </x:c>
      <x:c r="R428" s="120" t="str">
        <x:v>https://www.ageofempires.com/games/age-of-mythology-retold/</x:v>
      </x:c>
      <x:c r="S428" s="120" t="str">
        <x:v>Seeded</x:v>
      </x:c>
    </x:row>
    <x:row r="429" ht="52" customHeight="1">
      <x:c r="A429" s="119" t="str">
        <x:v>ENT-0428</x:v>
      </x:c>
      <x:c r="B429" s="120" t="str">
        <x:v>Mexica/Aztec pantheon roster — Obsidian Mirror</x:v>
      </x:c>
      <x:c r="C429" s="120" t="str">
        <x:v>SRC-281</x:v>
      </x:c>
      <x:c r="D429" s="120" t="str">
        <x:v>Age of Mythology: Retold</x:v>
      </x:c>
      <x:c r="E429" s="120" t="str">
        <x:v>Official content snapshot through August 2, 2026</x:v>
      </x:c>
      <x:c r="F429" s="120" t="str">
        <x:v>Playable pantheon/faction expansion</x:v>
      </x:c>
      <x:c r="G429" s="120" t="str">
        <x:v>MEC-440</x:v>
      </x:c>
      <x:c r="H429" s="120" t="str">
        <x:f>IFERROR(VLOOKUP(G429,'Master Taxonomy'!$A$2:$B$1656,2,FALSE),"")</x:f>
        <x:v>Pantheon or Patron Choice</x:v>
      </x:c>
      <x:c r="I429" s="120" t="str">
        <x:v>LAW-315;COS-112</x:v>
      </x:c>
      <x:c r="J429" s="120" t="str">
        <x:v>Ritual Economy; Cyclical Time</x:v>
      </x:c>
      <x:c r="K429" s="120" t="str">
        <x:v>The expansion adapts selected Mexica and Nahua divine, ritual, calendrical, warrior, and mythic materials into a strategy faction.</x:v>
      </x:c>
      <x:c r="L429" s="120" t="str">
        <x:v>Official expansion design, faction economy, divine choices, units, powers, and technologies.</x:v>
      </x:c>
      <x:c r="M429" s="120" t="str">
        <x:v>The roster is not a complete or primary account of Mexica religion and must not be merged with Maya or generic Mesoamerican material.</x:v>
      </x:c>
      <x:c r="N429" s="120" t="str">
        <x:v>A high-priority case for examining ritual-economy abstraction and commercial pantheon construction.</x:v>
      </x:c>
      <x:c r="O429" s="120" t="str">
        <x:v>Official adaptation</x:v>
      </x:c>
      <x:c r="P429" s="120" t="str">
        <x:v>Official reference reviewed</x:v>
      </x:c>
      <x:c r="Q429" s="120" t="str">
        <x:v>Official Age of Mythology: Retold game and expansion reference pages.</x:v>
      </x:c>
      <x:c r="R429" s="120" t="str">
        <x:v>https://www.ageofempires.com/games/age-of-mythology-retold/</x:v>
      </x:c>
      <x:c r="S429" s="120" t="str">
        <x:v>Seeded</x:v>
      </x:c>
    </x:row>
    <x:row r="430" ht="52" customHeight="1">
      <x:c r="A430" s="119" t="str">
        <x:v>ENT-0429</x:v>
      </x:c>
      <x:c r="B430" s="120" t="str">
        <x:v>Freyr and Demeter god packs</x:v>
      </x:c>
      <x:c r="C430" s="120" t="str">
        <x:v>SRC-281</x:v>
      </x:c>
      <x:c r="D430" s="120" t="str">
        <x:v>Age of Mythology: Retold</x:v>
      </x:c>
      <x:c r="E430" s="120" t="str">
        <x:v>Official content snapshot through August 2, 2026</x:v>
      </x:c>
      <x:c r="F430" s="120" t="str">
        <x:v>Optional deity/faction branch expansions</x:v>
      </x:c>
      <x:c r="G430" s="120" t="str">
        <x:v>MEC-440</x:v>
      </x:c>
      <x:c r="H430" s="120" t="str">
        <x:f>IFERROR(VLOOKUP(G430,'Master Taxonomy'!$A$2:$B$1656,2,FALSE),"")</x:f>
        <x:v>Pantheon or Patron Choice</x:v>
      </x:c>
      <x:c r="I430" s="120" t="str">
        <x:v>MEC-441;MEC-442</x:v>
      </x:c>
      <x:c r="J430" s="120" t="str">
        <x:v>Branching Age-Up Choice; God-Power Ability Slot</x:v>
      </x:c>
      <x:c r="K430" s="120" t="str">
        <x:v>God packs add alternative major-god choices, supporting minor-god branches, powers, technologies, and myth-unit access to existing pantheon structures.</x:v>
      </x:c>
      <x:c r="L430" s="120" t="str">
        <x:v>Downloadable content, official balance design, and extension of existing tech trees.</x:v>
      </x:c>
      <x:c r="M430" s="120" t="str">
        <x:v>These are live-service roster expansions and require date-stamped maintenance.</x:v>
      </x:c>
      <x:c r="N430" s="120" t="str">
        <x:v>Shows how pantheons become modular content architectures.</x:v>
      </x:c>
      <x:c r="O430" s="120" t="str">
        <x:v>Official adaptation</x:v>
      </x:c>
      <x:c r="P430" s="120" t="str">
        <x:v>Official reference reviewed</x:v>
      </x:c>
      <x:c r="Q430" s="120" t="str">
        <x:v>Official Age of Mythology: Retold game and expansion reference pages.</x:v>
      </x:c>
      <x:c r="R430" s="120" t="str">
        <x:v>https://www.ageofempires.com/games/age-of-mythology-retold/</x:v>
      </x:c>
      <x:c r="S430" s="120" t="str">
        <x:v>Seeded</x:v>
      </x:c>
    </x:row>
    <x:row r="431" ht="52" customHeight="1">
      <x:c r="A431" s="119" t="str">
        <x:v>ENT-0430</x:v>
      </x:c>
      <x:c r="B431" s="120" t="str">
        <x:v>Campaign hero and mythic campaign</x:v>
      </x:c>
      <x:c r="C431" s="120" t="str">
        <x:v>SRC-281</x:v>
      </x:c>
      <x:c r="D431" s="120" t="str">
        <x:v>Age of Mythology: Retold</x:v>
      </x:c>
      <x:c r="E431" s="120" t="str">
        <x:v>Official content snapshot through August 2, 2026</x:v>
      </x:c>
      <x:c r="F431" s="120" t="str">
        <x:v>Narrative-to-unit adaptation</x:v>
      </x:c>
      <x:c r="G431" s="120" t="str">
        <x:v>MEC-407</x:v>
      </x:c>
      <x:c r="H431" s="120" t="str">
        <x:f>IFERROR(VLOOKUP(G431,'Master Taxonomy'!$A$2:$B$1656,2,FALSE),"")</x:f>
        <x:v>Hero Unit</x:v>
      </x:c>
      <x:c r="I431" s="120" t="str">
        <x:v>NAR-100;MEC-423</x:v>
      </x:c>
      <x:c r="J431" s="120" t="str">
        <x:v>Hero and Protagonist Archetypes; Unique Character Class</x:v>
      </x:c>
      <x:c r="K431" s="120" t="str">
        <x:v>Named protagonists move between narrative campaign roles and rule-defined hero units with scripted objectives and anti-myth capabilities.</x:v>
      </x:c>
      <x:c r="L431" s="120" t="str">
        <x:v>Campaign scripting, unit stats, narrative identity, and scenario progression.</x:v>
      </x:c>
      <x:c r="M431" s="120" t="str">
        <x:v>The hero's narrative identity and mechanical counter role are related but not identical.</x:v>
      </x:c>
      <x:c r="N431" s="120" t="str">
        <x:v>Useful for crosswalking literary heroism into strategy-unit design.</x:v>
      </x:c>
      <x:c r="O431" s="120" t="str">
        <x:v>Official adaptation</x:v>
      </x:c>
      <x:c r="P431" s="120" t="str">
        <x:v>Official reference reviewed</x:v>
      </x:c>
      <x:c r="Q431" s="120" t="str">
        <x:v>Official Age of Mythology: Retold game and expansion reference pages.</x:v>
      </x:c>
      <x:c r="R431" s="120" t="str">
        <x:v>https://www.ageofempires.com/games/age-of-mythology-retold/</x:v>
      </x:c>
      <x:c r="S431" s="120" t="str">
        <x:v>Seeded</x:v>
      </x:c>
    </x:row>
    <x:row r="432" ht="52" customHeight="1">
      <x:c r="A432" s="119" t="str">
        <x:v>ENT-0431</x:v>
      </x:c>
      <x:c r="B432" s="120" t="str">
        <x:v>Pantheon-specific favor generation</x:v>
      </x:c>
      <x:c r="C432" s="120" t="str">
        <x:v>SRC-281</x:v>
      </x:c>
      <x:c r="D432" s="120" t="str">
        <x:v>Age of Mythology: Retold</x:v>
      </x:c>
      <x:c r="E432" s="120" t="str">
        <x:v>Official content snapshot through August 2, 2026</x:v>
      </x:c>
      <x:c r="F432" s="120" t="str">
        <x:v>Asymmetric resource submodel</x:v>
      </x:c>
      <x:c r="G432" s="120" t="str">
        <x:v>MEC-444</x:v>
      </x:c>
      <x:c r="H432" s="120" t="str">
        <x:f>IFERROR(VLOOKUP(G432,'Master Taxonomy'!$A$2:$B$1656,2,FALSE),"")</x:f>
        <x:v>Favor Generation Model</x:v>
      </x:c>
      <x:c r="I432" s="120" t="str">
        <x:v>LAW-314;MEC-440</x:v>
      </x:c>
      <x:c r="J432" s="120" t="str">
        <x:v>Worship or Favor Resource; Pantheon or Patron Choice</x:v>
      </x:c>
      <x:c r="K432" s="120" t="str">
        <x:v>Each civilization produces favor through a thematically distinct method such as worship, combat, monuments, or hero activity.</x:v>
      </x:c>
      <x:c r="L432" s="120" t="str">
        <x:v>Faction rule, economic behavior, map interaction, and balance.</x:v>
      </x:c>
      <x:c r="M432" s="120" t="str">
        <x:v>The thematic mechanism is a game interpretation, not a comparative theology.</x:v>
      </x:c>
      <x:c r="N432" s="120" t="str">
        <x:v>A concise example of cultural differentiation through resource mechanics.</x:v>
      </x:c>
      <x:c r="O432" s="120" t="str">
        <x:v>Official adaptation</x:v>
      </x:c>
      <x:c r="P432" s="120" t="str">
        <x:v>Official reference reviewed</x:v>
      </x:c>
      <x:c r="Q432" s="120" t="str">
        <x:v>Official Age of Mythology: Retold game and expansion reference pages.</x:v>
      </x:c>
      <x:c r="R432" s="120" t="str">
        <x:v>https://www.ageofempires.com/games/age-of-mythology-retold/</x:v>
      </x:c>
      <x:c r="S432" s="120" t="str">
        <x:v>Seeded</x:v>
      </x:c>
    </x:row>
    <x:row r="433" ht="52" customHeight="1">
      <x:c r="A433" s="119" t="str">
        <x:v>ENT-0432</x:v>
      </x:c>
      <x:c r="B433" s="120" t="str">
        <x:v>Mythic age progression as adaptation</x:v>
      </x:c>
      <x:c r="C433" s="120" t="str">
        <x:v>SRC-281</x:v>
      </x:c>
      <x:c r="D433" s="120" t="str">
        <x:v>Age of Mythology: Retold</x:v>
      </x:c>
      <x:c r="E433" s="120" t="str">
        <x:v>Official content snapshot through August 2, 2026</x:v>
      </x:c>
      <x:c r="F433" s="120" t="str">
        <x:v>Age/progression abstraction</x:v>
      </x:c>
      <x:c r="G433" s="120" t="str">
        <x:v>MEC-441</x:v>
      </x:c>
      <x:c r="H433" s="120" t="str">
        <x:f>IFERROR(VLOOKUP(G433,'Master Taxonomy'!$A$2:$B$1656,2,FALSE),"")</x:f>
        <x:v>Branching Age-Up Choice</x:v>
      </x:c>
      <x:c r="I433" s="120" t="str">
        <x:v>COS-112;LAW-510</x:v>
      </x:c>
      <x:c r="J433" s="120" t="str">
        <x:v>Cyclical Time; Cyclical-Age Law</x:v>
      </x:c>
      <x:c r="K433" s="120" t="str">
        <x:v>Mythological and historical ideas of eras are converted into a universal progression ladder with pantheon-specific branches.</x:v>
      </x:c>
      <x:c r="L433" s="120" t="str">
        <x:v>Resource thresholds, buildings, deity choice, technology unlocks, and strategic timing.</x:v>
      </x:c>
      <x:c r="M433" s="120" t="str">
        <x:v>Shared age labels create comparability at the cost of source-specific temporal models.</x:v>
      </x:c>
      <x:c r="N433" s="120" t="str">
        <x:v>A high-value cross-media pattern linking cosmic age to technology tier.</x:v>
      </x:c>
      <x:c r="O433" s="120" t="str">
        <x:v>Official adaptation</x:v>
      </x:c>
      <x:c r="P433" s="120" t="str">
        <x:v>Official reference reviewed</x:v>
      </x:c>
      <x:c r="Q433" s="120" t="str">
        <x:v>Official Age of Mythology: Retold game and expansion reference pages.</x:v>
      </x:c>
      <x:c r="R433" s="120" t="str">
        <x:v>https://www.ageofempires.com/games/age-of-mythology-retold/</x:v>
      </x:c>
      <x:c r="S433" s="120" t="str">
        <x:v>Seeded</x:v>
      </x:c>
    </x:row>
    <x:row r="434" ht="52" customHeight="1">
      <x:c r="A434" s="119" t="str">
        <x:v>ENT-0433</x:v>
      </x:c>
      <x:c r="B434" s="120" t="str">
        <x:v>Stress</x:v>
      </x:c>
      <x:c r="C434" s="120" t="str">
        <x:v>SRC-189</x:v>
      </x:c>
      <x:c r="D434" s="120" t="str">
        <x:v>Darkest Dungeon</x:v>
      </x:c>
      <x:c r="E434" s="120" t="str">
        <x:v>Original game; base systems with DLC-aware notes, excluding Darkest Dungeon II</x:v>
      </x:c>
      <x:c r="F434" s="120" t="str">
        <x:v>Persistent psychological resource</x:v>
      </x:c>
      <x:c r="G434" s="120" t="str">
        <x:v>MEC-431</x:v>
      </x:c>
      <x:c r="H434" s="120" t="str">
        <x:f>IFERROR(VLOOKUP(G434,'Master Taxonomy'!$A$2:$B$1656,2,FALSE),"")</x:f>
        <x:v>Stress Resource Track</x:v>
      </x:c>
      <x:c r="I434" s="120" t="str">
        <x:v>MEC-200;STA-524</x:v>
      </x:c>
      <x:c r="J434" s="120" t="str">
        <x:v>Resource and Casting Models; Expedition Trauma</x:v>
      </x:c>
      <x:c r="K434" s="120" t="str">
        <x:v>A second damage economy accumulates through darkness, attacks, events, and expedition pressure and can trigger a crisis.</x:v>
      </x:c>
      <x:c r="L434" s="120" t="str">
        <x:v>Exposure, enemy abilities, environment, quirks, party interaction, and recovery.</x:v>
      </x:c>
      <x:c r="M434" s="120" t="str">
        <x:v>Stress is mechanically independent from physical health and persists across expeditions.</x:v>
      </x:c>
      <x:c r="N434" s="120" t="str">
        <x:v>The source's major contribution is a campaign-scale psychological resource, not another conventional fantasy class.</x:v>
      </x:c>
      <x:c r="O434" s="120" t="str">
        <x:v>Primary canon</x:v>
      </x:c>
      <x:c r="P434" s="120" t="str">
        <x:v>Official reference reviewed</x:v>
      </x:c>
      <x:c r="Q434" s="120" t="str">
        <x:v>Darkest Dungeon official game overview and system documentation.</x:v>
      </x:c>
      <x:c r="R434" s="120" t="str">
        <x:v>https://www.darkestdungeon.com/darkest-dungeon/about/</x:v>
      </x:c>
      <x:c r="S434" s="120" t="str">
        <x:v>Seeded</x:v>
      </x:c>
    </x:row>
    <x:row r="435" ht="52" customHeight="1">
      <x:c r="A435" s="119" t="str">
        <x:v>ENT-0434</x:v>
      </x:c>
      <x:c r="B435" s="120" t="str">
        <x:v>Resolve check at maximum stress</x:v>
      </x:c>
      <x:c r="C435" s="120" t="str">
        <x:v>SRC-189</x:v>
      </x:c>
      <x:c r="D435" s="120" t="str">
        <x:v>Darkest Dungeon</x:v>
      </x:c>
      <x:c r="E435" s="120" t="str">
        <x:v>Original game; base systems with DLC-aware notes, excluding Darkest Dungeon II</x:v>
      </x:c>
      <x:c r="F435" s="120" t="str">
        <x:v>Crisis threshold mechanic</x:v>
      </x:c>
      <x:c r="G435" s="120" t="str">
        <x:v>MEC-432</x:v>
      </x:c>
      <x:c r="H435" s="120" t="str">
        <x:f>IFERROR(VLOOKUP(G435,'Master Taxonomy'!$A$2:$B$1656,2,FALSE),"")</x:f>
        <x:v>Crisis Threshold or Resolve Check</x:v>
      </x:c>
      <x:c r="I435" s="120" t="str">
        <x:v>MEC-433;STA-521</x:v>
      </x:c>
      <x:c r="J435" s="120" t="str">
        <x:v>Affliction-or-Virtue Branch; Stress Affliction</x:v>
      </x:c>
      <x:c r="K435" s="120" t="str">
        <x:v>Reaching a stress crisis triggers a resolve test that changes the hero's behavior and capability.</x:v>
      </x:c>
      <x:c r="L435" s="120" t="str">
        <x:v>Accumulated stress, probability, hero state, and game rules.</x:v>
      </x:c>
      <x:c r="M435" s="120" t="str">
        <x:v>The crisis is a discrete branching event rather than a linear debuff.</x:v>
      </x:c>
      <x:c r="N435" s="120" t="str">
        <x:v>A reusable breaking-point mechanic for horror and attrition games.</x:v>
      </x:c>
      <x:c r="O435" s="120" t="str">
        <x:v>Primary canon</x:v>
      </x:c>
      <x:c r="P435" s="120" t="str">
        <x:v>Official reference reviewed</x:v>
      </x:c>
      <x:c r="Q435" s="120" t="str">
        <x:v>Darkest Dungeon official game overview and system documentation.</x:v>
      </x:c>
      <x:c r="R435" s="120" t="str">
        <x:v>https://www.darkestdungeon.com/darkest-dungeon/about/</x:v>
      </x:c>
      <x:c r="S435" s="120" t="str">
        <x:v>Seeded</x:v>
      </x:c>
    </x:row>
    <x:row r="436" ht="52" customHeight="1">
      <x:c r="A436" s="119" t="str">
        <x:v>ENT-0435</x:v>
      </x:c>
      <x:c r="B436" s="120" t="str">
        <x:v>Affliction</x:v>
      </x:c>
      <x:c r="C436" s="120" t="str">
        <x:v>SRC-189</x:v>
      </x:c>
      <x:c r="D436" s="120" t="str">
        <x:v>Darkest Dungeon</x:v>
      </x:c>
      <x:c r="E436" s="120" t="str">
        <x:v>Original game; base systems with DLC-aware notes, excluding Darkest Dungeon II</x:v>
      </x:c>
      <x:c r="F436" s="120" t="str">
        <x:v>Stress-triggered condition</x:v>
      </x:c>
      <x:c r="G436" s="120" t="str">
        <x:v>STA-521</x:v>
      </x:c>
      <x:c r="H436" s="120" t="str">
        <x:f>IFERROR(VLOOKUP(G436,'Master Taxonomy'!$A$2:$B$1656,2,FALSE),"")</x:f>
        <x:v>Stress Affliction</x:v>
      </x:c>
      <x:c r="I436" s="120" t="str">
        <x:v>MEC-433;STA-315</x:v>
      </x:c>
      <x:c r="J436" s="120" t="str">
        <x:v>Affliction-or-Virtue Branch; Madness or Altered Perception</x:v>
      </x:c>
      <x:c r="K436" s="120" t="str">
        <x:v>A hero can enter a persistent harmful state such as paranoia, fear, irrationality, or masochistic behavior after a crisis.</x:v>
      </x:c>
      <x:c r="L436" s="120" t="str">
        <x:v>Stress threshold and resolve outcome.</x:v>
      </x:c>
      <x:c r="M436" s="120" t="str">
        <x:v>Affliction is an acquired state, not the hero's moral essence or species trait.</x:v>
      </x:c>
      <x:c r="N436" s="120" t="str">
        <x:v>A source-specific model for mechanically consequential breakdown.</x:v>
      </x:c>
      <x:c r="O436" s="120" t="str">
        <x:v>Primary canon</x:v>
      </x:c>
      <x:c r="P436" s="120" t="str">
        <x:v>Official reference reviewed</x:v>
      </x:c>
      <x:c r="Q436" s="120" t="str">
        <x:v>Darkest Dungeon official game overview and system documentation.</x:v>
      </x:c>
      <x:c r="R436" s="120" t="str">
        <x:v>https://www.darkestdungeon.com/darkest-dungeon/about/</x:v>
      </x:c>
      <x:c r="S436" s="120" t="str">
        <x:v>Seeded</x:v>
      </x:c>
    </x:row>
    <x:row r="437" ht="52" customHeight="1">
      <x:c r="A437" s="119" t="str">
        <x:v>ENT-0436</x:v>
      </x:c>
      <x:c r="B437" s="120" t="str">
        <x:v>Virtue</x:v>
      </x:c>
      <x:c r="C437" s="120" t="str">
        <x:v>SRC-189</x:v>
      </x:c>
      <x:c r="D437" s="120" t="str">
        <x:v>Darkest Dungeon</x:v>
      </x:c>
      <x:c r="E437" s="120" t="str">
        <x:v>Original game; base systems with DLC-aware notes, excluding Darkest Dungeon II</x:v>
      </x:c>
      <x:c r="F437" s="120" t="str">
        <x:v>Stress-triggered resilient condition</x:v>
      </x:c>
      <x:c r="G437" s="120" t="str">
        <x:v>STA-522</x:v>
      </x:c>
      <x:c r="H437" s="120" t="str">
        <x:f>IFERROR(VLOOKUP(G437,'Master Taxonomy'!$A$2:$B$1656,2,FALSE),"")</x:f>
        <x:v>Virtue Crisis State</x:v>
      </x:c>
      <x:c r="I437" s="120" t="str">
        <x:v>MEC-433;STA-400</x:v>
      </x:c>
      <x:c r="J437" s="120" t="str">
        <x:v>Affliction-or-Virtue Branch; Empowerment, Bond, and Alignment States</x:v>
      </x:c>
      <x:c r="K437" s="120" t="str">
        <x:v>A crisis can instead produce a beneficial state of exceptional resolve, focus, courage, or support.</x:v>
      </x:c>
      <x:c r="L437" s="120" t="str">
        <x:v>Stress threshold and favorable resolve outcome.</x:v>
      </x:c>
      <x:c r="M437" s="120" t="str">
        <x:v>Virtue is a temporary crisis response, not a permanent alignment category.</x:v>
      </x:c>
      <x:c r="N437" s="120" t="str">
        <x:v>Pairs collapse and resilience within the same pressure system.</x:v>
      </x:c>
      <x:c r="O437" s="120" t="str">
        <x:v>Primary canon</x:v>
      </x:c>
      <x:c r="P437" s="120" t="str">
        <x:v>Official reference reviewed</x:v>
      </x:c>
      <x:c r="Q437" s="120" t="str">
        <x:v>Darkest Dungeon official game overview and system documentation.</x:v>
      </x:c>
      <x:c r="R437" s="120" t="str">
        <x:v>https://www.darkestdungeon.com/darkest-dungeon/about/</x:v>
      </x:c>
      <x:c r="S437" s="120" t="str">
        <x:v>Seeded</x:v>
      </x:c>
    </x:row>
    <x:row r="438" ht="52" customHeight="1">
      <x:c r="A438" s="119" t="str">
        <x:v>ENT-0437</x:v>
      </x:c>
      <x:c r="B438" s="120" t="str">
        <x:v>Positive and negative quirks</x:v>
      </x:c>
      <x:c r="C438" s="120" t="str">
        <x:v>SRC-189</x:v>
      </x:c>
      <x:c r="D438" s="120" t="str">
        <x:v>Darkest Dungeon</x:v>
      </x:c>
      <x:c r="E438" s="120" t="str">
        <x:v>Original game; base systems with DLC-aware notes, excluding Darkest Dungeon II</x:v>
      </x:c>
      <x:c r="F438" s="120" t="str">
        <x:v>Persistent trait system</x:v>
      </x:c>
      <x:c r="G438" s="120" t="str">
        <x:v>MEC-434</x:v>
      </x:c>
      <x:c r="H438" s="120" t="str">
        <x:f>IFERROR(VLOOKUP(G438,'Master Taxonomy'!$A$2:$B$1656,2,FALSE),"")</x:f>
        <x:v>Quirk Trait System</x:v>
      </x:c>
      <x:c r="I438" s="120" t="str">
        <x:v>STA-523</x:v>
      </x:c>
      <x:c r="J438" s="120" t="str">
        <x:v>Acquired Quirk</x:v>
      </x:c>
      <x:c r="K438" s="120" t="str">
        <x:v>Heroes acquire durable beneficial and harmful traits through expeditions, locations, treatment, and events.</x:v>
      </x:c>
      <x:c r="L438" s="120" t="str">
        <x:v>Experience, environmental interaction, random events, treatment, and locking/removal systems.</x:v>
      </x:c>
      <x:c r="M438" s="120" t="str">
        <x:v>Quirks individualize roster members and create long-term friction; they are not temporary status effects.</x:v>
      </x:c>
      <x:c r="N438" s="120" t="str">
        <x:v>A strong emergent-biography system for replaceable adventurers.</x:v>
      </x:c>
      <x:c r="O438" s="120" t="str">
        <x:v>Primary canon</x:v>
      </x:c>
      <x:c r="P438" s="120" t="str">
        <x:v>Official reference reviewed</x:v>
      </x:c>
      <x:c r="Q438" s="120" t="str">
        <x:v>Darkest Dungeon official game overview and system documentation.</x:v>
      </x:c>
      <x:c r="R438" s="120" t="str">
        <x:v>https://www.darkestdungeon.com/darkest-dungeon/about/</x:v>
      </x:c>
      <x:c r="S438" s="120" t="str">
        <x:v>Seeded</x:v>
      </x:c>
    </x:row>
    <x:row r="439" ht="52" customHeight="1">
      <x:c r="A439" s="119" t="str">
        <x:v>ENT-0438</x:v>
      </x:c>
      <x:c r="B439" s="120" t="str">
        <x:v>Diseases</x:v>
      </x:c>
      <x:c r="C439" s="120" t="str">
        <x:v>SRC-189</x:v>
      </x:c>
      <x:c r="D439" s="120" t="str">
        <x:v>Darkest Dungeon</x:v>
      </x:c>
      <x:c r="E439" s="120" t="str">
        <x:v>Original game; base systems with DLC-aware notes, excluding Darkest Dungeon II</x:v>
      </x:c>
      <x:c r="F439" s="120" t="str">
        <x:v>Persistent physical condition</x:v>
      </x:c>
      <x:c r="G439" s="120" t="str">
        <x:v>STA-218</x:v>
      </x:c>
      <x:c r="H439" s="120" t="str">
        <x:f>IFERROR(VLOOKUP(G439,'Master Taxonomy'!$A$2:$B$1656,2,FALSE),"")</x:f>
        <x:v>Disease or Magical Illness</x:v>
      </x:c>
      <x:c r="I439" s="120" t="str">
        <x:v>MEC-436</x:v>
      </x:c>
      <x:c r="J439" s="120" t="str">
        <x:v>Expedition Attrition Loop</x:v>
      </x:c>
      <x:c r="K439" s="120" t="str">
        <x:v>Diseases impose lasting penalties and require treatment or management across expeditions.</x:v>
      </x:c>
      <x:c r="L439" s="120" t="str">
        <x:v>Exposure, enemy attacks, events, and medical treatment.</x:v>
      </x:c>
      <x:c r="M439" s="120" t="str">
        <x:v>Disease is one component of attrition and should not be conflated with curse, stress affliction, or corruption.</x:v>
      </x:c>
      <x:c r="N439" s="120" t="str">
        <x:v>Reinforces a multi-track model of adventurer vulnerability.</x:v>
      </x:c>
      <x:c r="O439" s="120" t="str">
        <x:v>Primary canon</x:v>
      </x:c>
      <x:c r="P439" s="120" t="str">
        <x:v>Official reference reviewed</x:v>
      </x:c>
      <x:c r="Q439" s="120" t="str">
        <x:v>Darkest Dungeon official game overview and system documentation.</x:v>
      </x:c>
      <x:c r="R439" s="120" t="str">
        <x:v>https://www.darkestdungeon.com/darkest-dungeon/about/</x:v>
      </x:c>
      <x:c r="S439" s="120" t="str">
        <x:v>Seeded</x:v>
      </x:c>
    </x:row>
    <x:row r="440" ht="52" customHeight="1">
      <x:c r="A440" s="119" t="str">
        <x:v>ENT-0439</x:v>
      </x:c>
      <x:c r="B440" s="120" t="str">
        <x:v>Torchlight and encroaching darkness</x:v>
      </x:c>
      <x:c r="C440" s="120" t="str">
        <x:v>SRC-189</x:v>
      </x:c>
      <x:c r="D440" s="120" t="str">
        <x:v>Darkest Dungeon</x:v>
      </x:c>
      <x:c r="E440" s="120" t="str">
        <x:v>Original game; base systems with DLC-aware notes, excluding Darkest Dungeon II</x:v>
      </x:c>
      <x:c r="F440" s="120" t="str">
        <x:v>Light–risk resource</x:v>
      </x:c>
      <x:c r="G440" s="120" t="str">
        <x:v>MEC-435</x:v>
      </x:c>
      <x:c r="H440" s="120" t="str">
        <x:f>IFERROR(VLOOKUP(G440,'Master Taxonomy'!$A$2:$B$1656,2,FALSE),"")</x:f>
        <x:v>Light–Risk Meter</x:v>
      </x:c>
      <x:c r="I440" s="120" t="str">
        <x:v>PWR-207;MEC-436</x:v>
      </x:c>
      <x:c r="J440" s="120" t="str">
        <x:v>Light and Radiance Magic; Expedition Attrition Loop</x:v>
      </x:c>
      <x:c r="K440" s="120" t="str">
        <x:v>Torch level affects danger, stress, surprise, reward, and the emotional texture of an expedition.</x:v>
      </x:c>
      <x:c r="L440" s="120" t="str">
        <x:v>Consumable torches, exploration time, player risk choice, and environmental rules.</x:v>
      </x:c>
      <x:c r="M440" s="120" t="str">
        <x:v>Light is not only visibility or a holy damage type; it is a strategic risk/reward meter.</x:v>
      </x:c>
      <x:c r="N440" s="120" t="str">
        <x:v>A distinctive use of illumination as campaign economy and player-controlled difficulty.</x:v>
      </x:c>
      <x:c r="O440" s="120" t="str">
        <x:v>Primary canon</x:v>
      </x:c>
      <x:c r="P440" s="120" t="str">
        <x:v>Official reference reviewed</x:v>
      </x:c>
      <x:c r="Q440" s="120" t="str">
        <x:v>Darkest Dungeon official game overview and system documentation.</x:v>
      </x:c>
      <x:c r="R440" s="120" t="str">
        <x:v>https://www.darkestdungeon.com/darkest-dungeon/about/</x:v>
      </x:c>
      <x:c r="S440" s="120" t="str">
        <x:v>Seeded</x:v>
      </x:c>
    </x:row>
    <x:row r="441" ht="52" customHeight="1">
      <x:c r="A441" s="119" t="str">
        <x:v>ENT-0440</x:v>
      </x:c>
      <x:c r="B441" s="120" t="str">
        <x:v>Expedition attrition</x:v>
      </x:c>
      <x:c r="C441" s="120" t="str">
        <x:v>SRC-189</x:v>
      </x:c>
      <x:c r="D441" s="120" t="str">
        <x:v>Darkest Dungeon</x:v>
      </x:c>
      <x:c r="E441" s="120" t="str">
        <x:v>Original game; base systems with DLC-aware notes, excluding Darkest Dungeon II</x:v>
      </x:c>
      <x:c r="F441" s="120" t="str">
        <x:v>Multi-encounter depletion loop</x:v>
      </x:c>
      <x:c r="G441" s="120" t="str">
        <x:v>MEC-436</x:v>
      </x:c>
      <x:c r="H441" s="120" t="str">
        <x:f>IFERROR(VLOOKUP(G441,'Master Taxonomy'!$A$2:$B$1656,2,FALSE),"")</x:f>
        <x:v>Expedition Attrition Loop</x:v>
      </x:c>
      <x:c r="I441" s="120" t="str">
        <x:v>MEC-431;MEC-435</x:v>
      </x:c>
      <x:c r="J441" s="120" t="str">
        <x:v>Stress Resource Track; Light–Risk Meter</x:v>
      </x:c>
      <x:c r="K441" s="120" t="str">
        <x:v>Health, stress, supplies, light, disease, quirks, and other burdens accumulate over a dungeon expedition.</x:v>
      </x:c>
      <x:c r="L441" s="120" t="str">
        <x:v>Room sequence, combat, curios, food, torches, camping, and retreat decisions.</x:v>
      </x:c>
      <x:c r="M441" s="120" t="str">
        <x:v>The meaningful unit is the whole expedition, not a series of fully reset encounters.</x:v>
      </x:c>
      <x:c r="N441" s="120" t="str">
        <x:v>A high-value pattern for survival-oriented dungeon design.</x:v>
      </x:c>
      <x:c r="O441" s="120" t="str">
        <x:v>Primary canon</x:v>
      </x:c>
      <x:c r="P441" s="120" t="str">
        <x:v>Official reference reviewed</x:v>
      </x:c>
      <x:c r="Q441" s="120" t="str">
        <x:v>Darkest Dungeon official game overview and system documentation.</x:v>
      </x:c>
      <x:c r="R441" s="120" t="str">
        <x:v>https://www.darkestdungeon.com/darkest-dungeon/about/</x:v>
      </x:c>
      <x:c r="S441" s="120" t="str">
        <x:v>Seeded</x:v>
      </x:c>
    </x:row>
    <x:row r="442" ht="52" customHeight="1">
      <x:c r="A442" s="119" t="str">
        <x:v>ENT-0441</x:v>
      </x:c>
      <x:c r="B442" s="120" t="str">
        <x:v>Camping and expedition recovery</x:v>
      </x:c>
      <x:c r="C442" s="120" t="str">
        <x:v>SRC-189</x:v>
      </x:c>
      <x:c r="D442" s="120" t="str">
        <x:v>Darkest Dungeon</x:v>
      </x:c>
      <x:c r="E442" s="120" t="str">
        <x:v>Original game; base systems with DLC-aware notes, excluding Darkest Dungeon II</x:v>
      </x:c>
      <x:c r="F442" s="120" t="str">
        <x:v>Limited in-field recovery system</x:v>
      </x:c>
      <x:c r="G442" s="120" t="str">
        <x:v>MEC-438</x:v>
      </x:c>
      <x:c r="H442" s="120" t="str">
        <x:f>IFERROR(VLOOKUP(G442,'Master Taxonomy'!$A$2:$B$1656,2,FALSE),"")</x:f>
        <x:v>Town Recovery Loop</x:v>
      </x:c>
      <x:c r="I442" s="120" t="str">
        <x:v>ROL-606;MEC-436</x:v>
      </x:c>
      <x:c r="J442" s="120" t="str">
        <x:v>Bard; Expedition Attrition Loop</x:v>
      </x:c>
      <x:c r="K442" s="120" t="str">
        <x:v>Camping consumes supplies and uses hero-specific skills to heal, reduce stress, prepare, and manage risk during longer expeditions.</x:v>
      </x:c>
      <x:c r="L442" s="120" t="str">
        <x:v>Camping supplies, selected skills, time, party composition, and ambush rules.</x:v>
      </x:c>
      <x:c r="M442" s="120" t="str">
        <x:v>Recovery remains limited and strategic rather than a complete reset.</x:v>
      </x:c>
      <x:c r="N442" s="120" t="str">
        <x:v>Combines party role identity with downtime decisions inside the expedition.</x:v>
      </x:c>
      <x:c r="O442" s="120" t="str">
        <x:v>Primary canon</x:v>
      </x:c>
      <x:c r="P442" s="120" t="str">
        <x:v>Official reference reviewed</x:v>
      </x:c>
      <x:c r="Q442" s="120" t="str">
        <x:v>Darkest Dungeon official game overview and system documentation.</x:v>
      </x:c>
      <x:c r="R442" s="120" t="str">
        <x:v>https://www.darkestdungeon.com/darkest-dungeon/about/</x:v>
      </x:c>
      <x:c r="S442" s="120" t="str">
        <x:v>Seeded</x:v>
      </x:c>
    </x:row>
    <x:row r="443" ht="52" customHeight="1">
      <x:c r="A443" s="119" t="str">
        <x:v>ENT-0442</x:v>
      </x:c>
      <x:c r="B443" s="120" t="str">
        <x:v>Abbey and Tavern treatment</x:v>
      </x:c>
      <x:c r="C443" s="120" t="str">
        <x:v>SRC-189</x:v>
      </x:c>
      <x:c r="D443" s="120" t="str">
        <x:v>Darkest Dungeon</x:v>
      </x:c>
      <x:c r="E443" s="120" t="str">
        <x:v>Original game; base systems with DLC-aware notes, excluding Darkest Dungeon II</x:v>
      </x:c>
      <x:c r="F443" s="120" t="str">
        <x:v>Recovery institution</x:v>
      </x:c>
      <x:c r="G443" s="120" t="str">
        <x:v>INS-423</x:v>
      </x:c>
      <x:c r="H443" s="120" t="str">
        <x:f>IFERROR(VLOOKUP(G443,'Master Taxonomy'!$A$2:$B$1656,2,FALSE),"")</x:f>
        <x:v>Recovery and Respite Institution</x:v>
      </x:c>
      <x:c r="I443" s="120" t="str">
        <x:v>MEC-438;LAW-315</x:v>
      </x:c>
      <x:c r="J443" s="120" t="str">
        <x:v>Town Recovery Loop; Ritual Economy</x:v>
      </x:c>
      <x:c r="K443" s="120" t="str">
        <x:v>Town institutions reduce stress through prayer, meditation, drinking, gambling, or other activities while making heroes temporarily unavailable.</x:v>
      </x:c>
      <x:c r="L443" s="120" t="str">
        <x:v>Gold, town facilities, character restrictions, time, and quirks.</x:v>
      </x:c>
      <x:c r="M443" s="120" t="str">
        <x:v>The institutions are not merely heal buttons; they create cost, availability, and character-specific complications.</x:v>
      </x:c>
      <x:c r="N443" s="120" t="str">
        <x:v>A reusable model for social institutions as campaign recovery systems.</x:v>
      </x:c>
      <x:c r="O443" s="120" t="str">
        <x:v>Primary canon</x:v>
      </x:c>
      <x:c r="P443" s="120" t="str">
        <x:v>Official reference reviewed</x:v>
      </x:c>
      <x:c r="Q443" s="120" t="str">
        <x:v>Darkest Dungeon official game overview and system documentation.</x:v>
      </x:c>
      <x:c r="R443" s="120" t="str">
        <x:v>https://www.darkestdungeon.com/darkest-dungeon/about/</x:v>
      </x:c>
      <x:c r="S443" s="120" t="str">
        <x:v>Seeded</x:v>
      </x:c>
    </x:row>
    <x:row r="444" ht="52" customHeight="1">
      <x:c r="A444" s="119" t="str">
        <x:v>ENT-0443</x:v>
      </x:c>
      <x:c r="B444" s="120" t="str">
        <x:v>Sanitarium treatment</x:v>
      </x:c>
      <x:c r="C444" s="120" t="str">
        <x:v>SRC-189</x:v>
      </x:c>
      <x:c r="D444" s="120" t="str">
        <x:v>Darkest Dungeon</x:v>
      </x:c>
      <x:c r="E444" s="120" t="str">
        <x:v>Original game; base systems with DLC-aware notes, excluding Darkest Dungeon II</x:v>
      </x:c>
      <x:c r="F444" s="120" t="str">
        <x:v>Medical/behavioral recovery institution</x:v>
      </x:c>
      <x:c r="G444" s="120" t="str">
        <x:v>INS-423</x:v>
      </x:c>
      <x:c r="H444" s="120" t="str">
        <x:f>IFERROR(VLOOKUP(G444,'Master Taxonomy'!$A$2:$B$1656,2,FALSE),"")</x:f>
        <x:v>Recovery and Respite Institution</x:v>
      </x:c>
      <x:c r="I444" s="120" t="str">
        <x:v>MEC-438;STA-523</x:v>
      </x:c>
      <x:c r="J444" s="120" t="str">
        <x:v>Town Recovery Loop; Acquired Quirk</x:v>
      </x:c>
      <x:c r="K444" s="120" t="str">
        <x:v>A town institution treats disease and modifies persistent quirks through time and resource expenditure.</x:v>
      </x:c>
      <x:c r="L444" s="120" t="str">
        <x:v>Gold, facility upgrades, treatment slots, and hero availability.</x:v>
      </x:c>
      <x:c r="M444" s="120" t="str">
        <x:v>Treatment changes long-term roster state rather than only restoring combat health.</x:v>
      </x:c>
      <x:c r="N444" s="120" t="str">
        <x:v>Connects character traits to institutional infrastructure.</x:v>
      </x:c>
      <x:c r="O444" s="120" t="str">
        <x:v>Primary canon</x:v>
      </x:c>
      <x:c r="P444" s="120" t="str">
        <x:v>Official reference reviewed</x:v>
      </x:c>
      <x:c r="Q444" s="120" t="str">
        <x:v>Darkest Dungeon official game overview and system documentation.</x:v>
      </x:c>
      <x:c r="R444" s="120" t="str">
        <x:v>https://www.darkestdungeon.com/darkest-dungeon/about/</x:v>
      </x:c>
      <x:c r="S444" s="120" t="str">
        <x:v>Seeded</x:v>
      </x:c>
    </x:row>
    <x:row r="445" ht="52" customHeight="1">
      <x:c r="A445" s="119" t="str">
        <x:v>ENT-0444</x:v>
      </x:c>
      <x:c r="B445" s="120" t="str">
        <x:v>Permadeath and permanent roster loss</x:v>
      </x:c>
      <x:c r="C445" s="120" t="str">
        <x:v>SRC-189</x:v>
      </x:c>
      <x:c r="D445" s="120" t="str">
        <x:v>Darkest Dungeon</x:v>
      </x:c>
      <x:c r="E445" s="120" t="str">
        <x:v>Original game; base systems with DLC-aware notes, excluding Darkest Dungeon II</x:v>
      </x:c>
      <x:c r="F445" s="120" t="str">
        <x:v>Unit mortality mechanic</x:v>
      </x:c>
      <x:c r="G445" s="120" t="str">
        <x:v>MEC-426</x:v>
      </x:c>
      <x:c r="H445" s="120" t="str">
        <x:f>IFERROR(VLOOKUP(G445,'Master Taxonomy'!$A$2:$B$1656,2,FALSE),"")</x:f>
        <x:v>Permadeath Unit</x:v>
      </x:c>
      <x:c r="I445" s="120" t="str">
        <x:v>MEC-437;LAW-717</x:v>
      </x:c>
      <x:c r="J445" s="120" t="str">
        <x:v>Roster-Based Campaign; Final Death or Soul Destruction</x:v>
      </x:c>
      <x:c r="K445" s="120" t="str">
        <x:v>Heroes can die permanently, leaving the campaign to continue through the surviving and newly recruited roster.</x:v>
      </x:c>
      <x:c r="L445" s="120" t="str">
        <x:v>Combat outcome, expedition risk, retreat decisions, and limited exceptions.</x:v>
      </x:c>
      <x:c r="M445" s="120" t="str">
        <x:v>The campaign persists after individual death; the roster, not one immortal protagonist, is the continuity anchor.</x:v>
      </x:c>
      <x:c r="N445" s="120" t="str">
        <x:v>Makes mortality a strategic and narrative system rather than a reload-only failure.</x:v>
      </x:c>
      <x:c r="O445" s="120" t="str">
        <x:v>Primary canon</x:v>
      </x:c>
      <x:c r="P445" s="120" t="str">
        <x:v>Official reference reviewed</x:v>
      </x:c>
      <x:c r="Q445" s="120" t="str">
        <x:v>Darkest Dungeon official game overview and system documentation.</x:v>
      </x:c>
      <x:c r="R445" s="120" t="str">
        <x:v>https://www.darkestdungeon.com/darkest-dungeon/about/</x:v>
      </x:c>
      <x:c r="S445" s="120" t="str">
        <x:v>Seeded</x:v>
      </x:c>
    </x:row>
    <x:row r="446" ht="52" customHeight="1">
      <x:c r="A446" s="119" t="str">
        <x:v>ENT-0445</x:v>
      </x:c>
      <x:c r="B446" s="120" t="str">
        <x:v>Roster management campaign</x:v>
      </x:c>
      <x:c r="C446" s="120" t="str">
        <x:v>SRC-189</x:v>
      </x:c>
      <x:c r="D446" s="120" t="str">
        <x:v>Darkest Dungeon</x:v>
      </x:c>
      <x:c r="E446" s="120" t="str">
        <x:v>Original game; base systems with DLC-aware notes, excluding Darkest Dungeon II</x:v>
      </x:c>
      <x:c r="F446" s="120" t="str">
        <x:v>Company/roster progression model</x:v>
      </x:c>
      <x:c r="G446" s="120" t="str">
        <x:v>MEC-437</x:v>
      </x:c>
      <x:c r="H446" s="120" t="str">
        <x:f>IFERROR(VLOOKUP(G446,'Master Taxonomy'!$A$2:$B$1656,2,FALSE),"")</x:f>
        <x:v>Roster-Based Campaign</x:v>
      </x:c>
      <x:c r="I446" s="120" t="str">
        <x:v>MEC-319;NAR-442</x:v>
      </x:c>
      <x:c r="J446" s="120" t="str">
        <x:v>Companion Collection System; Roster of Flawed Adventurers</x:v>
      </x:c>
      <x:c r="K446" s="120" t="str">
        <x:v>The player recruits, rotates, treats, upgrades, specializes, and sometimes loses a large roster of adventurers.</x:v>
      </x:c>
      <x:c r="L446" s="120" t="str">
        <x:v>Stagecoach recruitment, town capacity, upgrades, stress, disease, quirks, and permadeath.</x:v>
      </x:c>
      <x:c r="M446" s="120" t="str">
        <x:v>The heroes are neither disposable generic units nor one fixed party; individuals accumulate histories while remaining replaceable.</x:v>
      </x:c>
      <x:c r="N446" s="120" t="str">
        <x:v>A distinctive middle ground between tactics roster and literary protagonist ensemble.</x:v>
      </x:c>
      <x:c r="O446" s="120" t="str">
        <x:v>Primary canon</x:v>
      </x:c>
      <x:c r="P446" s="120" t="str">
        <x:v>Official reference reviewed</x:v>
      </x:c>
      <x:c r="Q446" s="120" t="str">
        <x:v>Darkest Dungeon official game overview and system documentation.</x:v>
      </x:c>
      <x:c r="R446" s="120" t="str">
        <x:v>https://www.darkestdungeon.com/darkest-dungeon/about/</x:v>
      </x:c>
      <x:c r="S446" s="120" t="str">
        <x:v>Seeded</x:v>
      </x:c>
    </x:row>
    <x:row r="447" ht="52" customHeight="1">
      <x:c r="A447" s="119" t="str">
        <x:v>ENT-0446</x:v>
      </x:c>
      <x:c r="B447" s="120" t="str">
        <x:v>Position-dependent skills</x:v>
      </x:c>
      <x:c r="C447" s="120" t="str">
        <x:v>SRC-189</x:v>
      </x:c>
      <x:c r="D447" s="120" t="str">
        <x:v>Darkest Dungeon</x:v>
      </x:c>
      <x:c r="E447" s="120" t="str">
        <x:v>Original game; base systems with DLC-aware notes, excluding Darkest Dungeon II</x:v>
      </x:c>
      <x:c r="F447" s="120" t="str">
        <x:v>Formation combat model</x:v>
      </x:c>
      <x:c r="G447" s="120" t="str">
        <x:v>MEC-439</x:v>
      </x:c>
      <x:c r="H447" s="120" t="str">
        <x:f>IFERROR(VLOOKUP(G447,'Master Taxonomy'!$A$2:$B$1656,2,FALSE),"")</x:f>
        <x:v>Position-Restricted Skill Kit</x:v>
      </x:c>
      <x:c r="I447" s="120" t="str">
        <x:v>MEC-217;MEC-100</x:v>
      </x:c>
      <x:c r="J447" s="120" t="str">
        <x:v>Position-Based Bonuses; Combat Function Archetypes</x:v>
      </x:c>
      <x:c r="K447" s="120" t="str">
        <x:v>A hero's available skills and legal targets depend on current rank, making movement, disruption, and party order central.</x:v>
      </x:c>
      <x:c r="L447" s="120" t="str">
        <x:v>Formation rank, selected skills, movement, target rows, and enemy displacement.</x:v>
      </x:c>
      <x:c r="M447" s="120" t="str">
        <x:v>Position determines capability, not only a small bonus.</x:v>
      </x:c>
      <x:c r="N447" s="120" t="str">
        <x:v>A major refinement of front-line/back-line roles into skill geometry.</x:v>
      </x:c>
      <x:c r="O447" s="120" t="str">
        <x:v>Primary canon</x:v>
      </x:c>
      <x:c r="P447" s="120" t="str">
        <x:v>Official reference reviewed</x:v>
      </x:c>
      <x:c r="Q447" s="120" t="str">
        <x:v>Darkest Dungeon official game overview and system documentation.</x:v>
      </x:c>
      <x:c r="R447" s="120" t="str">
        <x:v>https://www.darkestdungeon.com/darkest-dungeon/about/</x:v>
      </x:c>
      <x:c r="S447" s="120" t="str">
        <x:v>Seeded</x:v>
      </x:c>
    </x:row>
    <x:row r="448" ht="52" customHeight="1">
      <x:c r="A448" s="119" t="str">
        <x:v>ENT-0447</x:v>
      </x:c>
      <x:c r="B448" s="120" t="str">
        <x:v>Procedurally assembled expeditions</x:v>
      </x:c>
      <x:c r="C448" s="120" t="str">
        <x:v>SRC-189</x:v>
      </x:c>
      <x:c r="D448" s="120" t="str">
        <x:v>Darkest Dungeon</x:v>
      </x:c>
      <x:c r="E448" s="120" t="str">
        <x:v>Original game; base systems with DLC-aware notes, excluding Darkest Dungeon II</x:v>
      </x:c>
      <x:c r="F448" s="120" t="str">
        <x:v>Procedural encounter-space model</x:v>
      </x:c>
      <x:c r="G448" s="120" t="str">
        <x:v>MEC-448</x:v>
      </x:c>
      <x:c r="H448" s="120" t="str">
        <x:f>IFERROR(VLOOKUP(G448,'Master Taxonomy'!$A$2:$B$1656,2,FALSE),"")</x:f>
        <x:v>Procedural Expedition Layout</x:v>
      </x:c>
      <x:c r="I448" s="120" t="str">
        <x:v>NAR-436;MEC-436</x:v>
      </x:c>
      <x:c r="J448" s="120" t="str">
        <x:v>Dungeon Crawl; Expedition Attrition Loop</x:v>
      </x:c>
      <x:c r="K448" s="120" t="str">
        <x:v>Dungeon corridors, rooms, encounters, curios, and rewards are assembled for repeated uncertain expeditions.</x:v>
      </x:c>
      <x:c r="L448" s="120" t="str">
        <x:v>Procedural generation, mission type, region, difficulty, and game state.</x:v>
      </x:c>
      <x:c r="M448" s="120" t="str">
        <x:v>The procedural structure supports attrition and scouting rather than open-world randomness.</x:v>
      </x:c>
      <x:c r="N448" s="120" t="str">
        <x:v>A reusable link between megadungeon narrative and repeatable campaign logistics.</x:v>
      </x:c>
      <x:c r="O448" s="120" t="str">
        <x:v>Primary canon</x:v>
      </x:c>
      <x:c r="P448" s="120" t="str">
        <x:v>Official reference reviewed</x:v>
      </x:c>
      <x:c r="Q448" s="120" t="str">
        <x:v>Darkest Dungeon official game overview and system documentation.</x:v>
      </x:c>
      <x:c r="R448" s="120" t="str">
        <x:v>https://www.darkestdungeon.com/darkest-dungeon/about/</x:v>
      </x:c>
      <x:c r="S448" s="120" t="str">
        <x:v>Seeded</x:v>
      </x:c>
    </x:row>
    <x:row r="449" ht="52" customHeight="1">
      <x:c r="A449" s="119" t="str">
        <x:v>ENT-0448</x:v>
      </x:c>
      <x:c r="B449" s="120" t="str">
        <x:v>The Ancestor's inherited ruin</x:v>
      </x:c>
      <x:c r="C449" s="120" t="str">
        <x:v>SRC-189</x:v>
      </x:c>
      <x:c r="D449" s="120" t="str">
        <x:v>Darkest Dungeon</x:v>
      </x:c>
      <x:c r="E449" s="120" t="str">
        <x:v>Original game; base systems with DLC-aware notes, excluding Darkest Dungeon II</x:v>
      </x:c>
      <x:c r="F449" s="120" t="str">
        <x:v>Inherited-catastrophe narrative</x:v>
      </x:c>
      <x:c r="G449" s="120" t="str">
        <x:v>NAR-441</x:v>
      </x:c>
      <x:c r="H449" s="120" t="str">
        <x:f>IFERROR(VLOOKUP(G449,'Master Taxonomy'!$A$2:$B$1656,2,FALSE),"")</x:f>
        <x:v>Inherited Ruin or Ancestor's Folly</x:v>
      </x:c>
      <x:c r="I449" s="120" t="str">
        <x:v>ART-709;COS-521</x:v>
      </x:c>
      <x:c r="J449" s="120" t="str">
        <x:v>Lost-Technology Artifact; Ruined Precursor Realm</x:v>
      </x:c>
      <x:c r="K449" s="120" t="str">
        <x:v>The campaign begins because an ancestor's curiosity, wealth, bargains, excavations, and transgressions have corrupted an estate and surrounding region.</x:v>
      </x:c>
      <x:c r="L449" s="120" t="str">
        <x:v>Inherited property, forbidden knowledge, buried systems, social privilege, and supernatural consequence.</x:v>
      </x:c>
      <x:c r="M449" s="120" t="str">
        <x:v>The player inherits responsibility and infrastructure, not personal guilt in a simple moral accounting.</x:v>
      </x:c>
      <x:c r="N449" s="120" t="str">
        <x:v>A strong modern form of ancestral folly as campaign premise.</x:v>
      </x:c>
      <x:c r="O449" s="120" t="str">
        <x:v>Primary canon</x:v>
      </x:c>
      <x:c r="P449" s="120" t="str">
        <x:v>Official reference reviewed</x:v>
      </x:c>
      <x:c r="Q449" s="120" t="str">
        <x:v>Darkest Dungeon official game overview and system documentation.</x:v>
      </x:c>
      <x:c r="R449" s="120" t="str">
        <x:v>https://www.darkestdungeon.com/darkest-dungeon/about/</x:v>
      </x:c>
      <x:c r="S449" s="120" t="str">
        <x:v>Seeded</x:v>
      </x:c>
    </x:row>
    <x:row r="450" ht="52" customHeight="1">
      <x:c r="A450" s="119" t="str">
        <x:v>ENT-0449</x:v>
      </x:c>
      <x:c r="B450" s="120" t="str">
        <x:v>Roster of flawed adventurers</x:v>
      </x:c>
      <x:c r="C450" s="120" t="str">
        <x:v>SRC-189</x:v>
      </x:c>
      <x:c r="D450" s="120" t="str">
        <x:v>Darkest Dungeon</x:v>
      </x:c>
      <x:c r="E450" s="120" t="str">
        <x:v>Original game; base systems with DLC-aware notes, excluding Darkest Dungeon II</x:v>
      </x:c>
      <x:c r="F450" s="120" t="str">
        <x:v>Ensemble protagonist pattern</x:v>
      </x:c>
      <x:c r="G450" s="120" t="str">
        <x:v>NAR-442</x:v>
      </x:c>
      <x:c r="H450" s="120" t="str">
        <x:f>IFERROR(VLOOKUP(G450,'Master Taxonomy'!$A$2:$B$1656,2,FALSE),"")</x:f>
        <x:v>Roster of Flawed Adventurers</x:v>
      </x:c>
      <x:c r="I450" s="120" t="str">
        <x:v>STA-523;MEC-437</x:v>
      </x:c>
      <x:c r="J450" s="120" t="str">
        <x:v>Acquired Quirk; Roster-Based Campaign</x:v>
      </x:c>
      <x:c r="K450" s="120" t="str">
        <x:v>Heroes arrive with vulnerabilities, quirks, diseases, trauma, and distinctive combat roles, forming an unstable but persistent company.</x:v>
      </x:c>
      <x:c r="L450" s="120" t="str">
        <x:v>Recruitment, individual traits, class kits, shared expeditions, and recovery institutions.</x:v>
      </x:c>
      <x:c r="M450" s="120" t="str">
        <x:v>The ensemble is not an idealized chosen party and no member is guaranteed narrative survival.</x:v>
      </x:c>
      <x:c r="N450" s="120" t="str">
        <x:v>A reusable model for emergent characterization through systemically vulnerable heroes.</x:v>
      </x:c>
      <x:c r="O450" s="120" t="str">
        <x:v>Primary canon</x:v>
      </x:c>
      <x:c r="P450" s="120" t="str">
        <x:v>Official reference reviewed</x:v>
      </x:c>
      <x:c r="Q450" s="120" t="str">
        <x:v>Darkest Dungeon official game overview and system documentation.</x:v>
      </x:c>
      <x:c r="R450" s="120" t="str">
        <x:v>https://www.darkestdungeon.com/darkest-dungeon/about/</x:v>
      </x:c>
      <x:c r="S450" s="120" t="str">
        <x:v>Seeded</x:v>
      </x:c>
    </x:row>
    <x:row r="451" ht="52" customHeight="1">
      <x:c r="A451" s="119" t="str">
        <x:v>ENT-0450</x:v>
      </x:c>
      <x:c r="B451" s="120" t="str">
        <x:v>Psychological attrition journey</x:v>
      </x:c>
      <x:c r="C451" s="120" t="str">
        <x:v>SRC-189</x:v>
      </x:c>
      <x:c r="D451" s="120" t="str">
        <x:v>Darkest Dungeon</x:v>
      </x:c>
      <x:c r="E451" s="120" t="str">
        <x:v>Original game; base systems with DLC-aware notes, excluding Darkest Dungeon II</x:v>
      </x:c>
      <x:c r="F451" s="120" t="str">
        <x:v>Horror campaign structure</x:v>
      </x:c>
      <x:c r="G451" s="120" t="str">
        <x:v>NAR-443</x:v>
      </x:c>
      <x:c r="H451" s="120" t="str">
        <x:f>IFERROR(VLOOKUP(G451,'Master Taxonomy'!$A$2:$B$1656,2,FALSE),"")</x:f>
        <x:v>Psychological Attrition Journey</x:v>
      </x:c>
      <x:c r="I451" s="120" t="str">
        <x:v>MEC-431;STA-524;NAR-441</x:v>
      </x:c>
      <x:c r="J451" s="120" t="str">
        <x:v>Stress Resource Track; Expedition Trauma; Inherited Ruin or Ancestor's Folly</x:v>
      </x:c>
      <x:c r="K451" s="120" t="str">
        <x:v>Repeated descents into hostile ruins accumulate fear, obsession, stress, and loss while gradually revealing an inherited cosmic horror.</x:v>
      </x:c>
      <x:c r="L451" s="120" t="str">
        <x:v>Expedition repetition, stress, narrator framing, environmental revelation, and roster memory.</x:v>
      </x:c>
      <x:c r="M451" s="120" t="str">
        <x:v>Mental pressure is structural rather than an occasional madness scene.</x:v>
      </x:c>
      <x:c r="N451" s="120" t="str">
        <x:v>The game's most distinctive narrative-mechanical contribution beyond its class roster.</x:v>
      </x:c>
      <x:c r="O451" s="120" t="str">
        <x:v>Primary canon</x:v>
      </x:c>
      <x:c r="P451" s="120" t="str">
        <x:v>Official reference reviewed</x:v>
      </x:c>
      <x:c r="Q451" s="120" t="str">
        <x:v>Darkest Dungeon official game overview and system documentation.</x:v>
      </x:c>
      <x:c r="R451" s="120" t="str">
        <x:v>https://www.darkestdungeon.com/darkest-dungeon/about/</x:v>
      </x:c>
      <x:c r="S451" s="120" t="str">
        <x:v>Seeded</x:v>
      </x:c>
    </x:row>
    <x:row r="452" ht="52" customHeight="1">
      <x:c r="A452" s="119" t="str">
        <x:v>ENT-0451</x:v>
      </x:c>
      <x:c r="B452" s="120" t="str">
        <x:v>Expedition trauma</x:v>
      </x:c>
      <x:c r="C452" s="120" t="str">
        <x:v>SRC-189</x:v>
      </x:c>
      <x:c r="D452" s="120" t="str">
        <x:v>Darkest Dungeon</x:v>
      </x:c>
      <x:c r="E452" s="120" t="str">
        <x:v>Original game; base systems with DLC-aware notes, excluding Darkest Dungeon II</x:v>
      </x:c>
      <x:c r="F452" s="120" t="str">
        <x:v>Persistent campaign condition</x:v>
      </x:c>
      <x:c r="G452" s="120" t="str">
        <x:v>STA-524</x:v>
      </x:c>
      <x:c r="H452" s="120" t="str">
        <x:f>IFERROR(VLOOKUP(G452,'Master Taxonomy'!$A$2:$B$1656,2,FALSE),"")</x:f>
        <x:v>Expedition Trauma</x:v>
      </x:c>
      <x:c r="I452" s="120" t="str">
        <x:v>MEC-431;MEC-434</x:v>
      </x:c>
      <x:c r="J452" s="120" t="str">
        <x:v>Stress Resource Track; Quirk Trait System</x:v>
      </x:c>
      <x:c r="K452" s="120" t="str">
        <x:v>Heroes carry behavioral, psychological, and bodily consequences from dungeon experience into later missions and treatment.</x:v>
      </x:c>
      <x:c r="L452" s="120" t="str">
        <x:v>Stress, affliction, quirks, disease, survival, and recovery.</x:v>
      </x:c>
      <x:c r="M452" s="120" t="str">
        <x:v>Trauma is represented through several linked systems rather than one universal diagnosis.</x:v>
      </x:c>
      <x:c r="N452" s="120" t="str">
        <x:v>A bridge between mechanical persistence and emergent character biography.</x:v>
      </x:c>
      <x:c r="O452" s="120" t="str">
        <x:v>Primary canon</x:v>
      </x:c>
      <x:c r="P452" s="120" t="str">
        <x:v>Official reference reviewed</x:v>
      </x:c>
      <x:c r="Q452" s="120" t="str">
        <x:v>Darkest Dungeon official game overview and system documentation.</x:v>
      </x:c>
      <x:c r="R452" s="120" t="str">
        <x:v>https://www.darkestdungeon.com/darkest-dungeon/about/</x:v>
      </x:c>
      <x:c r="S452" s="120" t="str">
        <x:v>Seeded</x:v>
      </x:c>
    </x:row>
  </x:sheetData>
  <x:conditionalFormatting sqref="P2:P317">
    <x:cfRule type="expression" dxfId="11" priority="1">
      <x:formula>$P2="Primary text reviewed"</x:formula>
    </x:cfRule>
    <x:cfRule type="expression" dxfId="12" priority="2">
      <x:formula>$P2="Official reference reviewed"</x:formula>
    </x:cfRule>
    <x:cfRule type="expression" dxfId="13" priority="3">
      <x:formula>$P2="Secondary reference reviewed"</x:formula>
    </x:cfRule>
    <x:cfRule type="expression" dxfId="14" priority="4">
      <x:formula>$P2="Orientation only"</x:formula>
    </x:cfRule>
    <x:cfRule type="expression" dxfId="15" priority="5">
      <x:formula>$P2="Needs verification"</x:formula>
    </x:cfRule>
  </x:conditionalFormatting>
  <x:conditionalFormatting sqref="S2:S317">
    <x:cfRule type="expression" dxfId="16" priority="6">
      <x:formula>$S2="Seeded"</x:formula>
    </x:cfRule>
    <x:cfRule type="expression" dxfId="17" priority="7">
      <x:formula>$S2="Verified"</x:formula>
    </x:cfRule>
  </x:conditionalFormatting>
  <x:dataValidations count="3">
    <x:dataValidation type="list" sqref="O2:O317">
      <x:formula1>"Primary canon,Multiple primary continuities,Official adaptation,Licensed secondary,Optional rules,Legacy edition,Apocryphal / disputed,Fan / unofficial"</x:formula1>
    </x:dataValidation>
    <x:dataValidation type="list" sqref="P2:P317">
      <x:formula1>"Primary text reviewed,Official reference reviewed,Secondary reference reviewed,Orientation only,Needs verification"</x:formula1>
    </x:dataValidation>
    <x:dataValidation type="list" sqref="S2:S317">
      <x:formula1>"Framework core,Seeded,Needs source review,Verified,Deprecated / merged"</x:formula1>
    </x:dataValidation>
  </x:dataValidations>
  <x:pageMargins left="0.7" right="0.7" top="0.75" bottom="0.75" header="0.3" footer="0.3"/>
  <x:tableParts count="1">
    <x:tablePart xmlns:r="http://schemas.openxmlformats.org/officeDocument/2006/relationships" r:id="R2bf37b15f83d458b"/>
  </x:tableParts>
</x:worksheet>
</file>

<file path=xl/worksheets/sheet5.xml><?xml version="1.0" encoding="utf-8"?>
<x:worksheet xmlns:x="http://schemas.openxmlformats.org/spreadsheetml/2006/main">
  <x:sheetFormatPr defaultRowHeight="15"/>
  <x:cols>
    <x:col min="1" max="1" width="24" hidden="0" customWidth="1"/>
    <x:col min="2" max="2" width="34" hidden="0" customWidth="1"/>
    <x:col min="3" max="3" width="52" hidden="0" customWidth="1"/>
    <x:col min="4" max="4" width="52" hidden="0" customWidth="1"/>
  </x:cols>
  <x:sheetData>
    <x:row r="1" ht="34" customHeight="1">
      <x:c r="A1" s="31" t="str">
        <x:v>Axis</x:v>
      </x:c>
      <x:c r="B1" s="31" t="str">
        <x:v>Value</x:v>
      </x:c>
      <x:c r="C1" s="31" t="str">
        <x:v>Definition</x:v>
      </x:c>
      <x:c r="D1" s="31" t="str">
        <x:v>Use</x:v>
      </x:c>
    </x:row>
    <x:row r="2" ht="38" customHeight="1">
      <x:c r="A2" s="24" t="str">
        <x:v>Record_Type</x:v>
      </x:c>
      <x:c r="B2" s="24" t="str">
        <x:v>Species / ancestry</x:v>
      </x:c>
      <x:c r="C2" s="24" t="str">
        <x:v>A heritable or naturally reproduced people or biological kind.</x:v>
      </x:c>
      <x:c r="D2" s="24" t="str">
        <x:v>Use the most source-faithful type; add other axes rather than forcing one label.</x:v>
      </x:c>
    </x:row>
    <x:row r="3" ht="38" customHeight="1">
      <x:c r="A3" s="24" t="str">
        <x:v>Record_Type</x:v>
      </x:c>
      <x:c r="B3" s="24" t="str">
        <x:v>Metaphysical kind</x:v>
      </x:c>
      <x:c r="C3" s="24" t="str">
        <x:v>A category defined primarily by cosmology, spiritual substance, or mode of existence.</x:v>
      </x:c>
      <x:c r="D3" s="24" t="str">
        <x:v>Use the most source-faithful type; add other axes rather than forcing one label.</x:v>
      </x:c>
    </x:row>
    <x:row r="4" ht="38" customHeight="1">
      <x:c r="A4" s="24" t="str">
        <x:v>Record_Type</x:v>
      </x:c>
      <x:c r="B4" s="24" t="str">
        <x:v>Culture / ethnicity</x:v>
      </x:c>
      <x:c r="C4" s="24" t="str">
        <x:v>A historically and socially constituted people; not assumed to be biologically distinct.</x:v>
      </x:c>
      <x:c r="D4" s="24" t="str">
        <x:v>Use the most source-faithful type; add other axes rather than forcing one label.</x:v>
      </x:c>
    </x:row>
    <x:row r="5" ht="38" customHeight="1">
      <x:c r="A5" s="24" t="str">
        <x:v>Record_Type</x:v>
      </x:c>
      <x:c r="B5" s="24" t="str">
        <x:v>Lineage / bloodline</x:v>
      </x:c>
      <x:c r="C5" s="24" t="str">
        <x:v>A descent group carrying inherited status, traits, or powers.</x:v>
      </x:c>
      <x:c r="D5" s="24" t="str">
        <x:v>Use the most source-faithful type; add other axes rather than forcing one label.</x:v>
      </x:c>
    </x:row>
    <x:row r="6" ht="38" customHeight="1">
      <x:c r="A6" s="24" t="str">
        <x:v>Record_Type</x:v>
      </x:c>
      <x:c r="B6" s="24" t="str">
        <x:v>Creature type</x:v>
      </x:c>
      <x:c r="C6" s="24" t="str">
        <x:v>A bestiary or rules grouping that may combine unrelated ontologies.</x:v>
      </x:c>
      <x:c r="D6" s="24" t="str">
        <x:v>Use the most source-faithful type; add other axes rather than forcing one label.</x:v>
      </x:c>
    </x:row>
    <x:row r="7" ht="38" customHeight="1">
      <x:c r="A7" s="24" t="str">
        <x:v>Record_Type</x:v>
      </x:c>
      <x:c r="B7" s="24" t="str">
        <x:v>Profession</x:v>
      </x:c>
      <x:c r="C7" s="24" t="str">
        <x:v>Work performed through training, employment, or livelihood.</x:v>
      </x:c>
      <x:c r="D7" s="24" t="str">
        <x:v>Use the most source-faithful type; add other axes rather than forcing one label.</x:v>
      </x:c>
    </x:row>
    <x:row r="8" ht="38" customHeight="1">
      <x:c r="A8" s="24" t="str">
        <x:v>Record_Type</x:v>
      </x:c>
      <x:c r="B8" s="24" t="str">
        <x:v>Game class</x:v>
      </x:c>
      <x:c r="C8" s="24" t="str">
        <x:v>A formal rules package governing progression and abilities.</x:v>
      </x:c>
      <x:c r="D8" s="24" t="str">
        <x:v>Use the most source-faithful type; add other axes rather than forcing one label.</x:v>
      </x:c>
    </x:row>
    <x:row r="9" ht="38" customHeight="1">
      <x:c r="A9" s="24" t="str">
        <x:v>Record_Type</x:v>
      </x:c>
      <x:c r="B9" s="24" t="str">
        <x:v>Subclass / specialization</x:v>
      </x:c>
      <x:c r="C9" s="24" t="str">
        <x:v>A narrower branch within a class, job, school, or build.</x:v>
      </x:c>
      <x:c r="D9" s="24" t="str">
        <x:v>Use the most source-faithful type; add other axes rather than forcing one label.</x:v>
      </x:c>
    </x:row>
    <x:row r="10" ht="38" customHeight="1">
      <x:c r="A10" s="24" t="str">
        <x:v>Record_Type</x:v>
      </x:c>
      <x:c r="B10" s="24" t="str">
        <x:v>Job</x:v>
      </x:c>
      <x:c r="C10" s="24" t="str">
        <x:v>A changeable or unlockable game role, especially in job-system games.</x:v>
      </x:c>
      <x:c r="D10" s="24" t="str">
        <x:v>Use the most source-faithful type; add other axes rather than forcing one label.</x:v>
      </x:c>
    </x:row>
    <x:row r="11" ht="38" customHeight="1">
      <x:c r="A11" s="24" t="str">
        <x:v>Record_Type</x:v>
      </x:c>
      <x:c r="B11" s="24" t="str">
        <x:v>Social office</x:v>
      </x:c>
      <x:c r="C11" s="24" t="str">
        <x:v>A recognized title or position within a society or institution.</x:v>
      </x:c>
      <x:c r="D11" s="24" t="str">
        <x:v>Use the most source-faithful type; add other axes rather than forcing one label.</x:v>
      </x:c>
    </x:row>
    <x:row r="12" ht="38" customHeight="1">
      <x:c r="A12" s="24" t="str">
        <x:v>Record_Type</x:v>
      </x:c>
      <x:c r="B12" s="24" t="str">
        <x:v>Religious office</x:v>
      </x:c>
      <x:c r="C12" s="24" t="str">
        <x:v>An ordained, initiated, or ritually recognized sacred position.</x:v>
      </x:c>
      <x:c r="D12" s="24" t="str">
        <x:v>Use the most source-faithful type; add other axes rather than forcing one label.</x:v>
      </x:c>
    </x:row>
    <x:row r="13" ht="38" customHeight="1">
      <x:c r="A13" s="24" t="str">
        <x:v>Record_Type</x:v>
      </x:c>
      <x:c r="B13" s="24" t="str">
        <x:v>Institution</x:v>
      </x:c>
      <x:c r="C13" s="24" t="str">
        <x:v>An order, guild, school, faction, caste, company, or organization.</x:v>
      </x:c>
      <x:c r="D13" s="24" t="str">
        <x:v>Use the most source-faithful type; add other axes rather than forcing one label.</x:v>
      </x:c>
    </x:row>
    <x:row r="14" ht="38" customHeight="1">
      <x:c r="A14" s="24" t="str">
        <x:v>Record_Type</x:v>
      </x:c>
      <x:c r="B14" s="24" t="str">
        <x:v>Condition / template</x:v>
      </x:c>
      <x:c r="C14" s="24" t="str">
        <x:v>An acquired state layered onto an existing being, such as vampirism or possession.</x:v>
      </x:c>
      <x:c r="D14" s="24" t="str">
        <x:v>Use the most source-faithful type; add other axes rather than forcing one label.</x:v>
      </x:c>
    </x:row>
    <x:row r="15" ht="38" customHeight="1">
      <x:c r="A15" s="24" t="str">
        <x:v>Record_Type</x:v>
      </x:c>
      <x:c r="B15" s="24" t="str">
        <x:v>Power tradition</x:v>
      </x:c>
      <x:c r="C15" s="24" t="str">
        <x:v>A coherent source, method, domain, or theory of supernatural capability.</x:v>
      </x:c>
      <x:c r="D15" s="24" t="str">
        <x:v>Use the most source-faithful type; add other axes rather than forcing one label.</x:v>
      </x:c>
    </x:row>
    <x:row r="16" ht="38" customHeight="1">
      <x:c r="A16" s="24" t="str">
        <x:v>Record_Type</x:v>
      </x:c>
      <x:c r="B16" s="24" t="str">
        <x:v>Narrative archetype</x:v>
      </x:c>
      <x:c r="C16" s="24" t="str">
        <x:v>A recurring story function rather than an in-world biological or occupational identity.</x:v>
      </x:c>
      <x:c r="D16" s="24" t="str">
        <x:v>Use the most source-faithful type; add other axes rather than forcing one label.</x:v>
      </x:c>
    </x:row>
    <x:row r="17" ht="38" customHeight="1">
      <x:c r="A17" s="24" t="str">
        <x:v>Record_Type</x:v>
      </x:c>
      <x:c r="B17" s="24" t="str">
        <x:v>Mechanical role</x:v>
      </x:c>
      <x:c r="C17" s="24" t="str">
        <x:v>A functional gameplay role such as tank, healer, controller, or striker.</x:v>
      </x:c>
      <x:c r="D17" s="24" t="str">
        <x:v>Use the most source-faithful type; add other axes rather than forcing one label.</x:v>
      </x:c>
    </x:row>
    <x:row r="18" ht="38" customHeight="1">
      <x:c r="A18" s="24" t="str">
        <x:v>Ontology_Origin</x:v>
      </x:c>
      <x:c r="B18" s="24" t="str">
        <x:v>Natural born</x:v>
      </x:c>
      <x:c r="C18" s="24" t="str">
        <x:v>Exists through ordinary reproduction within the source setting.</x:v>
      </x:c>
      <x:c r="D18" s="24" t="str">
        <x:v>Record source claims and uncertainty rather than resolving disputed lore by analogy.</x:v>
      </x:c>
    </x:row>
    <x:row r="19" ht="38" customHeight="1">
      <x:c r="A19" s="24" t="str">
        <x:v>Ontology_Origin</x:v>
      </x:c>
      <x:c r="B19" s="24" t="str">
        <x:v>Divine creation</x:v>
      </x:c>
      <x:c r="C19" s="24" t="str">
        <x:v>Created directly by a deity or divine order.</x:v>
      </x:c>
      <x:c r="D19" s="24" t="str">
        <x:v>Record source claims and uncertainty rather than resolving disputed lore by analogy.</x:v>
      </x:c>
    </x:row>
    <x:row r="20" ht="38" customHeight="1">
      <x:c r="A20" s="24" t="str">
        <x:v>Ontology_Origin</x:v>
      </x:c>
      <x:c r="B20" s="24" t="str">
        <x:v>Artificial construction</x:v>
      </x:c>
      <x:c r="C20" s="24" t="str">
        <x:v>Built, manufactured, or deliberately assembled.</x:v>
      </x:c>
      <x:c r="D20" s="24" t="str">
        <x:v>Record source claims and uncertainty rather than resolving disputed lore by analogy.</x:v>
      </x:c>
    </x:row>
    <x:row r="21" ht="38" customHeight="1">
      <x:c r="A21" s="24" t="str">
        <x:v>Ontology_Origin</x:v>
      </x:c>
      <x:c r="B21" s="24" t="str">
        <x:v>Engineered life</x:v>
      </x:c>
      <x:c r="C21" s="24" t="str">
        <x:v>Biologically or magically designed as a living kind.</x:v>
      </x:c>
      <x:c r="D21" s="24" t="str">
        <x:v>Record source claims and uncertainty rather than resolving disputed lore by analogy.</x:v>
      </x:c>
    </x:row>
    <x:row r="22" ht="38" customHeight="1">
      <x:c r="A22" s="24" t="str">
        <x:v>Ontology_Origin</x:v>
      </x:c>
      <x:c r="B22" s="24" t="str">
        <x:v>Transformed</x:v>
      </x:c>
      <x:c r="C22" s="24" t="str">
        <x:v>Originates as another kind and changes state or ontology.</x:v>
      </x:c>
      <x:c r="D22" s="24" t="str">
        <x:v>Record source claims and uncertainty rather than resolving disputed lore by analogy.</x:v>
      </x:c>
    </x:row>
    <x:row r="23" ht="38" customHeight="1">
      <x:c r="A23" s="24" t="str">
        <x:v>Ontology_Origin</x:v>
      </x:c>
      <x:c r="B23" s="24" t="str">
        <x:v>Undead</x:v>
      </x:c>
      <x:c r="C23" s="24" t="str">
        <x:v>Exists after death through supernatural continuation, animation, or return.</x:v>
      </x:c>
      <x:c r="D23" s="24" t="str">
        <x:v>Record source claims and uncertainty rather than resolving disputed lore by analogy.</x:v>
      </x:c>
    </x:row>
    <x:row r="24" ht="38" customHeight="1">
      <x:c r="A24" s="24" t="str">
        <x:v>Ontology_Origin</x:v>
      </x:c>
      <x:c r="B24" s="24" t="str">
        <x:v>Summoned</x:v>
      </x:c>
      <x:c r="C24" s="24" t="str">
        <x:v>Called from elsewhere or instantiated by another agent.</x:v>
      </x:c>
      <x:c r="D24" s="24" t="str">
        <x:v>Record source claims and uncertainty rather than resolving disputed lore by analogy.</x:v>
      </x:c>
    </x:row>
    <x:row r="25" ht="38" customHeight="1">
      <x:c r="A25" s="24" t="str">
        <x:v>Ontology_Origin</x:v>
      </x:c>
      <x:c r="B25" s="24" t="str">
        <x:v>Manifested</x:v>
      </x:c>
      <x:c r="C25" s="24" t="str">
        <x:v>Embodies a force, concept, emotion, place, or metaphysical principle.</x:v>
      </x:c>
      <x:c r="D25" s="24" t="str">
        <x:v>Record source claims and uncertainty rather than resolving disputed lore by analogy.</x:v>
      </x:c>
    </x:row>
    <x:row r="26" ht="38" customHeight="1">
      <x:c r="A26" s="24" t="str">
        <x:v>Ontology_Origin</x:v>
      </x:c>
      <x:c r="B26" s="24" t="str">
        <x:v>Hybrid</x:v>
      </x:c>
      <x:c r="C26" s="24" t="str">
        <x:v>Combines multiple ancestries, species, bodies, or ontological sources.</x:v>
      </x:c>
      <x:c r="D26" s="24" t="str">
        <x:v>Record source claims and uncertainty rather than resolving disputed lore by analogy.</x:v>
      </x:c>
    </x:row>
    <x:row r="27" ht="38" customHeight="1">
      <x:c r="A27" s="24" t="str">
        <x:v>Ontology_Origin</x:v>
      </x:c>
      <x:c r="B27" s="24" t="str">
        <x:v>Unknown / disputed</x:v>
      </x:c>
      <x:c r="C27" s="24" t="str">
        <x:v>The source withholds, contradicts, or revises the origin.</x:v>
      </x:c>
      <x:c r="D27" s="24" t="str">
        <x:v>Record source claims and uncertainty rather than resolving disputed lore by analogy.</x:v>
      </x:c>
    </x:row>
    <x:row r="28" ht="38" customHeight="1">
      <x:c r="A28" s="24" t="str">
        <x:v>Embodiment</x:v>
      </x:c>
      <x:c r="B28" s="24" t="str">
        <x:v>Corporeal</x:v>
      </x:c>
      <x:c r="C28" s="24" t="str">
        <x:v>Normally embodied in a material body.</x:v>
      </x:c>
      <x:c r="D28" s="24" t="str">
        <x:v>Use as a separate axis from species or moral alignment.</x:v>
      </x:c>
    </x:row>
    <x:row r="29" ht="38" customHeight="1">
      <x:c r="A29" s="24" t="str">
        <x:v>Embodiment</x:v>
      </x:c>
      <x:c r="B29" s="24" t="str">
        <x:v>Incorporeal</x:v>
      </x:c>
      <x:c r="C29" s="24" t="str">
        <x:v>Normally exists without a conventional material body.</x:v>
      </x:c>
      <x:c r="D29" s="24" t="str">
        <x:v>Use as a separate axis from species or moral alignment.</x:v>
      </x:c>
    </x:row>
    <x:row r="30" ht="38" customHeight="1">
      <x:c r="A30" s="24" t="str">
        <x:v>Embodiment</x:v>
      </x:c>
      <x:c r="B30" s="24" t="str">
        <x:v>Variable</x:v>
      </x:c>
      <x:c r="C30" s="24" t="str">
        <x:v>Can shift between corporeal and incorporeal or among body forms.</x:v>
      </x:c>
      <x:c r="D30" s="24" t="str">
        <x:v>Use as a separate axis from species or moral alignment.</x:v>
      </x:c>
    </x:row>
    <x:row r="31" ht="38" customHeight="1">
      <x:c r="A31" s="24" t="str">
        <x:v>Embodiment</x:v>
      </x:c>
      <x:c r="B31" s="24" t="str">
        <x:v>Distributed</x:v>
      </x:c>
      <x:c r="C31" s="24" t="str">
        <x:v>Identity or agency is spread across a network, swarm, landscape, or multiple bodies.</x:v>
      </x:c>
      <x:c r="D31" s="24" t="str">
        <x:v>Use as a separate axis from species or moral alignment.</x:v>
      </x:c>
    </x:row>
    <x:row r="32" ht="38" customHeight="1">
      <x:c r="A32" s="24" t="str">
        <x:v>Embodiment</x:v>
      </x:c>
      <x:c r="B32" s="24" t="str">
        <x:v>Object-bound</x:v>
      </x:c>
      <x:c r="C32" s="24" t="str">
        <x:v>Existence or agency depends on a specific artifact or vessel.</x:v>
      </x:c>
      <x:c r="D32" s="24" t="str">
        <x:v>Use as a separate axis from species or moral alignment.</x:v>
      </x:c>
    </x:row>
    <x:row r="33" ht="38" customHeight="1">
      <x:c r="A33" s="24" t="str">
        <x:v>Embodiment</x:v>
      </x:c>
      <x:c r="B33" s="24" t="str">
        <x:v>Place-bound</x:v>
      </x:c>
      <x:c r="C33" s="24" t="str">
        <x:v>Existence or agency depends on a location, territory, tree, tomb, or domain.</x:v>
      </x:c>
      <x:c r="D33" s="24" t="str">
        <x:v>Use as a separate axis from species or moral alignment.</x:v>
      </x:c>
    </x:row>
    <x:row r="34" ht="38" customHeight="1">
      <x:c r="A34" s="24" t="str">
        <x:v>Mortality</x:v>
      </x:c>
      <x:c r="B34" s="24" t="str">
        <x:v>Ordinary mortal</x:v>
      </x:c>
      <x:c r="C34" s="24" t="str">
        <x:v>Ages and dies on a setting-normal mortal scale.</x:v>
      </x:c>
      <x:c r="D34" s="24" t="str">
        <x:v>Separate lifespan from invulnerability, resurrection, and spiritual persistence.</x:v>
      </x:c>
    </x:row>
    <x:row r="35" ht="38" customHeight="1">
      <x:c r="A35" s="24" t="str">
        <x:v>Mortality</x:v>
      </x:c>
      <x:c r="B35" s="24" t="str">
        <x:v>Long-lived</x:v>
      </x:c>
      <x:c r="C35" s="24" t="str">
        <x:v>Ages much more slowly than the setting's ordinary humans.</x:v>
      </x:c>
      <x:c r="D35" s="24" t="str">
        <x:v>Separate lifespan from invulnerability, resurrection, and spiritual persistence.</x:v>
      </x:c>
    </x:row>
    <x:row r="36" ht="38" customHeight="1">
      <x:c r="A36" s="24" t="str">
        <x:v>Mortality</x:v>
      </x:c>
      <x:c r="B36" s="24" t="str">
        <x:v>Ageless</x:v>
      </x:c>
      <x:c r="C36" s="24" t="str">
        <x:v>Does not naturally age but may be killed.</x:v>
      </x:c>
      <x:c r="D36" s="24" t="str">
        <x:v>Separate lifespan from invulnerability, resurrection, and spiritual persistence.</x:v>
      </x:c>
    </x:row>
    <x:row r="37" ht="38" customHeight="1">
      <x:c r="A37" s="24" t="str">
        <x:v>Mortality</x:v>
      </x:c>
      <x:c r="B37" s="24" t="str">
        <x:v>Functionally immortal</x:v>
      </x:c>
      <x:c r="C37" s="24" t="str">
        <x:v>Persists indefinitely unless special conditions are met.</x:v>
      </x:c>
      <x:c r="D37" s="24" t="str">
        <x:v>Separate lifespan from invulnerability, resurrection, and spiritual persistence.</x:v>
      </x:c>
    </x:row>
    <x:row r="38" ht="38" customHeight="1">
      <x:c r="A38" s="24" t="str">
        <x:v>Mortality</x:v>
      </x:c>
      <x:c r="B38" s="24" t="str">
        <x:v>Cyclical</x:v>
      </x:c>
      <x:c r="C38" s="24" t="str">
        <x:v>Dies and returns through reincarnation, seasonal, or cosmic cycles.</x:v>
      </x:c>
      <x:c r="D38" s="24" t="str">
        <x:v>Separate lifespan from invulnerability, resurrection, and spiritual persistence.</x:v>
      </x:c>
    </x:row>
    <x:row r="39" ht="38" customHeight="1">
      <x:c r="A39" s="24" t="str">
        <x:v>Mortality</x:v>
      </x:c>
      <x:c r="B39" s="24" t="str">
        <x:v>Conditionally immortal</x:v>
      </x:c>
      <x:c r="C39" s="24" t="str">
        <x:v>Immortality depends on an artifact, realm, body replacement, feeding, or other condition.</x:v>
      </x:c>
      <x:c r="D39" s="24" t="str">
        <x:v>Separate lifespan from invulnerability, resurrection, and spiritual persistence.</x:v>
      </x:c>
    </x:row>
    <x:row r="40" ht="38" customHeight="1">
      <x:c r="A40" s="24" t="str">
        <x:v>Mortality</x:v>
      </x:c>
      <x:c r="B40" s="24" t="str">
        <x:v>Unknown / disputed</x:v>
      </x:c>
      <x:c r="C40" s="24" t="str">
        <x:v>The source does not establish a stable answer.</x:v>
      </x:c>
      <x:c r="D40" s="24" t="str">
        <x:v>Separate lifespan from invulnerability, resurrection, and spiritual persistence.</x:v>
      </x:c>
    </x:row>
    <x:row r="41" ht="38" customHeight="1">
      <x:c r="A41" s="24" t="str">
        <x:v>Power_Source</x:v>
      </x:c>
      <x:c r="B41" s="24" t="str">
        <x:v>Learned</x:v>
      </x:c>
      <x:c r="C41" s="24" t="str">
        <x:v>Acquired through education, practice, research, or apprenticeship.</x:v>
      </x:c>
      <x:c r="D41" s="24" t="str">
        <x:v>Multiple values may apply; distinguish the stated source from the visible effect.</x:v>
      </x:c>
    </x:row>
    <x:row r="42" ht="38" customHeight="1">
      <x:c r="A42" s="24" t="str">
        <x:v>Power_Source</x:v>
      </x:c>
      <x:c r="B42" s="24" t="str">
        <x:v>Innate</x:v>
      </x:c>
      <x:c r="C42" s="24" t="str">
        <x:v>Arises from natural or metaphysical constitution.</x:v>
      </x:c>
      <x:c r="D42" s="24" t="str">
        <x:v>Multiple values may apply; distinguish the stated source from the visible effect.</x:v>
      </x:c>
    </x:row>
    <x:row r="43" ht="38" customHeight="1">
      <x:c r="A43" s="24" t="str">
        <x:v>Power_Source</x:v>
      </x:c>
      <x:c r="B43" s="24" t="str">
        <x:v>Divine</x:v>
      </x:c>
      <x:c r="C43" s="24" t="str">
        <x:v>Granted, mediated, or sustained by a deity or sacred force.</x:v>
      </x:c>
      <x:c r="D43" s="24" t="str">
        <x:v>Multiple values may apply; distinguish the stated source from the visible effect.</x:v>
      </x:c>
    </x:row>
    <x:row r="44" ht="38" customHeight="1">
      <x:c r="A44" s="24" t="str">
        <x:v>Power_Source</x:v>
      </x:c>
      <x:c r="B44" s="24" t="str">
        <x:v>Pact / contract</x:v>
      </x:c>
      <x:c r="C44" s="24" t="str">
        <x:v>Received through an agreement, bargain, oath, or patron relationship.</x:v>
      </x:c>
      <x:c r="D44" s="24" t="str">
        <x:v>Multiple values may apply; distinguish the stated source from the visible effect.</x:v>
      </x:c>
    </x:row>
    <x:row r="45" ht="38" customHeight="1">
      <x:c r="A45" s="24" t="str">
        <x:v>Power_Source</x:v>
      </x:c>
      <x:c r="B45" s="24" t="str">
        <x:v>Spirit-mediated</x:v>
      </x:c>
      <x:c r="C45" s="24" t="str">
        <x:v>Depends on relationships with spirits, ancestors, or local beings.</x:v>
      </x:c>
      <x:c r="D45" s="24" t="str">
        <x:v>Multiple values may apply; distinguish the stated source from the visible effect.</x:v>
      </x:c>
    </x:row>
    <x:row r="46" ht="38" customHeight="1">
      <x:c r="A46" s="24" t="str">
        <x:v>Power_Source</x:v>
      </x:c>
      <x:c r="B46" s="24" t="str">
        <x:v>Nature-mediated</x:v>
      </x:c>
      <x:c r="C46" s="24" t="str">
        <x:v>Draws on ecosystems, land, seasons, animals, or living networks.</x:v>
      </x:c>
      <x:c r="D46" s="24" t="str">
        <x:v>Multiple values may apply; distinguish the stated source from the visible effect.</x:v>
      </x:c>
    </x:row>
    <x:row r="47" ht="38" customHeight="1">
      <x:c r="A47" s="24" t="str">
        <x:v>Power_Source</x:v>
      </x:c>
      <x:c r="B47" s="24" t="str">
        <x:v>Elemental</x:v>
      </x:c>
      <x:c r="C47" s="24" t="str">
        <x:v>Draws on fire, water, air, earth, lightning, ice, or analogous domains.</x:v>
      </x:c>
      <x:c r="D47" s="24" t="str">
        <x:v>Multiple values may apply; distinguish the stated source from the visible effect.</x:v>
      </x:c>
    </x:row>
    <x:row r="48" ht="38" customHeight="1">
      <x:c r="A48" s="24" t="str">
        <x:v>Power_Source</x:v>
      </x:c>
      <x:c r="B48" s="24" t="str">
        <x:v>Bloodline</x:v>
      </x:c>
      <x:c r="C48" s="24" t="str">
        <x:v>Inherited through descent, lineage, or dynastic transmission.</x:v>
      </x:c>
      <x:c r="D48" s="24" t="str">
        <x:v>Multiple values may apply; distinguish the stated source from the visible effect.</x:v>
      </x:c>
    </x:row>
    <x:row r="49" ht="38" customHeight="1">
      <x:c r="A49" s="24" t="str">
        <x:v>Power_Source</x:v>
      </x:c>
      <x:c r="B49" s="24" t="str">
        <x:v>Artifact</x:v>
      </x:c>
      <x:c r="C49" s="24" t="str">
        <x:v>Depends on a weapon, relic, book, ring, suit, crystal, or other object.</x:v>
      </x:c>
      <x:c r="D49" s="24" t="str">
        <x:v>Multiple values may apply; distinguish the stated source from the visible effect.</x:v>
      </x:c>
    </x:row>
    <x:row r="50" ht="38" customHeight="1">
      <x:c r="A50" s="24" t="str">
        <x:v>Power_Source</x:v>
      </x:c>
      <x:c r="B50" s="24" t="str">
        <x:v>Alchemy</x:v>
      </x:c>
      <x:c r="C50" s="24" t="str">
        <x:v>Produced through recipes, reagents, transmutation, potions, or technical refinement.</x:v>
      </x:c>
      <x:c r="D50" s="24" t="str">
        <x:v>Multiple values may apply; distinguish the stated source from the visible effect.</x:v>
      </x:c>
    </x:row>
    <x:row r="51" ht="38" customHeight="1">
      <x:c r="A51" s="24" t="str">
        <x:v>Power_Source</x:v>
      </x:c>
      <x:c r="B51" s="24" t="str">
        <x:v>Technology / magitech</x:v>
      </x:c>
      <x:c r="C51" s="24" t="str">
        <x:v>Produced through engineered devices or integrated magic-technology systems.</x:v>
      </x:c>
      <x:c r="D51" s="24" t="str">
        <x:v>Multiple values may apply; distinguish the stated source from the visible effect.</x:v>
      </x:c>
    </x:row>
    <x:row r="52" ht="38" customHeight="1">
      <x:c r="A52" s="24" t="str">
        <x:v>Power_Source</x:v>
      </x:c>
      <x:c r="B52" s="24" t="str">
        <x:v>Psychic</x:v>
      </x:c>
      <x:c r="C52" s="24" t="str">
        <x:v>Arises from mind, will, emotion, dream, or extrasensory ability.</x:v>
      </x:c>
      <x:c r="D52" s="24" t="str">
        <x:v>Multiple values may apply; distinguish the stated source from the visible effect.</x:v>
      </x:c>
    </x:row>
    <x:row r="53" ht="38" customHeight="1">
      <x:c r="A53" s="24" t="str">
        <x:v>Power_Source</x:v>
      </x:c>
      <x:c r="B53" s="24" t="str">
        <x:v>Cultivation</x:v>
      </x:c>
      <x:c r="C53" s="24" t="str">
        <x:v>Built through internal refinement, realms, qi, comprehension, or breakthrough.</x:v>
      </x:c>
      <x:c r="D53" s="24" t="str">
        <x:v>Multiple values may apply; distinguish the stated source from the visible effect.</x:v>
      </x:c>
    </x:row>
    <x:row r="54" ht="38" customHeight="1">
      <x:c r="A54" s="24" t="str">
        <x:v>Power_Source</x:v>
      </x:c>
      <x:c r="B54" s="24" t="str">
        <x:v>Corruption</x:v>
      </x:c>
      <x:c r="C54" s="24" t="str">
        <x:v>Obtained through hazardous contamination, forbidden influence, or transformation.</x:v>
      </x:c>
      <x:c r="D54" s="24" t="str">
        <x:v>Multiple values may apply; distinguish the stated source from the visible effect.</x:v>
      </x:c>
    </x:row>
    <x:row r="55" ht="38" customHeight="1">
      <x:c r="A55" s="24" t="str">
        <x:v>Power_Source</x:v>
      </x:c>
      <x:c r="B55" s="24" t="str">
        <x:v>Sacrifice</x:v>
      </x:c>
      <x:c r="C55" s="24" t="str">
        <x:v>Requires life, memory, pain, years, identity, or comparable irreversible cost.</x:v>
      </x:c>
      <x:c r="D55" s="24" t="str">
        <x:v>Multiple values may apply; distinguish the stated source from the visible effect.</x:v>
      </x:c>
    </x:row>
    <x:row r="56" ht="38" customHeight="1">
      <x:c r="A56" s="24" t="str">
        <x:v>Comparison_Relation</x:v>
      </x:c>
      <x:c r="B56" s="24" t="str">
        <x:v>Canonical alias</x:v>
      </x:c>
      <x:c r="C56" s="24" t="str">
        <x:v>Two names refer to the same source entity or concept.</x:v>
      </x:c>
      <x:c r="D56" s="24" t="str">
        <x:v>Prefer a precise relation over an unqualified 'same as' statement.</x:v>
      </x:c>
    </x:row>
    <x:row r="57" ht="38" customHeight="1">
      <x:c r="A57" s="24" t="str">
        <x:v>Comparison_Relation</x:v>
      </x:c>
      <x:c r="B57" s="24" t="str">
        <x:v>Exact equivalent</x:v>
      </x:c>
      <x:c r="C57" s="24" t="str">
        <x:v>Concepts match across all compared dimensions; use very rarely.</x:v>
      </x:c>
      <x:c r="D57" s="24" t="str">
        <x:v>Prefer a precise relation over an unqualified 'same as' statement.</x:v>
      </x:c>
    </x:row>
    <x:row r="58" ht="38" customHeight="1">
      <x:c r="A58" s="24" t="str">
        <x:v>Comparison_Relation</x:v>
      </x:c>
      <x:c r="B58" s="24" t="str">
        <x:v>Subtype-of</x:v>
      </x:c>
      <x:c r="C58" s="24" t="str">
        <x:v>The subject is a narrower kind within the object.</x:v>
      </x:c>
      <x:c r="D58" s="24" t="str">
        <x:v>Prefer a precise relation over an unqualified 'same as' statement.</x:v>
      </x:c>
    </x:row>
    <x:row r="59" ht="38" customHeight="1">
      <x:c r="A59" s="24" t="str">
        <x:v>Comparison_Relation</x:v>
      </x:c>
      <x:c r="B59" s="24" t="str">
        <x:v>Member-of</x:v>
      </x:c>
      <x:c r="C59" s="24" t="str">
        <x:v>The subject belongs to an institution, people, faction, or set.</x:v>
      </x:c>
      <x:c r="D59" s="24" t="str">
        <x:v>Prefer a precise relation over an unqualified 'same as' statement.</x:v>
      </x:c>
    </x:row>
    <x:row r="60" ht="38" customHeight="1">
      <x:c r="A60" s="24" t="str">
        <x:v>Comparison_Relation</x:v>
      </x:c>
      <x:c r="B60" s="24" t="str">
        <x:v>Version-of</x:v>
      </x:c>
      <x:c r="C60" s="24" t="str">
        <x:v>The subject is another edition, adaptation, incarnation, or rules version.</x:v>
      </x:c>
      <x:c r="D60" s="24" t="str">
        <x:v>Prefer a precise relation over an unqualified 'same as' statement.</x:v>
      </x:c>
    </x:row>
    <x:row r="61" ht="38" customHeight="1">
      <x:c r="A61" s="24" t="str">
        <x:v>Comparison_Relation</x:v>
      </x:c>
      <x:c r="B61" s="24" t="str">
        <x:v>Adaptation-of</x:v>
      </x:c>
      <x:c r="C61" s="24" t="str">
        <x:v>The subject deliberately adapts the object into another medium or continuity.</x:v>
      </x:c>
      <x:c r="D61" s="24" t="str">
        <x:v>Prefer a precise relation over an unqualified 'same as' statement.</x:v>
      </x:c>
    </x:row>
    <x:row r="62" ht="38" customHeight="1">
      <x:c r="A62" s="24" t="str">
        <x:v>Comparison_Relation</x:v>
      </x:c>
      <x:c r="B62" s="24" t="str">
        <x:v>Inspired-by</x:v>
      </x:c>
      <x:c r="C62" s="24" t="str">
        <x:v>Documented or strongly evidenced creative influence.</x:v>
      </x:c>
      <x:c r="D62" s="24" t="str">
        <x:v>Prefer a precise relation over an unqualified 'same as' statement.</x:v>
      </x:c>
    </x:row>
    <x:row r="63" ht="38" customHeight="1">
      <x:c r="A63" s="24" t="str">
        <x:v>Comparison_Relation</x:v>
      </x:c>
      <x:c r="B63" s="24" t="str">
        <x:v>Close analogue</x:v>
      </x:c>
      <x:c r="C63" s="24" t="str">
        <x:v>High similarity across ontology, function, and narrative use, with meaningful differences.</x:v>
      </x:c>
      <x:c r="D63" s="24" t="str">
        <x:v>Prefer a precise relation over an unqualified 'same as' statement.</x:v>
      </x:c>
    </x:row>
    <x:row r="64" ht="38" customHeight="1">
      <x:c r="A64" s="24" t="str">
        <x:v>Comparison_Relation</x:v>
      </x:c>
      <x:c r="B64" s="24" t="str">
        <x:v>Partial analogue</x:v>
      </x:c>
      <x:c r="C64" s="24" t="str">
        <x:v>Similarity on only some axes.</x:v>
      </x:c>
      <x:c r="D64" s="24" t="str">
        <x:v>Prefer a precise relation over an unqualified 'same as' statement.</x:v>
      </x:c>
    </x:row>
    <x:row r="65" ht="38" customHeight="1">
      <x:c r="A65" s="24" t="str">
        <x:v>Comparison_Relation</x:v>
      </x:c>
      <x:c r="B65" s="24" t="str">
        <x:v>Functional analogue</x:v>
      </x:c>
      <x:c r="C65" s="24" t="str">
        <x:v>Performs a similar in-world or narrative function despite different ontology.</x:v>
      </x:c>
      <x:c r="D65" s="24" t="str">
        <x:v>Prefer a precise relation over an unqualified 'same as' statement.</x:v>
      </x:c>
    </x:row>
    <x:row r="66" ht="38" customHeight="1">
      <x:c r="A66" s="24" t="str">
        <x:v>Comparison_Relation</x:v>
      </x:c>
      <x:c r="B66" s="24" t="str">
        <x:v>Mechanical analogue</x:v>
      </x:c>
      <x:c r="C66" s="24" t="str">
        <x:v>Occupies a similar gameplay role or progression function.</x:v>
      </x:c>
      <x:c r="D66" s="24" t="str">
        <x:v>Prefer a precise relation over an unqualified 'same as' statement.</x:v>
      </x:c>
    </x:row>
    <x:row r="67" ht="38" customHeight="1">
      <x:c r="A67" s="24" t="str">
        <x:v>Comparison_Relation</x:v>
      </x:c>
      <x:c r="B67" s="24" t="str">
        <x:v>Visual analogue</x:v>
      </x:c>
      <x:c r="C67" s="24" t="str">
        <x:v>Looks similar but may differ substantially in ontology and function.</x:v>
      </x:c>
      <x:c r="D67" s="24" t="str">
        <x:v>Prefer a precise relation over an unqualified 'same as' statement.</x:v>
      </x:c>
    </x:row>
    <x:row r="68" ht="38" customHeight="1">
      <x:c r="A68" s="24" t="str">
        <x:v>Comparison_Relation</x:v>
      </x:c>
      <x:c r="B68" s="24" t="str">
        <x:v>Inversion</x:v>
      </x:c>
      <x:c r="C68" s="24" t="str">
        <x:v>Deliberately reverses or critiques a familiar archetype.</x:v>
      </x:c>
      <x:c r="D68" s="24" t="str">
        <x:v>Prefer a precise relation over an unqualified 'same as' statement.</x:v>
      </x:c>
    </x:row>
    <x:row r="69" ht="38" customHeight="1">
      <x:c r="A69" s="24" t="str">
        <x:v>Comparison_Relation</x:v>
      </x:c>
      <x:c r="B69" s="24" t="str">
        <x:v>Hybrid-of</x:v>
      </x:c>
      <x:c r="C69" s="24" t="str">
        <x:v>Combines two or more normalized families.</x:v>
      </x:c>
      <x:c r="D69" s="24" t="str">
        <x:v>Prefer a precise relation over an unqualified 'same as' statement.</x:v>
      </x:c>
    </x:row>
    <x:row r="70" ht="38" customHeight="1">
      <x:c r="A70" s="24" t="str">
        <x:v>Comparison_Relation</x:v>
      </x:c>
      <x:c r="B70" s="24" t="str">
        <x:v>Transformed-into</x:v>
      </x:c>
      <x:c r="C70" s="24" t="str">
        <x:v>Changes from one state or being-type into another.</x:v>
      </x:c>
      <x:c r="D70" s="24" t="str">
        <x:v>Prefer a precise relation over an unqualified 'same as' statement.</x:v>
      </x:c>
    </x:row>
    <x:row r="71" ht="38" customHeight="1">
      <x:c r="A71" s="24" t="str">
        <x:v>Comparison_Relation</x:v>
      </x:c>
      <x:c r="B71" s="24" t="str">
        <x:v>Opposed-to</x:v>
      </x:c>
      <x:c r="C71" s="24" t="str">
        <x:v>Defined through conflict, counter-role, or institutional opposition.</x:v>
      </x:c>
      <x:c r="D71" s="24" t="str">
        <x:v>Prefer a precise relation over an unqualified 'same as' statement.</x:v>
      </x:c>
    </x:row>
    <x:row r="72" ht="38" customHeight="1">
      <x:c r="A72" s="24" t="str">
        <x:v>Comparison_Relation</x:v>
      </x:c>
      <x:c r="B72" s="24" t="str">
        <x:v>Frequently confused-with</x:v>
      </x:c>
      <x:c r="C72" s="24" t="str">
        <x:v>Often conflated despite a material distinction.</x:v>
      </x:c>
      <x:c r="D72" s="24" t="str">
        <x:v>Prefer a precise relation over an unqualified 'same as' statement.</x:v>
      </x:c>
    </x:row>
    <x:row r="73" ht="38" customHeight="1">
      <x:c r="A73" s="24" t="str">
        <x:v>Comparison_Relation</x:v>
      </x:c>
      <x:c r="B73" s="24" t="str">
        <x:v>Uncertain / disputed</x:v>
      </x:c>
      <x:c r="C73" s="24" t="str">
        <x:v>Relationship is plausible but unresolved or source-dependent.</x:v>
      </x:c>
      <x:c r="D73" s="24" t="str">
        <x:v>Prefer a precise relation over an unqualified 'same as' statement.</x:v>
      </x:c>
    </x:row>
    <x:row r="74" ht="38" customHeight="1">
      <x:c r="A74" s="24" t="str">
        <x:v>Canon_Status</x:v>
      </x:c>
      <x:c r="B74" s="24" t="str">
        <x:v>Primary canon</x:v>
      </x:c>
      <x:c r="C74" s="24" t="str">
        <x:v>Part of the principal source continuity being catalogued.</x:v>
      </x:c>
      <x:c r="D74" s="24" t="str">
        <x:v>Always version-stamp live-service games and adaptation-specific entries.</x:v>
      </x:c>
    </x:row>
    <x:row r="75" ht="38" customHeight="1">
      <x:c r="A75" s="24" t="str">
        <x:v>Canon_Status</x:v>
      </x:c>
      <x:c r="B75" s="24" t="str">
        <x:v>Multiple primary continuities</x:v>
      </x:c>
      <x:c r="C75" s="24" t="str">
        <x:v>A recurring franchise term spanning independent or divergent canons.</x:v>
      </x:c>
      <x:c r="D75" s="24" t="str">
        <x:v>Always version-stamp live-service games and adaptation-specific entries.</x:v>
      </x:c>
    </x:row>
    <x:row r="76" ht="38" customHeight="1">
      <x:c r="A76" s="24" t="str">
        <x:v>Canon_Status</x:v>
      </x:c>
      <x:c r="B76" s="24" t="str">
        <x:v>Official adaptation</x:v>
      </x:c>
      <x:c r="C76" s="24" t="str">
        <x:v>Part of an authorized adaptation continuity.</x:v>
      </x:c>
      <x:c r="D76" s="24" t="str">
        <x:v>Always version-stamp live-service games and adaptation-specific entries.</x:v>
      </x:c>
    </x:row>
    <x:row r="77" ht="38" customHeight="1">
      <x:c r="A77" s="24" t="str">
        <x:v>Canon_Status</x:v>
      </x:c>
      <x:c r="B77" s="24" t="str">
        <x:v>Licensed secondary</x:v>
      </x:c>
      <x:c r="C77" s="24" t="str">
        <x:v>Authorized but secondary, optional, or non-primary material.</x:v>
      </x:c>
      <x:c r="D77" s="24" t="str">
        <x:v>Always version-stamp live-service games and adaptation-specific entries.</x:v>
      </x:c>
    </x:row>
    <x:row r="78" ht="38" customHeight="1">
      <x:c r="A78" s="24" t="str">
        <x:v>Canon_Status</x:v>
      </x:c>
      <x:c r="B78" s="24" t="str">
        <x:v>Optional rules</x:v>
      </x:c>
      <x:c r="C78" s="24" t="str">
        <x:v>Official mechanical option not necessarily present in every setting or table.</x:v>
      </x:c>
      <x:c r="D78" s="24" t="str">
        <x:v>Always version-stamp live-service games and adaptation-specific entries.</x:v>
      </x:c>
    </x:row>
    <x:row r="79" ht="38" customHeight="1">
      <x:c r="A79" s="24" t="str">
        <x:v>Canon_Status</x:v>
      </x:c>
      <x:c r="B79" s="24" t="str">
        <x:v>Legacy edition</x:v>
      </x:c>
      <x:c r="C79" s="24" t="str">
        <x:v>Belongs to an earlier rules edition or retired continuity state.</x:v>
      </x:c>
      <x:c r="D79" s="24" t="str">
        <x:v>Always version-stamp live-service games and adaptation-specific entries.</x:v>
      </x:c>
    </x:row>
    <x:row r="80" ht="38" customHeight="1">
      <x:c r="A80" s="24" t="str">
        <x:v>Canon_Status</x:v>
      </x:c>
      <x:c r="B80" s="24" t="str">
        <x:v>Apocryphal / disputed</x:v>
      </x:c>
      <x:c r="C80" s="24" t="str">
        <x:v>Canonical status is contested, contradictory, or deliberately uncertain.</x:v>
      </x:c>
      <x:c r="D80" s="24" t="str">
        <x:v>Always version-stamp live-service games and adaptation-specific entries.</x:v>
      </x:c>
    </x:row>
    <x:row r="81" ht="38" customHeight="1">
      <x:c r="A81" s="24" t="str">
        <x:v>Canon_Status</x:v>
      </x:c>
      <x:c r="B81" s="24" t="str">
        <x:v>Fan / unofficial</x:v>
      </x:c>
      <x:c r="C81" s="24" t="str">
        <x:v>Not an official source; keep separate from canonical records.</x:v>
      </x:c>
      <x:c r="D81" s="24" t="str">
        <x:v>Always version-stamp live-service games and adaptation-specific entries.</x:v>
      </x:c>
    </x:row>
    <x:row r="82" ht="38" customHeight="1">
      <x:c r="A82" s="24" t="str">
        <x:v>Evidence_Level</x:v>
      </x:c>
      <x:c r="B82" s="24" t="str">
        <x:v>Primary text reviewed</x:v>
      </x:c>
      <x:c r="C82" s="24" t="str">
        <x:v>The relevant primary book, game text, episode, or direct source was reviewed.</x:v>
      </x:c>
      <x:c r="D82" s="24" t="str">
        <x:v>Evidence level describes review status, not the quality of the fictional work.</x:v>
      </x:c>
    </x:row>
    <x:row r="83" ht="38" customHeight="1">
      <x:c r="A83" s="24" t="str">
        <x:v>Evidence_Level</x:v>
      </x:c>
      <x:c r="B83" s="24" t="str">
        <x:v>Official reference reviewed</x:v>
      </x:c>
      <x:c r="C83" s="24" t="str">
        <x:v>An official encyclopedia, rules page, publisher page, or developer reference was reviewed.</x:v>
      </x:c>
      <x:c r="D83" s="24" t="str">
        <x:v>Evidence level describes review status, not the quality of the fictional work.</x:v>
      </x:c>
    </x:row>
    <x:row r="84" ht="38" customHeight="1">
      <x:c r="A84" s="24" t="str">
        <x:v>Evidence_Level</x:v>
      </x:c>
      <x:c r="B84" s="24" t="str">
        <x:v>Secondary reference reviewed</x:v>
      </x:c>
      <x:c r="C84" s="24" t="str">
        <x:v>A reputable secondary reference was used for orientation or cross-checking.</x:v>
      </x:c>
      <x:c r="D84" s="24" t="str">
        <x:v>Evidence level describes review status, not the quality of the fictional work.</x:v>
      </x:c>
    </x:row>
    <x:row r="85" ht="38" customHeight="1">
      <x:c r="A85" s="24" t="str">
        <x:v>Evidence_Level</x:v>
      </x:c>
      <x:c r="B85" s="24" t="str">
        <x:v>Orientation only</x:v>
      </x:c>
      <x:c r="C85" s="24" t="str">
        <x:v>Entry is a provisional map and requires source-level review.</x:v>
      </x:c>
      <x:c r="D85" s="24" t="str">
        <x:v>Evidence level describes review status, not the quality of the fictional work.</x:v>
      </x:c>
    </x:row>
    <x:row r="86" ht="38" customHeight="1">
      <x:c r="A86" s="24" t="str">
        <x:v>Evidence_Level</x:v>
      </x:c>
      <x:c r="B86" s="24" t="str">
        <x:v>Needs verification</x:v>
      </x:c>
      <x:c r="C86" s="24" t="str">
        <x:v>A material claim is unresolved or the citation is inadequate.</x:v>
      </x:c>
      <x:c r="D86" s="24" t="str">
        <x:v>Evidence level describes review status, not the quality of the fictional work.</x:v>
      </x:c>
    </x:row>
    <x:row r="87" ht="38" customHeight="1">
      <x:c r="A87" s="24" t="str">
        <x:v>Review_Status</x:v>
      </x:c>
      <x:c r="B87" s="24" t="str">
        <x:v>Framework core</x:v>
      </x:c>
      <x:c r="C87" s="24" t="str">
        <x:v>A normalized taxonomy record maintained as part of the stable framework.</x:v>
      </x:c>
      <x:c r="D87" s="24" t="str">
        <x:v>Use workflow status to separate catalogue growth from taxonomic stability.</x:v>
      </x:c>
    </x:row>
    <x:row r="88" ht="38" customHeight="1">
      <x:c r="A88" s="24" t="str">
        <x:v>Review_Status</x:v>
      </x:c>
      <x:c r="B88" s="24" t="str">
        <x:v>Seeded</x:v>
      </x:c>
      <x:c r="C88" s="24" t="str">
        <x:v>A source-specific example entered and cross-walked.</x:v>
      </x:c>
      <x:c r="D88" s="24" t="str">
        <x:v>Use workflow status to separate catalogue growth from taxonomic stability.</x:v>
      </x:c>
    </x:row>
    <x:row r="89" ht="38" customHeight="1">
      <x:c r="A89" s="24" t="str">
        <x:v>Review_Status</x:v>
      </x:c>
      <x:c r="B89" s="24" t="str">
        <x:v>Needs source review</x:v>
      </x:c>
      <x:c r="C89" s="24" t="str">
        <x:v>Structurally entered but awaiting primary or official verification.</x:v>
      </x:c>
      <x:c r="D89" s="24" t="str">
        <x:v>Use workflow status to separate catalogue growth from taxonomic stability.</x:v>
      </x:c>
    </x:row>
    <x:row r="90" ht="38" customHeight="1">
      <x:c r="A90" s="24" t="str">
        <x:v>Review_Status</x:v>
      </x:c>
      <x:c r="B90" s="24" t="str">
        <x:v>Verified</x:v>
      </x:c>
      <x:c r="C90" s="24" t="str">
        <x:v>Reviewed against the relevant source continuity and citation.</x:v>
      </x:c>
      <x:c r="D90" s="24" t="str">
        <x:v>Use workflow status to separate catalogue growth from taxonomic stability.</x:v>
      </x:c>
    </x:row>
    <x:row r="91" ht="38" customHeight="1">
      <x:c r="A91" s="24" t="str">
        <x:v>Review_Status</x:v>
      </x:c>
      <x:c r="B91" s="24" t="str">
        <x:v>Deprecated / merged</x:v>
      </x:c>
      <x:c r="C91" s="24" t="str">
        <x:v>Retained for history but superseded by another record.</x:v>
      </x:c>
      <x:c r="D91" s="24" t="str">
        <x:v>Use workflow status to separate catalogue growth from taxonomic stability.</x:v>
      </x:c>
    </x:row>
    <x:row r="92" ht="38" customHeight="1">
      <x:c r="A92" s="24" t="str">
        <x:v>Medium</x:v>
      </x:c>
      <x:c r="B92" s="24" t="str">
        <x:v>Literature</x:v>
      </x:c>
      <x:c r="C92" s="24" t="str">
        <x:v>Novel, novella, short story, poem, or prose cycle.</x:v>
      </x:c>
      <x:c r="D92" s="24" t="str">
        <x:v>The Source Corpus preserves more specific medium strings where useful.</x:v>
      </x:c>
    </x:row>
    <x:row r="93" ht="38" customHeight="1">
      <x:c r="A93" s="24" t="str">
        <x:v>Medium</x:v>
      </x:c>
      <x:c r="B93" s="24" t="str">
        <x:v>Mythology / folklore</x:v>
      </x:c>
      <x:c r="C93" s="24" t="str">
        <x:v>Traditional, sacred, legendary, oral, or folkloric source layer.</x:v>
      </x:c>
      <x:c r="D93" s="24" t="str">
        <x:v>The Source Corpus preserves more specific medium strings where useful.</x:v>
      </x:c>
    </x:row>
    <x:row r="94" ht="38" customHeight="1">
      <x:c r="A94" s="24" t="str">
        <x:v>Medium</x:v>
      </x:c>
      <x:c r="B94" s="24" t="str">
        <x:v>Tabletop RPG</x:v>
      </x:c>
      <x:c r="C94" s="24" t="str">
        <x:v>Role-playing game rules and setting.</x:v>
      </x:c>
      <x:c r="D94" s="24" t="str">
        <x:v>The Source Corpus preserves more specific medium strings where useful.</x:v>
      </x:c>
    </x:row>
    <x:row r="95" ht="38" customHeight="1">
      <x:c r="A95" s="24" t="str">
        <x:v>Medium</x:v>
      </x:c>
      <x:c r="B95" s="24" t="str">
        <x:v>Miniatures wargame</x:v>
      </x:c>
      <x:c r="C95" s="24" t="str">
        <x:v>Tabletop battle game and associated setting.</x:v>
      </x:c>
      <x:c r="D95" s="24" t="str">
        <x:v>The Source Corpus preserves more specific medium strings where useful.</x:v>
      </x:c>
    </x:row>
    <x:row r="96" ht="38" customHeight="1">
      <x:c r="A96" s="24" t="str">
        <x:v>Medium</x:v>
      </x:c>
      <x:c r="B96" s="24" t="str">
        <x:v>Board game</x:v>
      </x:c>
      <x:c r="C96" s="24" t="str">
        <x:v>Board or tile game with fantasy taxonomy.</x:v>
      </x:c>
      <x:c r="D96" s="24" t="str">
        <x:v>The Source Corpus preserves more specific medium strings where useful.</x:v>
      </x:c>
    </x:row>
    <x:row r="97" ht="38" customHeight="1">
      <x:c r="A97" s="24" t="str">
        <x:v>Medium</x:v>
      </x:c>
      <x:c r="B97" s="24" t="str">
        <x:v>Card game</x:v>
      </x:c>
      <x:c r="C97" s="24" t="str">
        <x:v>Collectible, living, or standalone card game.</x:v>
      </x:c>
      <x:c r="D97" s="24" t="str">
        <x:v>The Source Corpus preserves more specific medium strings where useful.</x:v>
      </x:c>
    </x:row>
    <x:row r="98" ht="38" customHeight="1">
      <x:c r="A98" s="24" t="str">
        <x:v>Medium</x:v>
      </x:c>
      <x:c r="B98" s="24" t="str">
        <x:v>Video game</x:v>
      </x:c>
      <x:c r="C98" s="24" t="str">
        <x:v>Digital game, including RPG, strategy, action, tactical, and MMO forms.</x:v>
      </x:c>
      <x:c r="D98" s="24" t="str">
        <x:v>The Source Corpus preserves more specific medium strings where useful.</x:v>
      </x:c>
    </x:row>
    <x:row r="99" ht="38" customHeight="1">
      <x:c r="A99" s="24" t="str">
        <x:v>Medium</x:v>
      </x:c>
      <x:c r="B99" s="24" t="str">
        <x:v>Manga / comics</x:v>
      </x:c>
      <x:c r="C99" s="24" t="str">
        <x:v>Sequential-art source.</x:v>
      </x:c>
      <x:c r="D99" s="24" t="str">
        <x:v>The Source Corpus preserves more specific medium strings where useful.</x:v>
      </x:c>
    </x:row>
    <x:row r="100" ht="38" customHeight="1">
      <x:c r="A100" s="24" t="str">
        <x:v>Medium</x:v>
      </x:c>
      <x:c r="B100" s="24" t="str">
        <x:v>Anime</x:v>
      </x:c>
      <x:c r="C100" s="24" t="str">
        <x:v>Animated series or film.</x:v>
      </x:c>
      <x:c r="D100" s="24" t="str">
        <x:v>The Source Corpus preserves more specific medium strings where useful.</x:v>
      </x:c>
    </x:row>
    <x:row r="101" ht="38" customHeight="1">
      <x:c r="A101" s="24" t="str">
        <x:v>Medium</x:v>
      </x:c>
      <x:c r="B101" s="24" t="str">
        <x:v>Light novel / web novel</x:v>
      </x:c>
      <x:c r="C101" s="24" t="str">
        <x:v>Serialized or published prose in light-novel and web-fiction ecosystems.</x:v>
      </x:c>
      <x:c r="D101" s="24" t="str">
        <x:v>The Source Corpus preserves more specific medium strings where useful.</x:v>
      </x:c>
    </x:row>
    <x:row r="102" ht="38" customHeight="1">
      <x:c r="A102" s="24" t="str">
        <x:v>Medium</x:v>
      </x:c>
      <x:c r="B102" s="24" t="str">
        <x:v>Film</x:v>
      </x:c>
      <x:c r="C102" s="24" t="str">
        <x:v>Screen-first or adaptation cinema.</x:v>
      </x:c>
      <x:c r="D102" s="24" t="str">
        <x:v>The Source Corpus preserves more specific medium strings where useful.</x:v>
      </x:c>
    </x:row>
    <x:row r="103" ht="38" customHeight="1">
      <x:c r="A103" s="24" t="str">
        <x:v>Medium</x:v>
      </x:c>
      <x:c r="B103" s="24" t="str">
        <x:v>Television</x:v>
      </x:c>
      <x:c r="C103" s="24" t="str">
        <x:v>Live-action or animated television source.</x:v>
      </x:c>
      <x:c r="D103" s="24" t="str">
        <x:v>The Source Corpus preserves more specific medium strings where useful.</x:v>
      </x:c>
    </x:row>
    <x:row r="104" ht="38" customHeight="1">
      <x:c r="A104" s="24" t="str">
        <x:v>Medium</x:v>
      </x:c>
      <x:c r="B104" s="24" t="str">
        <x:v>Cross-media franchise</x:v>
      </x:c>
      <x:c r="C104" s="24" t="str">
        <x:v>A franchise whose taxonomy cannot be responsibly assigned to one medium.</x:v>
      </x:c>
      <x:c r="D104" s="24" t="str">
        <x:v>The Source Corpus preserves more specific medium strings where useful.</x:v>
      </x:c>
    </x:row>
    <x:row r="105" ht="38" customHeight="1">
      <x:c r="A105" s="24" t="str">
        <x:v>Framework_Status</x:v>
      </x:c>
      <x:c r="B105" s="24" t="str">
        <x:v>Domain Root</x:v>
      </x:c>
      <x:c r="C105" s="24" t="str">
        <x:v>One of the eleven top-level taxonomy domains.</x:v>
      </x:c>
      <x:c r="D105" s="24" t="str">
        <x:v>Reserved for root records.</x:v>
      </x:c>
    </x:row>
    <x:row r="106" ht="38" customHeight="1">
      <x:c r="A106" s="24" t="str">
        <x:v>Framework_Status</x:v>
      </x:c>
      <x:c r="B106" s="24" t="str">
        <x:v>Category</x:v>
      </x:c>
      <x:c r="C106" s="24" t="str">
        <x:v>A broad organizing node below a domain root.</x:v>
      </x:c>
      <x:c r="D106" s="24" t="str">
        <x:v>Used to group core families.</x:v>
      </x:c>
    </x:row>
    <x:row r="107" ht="38" customHeight="1">
      <x:c r="A107" s="24" t="str">
        <x:v>Framework_Status</x:v>
      </x:c>
      <x:c r="B107" s="24" t="str">
        <x:v>Core Family</x:v>
      </x:c>
      <x:c r="C107" s="24" t="str">
        <x:v>A reusable normalized archetype family.</x:v>
      </x:c>
      <x:c r="D107" s="24" t="str">
        <x:v>Default status for stable comparative records.</x:v>
      </x:c>
    </x:row>
    <x:row r="108" ht="38" customHeight="1">
      <x:c r="A108" s="24" t="str">
        <x:v>Framework_Status</x:v>
      </x:c>
      <x:c r="B108" s="24" t="str">
        <x:v>Deprecated / merged</x:v>
      </x:c>
      <x:c r="C108" s="24" t="str">
        <x:v>A superseded normalized record retained for provenance.</x:v>
      </x:c>
      <x:c r="D108" s="24" t="str">
        <x:v>Point users to the replacement ID.</x:v>
      </x:c>
    </x:row>
    <x:row r="109" ht="38" customHeight="1">
      <x:c r="A109" s="119" t="str">
        <x:v>Record_Type</x:v>
      </x:c>
      <x:c r="B109" s="120" t="str">
        <x:v>Artifact / object</x:v>
      </x:c>
      <x:c r="C109" s="120" t="str">
        <x:v>A materially or ritually significant object whose identity, provenance, agency, or power warrants an independent record.</x:v>
      </x:c>
      <x:c r="D109" s="120" t="str">
        <x:v>Use for weapons, relics, books, containers, tools, regalia, talismans, and comparable objects.</x:v>
      </x:c>
    </x:row>
    <x:row r="110" ht="38" customHeight="1">
      <x:c r="A110" s="119" t="str">
        <x:v>Record_Type</x:v>
      </x:c>
      <x:c r="B110" s="120" t="str">
        <x:v>Vehicle / conveyance</x:v>
      </x:c>
      <x:c r="C110" s="120" t="str">
        <x:v>A mount, ship, chariot, portal-device, or other means of transport with distinctive narrative, ritual, or mechanical significance.</x:v>
      </x:c>
      <x:c r="D110" s="120" t="str">
        <x:v>Separate ordinary equipment from unique, sacred, sentient, or world-crossing conveyances.</x:v>
      </x:c>
    </x:row>
    <x:row r="111" ht="38" customHeight="1">
      <x:c r="A111" s="119" t="str">
        <x:v>Record_Type</x:v>
      </x:c>
      <x:c r="B111" s="120" t="str">
        <x:v>Cosmological realm</x:v>
      </x:c>
      <x:c r="C111" s="120" t="str">
        <x:v>A heaven, underworld, spirit world, dream world, divine court, or other ontologically distinct region.</x:v>
      </x:c>
      <x:c r="D111" s="120" t="str">
        <x:v>Record the source's own spatial and metaphysical model rather than assuming a universal plane system.</x:v>
      </x:c>
    </x:row>
    <x:row r="112" ht="38" customHeight="1">
      <x:c r="A112" s="119" t="str">
        <x:v>Record_Type</x:v>
      </x:c>
      <x:c r="B112" s="120" t="str">
        <x:v>Sacred site / geography</x:v>
      </x:c>
      <x:c r="C112" s="120" t="str">
        <x:v>A materially located or mythically situated river, mountain, forest, city, threshold, or landscape with sacred or cosmological function.</x:v>
      </x:c>
      <x:c r="D112" s="120" t="str">
        <x:v>Distinguish place, realm, institution, and symbolic motif when the source does.</x:v>
      </x:c>
    </x:row>
    <x:row r="113" ht="38" customHeight="1">
      <x:c r="A113" s="119" t="str">
        <x:v>Record_Type</x:v>
      </x:c>
      <x:c r="B113" s="120" t="str">
        <x:v>Metaphysical law</x:v>
      </x:c>
      <x:c r="C113" s="120" t="str">
        <x:v>A rule or causal principle governing fate, morality, identity, death, transformation, naming, reciprocity, or cosmic order.</x:v>
      </x:c>
      <x:c r="D113" s="120" t="str">
        <x:v>Do not reduce culture-specific concepts to generic game alignment or physics.</x:v>
      </x:c>
    </x:row>
    <x:row r="114" ht="38" customHeight="1">
      <x:c r="A114" s="119" t="str">
        <x:v>Record_Type</x:v>
      </x:c>
      <x:c r="B114" s="120" t="str">
        <x:v>Ritual / exchange</x:v>
      </x:c>
      <x:c r="C114" s="120" t="str">
        <x:v>A structured action or reciprocal practice connecting persons, communities, ancestors, spirits, deities, objects, or cosmic order.</x:v>
      </x:c>
      <x:c r="D114" s="120" t="str">
        <x:v>Use for offerings, sacrifice, initiation, hospitality, purification, divination, oath-making, and similar practices.</x:v>
      </x:c>
    </x:row>
    <x:row r="115" ht="38" customHeight="1">
      <x:c r="A115" s="119" t="str">
        <x:v>Record_Type</x:v>
      </x:c>
      <x:c r="B115" s="120" t="str">
        <x:v>Adaptation operation</x:v>
      </x:c>
      <x:c r="C115" s="120" t="str">
        <x:v>A comparative record describing how a source concept is transformed when represented in another medium or continuity.</x:v>
      </x:c>
      <x:c r="D115" s="120" t="str">
        <x:v>Use in Adaptation Crosswalk; do not treat the operation as a claim about the traditional source itself.</x:v>
      </x:c>
    </x:row>
    <x:row r="116" ht="38" customHeight="1">
      <x:c r="A116" s="119" t="str">
        <x:v>Power_Source</x:v>
      </x:c>
      <x:c r="B116" s="120" t="str">
        <x:v>Ritual</x:v>
      </x:c>
      <x:c r="C116" s="120" t="str">
        <x:v>Power produced, mediated, authorized, or stabilized through prescribed action, timing, place, materials, or community participation.</x:v>
      </x:c>
      <x:c r="D116" s="120" t="str">
        <x:v>Distinguish ritual process from spontaneous spellcasting.</x:v>
      </x:c>
    </x:row>
    <x:row r="117" ht="38" customHeight="1">
      <x:c r="A117" s="119" t="str">
        <x:v>Power_Source</x:v>
      </x:c>
      <x:c r="B117" s="120" t="str">
        <x:v>Oath / vow</x:v>
      </x:c>
      <x:c r="C117" s="120" t="str">
        <x:v>Power, authority, constraint, or transformation arising through a binding promise or self-imposed obligation.</x:v>
      </x:c>
      <x:c r="D117" s="120" t="str">
        <x:v>Record the cost and enforcement model where the source specifies one.</x:v>
      </x:c>
    </x:row>
    <x:row r="118" ht="38" customHeight="1">
      <x:c r="A118" s="119" t="str">
        <x:v>Power_Source</x:v>
      </x:c>
      <x:c r="B118" s="120" t="str">
        <x:v>Boon / curse</x:v>
      </x:c>
      <x:c r="C118" s="120" t="str">
        <x:v>Capacity or limitation conferred through blessing, favor, punishment, utterance, or supernatural transaction.</x:v>
      </x:c>
      <x:c r="D118" s="120" t="str">
        <x:v>Keep boon and curse source-specific; either may be conditional, inherited, or reversible.</x:v>
      </x:c>
    </x:row>
    <x:row r="119" ht="38" customHeight="1">
      <x:c r="A119" s="119" t="str">
        <x:v>Power_Source</x:v>
      </x:c>
      <x:c r="B119" s="120" t="str">
        <x:v>Cosmic law</x:v>
      </x:c>
      <x:c r="C119" s="120" t="str">
        <x:v>Power or limitation arising from the structure of reality, moral causation, fate, sacred order, or metaphysical necessity.</x:v>
      </x:c>
      <x:c r="D119" s="120" t="str">
        <x:v>Avoid translating all such systems into one universal rule.</x:v>
      </x:c>
    </x:row>
    <x:row r="120" ht="38" customHeight="1">
      <x:c r="A120" s="119" t="str">
        <x:v>Power_Source</x:v>
      </x:c>
      <x:c r="B120" s="120" t="str">
        <x:v>Name / word</x:v>
      </x:c>
      <x:c r="C120" s="120" t="str">
        <x:v>Power exercised through a true name, sacred utterance, command word, formula, song, poem, or authoritative speech act.</x:v>
      </x:c>
      <x:c r="D120" s="120" t="str">
        <x:v>Distinguish language as technique, identity, law, and ritual authority.</x:v>
      </x:c>
    </x:row>
    <x:row r="121" ht="38" customHeight="1">
      <x:c r="A121" s="119" t="str">
        <x:v>Adaptation_Operation</x:v>
      </x:c>
      <x:c r="B121" s="120" t="str">
        <x:v>Factionalization</x:v>
      </x:c>
      <x:c r="C121" s="120" t="str">
        <x:v>Converts a deity, people, culture, lineage, or tradition into a selectable faction identity with standardized bonuses and boundaries.</x:v>
      </x:c>
      <x:c r="D121" s="120" t="str">
        <x:v>Use only when the crosswalk states what was preserved, changed, or lost.</x:v>
      </x:c>
    </x:row>
    <x:row r="122" ht="38" customHeight="1">
      <x:c r="A122" s="119" t="str">
        <x:v>Adaptation_Operation</x:v>
      </x:c>
      <x:c r="B122" s="120" t="str">
        <x:v>Unitization</x:v>
      </x:c>
      <x:c r="C122" s="120" t="str">
        <x:v>Converts a unique, local, ambivalent, or socially embedded being into a repeatable game unit.</x:v>
      </x:c>
      <x:c r="D122" s="120" t="str">
        <x:v>Use only when the crosswalk states what was preserved, changed, or lost.</x:v>
      </x:c>
    </x:row>
    <x:row r="123" ht="38" customHeight="1">
      <x:c r="A123" s="119" t="str">
        <x:v>Adaptation_Operation</x:v>
      </x:c>
      <x:c r="B123" s="120" t="str">
        <x:v>Mechanization</x:v>
      </x:c>
      <x:c r="C123" s="120" t="str">
        <x:v>Converts narrative, ritual, divine, or metaphysical agency into a predictable rule, activated ability, or systemic procedure.</x:v>
      </x:c>
      <x:c r="D123" s="120" t="str">
        <x:v>Use only when the crosswalk states what was preserved, changed, or lost.</x:v>
      </x:c>
    </x:row>
    <x:row r="124" ht="38" customHeight="1">
      <x:c r="A124" s="119" t="str">
        <x:v>Adaptation_Operation</x:v>
      </x:c>
      <x:c r="B124" s="120" t="str">
        <x:v>Resource abstraction</x:v>
      </x:c>
      <x:c r="C124" s="120" t="str">
        <x:v>Converts a relationship, condition, practice, or qualitative state into a quantified and spendable resource.</x:v>
      </x:c>
      <x:c r="D124" s="120" t="str">
        <x:v>Use only when the crosswalk states what was preserved, changed, or lost.</x:v>
      </x:c>
    </x:row>
    <x:row r="125" ht="38" customHeight="1">
      <x:c r="A125" s="119" t="str">
        <x:v>Adaptation_Operation</x:v>
      </x:c>
      <x:c r="B125" s="120" t="str">
        <x:v>Progression abstraction</x:v>
      </x:c>
      <x:c r="C125" s="120" t="str">
        <x:v>Converts historical, cosmological, ritual, or educational development into a standardized advancement ladder.</x:v>
      </x:c>
      <x:c r="D125" s="120" t="str">
        <x:v>Use only when the crosswalk states what was preserved, changed, or lost.</x:v>
      </x:c>
    </x:row>
    <x:row r="126" ht="38" customHeight="1">
      <x:c r="A126" s="119" t="str">
        <x:v>Adaptation_Operation</x:v>
      </x:c>
      <x:c r="B126" s="120" t="str">
        <x:v>Quantification</x:v>
      </x:c>
      <x:c r="C126" s="120" t="str">
        <x:v>Represents qualitative differences through numerical ratings, costs, probabilities, thresholds, or statistics.</x:v>
      </x:c>
      <x:c r="D126" s="120" t="str">
        <x:v>Use only when the crosswalk states what was preserved, changed, or lost.</x:v>
      </x:c>
    </x:row>
    <x:row r="127" ht="38" customHeight="1">
      <x:c r="A127" s="119" t="str">
        <x:v>Adaptation_Operation</x:v>
      </x:c>
      <x:c r="B127" s="120" t="str">
        <x:v>Counter-role assignment</x:v>
      </x:c>
      <x:c r="C127" s="120" t="str">
        <x:v>Assigns a concept a defined strength/weakness relationship within a combat or strategy counter system.</x:v>
      </x:c>
      <x:c r="D127" s="120" t="str">
        <x:v>Use only when the crosswalk states what was preserved, changed, or lost.</x:v>
      </x:c>
    </x:row>
    <x:row r="128" ht="38" customHeight="1">
      <x:c r="A128" s="119" t="str">
        <x:v>Adaptation_Operation</x:v>
      </x:c>
      <x:c r="B128" s="120" t="str">
        <x:v>Itemization</x:v>
      </x:c>
      <x:c r="C128" s="120" t="str">
        <x:v>Converts a unique, sacred, storied, or socially controlled object into collectible, equippable, or tradable inventory.</x:v>
      </x:c>
      <x:c r="D128" s="120" t="str">
        <x:v>Use only when the crosswalk states what was preserved, changed, or lost.</x:v>
      </x:c>
    </x:row>
    <x:row r="129" ht="38" customHeight="1">
      <x:c r="A129" s="119" t="str">
        <x:v>Adaptation_Operation</x:v>
      </x:c>
      <x:c r="B129" s="120" t="str">
        <x:v>Bossification</x:v>
      </x:c>
      <x:c r="C129" s="120" t="str">
        <x:v>Converts a deity, monster, ruler, place, or event into an encounter whose primary role is an exceptional combat obstacle.</x:v>
      </x:c>
      <x:c r="D129" s="120" t="str">
        <x:v>Use only when the crosswalk states what was preserved, changed, or lost.</x:v>
      </x:c>
    </x:row>
    <x:row r="130" ht="38" customHeight="1">
      <x:c r="A130" s="119" t="str">
        <x:v>Adaptation_Operation</x:v>
      </x:c>
      <x:c r="B130" s="120" t="str">
        <x:v>Institutional simplification</x:v>
      </x:c>
      <x:c r="C130" s="120" t="str">
        <x:v>Reduces a complex social, ritual, educational, or political institution to a standardized building, menu, faction, or production function.</x:v>
      </x:c>
      <x:c r="D130" s="120" t="str">
        <x:v>Use only when the crosswalk states what was preserved, changed, or lost.</x:v>
      </x:c>
    </x:row>
    <x:row r="131" ht="38" customHeight="1">
      <x:c r="A131" s="119" t="str">
        <x:v>Adaptation_Operation</x:v>
      </x:c>
      <x:c r="B131" s="120" t="str">
        <x:v>Moral and tactical simplification</x:v>
      </x:c>
      <x:c r="C131" s="120" t="str">
        <x:v>Compresses ambivalent, contextual, or plural traditions into fixed alignment, hostility, or battlefield roles.</x:v>
      </x:c>
      <x:c r="D131" s="120" t="str">
        <x:v>Use only when the crosswalk states what was preserved, changed, or lost.</x:v>
      </x:c>
    </x:row>
    <x:row r="132" ht="38" customHeight="1">
      <x:c r="A132" s="119" t="str">
        <x:v>Adaptation_Operation</x:v>
      </x:c>
      <x:c r="B132" s="120" t="str">
        <x:v>Visual standardization</x:v>
      </x:c>
      <x:c r="C132" s="120" t="str">
        <x:v>Selects and stabilizes one recognizable appearance from multiple textual, regional, historical, or artistic possibilities.</x:v>
      </x:c>
      <x:c r="D132" s="120" t="str">
        <x:v>Use only when the crosswalk states what was preserved, changed, or lost.</x:v>
      </x:c>
    </x:row>
    <x:row r="133" ht="38" customHeight="1">
      <x:c r="A133" s="119" t="str">
        <x:v>Adaptation_Operation</x:v>
      </x:c>
      <x:c r="B133" s="120" t="str">
        <x:v>Syncretism</x:v>
      </x:c>
      <x:c r="C133" s="120" t="str">
        <x:v>Combines concepts from distinct traditions or textual layers into a new composite presentation.</x:v>
      </x:c>
      <x:c r="D133" s="120" t="str">
        <x:v>Use only when the crosswalk states what was preserved, changed, or lost.</x:v>
      </x:c>
    </x:row>
    <x:row r="134" ht="38" customHeight="1">
      <x:c r="A134" s="119" t="str">
        <x:v>Adaptation_Operation</x:v>
      </x:c>
      <x:c r="B134" s="120" t="str">
        <x:v>Decontextualization</x:v>
      </x:c>
      <x:c r="C134" s="120" t="str">
        <x:v>Retains a name, image, or ability while removing much of its original social, ritual, narrative, or cosmological context.</x:v>
      </x:c>
      <x:c r="D134" s="120" t="str">
        <x:v>Use only when the crosswalk states what was preserved, changed, or lost.</x:v>
      </x:c>
    </x:row>
    <x:row r="135" ht="38" customHeight="1">
      <x:c r="A135" s="119" t="str">
        <x:v>Adaptation_Operation</x:v>
      </x:c>
      <x:c r="B135" s="120" t="str">
        <x:v>Recombination</x:v>
      </x:c>
      <x:c r="C135" s="120" t="str">
        <x:v>Separates and reassembles source elements into new characters, factions, lineages, powers, or stories.</x:v>
      </x:c>
      <x:c r="D135" s="120" t="str">
        <x:v>Use only when the crosswalk states what was preserved, changed, or lost.</x:v>
      </x:c>
    </x:row>
    <x:row r="136" ht="38" customHeight="1">
      <x:c r="A136" s="119" t="str">
        <x:v>Adaptation_Operation</x:v>
      </x:c>
      <x:c r="B136" s="120" t="str">
        <x:v>Inversion</x:v>
      </x:c>
      <x:c r="C136" s="120" t="str">
        <x:v>Deliberately reverses a source concept's expected moral, social, metaphysical, or narrative position.</x:v>
      </x:c>
      <x:c r="D136" s="120" t="str">
        <x:v>Use only when the crosswalk states what was preserved, changed, or lost.</x:v>
      </x:c>
    </x:row>
    <x:row r="137" ht="38" customHeight="1">
      <x:c r="A137" s="119" t="str">
        <x:v>Adaptation_Operation</x:v>
      </x:c>
      <x:c r="B137" s="120" t="str">
        <x:v>Secularization</x:v>
      </x:c>
      <x:c r="C137" s="120" t="str">
        <x:v>Reframes a religious, sacred, or ritual concept as nonreligious biology, psychology, technology, or neutral magic.</x:v>
      </x:c>
      <x:c r="D137" s="120" t="str">
        <x:v>Use only when the crosswalk states what was preserved, changed, or lost.</x:v>
      </x:c>
    </x:row>
    <x:row r="138" ht="38" customHeight="1">
      <x:c r="A138" s="119" t="str">
        <x:v>Adaptation_Operation</x:v>
      </x:c>
      <x:c r="B138" s="120" t="str">
        <x:v>Invented tradition</x:v>
      </x:c>
      <x:c r="C138" s="120" t="str">
        <x:v>Presents a newly created rule, genealogy, category, or practice using the authority or aesthetics of an older tradition.</x:v>
      </x:c>
      <x:c r="D138" s="120" t="str">
        <x:v>Use only when the crosswalk states what was preserved, changed, or lost.</x:v>
      </x:c>
    </x:row>
    <x:row r="139" ht="38" customHeight="1">
      <x:c r="A139" s="119" t="str">
        <x:v>Adaptation_Operation</x:v>
      </x:c>
      <x:c r="B139" s="120" t="str">
        <x:v>Temporal compression</x:v>
      </x:c>
      <x:c r="C139" s="120" t="str">
        <x:v>Collapses multiple eras, textual layers, dynasties, or narrative phases into one simultaneous setting.</x:v>
      </x:c>
      <x:c r="D139" s="120" t="str">
        <x:v>Use only when the crosswalk states what was preserved, changed, or lost.</x:v>
      </x:c>
    </x:row>
    <x:row r="140" ht="38" customHeight="1">
      <x:c r="A140" s="119" t="str">
        <x:v>Adaptation_Operation</x:v>
      </x:c>
      <x:c r="B140" s="120" t="str">
        <x:v>Spatial abstraction</x:v>
      </x:c>
      <x:c r="C140" s="120" t="str">
        <x:v>Converts sacred, historical, cosmological, or relational geography into a map node, biome, level, or traversable zone.</x:v>
      </x:c>
      <x:c r="D140" s="120" t="str">
        <x:v>Use only when the crosswalk states what was preserved, changed, or lost.</x:v>
      </x:c>
    </x:row>
    <x:row r="141" ht="38" customHeight="1">
      <x:c r="A141" s="119" t="str">
        <x:v>Adaptation_Operation</x:v>
      </x:c>
      <x:c r="B141" s="120" t="str">
        <x:v>Decomposition</x:v>
      </x:c>
      <x:c r="C141" s="120" t="str">
        <x:v>Splits one source concept into multiple classes, units, resources, abilities, or character traits.</x:v>
      </x:c>
      <x:c r="D141" s="120" t="str">
        <x:v>Use only when the crosswalk states what was preserved, changed, or lost.</x:v>
      </x:c>
    </x:row>
    <x:row r="142" ht="38" customHeight="1">
      <x:c r="A142" s="119" t="str">
        <x:v>Adaptation_Operation</x:v>
      </x:c>
      <x:c r="B142" s="120" t="str">
        <x:v>Reproducibility conversion</x:v>
      </x:c>
      <x:c r="C142" s="120" t="str">
        <x:v>Turns a unique event, person, gift, or miracle into something repeatable by multiple players, units, or builds.</x:v>
      </x:c>
      <x:c r="D142" s="120" t="str">
        <x:v>Use only when the crosswalk states what was preserved, changed, or lost.</x:v>
      </x:c>
    </x:row>
    <x:row r="143" ht="38" customHeight="1">
      <x:c r="A143" s="119" t="str">
        <x:v>Adaptation_Operation</x:v>
      </x:c>
      <x:c r="B143" s="120" t="str">
        <x:v>Standardization</x:v>
      </x:c>
      <x:c r="C143" s="120" t="str">
        <x:v>Normalizes variable, local, or historically changing material into a uniform rule or category.</x:v>
      </x:c>
      <x:c r="D143" s="120" t="str">
        <x:v>Use only when the crosswalk states what was preserved, changed, or lost.</x:v>
      </x:c>
    </x:row>
    <x:row r="144" ht="38" customHeight="1">
      <x:c r="A144" s="119" t="str">
        <x:v>Novelty_Classification</x:v>
      </x:c>
      <x:c r="B144" s="120" t="str">
        <x:v>New domain</x:v>
      </x:c>
      <x:c r="C144" s="120" t="str">
        <x:v>Requires a new top-level analytical domain because the concept cannot be represented adequately by existing domains.</x:v>
      </x:c>
      <x:c r="D144" s="120" t="str">
        <x:v>Use in Term Metadata, Source Priority, and research decisions.</x:v>
      </x:c>
    </x:row>
    <x:row r="145" ht="38" customHeight="1">
      <x:c r="A145" s="119" t="str">
        <x:v>Novelty_Classification</x:v>
      </x:c>
      <x:c r="B145" s="120" t="str">
        <x:v>New core family</x:v>
      </x:c>
      <x:c r="C145" s="120" t="str">
        <x:v>Introduces a reusable archetype family not already represented in the normalized taxonomy.</x:v>
      </x:c>
      <x:c r="D145" s="120" t="str">
        <x:v>Use in Term Metadata, Source Priority, and research decisions.</x:v>
      </x:c>
    </x:row>
    <x:row r="146" ht="38" customHeight="1">
      <x:c r="A146" s="119" t="str">
        <x:v>Novelty_Classification</x:v>
      </x:c>
      <x:c r="B146" s="120" t="str">
        <x:v>New subtype / source-specific refinement</x:v>
      </x:c>
      <x:c r="C146" s="120" t="str">
        <x:v>Adds a meaningful subtype, distinction, or boundary within an existing family.</x:v>
      </x:c>
      <x:c r="D146" s="120" t="str">
        <x:v>Use in Term Metadata, Source Priority, and research decisions.</x:v>
      </x:c>
    </x:row>
    <x:row r="147" ht="38" customHeight="1">
      <x:c r="A147" s="119" t="str">
        <x:v>Novelty_Classification</x:v>
      </x:c>
      <x:c r="B147" s="120" t="str">
        <x:v>Counterexample</x:v>
      </x:c>
      <x:c r="C147" s="120" t="str">
        <x:v>Shows that a broad archetype definition or stereotype is too narrow, culturally specific, or misleading.</x:v>
      </x:c>
      <x:c r="D147" s="120" t="str">
        <x:v>Use in Term Metadata, Source Priority, and research decisions.</x:v>
      </x:c>
    </x:row>
    <x:row r="148" ht="38" customHeight="1">
      <x:c r="A148" s="119" t="str">
        <x:v>Novelty_Classification</x:v>
      </x:c>
      <x:c r="B148" s="120" t="str">
        <x:v>Adaptation transformation</x:v>
      </x:c>
      <x:c r="C148" s="120" t="str">
        <x:v>Adds value chiefly by showing how another source is changed across media, mechanics, or continuity.</x:v>
      </x:c>
      <x:c r="D148" s="120" t="str">
        <x:v>Use in Term Metadata, Source Priority, and research decisions.</x:v>
      </x:c>
    </x:row>
    <x:row r="149" ht="38" customHeight="1">
      <x:c r="A149" s="119" t="str">
        <x:v>Novelty_Classification</x:v>
      </x:c>
      <x:c r="B149" s="120" t="str">
        <x:v>Representative example</x:v>
      </x:c>
      <x:c r="C149" s="120" t="str">
        <x:v>Provides a clear source-specific instance of an existing family without materially expanding the taxonomy.</x:v>
      </x:c>
      <x:c r="D149" s="120" t="str">
        <x:v>Use in Term Metadata, Source Priority, and research decisions.</x:v>
      </x:c>
    </x:row>
    <x:row r="150" ht="38" customHeight="1">
      <x:c r="A150" s="119" t="str">
        <x:v>Novelty_Classification</x:v>
      </x:c>
      <x:c r="B150" s="120" t="str">
        <x:v>Redundant / sample only</x:v>
      </x:c>
      <x:c r="C150" s="120" t="str">
        <x:v>Repeats well-covered patterns and warrants only selective sampling unless unusually influential.</x:v>
      </x:c>
      <x:c r="D150" s="120" t="str">
        <x:v>Use in Term Metadata, Source Priority, and research decisions.</x:v>
      </x:c>
    </x:row>
    <x:row r="151" ht="38" customHeight="1">
      <x:c r="A151" s="119" t="str">
        <x:v>Tradition_Status</x:v>
      </x:c>
      <x:c r="B151" s="120" t="str">
        <x:v>Living sacred/religious tradition</x:v>
      </x:c>
      <x:c r="C151" s="120" t="str">
        <x:v>A concept or practice that remains part of living religious, ritual, or community traditions.</x:v>
      </x:c>
      <x:c r="D151" s="120" t="str">
        <x:v>Use to set sourcing and cultural-caution requirements.</x:v>
      </x:c>
    </x:row>
    <x:row r="152" ht="38" customHeight="1">
      <x:c r="A152" s="119" t="str">
        <x:v>Tradition_Status</x:v>
      </x:c>
      <x:c r="B152" s="120" t="str">
        <x:v>Historical religious tradition</x:v>
      </x:c>
      <x:c r="C152" s="120" t="str">
        <x:v>A religious or ritual tradition studied principally through historical, archaeological, or textual evidence.</x:v>
      </x:c>
      <x:c r="D152" s="120" t="str">
        <x:v>Use to set sourcing and cultural-caution requirements.</x:v>
      </x:c>
    </x:row>
    <x:row r="153" ht="38" customHeight="1">
      <x:c r="A153" s="119" t="str">
        <x:v>Tradition_Status</x:v>
      </x:c>
      <x:c r="B153" s="120" t="str">
        <x:v>Epic / sacred literary tradition</x:v>
      </x:c>
      <x:c r="C153" s="120" t="str">
        <x:v>A layered literary, recitational, commentarial, or sacred corpus with continuing interpretation.</x:v>
      </x:c>
      <x:c r="D153" s="120" t="str">
        <x:v>Use to set sourcing and cultural-caution requirements.</x:v>
      </x:c>
    </x:row>
    <x:row r="154" ht="38" customHeight="1">
      <x:c r="A154" s="119" t="str">
        <x:v>Tradition_Status</x:v>
      </x:c>
      <x:c r="B154" s="120" t="str">
        <x:v>Folklore / oral tradition</x:v>
      </x:c>
      <x:c r="C154" s="120" t="str">
        <x:v>A tradition transmitted through oral performance, customary practice, local narrative, or community memory.</x:v>
      </x:c>
      <x:c r="D154" s="120" t="str">
        <x:v>Use to set sourcing and cultural-caution requirements.</x:v>
      </x:c>
    </x:row>
    <x:row r="155" ht="38" customHeight="1">
      <x:c r="A155" s="119" t="str">
        <x:v>Tradition_Status</x:v>
      </x:c>
      <x:c r="B155" s="120" t="str">
        <x:v>Commercial adaptation</x:v>
      </x:c>
      <x:c r="C155" s="120" t="str">
        <x:v>A modern published adaptation produced for literature, film, television, games, manga, anime, or related media.</x:v>
      </x:c>
      <x:c r="D155" s="120" t="str">
        <x:v>Use to set sourcing and cultural-caution requirements.</x:v>
      </x:c>
    </x:row>
    <x:row r="156" ht="38" customHeight="1">
      <x:c r="A156" s="119" t="str">
        <x:v>Tradition_Status</x:v>
      </x:c>
      <x:c r="B156" s="120" t="str">
        <x:v>Modern genre convention</x:v>
      </x:c>
      <x:c r="C156" s="120" t="str">
        <x:v>A recurrent convention circulating across modern fantasy rather than belonging to one source tradition.</x:v>
      </x:c>
      <x:c r="D156" s="120" t="str">
        <x:v>Use to set sourcing and cultural-caution requirements.</x:v>
      </x:c>
    </x:row>
    <x:row r="157" ht="38" customHeight="1">
      <x:c r="A157" s="119" t="str">
        <x:v>Tradition_Status</x:v>
      </x:c>
      <x:c r="B157" s="120" t="str">
        <x:v>Composite / disputed</x:v>
      </x:c>
      <x:c r="C157" s="120" t="str">
        <x:v>A record whose boundaries, provenance, status, or classification remain contested or intentionally composite.</x:v>
      </x:c>
      <x:c r="D157" s="120" t="str">
        <x:v>Use to set sourcing and cultural-caution requirements.</x:v>
      </x:c>
    </x:row>
    <x:row r="158" ht="38" customHeight="1">
      <x:c r="A158" s="119" t="str">
        <x:v>Priority_Score</x:v>
      </x:c>
      <x:c r="B158" s="120" t="str">
        <x:v>0 — None</x:v>
      </x:c>
      <x:c r="C158" s="120" t="str">
        <x:v>No contribution or no redundancy, depending on the scored field.</x:v>
      </x:c>
      <x:c r="D158" s="120" t="str">
        <x:v>Apply consistently across Source Priority's seven positive criteria and redundancy penalty.</x:v>
      </x:c>
    </x:row>
    <x:row r="159" ht="38" customHeight="1">
      <x:c r="A159" s="119" t="str">
        <x:v>Priority_Score</x:v>
      </x:c>
      <x:c r="B159" s="120" t="str">
        <x:v>1 — Very low</x:v>
      </x:c>
      <x:c r="C159" s="120" t="str">
        <x:v>Minimal contribution on this criterion.</x:v>
      </x:c>
      <x:c r="D159" s="120" t="str">
        <x:v>Apply consistently across Source Priority's seven positive criteria and redundancy penalty.</x:v>
      </x:c>
    </x:row>
    <x:row r="160" ht="38" customHeight="1">
      <x:c r="A160" s="119" t="str">
        <x:v>Priority_Score</x:v>
      </x:c>
      <x:c r="B160" s="120" t="str">
        <x:v>2 — Low</x:v>
      </x:c>
      <x:c r="C160" s="120" t="str">
        <x:v>Limited contribution on this criterion.</x:v>
      </x:c>
      <x:c r="D160" s="120" t="str">
        <x:v>Apply consistently across Source Priority's seven positive criteria and redundancy penalty.</x:v>
      </x:c>
    </x:row>
    <x:row r="161" ht="38" customHeight="1">
      <x:c r="A161" s="119" t="str">
        <x:v>Priority_Score</x:v>
      </x:c>
      <x:c r="B161" s="120" t="str">
        <x:v>3 — Moderate</x:v>
      </x:c>
      <x:c r="C161" s="120" t="str">
        <x:v>Meaningful but not exceptional contribution.</x:v>
      </x:c>
      <x:c r="D161" s="120" t="str">
        <x:v>Apply consistently across Source Priority's seven positive criteria and redundancy penalty.</x:v>
      </x:c>
    </x:row>
    <x:row r="162" ht="38" customHeight="1">
      <x:c r="A162" s="119" t="str">
        <x:v>Priority_Score</x:v>
      </x:c>
      <x:c r="B162" s="120" t="str">
        <x:v>4 — High</x:v>
      </x:c>
      <x:c r="C162" s="120" t="str">
        <x:v>Strong contribution that materially improves coverage.</x:v>
      </x:c>
      <x:c r="D162" s="120" t="str">
        <x:v>Apply consistently across Source Priority's seven positive criteria and redundancy penalty.</x:v>
      </x:c>
    </x:row>
    <x:row r="163" ht="38" customHeight="1">
      <x:c r="A163" s="119" t="str">
        <x:v>Priority_Score</x:v>
      </x:c>
      <x:c r="B163" s="120" t="str">
        <x:v>5 — Very high</x:v>
      </x:c>
      <x:c r="C163" s="120" t="str">
        <x:v>Foundational or unusually distinctive contribution.</x:v>
      </x:c>
      <x:c r="D163" s="120" t="str">
        <x:v>Apply consistently across Source Priority's seven positive criteria and redundancy penalty.</x:v>
      </x:c>
    </x:row>
  </x:sheetData>
  <x:pageMargins left="0.7" right="0.7" top="0.75" bottom="0.75" header="0.3" footer="0.3"/>
  <x:tableParts count="1">
    <x:tablePart xmlns:r="http://schemas.openxmlformats.org/officeDocument/2006/relationships" r:id="R950af87058864c38"/>
  </x:tableParts>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24" hidden="0" customWidth="1"/>
    <x:col min="4" max="4" width="48" hidden="0" customWidth="1"/>
    <x:col min="5" max="5" width="48" hidden="0" customWidth="1"/>
    <x:col min="6" max="6" width="48" hidden="0" customWidth="1"/>
  </x:cols>
  <x:sheetData>
    <x:row r="1" ht="34" customHeight="1">
      <x:c r="A1" s="31" t="str">
        <x:v>Relation</x:v>
      </x:c>
      <x:c r="B1" s="31" t="str">
        <x:v>Directionality</x:v>
      </x:c>
      <x:c r="C1" s="31" t="str">
        <x:v>Scope</x:v>
      </x:c>
      <x:c r="D1" s="31" t="str">
        <x:v>Use_When</x:v>
      </x:c>
      <x:c r="E1" s="31" t="str">
        <x:v>Do_Not_Use_When</x:v>
      </x:c>
      <x:c r="F1" s="31" t="str">
        <x:v>Example</x:v>
      </x:c>
    </x:row>
    <x:row r="2" ht="44" customHeight="1">
      <x:c r="A2" s="24" t="str">
        <x:v>Canonical alias</x:v>
      </x:c>
      <x:c r="B2" s="24" t="str">
        <x:v>Symmetric</x:v>
      </x:c>
      <x:c r="C2" s="24" t="str">
        <x:v>Same continuity</x:v>
      </x:c>
      <x:c r="D2" s="24" t="str">
        <x:v>Use when two names denote the same entity, people, office, or concept.</x:v>
      </x:c>
      <x:c r="E2" s="24" t="str">
        <x:v>Do not use for translations that change the underlying concept.</x:v>
      </x:c>
      <x:c r="F2" s="24" t="str">
        <x:v>Quendi ↔ Elves within a specified Tolkien context.</x:v>
      </x:c>
    </x:row>
    <x:row r="3" ht="44" customHeight="1">
      <x:c r="A3" s="24" t="str">
        <x:v>Exact equivalent</x:v>
      </x:c>
      <x:c r="B3" s="24" t="str">
        <x:v>Symmetric</x:v>
      </x:c>
      <x:c r="C3" s="24" t="str">
        <x:v>Cross-setting</x:v>
      </x:c>
      <x:c r="D3" s="24" t="str">
        <x:v>Use only when ontology, function, power basis, and narrative role align.</x:v>
      </x:c>
      <x:c r="E3" s="24" t="str">
        <x:v>Do not use merely because two concepts share a label.</x:v>
      </x:c>
      <x:c r="F3" s="24" t="str">
        <x:v>Rare; most cross-setting links should be partial or functional.</x:v>
      </x:c>
    </x:row>
    <x:row r="4" ht="44" customHeight="1">
      <x:c r="A4" s="24" t="str">
        <x:v>Subtype-of</x:v>
      </x:c>
      <x:c r="B4" s="24" t="str">
        <x:v>Directed</x:v>
      </x:c>
      <x:c r="C4" s="24" t="str">
        <x:v>Within or across taxonomies</x:v>
      </x:c>
      <x:c r="D4" s="24" t="str">
        <x:v>Use for a narrower normalized or canonical category.</x:v>
      </x:c>
      <x:c r="E4" s="24" t="str">
        <x:v>Do not confuse with member-of an organization.</x:v>
      </x:c>
      <x:c r="F4" s="24" t="str">
        <x:v>Higher vampire subtype-of source vampire taxonomy.</x:v>
      </x:c>
    </x:row>
    <x:row r="5" ht="44" customHeight="1">
      <x:c r="A5" s="24" t="str">
        <x:v>Member-of</x:v>
      </x:c>
      <x:c r="B5" s="24" t="str">
        <x:v>Directed</x:v>
      </x:c>
      <x:c r="C5" s="24" t="str">
        <x:v>Institutional / social</x:v>
      </x:c>
      <x:c r="D5" s="24" t="str">
        <x:v>Use for membership in a school, order, faction, people, or party.</x:v>
      </x:c>
      <x:c r="E5" s="24" t="str">
        <x:v>Do not use when the relation is transformation or ancestry.</x:v>
      </x:c>
      <x:c r="F5" s="24" t="str">
        <x:v>A witcher member-of a witcher school.</x:v>
      </x:c>
    </x:row>
    <x:row r="6" ht="44" customHeight="1">
      <x:c r="A6" s="24" t="str">
        <x:v>Version-of</x:v>
      </x:c>
      <x:c r="B6" s="24" t="str">
        <x:v>Directed</x:v>
      </x:c>
      <x:c r="C6" s="24" t="str">
        <x:v>Edition / adaptation</x:v>
      </x:c>
      <x:c r="D6" s="24" t="str">
        <x:v>Use for materially divergent rules editions or portrayals.</x:v>
      </x:c>
      <x:c r="E6" s="24" t="str">
        <x:v>Do not merge versioned entries when powers or ontology change.</x:v>
      </x:c>
      <x:c r="F6" s="24" t="str">
        <x:v>Game-continuity Wild Hunt version-of franchise concept.</x:v>
      </x:c>
    </x:row>
    <x:row r="7" ht="44" customHeight="1">
      <x:c r="A7" s="24" t="str">
        <x:v>Adaptation-of</x:v>
      </x:c>
      <x:c r="B7" s="24" t="str">
        <x:v>Directed</x:v>
      </x:c>
      <x:c r="C7" s="24" t="str">
        <x:v>Cross-media</x:v>
      </x:c>
      <x:c r="D7" s="24" t="str">
        <x:v>Use where a film, game, anime, or series adapts a specific source.</x:v>
      </x:c>
      <x:c r="E7" s="24" t="str">
        <x:v>Do not imply fidelity; record divergences separately.</x:v>
      </x:c>
      <x:c r="F7" s="24" t="str">
        <x:v>Television continuity adaptation-of novel continuity.</x:v>
      </x:c>
    </x:row>
    <x:row r="8" ht="44" customHeight="1">
      <x:c r="A8" s="24" t="str">
        <x:v>Inspired-by</x:v>
      </x:c>
      <x:c r="B8" s="24" t="str">
        <x:v>Directed</x:v>
      </x:c>
      <x:c r="C8" s="24" t="str">
        <x:v>Historical influence</x:v>
      </x:c>
      <x:c r="D8" s="24" t="str">
        <x:v>Use only with documented or strongly evidenced influence.</x:v>
      </x:c>
      <x:c r="E8" s="24" t="str">
        <x:v>Do not infer influence from resemblance alone.</x:v>
      </x:c>
      <x:c r="F8" s="24" t="str">
        <x:v>Later halfling tradition inspired-by Tolkienian hobbits, where documented.</x:v>
      </x:c>
    </x:row>
    <x:row r="9" ht="44" customHeight="1">
      <x:c r="A9" s="24" t="str">
        <x:v>Close analogue</x:v>
      </x:c>
      <x:c r="B9" s="24" t="str">
        <x:v>Symmetric</x:v>
      </x:c>
      <x:c r="C9" s="24" t="str">
        <x:v>Comparative</x:v>
      </x:c>
      <x:c r="D9" s="24" t="str">
        <x:v>Use when several major dimensions align but the concepts remain distinct.</x:v>
      </x:c>
      <x:c r="E9" s="24" t="str">
        <x:v>Do not erase source-specific metaphysics.</x:v>
      </x:c>
      <x:c r="F9" s="24" t="str">
        <x:v>Two learned court-mage institutions with different cosmologies.</x:v>
      </x:c>
    </x:row>
    <x:row r="10" ht="44" customHeight="1">
      <x:c r="A10" s="24" t="str">
        <x:v>Partial analogue</x:v>
      </x:c>
      <x:c r="B10" s="24" t="str">
        <x:v>Symmetric</x:v>
      </x:c>
      <x:c r="C10" s="24" t="str">
        <x:v>Comparative</x:v>
      </x:c>
      <x:c r="D10" s="24" t="str">
        <x:v>Use when one or two dimensions align.</x:v>
      </x:c>
      <x:c r="E10" s="24" t="str">
        <x:v>Always name the shared axis in notes.</x:v>
      </x:c>
      <x:c r="F10" s="24" t="str">
        <x:v>Others partial analogue to ice-fae on effect and narrative threat.</x:v>
      </x:c>
    </x:row>
    <x:row r="11" ht="44" customHeight="1">
      <x:c r="A11" s="24" t="str">
        <x:v>Functional analogue</x:v>
      </x:c>
      <x:c r="B11" s="24" t="str">
        <x:v>Symmetric</x:v>
      </x:c>
      <x:c r="C11" s="24" t="str">
        <x:v>Narrative / social</x:v>
      </x:c>
      <x:c r="D11" s="24" t="str">
        <x:v>Use when roles are similar despite different powers or origins.</x:v>
      </x:c>
      <x:c r="E11" s="24" t="str">
        <x:v>Do not imply common ancestry or influence.</x:v>
      </x:c>
      <x:c r="F11" s="24" t="str">
        <x:v>Night's Watch functional analogue to a frontier monster-guard order.</x:v>
      </x:c>
    </x:row>
    <x:row r="12" ht="44" customHeight="1">
      <x:c r="A12" s="24" t="str">
        <x:v>Mechanical analogue</x:v>
      </x:c>
      <x:c r="B12" s="24" t="str">
        <x:v>Symmetric</x:v>
      </x:c>
      <x:c r="C12" s="24" t="str">
        <x:v>Game mechanics</x:v>
      </x:c>
      <x:c r="D12" s="24" t="str">
        <x:v>Use for shared combat or progression roles.</x:v>
      </x:c>
      <x:c r="E12" s="24" t="str">
        <x:v>Keep mechanics separate from in-world profession.</x:v>
      </x:c>
      <x:c r="F12" s="24" t="str">
        <x:v>Knight mechanical analogue to tank/defender.</x:v>
      </x:c>
    </x:row>
    <x:row r="13" ht="44" customHeight="1">
      <x:c r="A13" s="24" t="str">
        <x:v>Visual analogue</x:v>
      </x:c>
      <x:c r="B13" s="24" t="str">
        <x:v>Symmetric</x:v>
      </x:c>
      <x:c r="C13" s="24" t="str">
        <x:v>Iconography</x:v>
      </x:c>
      <x:c r="D13" s="24" t="str">
        <x:v>Use only to document appearance-driven comparison.</x:v>
      </x:c>
      <x:c r="E13" s="24" t="str">
        <x:v>Never treat appearance as proof of ontology.</x:v>
      </x:c>
      <x:c r="F13" s="24" t="str">
        <x:v>Horned people visually analogous to demons but canonically mortal.</x:v>
      </x:c>
    </x:row>
    <x:row r="14" ht="44" customHeight="1">
      <x:c r="A14" s="24" t="str">
        <x:v>Inversion</x:v>
      </x:c>
      <x:c r="B14" s="24" t="str">
        <x:v>Directed</x:v>
      </x:c>
      <x:c r="C14" s="24" t="str">
        <x:v>Critical analysis</x:v>
      </x:c>
      <x:c r="D14" s="24" t="str">
        <x:v>Use for conscious reversal, critique, or defamiliarization.</x:v>
      </x:c>
      <x:c r="E14" s="24" t="str">
        <x:v>Support with textual evidence rather than reader impression alone.</x:v>
      </x:c>
      <x:c r="F14" s="24" t="str">
        <x:v>A benevolent necromancer inversion of the tyrannical death-mage pattern.</x:v>
      </x:c>
    </x:row>
    <x:row r="15" ht="44" customHeight="1">
      <x:c r="A15" s="24" t="str">
        <x:v>Hybrid-of</x:v>
      </x:c>
      <x:c r="B15" s="24" t="str">
        <x:v>Directed</x:v>
      </x:c>
      <x:c r="C15" s="24" t="str">
        <x:v>Normalized taxonomy</x:v>
      </x:c>
      <x:c r="D15" s="24" t="str">
        <x:v>Use for concepts combining multiple role or being families.</x:v>
      </x:c>
      <x:c r="E15" s="24" t="str">
        <x:v>List each component and explain whether synthesis is canonical or analytic.</x:v>
      </x:c>
      <x:c r="F15" s="24" t="str">
        <x:v>Spellblade hybrid-of warrior and learned caster.</x:v>
      </x:c>
    </x:row>
    <x:row r="16" ht="44" customHeight="1">
      <x:c r="A16" s="24" t="str">
        <x:v>Transformed-into</x:v>
      </x:c>
      <x:c r="B16" s="24" t="str">
        <x:v>Directed</x:v>
      </x:c>
      <x:c r="C16" s="24" t="str">
        <x:v>Temporal / ontological</x:v>
      </x:c>
      <x:c r="D16" s="24" t="str">
        <x:v>Use for state changes over a character or people's history.</x:v>
      </x:c>
      <x:c r="E16" s="24" t="str">
        <x:v>Do not replace the original ancestry record.</x:v>
      </x:c>
      <x:c r="F16" s="24" t="str">
        <x:v>Human transformed-into vampire.</x:v>
      </x:c>
    </x:row>
    <x:row r="17" ht="44" customHeight="1">
      <x:c r="A17" s="24" t="str">
        <x:v>Frequently confused-with</x:v>
      </x:c>
      <x:c r="B17" s="24" t="str">
        <x:v>Symmetric</x:v>
      </x:c>
      <x:c r="C17" s="24" t="str">
        <x:v>Quality control</x:v>
      </x:c>
      <x:c r="D17" s="24" t="str">
        <x:v>Use to flag recurring category errors.</x:v>
      </x:c>
      <x:c r="E17" s="24" t="str">
        <x:v>Pair with a distinction note.</x:v>
      </x:c>
      <x:c r="F17" s="24" t="str">
        <x:v>Witcher frequently confused-with generic ranger.</x:v>
      </x:c>
    </x:row>
    <x:row r="18" ht="44" customHeight="1">
      <x:c r="A18" s="24" t="str">
        <x:v>Uncertain / disputed</x:v>
      </x:c>
      <x:c r="B18" s="24" t="str">
        <x:v>Symmetric or directed</x:v>
      </x:c>
      <x:c r="C18" s="24" t="str">
        <x:v>Scholarly caution</x:v>
      </x:c>
      <x:c r="D18" s="24" t="str">
        <x:v>Use when canon is contradictory, incomplete, or version-dependent.</x:v>
      </x:c>
      <x:c r="E18" s="24" t="str">
        <x:v>Do not silently choose one fan theory.</x:v>
      </x:c>
      <x:c r="F18" s="24" t="str">
        <x:v>Orc origins in Tolkien's evolving texts.</x:v>
      </x:c>
    </x:row>
    <x:row r="19" ht="44" customHeight="1">
      <x:c r="A19" s="119" t="str">
        <x:v>Represented-as</x:v>
      </x:c>
      <x:c r="B19" s="120" t="str">
        <x:v>Directed</x:v>
      </x:c>
      <x:c r="C19" s="120" t="str">
        <x:v>Concept-to-media form</x:v>
      </x:c>
      <x:c r="D19" s="120" t="str">
        <x:v>Use when a source concept is rendered as a class, unit, resource, item, faction, scene, visual motif, or other target-media form.</x:v>
      </x:c>
      <x:c r="E19" s="120" t="str">
        <x:v>Do not imply that the representation preserves the concept's ontology or meaning.</x:v>
      </x:c>
      <x:c r="F19" s="120" t="str">
        <x:v>A traditional divine intervention represented-as a player-activated god power.</x:v>
      </x:c>
    </x:row>
    <x:row r="20" ht="44" customHeight="1">
      <x:c r="A20" s="119" t="str">
        <x:v>Mechanized-as</x:v>
      </x:c>
      <x:c r="B20" s="120" t="str">
        <x:v>Directed</x:v>
      </x:c>
      <x:c r="C20" s="120" t="str">
        <x:v>Adaptation / game mechanics</x:v>
      </x:c>
      <x:c r="D20" s="120" t="str">
        <x:v>Use when narrative, ritual, divine, social, or metaphysical agency is converted into a repeatable rule or procedure.</x:v>
      </x:c>
      <x:c r="E20" s="120" t="str">
        <x:v>Do not use for a merely visual or thematic resemblance.</x:v>
      </x:c>
      <x:c r="F20" s="120" t="str">
        <x:v>A vow-bound limitation mechanized-as a conditional bonus and penalty.</x:v>
      </x:c>
    </x:row>
    <x:row r="21" ht="44" customHeight="1">
      <x:c r="A21" s="119" t="str">
        <x:v>Factionalized-as</x:v>
      </x:c>
      <x:c r="B21" s="120" t="str">
        <x:v>Directed</x:v>
      </x:c>
      <x:c r="C21" s="120" t="str">
        <x:v>Adaptation / strategy and collection systems</x:v>
      </x:c>
      <x:c r="D21" s="120" t="str">
        <x:v>Use when a deity, culture, people, tradition, or institution becomes a selectable faction with standardized boundaries and bonuses.</x:v>
      </x:c>
      <x:c r="E21" s="120" t="str">
        <x:v>Do not treat the faction roster as an ethnographic or theological taxonomy.</x:v>
      </x:c>
      <x:c r="F21" s="120" t="str">
        <x:v>A pantheon factionalized-as a civilization choice and branching technology tree.</x:v>
      </x:c>
    </x:row>
    <x:row r="22" ht="44" customHeight="1">
      <x:c r="A22" s="119" t="str">
        <x:v>Unitized-as</x:v>
      </x:c>
      <x:c r="B22" s="120" t="str">
        <x:v>Directed</x:v>
      </x:c>
      <x:c r="C22" s="120" t="str">
        <x:v>Adaptation / game mechanics</x:v>
      </x:c>
      <x:c r="D22" s="120" t="str">
        <x:v>Use when a unique, local, ambivalent, or socially embedded being becomes a repeatable recruitable or hostile unit.</x:v>
      </x:c>
      <x:c r="E22" s="120" t="str">
        <x:v>Do not infer that the traditional source described a reproducible species or army role.</x:v>
      </x:c>
      <x:c r="F22" s="120" t="str">
        <x:v>A named or locally specific being unitized-as a trainable myth unit.</x:v>
      </x:c>
    </x:row>
    <x:row r="23" ht="44" customHeight="1">
      <x:c r="A23" s="119" t="str">
        <x:v>Decontextualized-as</x:v>
      </x:c>
      <x:c r="B23" s="120" t="str">
        <x:v>Directed</x:v>
      </x:c>
      <x:c r="C23" s="120" t="str">
        <x:v>Adaptation / critical analysis</x:v>
      </x:c>
      <x:c r="D23" s="120" t="str">
        <x:v>Use when an adaptation retains a name, image, or ability while removing substantial ritual, social, historical, or cosmological context.</x:v>
      </x:c>
      <x:c r="E23" s="120" t="str">
        <x:v>Do not use as a moral judgment without naming the specific context that changed or disappeared.</x:v>
      </x:c>
      <x:c r="F23" s="120" t="str">
        <x:v>A sacred object decontextualized-as a generic equippable relic bonus.</x:v>
      </x:c>
    </x:row>
  </x:sheetData>
  <x:pageMargins left="0.7" right="0.7" top="0.75" bottom="0.75" header="0.3" footer="0.3"/>
  <x:tableParts count="1">
    <x:tablePart xmlns:r="http://schemas.openxmlformats.org/officeDocument/2006/relationships" r:id="R86ff99f9e916404c"/>
  </x:tableParts>
</x:worksheet>
</file>

<file path=xl/worksheets/sheet7.xml><?xml version="1.0" encoding="utf-8"?>
<x:worksheet xmlns:x="http://schemas.openxmlformats.org/spreadsheetml/2006/main">
  <x:sheetFormatPr defaultRowHeight="15"/>
  <x:cols>
    <x:col min="1" max="1" width="35" hidden="0" customWidth="1"/>
    <x:col min="2" max="2" width="11" hidden="0" customWidth="1"/>
    <x:col min="4" max="4" width="34" hidden="0" customWidth="1"/>
    <x:col min="5" max="5" width="11" hidden="0" customWidth="1"/>
    <x:col min="7" max="7" width="27" hidden="0" customWidth="1"/>
    <x:col min="8" max="8" width="11" hidden="0" customWidth="1"/>
    <x:col min="10" max="10" width="35" hidden="0" customWidth="1"/>
    <x:col min="11" max="11" width="11" hidden="0" customWidth="1"/>
  </x:cols>
  <x:sheetData>
    <x:row r="1">
      <x:c r="A1" s="133" t="str">
        <x:v>Taxonomy Domain</x:v>
      </x:c>
      <x:c r="B1" s="133" t="str">
        <x:v>Count</x:v>
      </x:c>
      <x:c r="C1"/>
      <x:c r="D1" s="133" t="str">
        <x:v>Source Medium</x:v>
      </x:c>
      <x:c r="E1" s="133" t="str">
        <x:v>Count</x:v>
      </x:c>
      <x:c r="F1"/>
      <x:c r="G1" s="133" t="str">
        <x:v>Evidence Level</x:v>
      </x:c>
      <x:c r="H1" s="133" t="str">
        <x:v>Count</x:v>
      </x:c>
      <x:c r="I1"/>
      <x:c r="J1" s="133" t="str">
        <x:v>Seed Source</x:v>
      </x:c>
      <x:c r="K1" s="133" t="str">
        <x:v>Entries</x:v>
      </x:c>
    </x:row>
    <x:row r="2">
      <x:c r="A2" s="24" t="str">
        <x:v>People &amp; Beings</x:v>
      </x:c>
      <x:c r="B2" s="24" t="n">
        <x:f>COUNTIF('Master Taxonomy'!$C$2:$C$1656,A2)</x:f>
        <x:v>169</x:v>
      </x:c>
      <x:c r="C2" s="119"/>
      <x:c r="D2" s="24" t="str">
        <x:v>Literature</x:v>
      </x:c>
      <x:c r="E2" s="24" t="n">
        <x:f>COUNTIF('Source Corpus'!$D$2:$D$282,D2)</x:f>
        <x:v>56</x:v>
      </x:c>
      <x:c r="F2" s="119"/>
      <x:c r="G2" s="24" t="str">
        <x:v>Primary text reviewed</x:v>
      </x:c>
      <x:c r="H2" s="24" t="n">
        <x:f>COUNTIF('Seed Catalogue'!$P$2:$P$452,G2)</x:f>
        <x:v>105</x:v>
      </x:c>
      <x:c r="I2" s="119"/>
      <x:c r="J2" s="24" t="str">
        <x:v>Mahābhārata — BORI Critical Edition</x:v>
      </x:c>
      <x:c r="K2" s="24" t="n">
        <x:f>COUNTIF('Seed Catalogue'!$D$2:$D$452,J2)</x:f>
        <x:v>81</x:v>
      </x:c>
    </x:row>
    <x:row r="3">
      <x:c r="A3" s="24" t="str">
        <x:v>Roles &amp; Vocations</x:v>
      </x:c>
      <x:c r="B3" s="24" t="n">
        <x:f>COUNTIF('Master Taxonomy'!$C$2:$C$1656,A3)</x:f>
        <x:v>315</x:v>
      </x:c>
      <x:c r="C3" s="119"/>
      <x:c r="D3" s="24" t="str">
        <x:v>Manga / Anime</x:v>
      </x:c>
      <x:c r="E3" s="24" t="n">
        <x:f>COUNTIF('Source Corpus'!$D$2:$D$282,D3)</x:f>
        <x:v>25</x:v>
      </x:c>
      <x:c r="F3" s="119"/>
      <x:c r="G3" s="24" t="str">
        <x:v>Official reference reviewed</x:v>
      </x:c>
      <x:c r="H3" s="24" t="n">
        <x:f>COUNTIF('Seed Catalogue'!$P$2:$P$452,G3)</x:f>
        <x:v>237</x:v>
      </x:c>
      <x:c r="I3" s="119"/>
      <x:c r="J3" s="24" t="str">
        <x:v>Tactics Ogre: Reborn</x:v>
      </x:c>
      <x:c r="K3" s="24" t="n">
        <x:f>COUNTIF('Seed Catalogue'!$D$2:$D$452,J3)</x:f>
        <x:v>45</x:v>
      </x:c>
    </x:row>
    <x:row r="4">
      <x:c r="A4" s="24" t="str">
        <x:v>Power Traditions</x:v>
      </x:c>
      <x:c r="B4" s="24" t="n">
        <x:f>COUNTIF('Master Taxonomy'!$C$2:$C$1656,A4)</x:f>
        <x:v>147</x:v>
      </x:c>
      <x:c r="C4" s="119"/>
      <x:c r="D4" s="24" t="str">
        <x:v>Tabletop RPG</x:v>
      </x:c>
      <x:c r="E4" s="24" t="n">
        <x:f>COUNTIF('Source Corpus'!$D$2:$D$282,D4)</x:f>
        <x:v>14</x:v>
      </x:c>
      <x:c r="F4" s="119"/>
      <x:c r="G4" s="24" t="str">
        <x:v>Secondary reference reviewed</x:v>
      </x:c>
      <x:c r="H4" s="24" t="n">
        <x:f>COUNTIF('Seed Catalogue'!$P$2:$P$452,G4)</x:f>
        <x:v>109</x:v>
      </x:c>
      <x:c r="I4" s="119"/>
      <x:c r="J4" s="24" t="str">
        <x:v>Final Fantasy</x:v>
      </x:c>
      <x:c r="K4" s="24" t="n">
        <x:f>COUNTIF('Seed Catalogue'!$D$2:$D$452,J4)</x:f>
        <x:v>29</x:v>
      </x:c>
    </x:row>
    <x:row r="5">
      <x:c r="A5" s="24" t="str">
        <x:v>States &amp; Transformations</x:v>
      </x:c>
      <x:c r="B5" s="24" t="n">
        <x:f>COUNTIF('Master Taxonomy'!$C$2:$C$1656,A5)</x:f>
        <x:v>127</x:v>
      </x:c>
      <x:c r="C5" s="119"/>
      <x:c r="D5" s="24" t="str">
        <x:v>Mythology / Folklore</x:v>
      </x:c>
      <x:c r="E5" s="24" t="n">
        <x:f>COUNTIF('Source Corpus'!$D$2:$D$282,D5)</x:f>
        <x:v>10</x:v>
      </x:c>
      <x:c r="F5" s="119"/>
      <x:c r="G5" s="24" t="str">
        <x:v>Orientation only</x:v>
      </x:c>
      <x:c r="H5" s="24" t="n">
        <x:f>COUNTIF('Seed Catalogue'!$P$2:$P$452,G5)</x:f>
        <x:v>0</x:v>
      </x:c>
      <x:c r="I5" s="119"/>
      <x:c r="J5" s="24" t="str">
        <x:v>Warcraft</x:v>
      </x:c>
      <x:c r="K5" s="24" t="n">
        <x:f>COUNTIF('Seed Catalogue'!$D$2:$D$452,J5)</x:f>
        <x:v>28</x:v>
      </x:c>
    </x:row>
    <x:row r="6">
      <x:c r="A6" s="24" t="str">
        <x:v>Institutions &amp; Affiliations</x:v>
      </x:c>
      <x:c r="B6" s="24" t="n">
        <x:f>COUNTIF('Master Taxonomy'!$C$2:$C$1656,A6)</x:f>
        <x:v>87</x:v>
      </x:c>
      <x:c r="C6" s="119"/>
      <x:c r="D6" s="24" t="str">
        <x:v>Video Game / JRPG Franchise</x:v>
      </x:c>
      <x:c r="E6" s="24" t="n">
        <x:f>COUNTIF('Source Corpus'!$D$2:$D$282,D6)</x:f>
        <x:v>10</x:v>
      </x:c>
      <x:c r="F6" s="119"/>
      <x:c r="G6" s="24" t="str">
        <x:v>Needs verification</x:v>
      </x:c>
      <x:c r="H6" s="24" t="n">
        <x:f>COUNTIF('Seed Catalogue'!$P$2:$P$452,G6)</x:f>
        <x:v>0</x:v>
      </x:c>
      <x:c r="I6" s="119"/>
      <x:c r="J6" s="24" t="str">
        <x:v>Age of Mythology: Retold</x:v>
      </x:c>
      <x:c r="K6" s="24" t="n">
        <x:f>COUNTIF('Seed Catalogue'!$D$2:$D$452,J6)</x:f>
        <x:v>26</x:v>
      </x:c>
    </x:row>
    <x:row r="7">
      <x:c r="A7" s="24" t="str">
        <x:v>Narrative Archetypes</x:v>
      </x:c>
      <x:c r="B7" s="24" t="n">
        <x:f>COUNTIF('Master Taxonomy'!$C$2:$C$1656,A7)</x:f>
        <x:v>171</x:v>
      </x:c>
      <x:c r="C7" s="119"/>
      <x:c r="D7" s="24" t="str">
        <x:v>Video Game / Action RPG Franchise</x:v>
      </x:c>
      <x:c r="E7" s="24" t="n">
        <x:f>COUNTIF('Source Corpus'!$D$2:$D$282,D7)</x:f>
        <x:v>10</x:v>
      </x:c>
      <x:c r="F7" s="119"/>
      <x:c r="G7" s="119"/>
      <x:c r="H7" s="119"/>
      <x:c r="I7" s="119"/>
      <x:c r="J7" s="24" t="str">
        <x:v>Tolkien's Legendarium</x:v>
      </x:c>
      <x:c r="K7" s="24" t="n">
        <x:f>COUNTIF('Seed Catalogue'!$D$2:$D$452,J7)</x:f>
        <x:v>25</x:v>
      </x:c>
    </x:row>
    <x:row r="8">
      <x:c r="A8" s="24" t="str">
        <x:v>Civilization &amp; Culture Archetypes</x:v>
      </x:c>
      <x:c r="B8" s="24" t="n">
        <x:f>COUNTIF('Master Taxonomy'!$C$2:$C$1656,A8)</x:f>
        <x:v>103</x:v>
      </x:c>
      <x:c r="C8" s="119"/>
      <x:c r="D8" s="24" t="str">
        <x:v>Television</x:v>
      </x:c>
      <x:c r="E8" s="24" t="n">
        <x:f>COUNTIF('Source Corpus'!$D$2:$D$282,D8)</x:f>
        <x:v>10</x:v>
      </x:c>
      <x:c r="F8" s="119"/>
      <x:c r="G8" s="119"/>
      <x:c r="H8" s="119"/>
      <x:c r="I8" s="119"/>
      <x:c r="J8" s="24" t="str">
        <x:v>The Witcher</x:v>
      </x:c>
      <x:c r="K8" s="24" t="n">
        <x:f>COUNTIF('Seed Catalogue'!$D$2:$D$452,J8)</x:f>
        <x:v>25</x:v>
      </x:c>
    </x:row>
    <x:row r="9">
      <x:c r="A9" s="24" t="str">
        <x:v>Game-Mechanical Archetypes</x:v>
      </x:c>
      <x:c r="B9" s="24" t="n">
        <x:f>COUNTIF('Master Taxonomy'!$C$2:$C$1656,A9)</x:f>
        <x:v>148</x:v>
      </x:c>
      <x:c r="C9" s="119"/>
      <x:c r="D9" s="24" t="str">
        <x:v>Light Novel / Anime</x:v>
      </x:c>
      <x:c r="E9" s="24" t="n">
        <x:f>COUNTIF('Source Corpus'!$D$2:$D$282,D9)</x:f>
        <x:v>9</x:v>
      </x:c>
      <x:c r="F9" s="119"/>
      <x:c r="G9" s="119"/>
      <x:c r="H9" s="119"/>
      <x:c r="I9" s="119"/>
      <x:c r="J9" s="24" t="str">
        <x:v>Dungeons &amp; Dragons</x:v>
      </x:c>
      <x:c r="K9" s="24" t="n">
        <x:f>COUNTIF('Seed Catalogue'!$D$2:$D$452,J9)</x:f>
        <x:v>25</x:v>
      </x:c>
    </x:row>
    <x:row r="10">
      <x:c r="A10" s="120" t="str">
        <x:v>Artifacts, Relics, Weapons &amp; Vehicles</x:v>
      </x:c>
      <x:c r="B10" s="119" t="n">
        <x:f>COUNTIF('Master Taxonomy'!$C$2:$C$1656,A10)</x:f>
        <x:v>113</x:v>
      </x:c>
      <x:c r="C10" s="119"/>
      <x:c r="D10" s="24" t="str">
        <x:v>Video Game / CRPG</x:v>
      </x:c>
      <x:c r="E10" s="24" t="n">
        <x:f>COUNTIF('Source Corpus'!$D$2:$D$282,D10)</x:f>
        <x:v>8</x:v>
      </x:c>
      <x:c r="F10" s="119"/>
      <x:c r="G10" s="119"/>
      <x:c r="H10" s="119"/>
      <x:c r="I10" s="119"/>
      <x:c r="J10" s="24" t="str">
        <x:v>The Elder Scrolls</x:v>
      </x:c>
      <x:c r="K10" s="24" t="n">
        <x:f>COUNTIF('Seed Catalogue'!$D$2:$D$452,J10)</x:f>
        <x:v>24</x:v>
      </x:c>
    </x:row>
    <x:row r="11">
      <x:c r="A11" s="120" t="str">
        <x:v>Cosmologies, Realms &amp; Sacred Geography</x:v>
      </x:c>
      <x:c r="B11" s="119" t="n">
        <x:f>COUNTIF('Master Taxonomy'!$C$2:$C$1656,A11)</x:f>
        <x:v>127</x:v>
      </x:c>
      <x:c r="C11" s="119"/>
      <x:c r="D11" s="24" t="str">
        <x:v>Film</x:v>
      </x:c>
      <x:c r="E11" s="24" t="n">
        <x:f>COUNTIF('Source Corpus'!$D$2:$D$282,D11)</x:f>
        <x:v>8</x:v>
      </x:c>
      <x:c r="F11" s="119"/>
      <x:c r="G11" s="119"/>
      <x:c r="H11" s="119"/>
      <x:c r="I11" s="119"/>
      <x:c r="J11" s="24" t="str">
        <x:v>A Song of Ice and Fire</x:v>
      </x:c>
      <x:c r="K11" s="24" t="n">
        <x:f>COUNTIF('Seed Catalogue'!$D$2:$D$452,J11)</x:f>
        <x:v>22</x:v>
      </x:c>
    </x:row>
    <x:row r="12">
      <x:c r="A12" s="120" t="str">
        <x:v>Metaphysical Laws, Rituals &amp; Exchanges</x:v>
      </x:c>
      <x:c r="B12" s="119" t="n">
        <x:f>COUNTIF('Master Taxonomy'!$C$2:$C$1656,A12)</x:f>
        <x:v>148</x:v>
      </x:c>
      <x:c r="C12" s="119"/>
      <x:c r="D12" s="24" t="str">
        <x:v>Animated Television</x:v>
      </x:c>
      <x:c r="E12" s="24" t="n">
        <x:f>COUNTIF('Source Corpus'!$D$2:$D$282,D12)</x:f>
        <x:v>8</x:v>
      </x:c>
      <x:c r="F12" s="119"/>
      <x:c r="G12" s="119"/>
      <x:c r="H12" s="119"/>
      <x:c r="I12" s="119"/>
      <x:c r="J12" s="24" t="str">
        <x:v>Warhammer: The Old World</x:v>
      </x:c>
      <x:c r="K12" s="24" t="n">
        <x:f>COUNTIF('Seed Catalogue'!$D$2:$D$452,J12)</x:f>
        <x:v>21</x:v>
      </x:c>
    </x:row>
    <x:row r="13">
      <x:c r="A13" s="119"/>
      <x:c r="B13" s="119"/>
      <x:c r="C13" s="119"/>
      <x:c r="D13" s="24" t="str">
        <x:v>Tabletop RPG Setting</x:v>
      </x:c>
      <x:c r="E13" s="24" t="n">
        <x:f>COUNTIF('Source Corpus'!$D$2:$D$282,D13)</x:f>
        <x:v>7</x:v>
      </x:c>
      <x:c r="F13" s="119"/>
      <x:c r="G13" s="119"/>
      <x:c r="H13" s="119"/>
      <x:c r="I13" s="119"/>
      <x:c r="J13" s="24" t="str">
        <x:v>Darkest Dungeon</x:v>
      </x:c>
      <x:c r="K13" s="24" t="n">
        <x:f>COUNTIF('Seed Catalogue'!$D$2:$D$452,J13)</x:f>
        <x:v>19</x:v>
      </x:c>
    </x:row>
    <x:row r="14">
      <x:c r="A14" s="186"/>
      <x:c r="B14" s="186"/>
      <x:c r="C14" s="186"/>
      <x:c r="D14" s="187" t="str">
        <x:v>Video Game / Tactical RPG</x:v>
      </x:c>
      <x:c r="E14" s="187" t="n">
        <x:f>COUNTIF('Source Corpus'!$D$2:$D$282,D14)</x:f>
        <x:v>7</x:v>
      </x:c>
      <x:c r="F14" s="186"/>
      <x:c r="G14" s="186"/>
      <x:c r="H14" s="186"/>
      <x:c r="I14" s="186"/>
      <x:c r="J14" s="187" t="str">
        <x:v>Final Fantasy XIV</x:v>
      </x:c>
      <x:c r="K14" s="187" t="n">
        <x:f>COUNTIF('Seed Catalogue'!$D$2:$D$452,J14)</x:f>
        <x:v>16</x:v>
      </x:c>
    </x:row>
    <x:row r="15">
      <x:c r="A15"/>
      <x:c r="B15"/>
      <x:c r="C15"/>
      <x:c r="D15"/>
      <x:c r="E15"/>
      <x:c r="F15"/>
      <x:c r="G15"/>
      <x:c r="H15"/>
      <x:c r="I15"/>
      <x:c r="J15"/>
      <x:c r="K15"/>
    </x:row>
    <x:row r="16" ht="24" customHeight="1">
      <x:c r="A16" s="136" t="str">
        <x:v>Visual summaries</x:v>
      </x:c>
      <x:c r="B16" s="136"/>
      <x:c r="C16" s="136"/>
      <x:c r="D16" s="136"/>
      <x:c r="E16" s="136"/>
      <x:c r="F16" s="136"/>
      <x:c r="G16" s="136"/>
      <x:c r="H16" s="136"/>
      <x:c r="I16" s="136"/>
      <x:c r="J16" s="136"/>
      <x:c r="K16" s="136"/>
    </x:row>
    <x:row r="17">
      <x:c r="A17"/>
      <x:c r="B17"/>
      <x:c r="C17"/>
      <x:c r="D17"/>
      <x:c r="E17"/>
      <x:c r="F17"/>
      <x:c r="G17"/>
      <x:c r="H17"/>
      <x:c r="I17"/>
      <x:c r="J17"/>
      <x:c r="K17"/>
    </x:row>
    <x:row r="18">
      <x:c r="A18"/>
      <x:c r="B18"/>
      <x:c r="C18"/>
      <x:c r="D18"/>
      <x:c r="E18"/>
      <x:c r="F18"/>
      <x:c r="G18"/>
      <x:c r="H18"/>
      <x:c r="I18"/>
      <x:c r="J18"/>
      <x:c r="K18"/>
    </x:row>
    <x:row r="19">
      <x:c r="A19"/>
      <x:c r="B19"/>
      <x:c r="C19"/>
      <x:c r="D19"/>
      <x:c r="E19"/>
      <x:c r="F19"/>
      <x:c r="G19"/>
      <x:c r="H19"/>
      <x:c r="I19"/>
      <x:c r="J19"/>
      <x:c r="K19"/>
    </x:row>
    <x:row r="20">
      <x:c r="A20"/>
      <x:c r="B20"/>
      <x:c r="C20"/>
      <x:c r="D20"/>
      <x:c r="E20"/>
      <x:c r="F20"/>
      <x:c r="G20"/>
      <x:c r="H20"/>
      <x:c r="I20"/>
      <x:c r="J20"/>
      <x:c r="K20"/>
    </x:row>
    <x:row r="21">
      <x:c r="A21"/>
      <x:c r="B21"/>
      <x:c r="C21"/>
      <x:c r="D21"/>
      <x:c r="E21"/>
      <x:c r="F21"/>
      <x:c r="G21"/>
      <x:c r="H21"/>
      <x:c r="I21"/>
      <x:c r="J21"/>
      <x:c r="K21"/>
    </x:row>
    <x:row r="22">
      <x:c r="A22"/>
      <x:c r="B22"/>
      <x:c r="C22"/>
      <x:c r="D22"/>
      <x:c r="E22"/>
      <x:c r="F22"/>
      <x:c r="G22"/>
      <x:c r="H22"/>
      <x:c r="I22"/>
      <x:c r="J22"/>
      <x:c r="K22"/>
    </x:row>
    <x:row r="23">
      <x:c r="A23"/>
      <x:c r="B23"/>
      <x:c r="C23"/>
      <x:c r="D23"/>
      <x:c r="E23"/>
      <x:c r="F23"/>
      <x:c r="G23"/>
      <x:c r="H23"/>
      <x:c r="I23"/>
      <x:c r="J23"/>
      <x:c r="K23"/>
    </x:row>
    <x:row r="24">
      <x:c r="A24"/>
      <x:c r="B24"/>
      <x:c r="C24"/>
      <x:c r="D24"/>
      <x:c r="E24"/>
      <x:c r="F24"/>
      <x:c r="G24"/>
      <x:c r="H24"/>
      <x:c r="I24"/>
      <x:c r="J24"/>
      <x:c r="K24"/>
    </x:row>
    <x:row r="25">
      <x:c r="A25"/>
      <x:c r="B25"/>
      <x:c r="C25"/>
      <x:c r="D25"/>
      <x:c r="E25"/>
      <x:c r="F25"/>
      <x:c r="G25"/>
      <x:c r="H25"/>
      <x:c r="I25"/>
      <x:c r="J25"/>
      <x:c r="K25"/>
    </x:row>
    <x:row r="26">
      <x:c r="A26"/>
      <x:c r="B26"/>
      <x:c r="C26"/>
      <x:c r="D26"/>
      <x:c r="E26"/>
      <x:c r="F26"/>
      <x:c r="G26"/>
      <x:c r="H26"/>
      <x:c r="I26"/>
      <x:c r="J26"/>
      <x:c r="K26"/>
    </x:row>
    <x:row r="27">
      <x:c r="A27"/>
      <x:c r="B27"/>
      <x:c r="C27"/>
      <x:c r="D27"/>
      <x:c r="E27"/>
      <x:c r="F27"/>
      <x:c r="G27"/>
      <x:c r="H27"/>
      <x:c r="I27"/>
      <x:c r="J27"/>
      <x:c r="K27"/>
    </x:row>
    <x:row r="28">
      <x:c r="A28"/>
      <x:c r="B28"/>
      <x:c r="C28"/>
      <x:c r="D28"/>
      <x:c r="E28"/>
      <x:c r="F28"/>
      <x:c r="G28"/>
      <x:c r="H28"/>
      <x:c r="I28"/>
      <x:c r="J28"/>
      <x:c r="K28"/>
    </x:row>
    <x:row r="29">
      <x:c r="A29"/>
      <x:c r="B29"/>
      <x:c r="C29"/>
      <x:c r="D29"/>
      <x:c r="E29"/>
      <x:c r="F29"/>
      <x:c r="G29"/>
      <x:c r="H29"/>
      <x:c r="I29"/>
      <x:c r="J29"/>
      <x:c r="K29"/>
    </x:row>
    <x:row r="30">
      <x:c r="A30"/>
      <x:c r="B30"/>
      <x:c r="C30"/>
      <x:c r="D30"/>
      <x:c r="E30"/>
      <x:c r="F30"/>
      <x:c r="G30"/>
      <x:c r="H30"/>
      <x:c r="I30"/>
      <x:c r="J30"/>
      <x:c r="K30"/>
    </x:row>
    <x:row r="31">
      <x:c r="A31"/>
      <x:c r="B31"/>
      <x:c r="C31"/>
      <x:c r="D31"/>
      <x:c r="E31"/>
      <x:c r="F31"/>
      <x:c r="G31"/>
      <x:c r="H31"/>
      <x:c r="I31"/>
      <x:c r="J31"/>
      <x:c r="K31"/>
    </x:row>
    <x:row r="32">
      <x:c r="A32"/>
      <x:c r="B32"/>
      <x:c r="C32"/>
      <x:c r="D32"/>
      <x:c r="E32"/>
      <x:c r="F32"/>
      <x:c r="G32"/>
      <x:c r="H32"/>
      <x:c r="I32"/>
      <x:c r="J32"/>
      <x:c r="K32"/>
    </x:row>
    <x:row r="33">
      <x:c r="A33"/>
      <x:c r="B33"/>
      <x:c r="C33"/>
      <x:c r="D33"/>
      <x:c r="E33"/>
      <x:c r="F33"/>
      <x:c r="G33"/>
      <x:c r="H33"/>
      <x:c r="I33"/>
      <x:c r="J33"/>
      <x:c r="K33"/>
    </x:row>
    <x:row r="34">
      <x:c r="A34"/>
      <x:c r="B34"/>
      <x:c r="C34"/>
      <x:c r="D34"/>
      <x:c r="E34"/>
      <x:c r="F34"/>
      <x:c r="G34"/>
      <x:c r="H34"/>
      <x:c r="I34"/>
      <x:c r="J34"/>
      <x:c r="K34"/>
    </x:row>
    <x:row r="35">
      <x:c r="A35"/>
      <x:c r="B35"/>
      <x:c r="C35"/>
      <x:c r="D35"/>
      <x:c r="E35"/>
      <x:c r="F35"/>
      <x:c r="G35"/>
      <x:c r="H35"/>
      <x:c r="I35"/>
      <x:c r="J35"/>
      <x:c r="K35"/>
    </x:row>
    <x:row r="36">
      <x:c r="A36"/>
      <x:c r="B36"/>
      <x:c r="C36"/>
      <x:c r="D36"/>
      <x:c r="E36"/>
      <x:c r="F36"/>
      <x:c r="G36"/>
      <x:c r="H36"/>
      <x:c r="I36"/>
      <x:c r="J36"/>
      <x:c r="K36"/>
    </x:row>
    <x:row r="37">
      <x:c r="A37"/>
      <x:c r="B37"/>
      <x:c r="C37"/>
      <x:c r="D37"/>
      <x:c r="E37"/>
      <x:c r="F37"/>
      <x:c r="G37"/>
      <x:c r="H37"/>
      <x:c r="I37"/>
      <x:c r="J37"/>
      <x:c r="K37"/>
    </x:row>
    <x:row r="38">
      <x:c r="A38"/>
      <x:c r="B38"/>
      <x:c r="C38"/>
      <x:c r="D38"/>
      <x:c r="E38"/>
      <x:c r="F38"/>
      <x:c r="G38"/>
      <x:c r="H38"/>
      <x:c r="I38"/>
      <x:c r="J38"/>
      <x:c r="K38"/>
    </x:row>
    <x:row r="39">
      <x:c r="A39"/>
      <x:c r="B39"/>
      <x:c r="C39"/>
      <x:c r="D39"/>
      <x:c r="E39"/>
      <x:c r="F39"/>
      <x:c r="G39"/>
      <x:c r="H39"/>
      <x:c r="I39"/>
      <x:c r="J39"/>
      <x:c r="K39"/>
    </x:row>
    <x:row r="40">
      <x:c r="A40"/>
      <x:c r="B40"/>
      <x:c r="C40"/>
      <x:c r="D40"/>
      <x:c r="E40"/>
      <x:c r="F40"/>
      <x:c r="G40"/>
      <x:c r="H40"/>
      <x:c r="I40"/>
      <x:c r="J40"/>
      <x:c r="K40"/>
    </x:row>
  </x:sheetData>
  <x:mergeCells>
    <x:mergeCell ref="A16:K16"/>
  </x:mergeCells>
  <x:conditionalFormatting sqref="B2:B12">
    <x:cfRule type="dataBar" priority="1">
      <x:dataBar>
        <x:cfvo type="min"/>
        <x:cfvo type="max"/>
        <x:color rgb="FF5B9BD5"/>
      </x:dataBar>
      <x:extLst>
        <x:ext xmlns:x14="http://schemas.microsoft.com/office/spreadsheetml/2009/9/main" uri="{B025F937-C7B1-47D3-B67F-A62EFF666E3E}">
          <x14:id>{765EFCA4-8B02-5F4B-50FE-7AF83FC381CA}</x14:id>
        </x:ext>
      </x:extLst>
    </x:cfRule>
  </x:conditionalFormatting>
  <x:conditionalFormatting sqref="E2:E14">
    <x:cfRule type="dataBar" priority="2">
      <x:dataBar>
        <x:cfvo type="min"/>
        <x:cfvo type="max"/>
        <x:color rgb="FF70AD47"/>
      </x:dataBar>
      <x:extLst>
        <x:ext xmlns:x14="http://schemas.microsoft.com/office/spreadsheetml/2009/9/main" uri="{B025F937-C7B1-47D3-B67F-A62EFF666E3E}">
          <x14:id>{6127FB4B-5159-88F6-7105-4F94E7227B19}</x14:id>
        </x:ext>
      </x:extLst>
    </x:cfRule>
  </x:conditionalFormatting>
  <x:conditionalFormatting sqref="H2:H6">
    <x:cfRule type="dataBar" priority="3">
      <x:dataBar>
        <x:cfvo type="min"/>
        <x:cfvo type="max"/>
        <x:color rgb="FFED7D31"/>
      </x:dataBar>
      <x:extLst>
        <x:ext xmlns:x14="http://schemas.microsoft.com/office/spreadsheetml/2009/9/main" uri="{B025F937-C7B1-47D3-B67F-A62EFF666E3E}">
          <x14:id>{1CB2836F-99EF-14D9-904A-A8048F65B4F6}</x14:id>
        </x:ext>
      </x:extLst>
    </x:cfRule>
  </x:conditionalFormatting>
  <x:conditionalFormatting sqref="K2:K14">
    <x:cfRule type="dataBar" priority="4">
      <x:dataBar>
        <x:cfvo type="min"/>
        <x:cfvo type="max"/>
        <x:color rgb="FFA5A5A5"/>
      </x:dataBar>
      <x:extLst>
        <x:ext xmlns:x14="http://schemas.microsoft.com/office/spreadsheetml/2009/9/main" uri="{B025F937-C7B1-47D3-B67F-A62EFF666E3E}">
          <x14:id>{D757C004-B167-0264-7D0E-BAE455CA2522}</x14:id>
        </x:ext>
      </x:extLst>
    </x:cfRule>
  </x:conditionalFormatting>
  <x:pageMargins left="0.7" right="0.7" top="0.75" bottom="0.75" header="0.3" footer="0.3"/>
  <x:drawing xmlns:r="http://schemas.openxmlformats.org/officeDocument/2006/relationships" r:id="R7e7d6043b3434fa9"/>
  <x:tableParts count="4">
    <x:tablePart xmlns:r="http://schemas.openxmlformats.org/officeDocument/2006/relationships" r:id="R54a5ccc5cdb14e81"/>
    <x:tablePart xmlns:r="http://schemas.openxmlformats.org/officeDocument/2006/relationships" r:id="R787d7d59db3d4adc"/>
    <x:tablePart xmlns:r="http://schemas.openxmlformats.org/officeDocument/2006/relationships" r:id="Ra336d6cfdd5a40f4"/>
    <x:tablePart xmlns:r="http://schemas.openxmlformats.org/officeDocument/2006/relationships" r:id="R03ed3de96d65400d"/>
  </x:tableParts>
  <x:extLst>
    <x:ext xmlns:x14="http://schemas.microsoft.com/office/spreadsheetml/2009/9/main" xmlns:xm="http://schemas.microsoft.com/office/excel/2006/main" uri="{78C0D931-6437-407d-A8EE-F0AAD7539E65}">
      <x14:conditionalFormattings>
        <x14:conditionalFormatting>
          <x14:cfRule type="dataBar" priority="1" id="{765EFCA4-8B02-5F4B-50FE-7AF83FC381CA}">
            <x14:dataBar gradient="1">
              <x14:cfvo type="min"/>
              <x14:cfvo type="max"/>
              <x14:fillColor rgb="FF5B9BD5"/>
            </x14:dataBar>
          </x14:cfRule>
          <xm:sqref>B2:B12</xm:sqref>
        </x14:conditionalFormatting>
        <x14:conditionalFormatting>
          <x14:cfRule type="dataBar" priority="2" id="{6127FB4B-5159-88F6-7105-4F94E7227B19}">
            <x14:dataBar gradient="1">
              <x14:cfvo type="min"/>
              <x14:cfvo type="max"/>
              <x14:fillColor rgb="FF70AD47"/>
            </x14:dataBar>
          </x14:cfRule>
          <xm:sqref>E2:E14</xm:sqref>
        </x14:conditionalFormatting>
        <x14:conditionalFormatting>
          <x14:cfRule type="dataBar" priority="3" id="{1CB2836F-99EF-14D9-904A-A8048F65B4F6}">
            <x14:dataBar gradient="1">
              <x14:cfvo type="min"/>
              <x14:cfvo type="max"/>
              <x14:fillColor rgb="FFED7D31"/>
            </x14:dataBar>
          </x14:cfRule>
          <xm:sqref>H2:H6</xm:sqref>
        </x14:conditionalFormatting>
        <x14:conditionalFormatting>
          <x14:cfRule type="dataBar" priority="4" id="{D757C004-B167-0264-7D0E-BAE455CA2522}">
            <x14:dataBar gradient="1">
              <x14:cfvo type="min"/>
              <x14:cfvo type="max"/>
              <x14:fillColor rgb="FFA5A5A5"/>
            </x14:dataBar>
          </x14:cfRule>
          <xm:sqref>K2:K14</xm:sqref>
        </x14:conditionalFormatting>
      </x14:conditionalFormattings>
    </x:ext>
  </x:extLst>
</x:worksheet>
</file>

<file path=xl/worksheets/sheet8.xml><?xml version="1.0" encoding="utf-8"?>
<x:worksheet xmlns:x="http://schemas.openxmlformats.org/spreadsheetml/2006/main">
  <x:sheetFormatPr defaultRowHeight="15"/>
  <x:cols>
    <x:col min="1" max="1" width="22" hidden="0" customWidth="1"/>
    <x:col min="2" max="2" width="28" hidden="0" customWidth="1"/>
    <x:col min="3" max="3" width="20" hidden="0" customWidth="1"/>
    <x:col min="4" max="4" width="12" hidden="0" customWidth="1"/>
    <x:col min="5" max="5" width="50" hidden="0" customWidth="1"/>
    <x:col min="6" max="6" width="50" hidden="0" customWidth="1"/>
  </x:cols>
  <x:sheetData>
    <x:row r="1" ht="34" customHeight="1">
      <x:c r="A1" s="31" t="str">
        <x:v>Sheet</x:v>
      </x:c>
      <x:c r="B1" s="31" t="str">
        <x:v>Field</x:v>
      </x:c>
      <x:c r="C1" s="31" t="str">
        <x:v>Data_Type</x:v>
      </x:c>
      <x:c r="D1" s="31" t="str">
        <x:v>Required</x:v>
      </x:c>
      <x:c r="E1" s="31" t="str">
        <x:v>Definition</x:v>
      </x:c>
      <x:c r="F1" s="31" t="str">
        <x:v>Guidance</x:v>
      </x:c>
    </x:row>
    <x:row r="2" ht="40" customHeight="1">
      <x:c r="A2" s="24" t="str">
        <x:v>Master Taxonomy</x:v>
      </x:c>
      <x:c r="B2" s="24" t="str">
        <x:v>Archetype_ID</x:v>
      </x:c>
      <x:c r="C2" s="24" t="str">
        <x:v>Text / key</x:v>
      </x:c>
      <x:c r="D2" s="24" t="str">
        <x:v>Yes</x:v>
      </x:c>
      <x:c r="E2" s="24" t="str">
        <x:v>Stable normalized identifier.</x:v>
      </x:c>
      <x:c r="F2" s="24" t="str">
        <x:v>Prefix indicates domain, including ART (artifacts), COS (cosmology), and LAW (metaphysical laws); never reuse retired IDs.</x:v>
      </x:c>
    </x:row>
    <x:row r="3" ht="40" customHeight="1">
      <x:c r="A3" s="24" t="str">
        <x:v>Master Taxonomy</x:v>
      </x:c>
      <x:c r="B3" s="24" t="str">
        <x:v>Preferred_Name</x:v>
      </x:c>
      <x:c r="C3" s="24" t="str">
        <x:v>Text</x:v>
      </x:c>
      <x:c r="D3" s="24" t="str">
        <x:v>Yes</x:v>
      </x:c>
      <x:c r="E3" s="24" t="str">
        <x:v>Human-readable normalized archetype label.</x:v>
      </x:c>
      <x:c r="F3" s="24" t="str">
        <x:v>Use comparative language such as '-derived' where exact equivalence is unsafe.</x:v>
      </x:c>
    </x:row>
    <x:row r="4" ht="40" customHeight="1">
      <x:c r="A4" s="24" t="str">
        <x:v>Master Taxonomy</x:v>
      </x:c>
      <x:c r="B4" s="24" t="str">
        <x:v>Domain</x:v>
      </x:c>
      <x:c r="C4" s="24" t="str">
        <x:v>Controlled text</x:v>
      </x:c>
      <x:c r="D4" s="24" t="str">
        <x:v>Yes</x:v>
      </x:c>
      <x:c r="E4" s="24" t="str">
        <x:v>One of the eleven top-level analytical domains.</x:v>
      </x:c>
      <x:c r="F4" s="24" t="str">
        <x:v>See Controlled Vocab and Start Here.</x:v>
      </x:c>
    </x:row>
    <x:row r="5" ht="40" customHeight="1">
      <x:c r="A5" s="24" t="str">
        <x:v>Master Taxonomy</x:v>
      </x:c>
      <x:c r="B5" s="24" t="str">
        <x:v>Parent_ID</x:v>
      </x:c>
      <x:c r="C5" s="24" t="str">
        <x:v>Text / foreign key</x:v>
      </x:c>
      <x:c r="D5" s="24" t="str">
        <x:v>No for roots</x:v>
      </x:c>
      <x:c r="E5" s="24" t="str">
        <x:v>Immediate parent in the normalized hierarchy.</x:v>
      </x:c>
      <x:c r="F5" s="24" t="str">
        <x:v>Must reference an Archetype_ID or remain blank for root records.</x:v>
      </x:c>
    </x:row>
    <x:row r="6" ht="40" customHeight="1">
      <x:c r="A6" s="24" t="str">
        <x:v>Master Taxonomy</x:v>
      </x:c>
      <x:c r="B6" s="24" t="str">
        <x:v>Tier</x:v>
      </x:c>
      <x:c r="C6" s="24" t="str">
        <x:v>Integer</x:v>
      </x:c>
      <x:c r="D6" s="24" t="str">
        <x:v>Yes</x:v>
      </x:c>
      <x:c r="E6" s="24" t="str">
        <x:v>Hierarchy depth, with 1 as a domain root.</x:v>
      </x:c>
      <x:c r="F6" s="24" t="str">
        <x:v>Used for navigation, not importance.</x:v>
      </x:c>
    </x:row>
    <x:row r="7" ht="40" customHeight="1">
      <x:c r="A7" s="24" t="str">
        <x:v>Master Taxonomy</x:v>
      </x:c>
      <x:c r="B7" s="24" t="str">
        <x:v>Core_Definition</x:v>
      </x:c>
      <x:c r="C7" s="24" t="str">
        <x:v>Long text</x:v>
      </x:c>
      <x:c r="D7" s="24" t="str">
        <x:v>Yes</x:v>
      </x:c>
      <x:c r="E7" s="24" t="str">
        <x:v>Minimal inclusion rule for the archetype.</x:v>
      </x:c>
      <x:c r="F7" s="24" t="str">
        <x:v>Define by ontology/function, not by a franchise example.</x:v>
      </x:c>
    </x:row>
    <x:row r="8" ht="40" customHeight="1">
      <x:c r="A8" s="24" t="str">
        <x:v>Master Taxonomy</x:v>
      </x:c>
      <x:c r="B8" s="24" t="str">
        <x:v>Key_Distinctions</x:v>
      </x:c>
      <x:c r="C8" s="24" t="str">
        <x:v>Long text</x:v>
      </x:c>
      <x:c r="D8" s="24" t="str">
        <x:v>Yes</x:v>
      </x:c>
      <x:c r="E8" s="24" t="str">
        <x:v>Boundaries against neighboring or commonly confused concepts.</x:v>
      </x:c>
      <x:c r="F8" s="24" t="str">
        <x:v>Record what the category excludes.</x:v>
      </x:c>
    </x:row>
    <x:row r="9" ht="40" customHeight="1">
      <x:c r="A9" s="24" t="str">
        <x:v>Master Taxonomy</x:v>
      </x:c>
      <x:c r="B9" s="24" t="str">
        <x:v>Common_Variants</x:v>
      </x:c>
      <x:c r="C9" s="24" t="str">
        <x:v>Long text</x:v>
      </x:c>
      <x:c r="D9" s="24" t="str">
        <x:v>No</x:v>
      </x:c>
      <x:c r="E9" s="24" t="str">
        <x:v>Recurring subforms, presentations, or implementations.</x:v>
      </x:c>
      <x:c r="F9" s="24" t="str">
        <x:v>Separate variants with semicolons.</x:v>
      </x:c>
    </x:row>
    <x:row r="10" ht="40" customHeight="1">
      <x:c r="A10" s="24" t="str">
        <x:v>Master Taxonomy</x:v>
      </x:c>
      <x:c r="B10" s="24" t="str">
        <x:v>Typical_Functions</x:v>
      </x:c>
      <x:c r="C10" s="24" t="str">
        <x:v>Long text</x:v>
      </x:c>
      <x:c r="D10" s="24" t="str">
        <x:v>No</x:v>
      </x:c>
      <x:c r="E10" s="24" t="str">
        <x:v>Frequent social, narrative, combat, or mechanical functions.</x:v>
      </x:c>
      <x:c r="F10" s="24" t="str">
        <x:v>Descriptive, not essential or morally deterministic.</x:v>
      </x:c>
    </x:row>
    <x:row r="11" ht="40" customHeight="1">
      <x:c r="A11" s="24" t="str">
        <x:v>Master Taxonomy</x:v>
      </x:c>
      <x:c r="B11" s="24" t="str">
        <x:v>Representative_Terms</x:v>
      </x:c>
      <x:c r="C11" s="24" t="str">
        <x:v>Long text</x:v>
      </x:c>
      <x:c r="D11" s="24" t="str">
        <x:v>No</x:v>
      </x:c>
      <x:c r="E11" s="24" t="str">
        <x:v>Common labels encountered across sources.</x:v>
      </x:c>
      <x:c r="F11" s="24" t="str">
        <x:v>Terms are examples, not automatic synonyms.</x:v>
      </x:c>
    </x:row>
    <x:row r="12" ht="40" customHeight="1">
      <x:c r="A12" s="24" t="str">
        <x:v>Master Taxonomy</x:v>
      </x:c>
      <x:c r="B12" s="24" t="str">
        <x:v>Cross_Cultural_Caution</x:v>
      </x:c>
      <x:c r="C12" s="24" t="str">
        <x:v>Long text</x:v>
      </x:c>
      <x:c r="D12" s="24" t="str">
        <x:v>No</x:v>
      </x:c>
      <x:c r="E12" s="24" t="str">
        <x:v>Risk of flattening living, historical, or culture-specific traditions.</x:v>
      </x:c>
      <x:c r="F12" s="24" t="str">
        <x:v>Use especially for religious, folkloric, and non-Western categories.</x:v>
      </x:c>
    </x:row>
    <x:row r="13" ht="40" customHeight="1">
      <x:c r="A13" s="24" t="str">
        <x:v>Master Taxonomy</x:v>
      </x:c>
      <x:c r="B13" s="24" t="str">
        <x:v>Framework_Status</x:v>
      </x:c>
      <x:c r="C13" s="24" t="str">
        <x:v>Controlled text</x:v>
      </x:c>
      <x:c r="D13" s="24" t="str">
        <x:v>Yes</x:v>
      </x:c>
      <x:c r="E13" s="24" t="str">
        <x:v>Maintenance status of the normalized record.</x:v>
      </x:c>
      <x:c r="F13" s="24" t="str">
        <x:v>Most stable taxonomy records are Framework core.</x:v>
      </x:c>
    </x:row>
    <x:row r="14" ht="40" customHeight="1">
      <x:c r="A14" s="24" t="str">
        <x:v>Source Corpus</x:v>
      </x:c>
      <x:c r="B14" s="24" t="str">
        <x:v>Source_ID</x:v>
      </x:c>
      <x:c r="C14" s="24" t="str">
        <x:v>Text / key</x:v>
      </x:c>
      <x:c r="D14" s="24" t="str">
        <x:v>Yes</x:v>
      </x:c>
      <x:c r="E14" s="24" t="str">
        <x:v>Stable identifier for a source, franchise, or continuity unit.</x:v>
      </x:c>
      <x:c r="F14" s="24" t="str">
        <x:v>Do not reuse IDs when a source is split.</x:v>
      </x:c>
    </x:row>
    <x:row r="15" ht="40" customHeight="1">
      <x:c r="A15" s="24" t="str">
        <x:v>Source Corpus</x:v>
      </x:c>
      <x:c r="B15" s="24" t="str">
        <x:v>Title_or_Franchise</x:v>
      </x:c>
      <x:c r="C15" s="24" t="str">
        <x:v>Text</x:v>
      </x:c>
      <x:c r="D15" s="24" t="str">
        <x:v>Yes</x:v>
      </x:c>
      <x:c r="E15" s="24" t="str">
        <x:v>Canonical title or useful franchise label.</x:v>
      </x:c>
      <x:c r="F15" s="24" t="str">
        <x:v>Use a specific work where taxonomy differs by installment.</x:v>
      </x:c>
    </x:row>
    <x:row r="16" ht="40" customHeight="1">
      <x:c r="A16" s="24" t="str">
        <x:v>Source Corpus</x:v>
      </x:c>
      <x:c r="B16" s="24" t="str">
        <x:v>Creator_Studio</x:v>
      </x:c>
      <x:c r="C16" s="24" t="str">
        <x:v>Text</x:v>
      </x:c>
      <x:c r="D16" s="24" t="str">
        <x:v>Yes</x:v>
      </x:c>
      <x:c r="E16" s="24" t="str">
        <x:v>Author, creator, studio, publisher, or rights-bearing production entity.</x:v>
      </x:c>
      <x:c r="F16" s="24" t="str">
        <x:v>Record multiple contributors where needed.</x:v>
      </x:c>
    </x:row>
    <x:row r="17" ht="40" customHeight="1">
      <x:c r="A17" s="24" t="str">
        <x:v>Source Corpus</x:v>
      </x:c>
      <x:c r="B17" s="24" t="str">
        <x:v>Medium</x:v>
      </x:c>
      <x:c r="C17" s="24" t="str">
        <x:v>Controlled / descriptive text</x:v>
      </x:c>
      <x:c r="D17" s="24" t="str">
        <x:v>Yes</x:v>
      </x:c>
      <x:c r="E17" s="24" t="str">
        <x:v>Primary medium or cross-media classification.</x:v>
      </x:c>
      <x:c r="F17" s="24" t="str">
        <x:v>Preserve hybrid forms such as Manga / Anime.</x:v>
      </x:c>
    </x:row>
    <x:row r="18" ht="40" customHeight="1">
      <x:c r="A18" s="24" t="str">
        <x:v>Source Corpus</x:v>
      </x:c>
      <x:c r="B18" s="24" t="str">
        <x:v>Region_Tradition</x:v>
      </x:c>
      <x:c r="C18" s="24" t="str">
        <x:v>Text</x:v>
      </x:c>
      <x:c r="D18" s="24" t="str">
        <x:v>Yes</x:v>
      </x:c>
      <x:c r="E18" s="24" t="str">
        <x:v>Broad cultural, linguistic, or industry context.</x:v>
      </x:c>
      <x:c r="F18" s="24" t="str">
        <x:v>Do not treat region as a substitute for close cultural analysis.</x:v>
      </x:c>
    </x:row>
    <x:row r="19" ht="40" customHeight="1">
      <x:c r="A19" s="24" t="str">
        <x:v>Source Corpus</x:v>
      </x:c>
      <x:c r="B19" s="24" t="str">
        <x:v>First_Appearance</x:v>
      </x:c>
      <x:c r="C19" s="24" t="str">
        <x:v>Text / year</x:v>
      </x:c>
      <x:c r="D19" s="24" t="str">
        <x:v>No</x:v>
      </x:c>
      <x:c r="E19" s="24" t="str">
        <x:v>Earliest relevant publication or release date.</x:v>
      </x:c>
      <x:c r="F19" s="24" t="str">
        <x:v>May be a year, range, or traditional/ancient designation.</x:v>
      </x:c>
    </x:row>
    <x:row r="20" ht="40" customHeight="1">
      <x:c r="A20" s="24" t="str">
        <x:v>Source Corpus</x:v>
      </x:c>
      <x:c r="B20" s="24" t="str">
        <x:v>Continuity_Unit</x:v>
      </x:c>
      <x:c r="C20" s="24" t="str">
        <x:v>Text</x:v>
      </x:c>
      <x:c r="D20" s="24" t="str">
        <x:v>Yes</x:v>
      </x:c>
      <x:c r="E20" s="24" t="str">
        <x:v>The level at which records should be separated.</x:v>
      </x:c>
      <x:c r="F20" s="24" t="str">
        <x:v>Examples: literary corpus, game edition, film trilogy, live-service current build.</x:v>
      </x:c>
    </x:row>
    <x:row r="21" ht="40" customHeight="1">
      <x:c r="A21" s="24" t="str">
        <x:v>Source Corpus</x:v>
      </x:c>
      <x:c r="B21" s="24" t="str">
        <x:v>Priority_Tier</x:v>
      </x:c>
      <x:c r="C21" s="24" t="str">
        <x:v>Controlled text</x:v>
      </x:c>
      <x:c r="D21" s="24" t="str">
        <x:v>Yes</x:v>
      </x:c>
      <x:c r="E21" s="24" t="str">
        <x:v>Research order and influence/coverage priority.</x:v>
      </x:c>
      <x:c r="F21" s="24" t="str">
        <x:v>Core, Major, Representative, Specialist, or Reference Layer.</x:v>
      </x:c>
    </x:row>
    <x:row r="22" ht="40" customHeight="1">
      <x:c r="A22" s="24" t="str">
        <x:v>Source Corpus</x:v>
      </x:c>
      <x:c r="B22" s="24" t="str">
        <x:v>Distinctive_Contribution</x:v>
      </x:c>
      <x:c r="C22" s="24" t="str">
        <x:v>Long text</x:v>
      </x:c>
      <x:c r="D22" s="24" t="str">
        <x:v>Yes</x:v>
      </x:c>
      <x:c r="E22" s="24" t="str">
        <x:v>Why the source matters to the comparative taxonomy.</x:v>
      </x:c>
      <x:c r="F22" s="24" t="str">
        <x:v>Focus on archetypal or structural contribution.</x:v>
      </x:c>
    </x:row>
    <x:row r="23" ht="40" customHeight="1">
      <x:c r="A23" s="24" t="str">
        <x:v>Source Corpus</x:v>
      </x:c>
      <x:c r="B23" s="24" t="str">
        <x:v>Scope_Note</x:v>
      </x:c>
      <x:c r="C23" s="24" t="str">
        <x:v>Long text</x:v>
      </x:c>
      <x:c r="D23" s="24" t="str">
        <x:v>No</x:v>
      </x:c>
      <x:c r="E23" s="24" t="str">
        <x:v>Inclusions, exclusions, adaptations, and version caveats.</x:v>
      </x:c>
      <x:c r="F23" s="24" t="str">
        <x:v>State when a franchise is not one continuity.</x:v>
      </x:c>
    </x:row>
    <x:row r="24" ht="40" customHeight="1">
      <x:c r="A24" s="24" t="str">
        <x:v>Source Corpus</x:v>
      </x:c>
      <x:c r="B24" s="24" t="str">
        <x:v>Reference_URL</x:v>
      </x:c>
      <x:c r="C24" s="24" t="str">
        <x:v>URL</x:v>
      </x:c>
      <x:c r="D24" s="24" t="str">
        <x:v>No</x:v>
      </x:c>
      <x:c r="E24" s="24" t="str">
        <x:v>Official or orientation reference link.</x:v>
      </x:c>
      <x:c r="F24" s="24" t="str">
        <x:v>Primary/official sources should replace orientation links during verification.</x:v>
      </x:c>
    </x:row>
    <x:row r="25" ht="40" customHeight="1">
      <x:c r="A25" s="24" t="str">
        <x:v>Source Corpus</x:v>
      </x:c>
      <x:c r="B25" s="24" t="str">
        <x:v>Status</x:v>
      </x:c>
      <x:c r="C25" s="24" t="str">
        <x:v>Controlled text</x:v>
      </x:c>
      <x:c r="D25" s="24" t="str">
        <x:v>Yes</x:v>
      </x:c>
      <x:c r="E25" s="24" t="str">
        <x:v>Inclusion status in this edition.</x:v>
      </x:c>
      <x:c r="F25" s="24" t="str">
        <x:v>Included, Research queue, or Deferred.</x:v>
      </x:c>
    </x:row>
    <x:row r="26" ht="40" customHeight="1">
      <x:c r="A26" s="24" t="str">
        <x:v>Seed Catalogue</x:v>
      </x:c>
      <x:c r="B26" s="24" t="str">
        <x:v>Entry_ID</x:v>
      </x:c>
      <x:c r="C26" s="24" t="str">
        <x:v>Text / key</x:v>
      </x:c>
      <x:c r="D26" s="24" t="str">
        <x:v>Yes</x:v>
      </x:c>
      <x:c r="E26" s="24" t="str">
        <x:v>Stable identifier for a source-specific catalogue entry.</x:v>
      </x:c>
      <x:c r="F26" s="24" t="str">
        <x:v>One record per materially distinct continuity concept.</x:v>
      </x:c>
    </x:row>
    <x:row r="27" ht="40" customHeight="1">
      <x:c r="A27" s="24" t="str">
        <x:v>Seed Catalogue</x:v>
      </x:c>
      <x:c r="B27" s="24" t="str">
        <x:v>Canonical_Name</x:v>
      </x:c>
      <x:c r="C27" s="24" t="str">
        <x:v>Text</x:v>
      </x:c>
      <x:c r="D27" s="24" t="str">
        <x:v>Yes</x:v>
      </x:c>
      <x:c r="E27" s="24" t="str">
        <x:v>Exact source-facing name or carefully labeled umbrella.</x:v>
      </x:c>
      <x:c r="F27" s="24" t="str">
        <x:v>Preserve diacritics and source capitalization where possible.</x:v>
      </x:c>
    </x:row>
    <x:row r="28" ht="40" customHeight="1">
      <x:c r="A28" s="24" t="str">
        <x:v>Seed Catalogue</x:v>
      </x:c>
      <x:c r="B28" s="24" t="str">
        <x:v>Source_ID</x:v>
      </x:c>
      <x:c r="C28" s="24" t="str">
        <x:v>Foreign key</x:v>
      </x:c>
      <x:c r="D28" s="24" t="str">
        <x:v>Yes</x:v>
      </x:c>
      <x:c r="E28" s="24" t="str">
        <x:v>Link to Source Corpus.</x:v>
      </x:c>
      <x:c r="F28" s="24" t="str">
        <x:v>Must match Source_ID.</x:v>
      </x:c>
    </x:row>
    <x:row r="29" ht="40" customHeight="1">
      <x:c r="A29" s="24" t="str">
        <x:v>Seed Catalogue</x:v>
      </x:c>
      <x:c r="B29" s="24" t="str">
        <x:v>Source_Title</x:v>
      </x:c>
      <x:c r="C29" s="24" t="str">
        <x:v>Text</x:v>
      </x:c>
      <x:c r="D29" s="24" t="str">
        <x:v>Yes</x:v>
      </x:c>
      <x:c r="E29" s="24" t="str">
        <x:v>Denormalized title for readability.</x:v>
      </x:c>
      <x:c r="F29" s="24" t="str">
        <x:v>Should match the linked source record.</x:v>
      </x:c>
    </x:row>
    <x:row r="30" ht="40" customHeight="1">
      <x:c r="A30" s="24" t="str">
        <x:v>Seed Catalogue</x:v>
      </x:c>
      <x:c r="B30" s="24" t="str">
        <x:v>Continuity</x:v>
      </x:c>
      <x:c r="C30" s="24" t="str">
        <x:v>Text</x:v>
      </x:c>
      <x:c r="D30" s="24" t="str">
        <x:v>Yes</x:v>
      </x:c>
      <x:c r="E30" s="24" t="str">
        <x:v>Specific edition, adaptation, era, or continuity.</x:v>
      </x:c>
      <x:c r="F30" s="24" t="str">
        <x:v>Version-stamp live-service games.</x:v>
      </x:c>
    </x:row>
    <x:row r="31" ht="40" customHeight="1">
      <x:c r="A31" s="24" t="str">
        <x:v>Seed Catalogue</x:v>
      </x:c>
      <x:c r="B31" s="24" t="str">
        <x:v>Native_Record_Type</x:v>
      </x:c>
      <x:c r="C31" s="24" t="str">
        <x:v>Controlled / descriptive text</x:v>
      </x:c>
      <x:c r="D31" s="24" t="str">
        <x:v>Yes</x:v>
      </x:c>
      <x:c r="E31" s="24" t="str">
        <x:v>What the source concept actually is.</x:v>
      </x:c>
      <x:c r="F31" s="24" t="str">
        <x:v>Do not force all entries into race/class.</x:v>
      </x:c>
    </x:row>
    <x:row r="32" ht="40" customHeight="1">
      <x:c r="A32" s="24" t="str">
        <x:v>Seed Catalogue</x:v>
      </x:c>
      <x:c r="B32" s="24" t="str">
        <x:v>Primary_Archetype_ID</x:v>
      </x:c>
      <x:c r="C32" s="24" t="str">
        <x:v>Foreign key</x:v>
      </x:c>
      <x:c r="D32" s="24" t="str">
        <x:v>Yes</x:v>
      </x:c>
      <x:c r="E32" s="24" t="str">
        <x:v>Best normalized crosswalk.</x:v>
      </x:c>
      <x:c r="F32" s="24" t="str">
        <x:v>Must match Master Taxonomy.</x:v>
      </x:c>
    </x:row>
    <x:row r="33" ht="40" customHeight="1">
      <x:c r="A33" s="24" t="str">
        <x:v>Seed Catalogue</x:v>
      </x:c>
      <x:c r="B33" s="24" t="str">
        <x:v>Additional_Archetype_IDs</x:v>
      </x:c>
      <x:c r="C33" s="24" t="str">
        <x:v>Delimited foreign keys</x:v>
      </x:c>
      <x:c r="D33" s="24" t="str">
        <x:v>No</x:v>
      </x:c>
      <x:c r="E33" s="24" t="str">
        <x:v>Other relevant normalized axes.</x:v>
      </x:c>
      <x:c r="F33" s="24" t="str">
        <x:v>Semicolon-delimited; does not imply exact equivalence.</x:v>
      </x:c>
    </x:row>
    <x:row r="34" ht="40" customHeight="1">
      <x:c r="A34" s="24" t="str">
        <x:v>Seed Catalogue</x:v>
      </x:c>
      <x:c r="B34" s="24" t="str">
        <x:v>Ontology_or_Role_Summary</x:v>
      </x:c>
      <x:c r="C34" s="24" t="str">
        <x:v>Long text</x:v>
      </x:c>
      <x:c r="D34" s="24" t="str">
        <x:v>Yes</x:v>
      </x:c>
      <x:c r="E34" s="24" t="str">
        <x:v>Source-faithful description.</x:v>
      </x:c>
      <x:c r="F34" s="24" t="str">
        <x:v>Avoid unmarked fan theories.</x:v>
      </x:c>
    </x:row>
    <x:row r="35" ht="40" customHeight="1">
      <x:c r="A35" s="24" t="str">
        <x:v>Seed Catalogue</x:v>
      </x:c>
      <x:c r="B35" s="24" t="str">
        <x:v>Power_Basis</x:v>
      </x:c>
      <x:c r="C35" s="24" t="str">
        <x:v>Long text</x:v>
      </x:c>
      <x:c r="D35" s="24" t="str">
        <x:v>No</x:v>
      </x:c>
      <x:c r="E35" s="24" t="str">
        <x:v>How abilities, authority, or identity are obtained.</x:v>
      </x:c>
      <x:c r="F35" s="24" t="str">
        <x:v>Distinguish power source from visible effects.</x:v>
      </x:c>
    </x:row>
    <x:row r="36" ht="40" customHeight="1">
      <x:c r="A36" s="24" t="str">
        <x:v>Seed Catalogue</x:v>
      </x:c>
      <x:c r="B36" s="24" t="str">
        <x:v>Key_Distinction</x:v>
      </x:c>
      <x:c r="C36" s="24" t="str">
        <x:v>Long text</x:v>
      </x:c>
      <x:c r="D36" s="24" t="str">
        <x:v>Yes</x:v>
      </x:c>
      <x:c r="E36" s="24" t="str">
        <x:v>Most important reason not to collapse the entry into its normalized family.</x:v>
      </x:c>
      <x:c r="F36" s="24" t="str">
        <x:v>This field protects source specificity.</x:v>
      </x:c>
    </x:row>
    <x:row r="37" ht="40" customHeight="1">
      <x:c r="A37" s="24" t="str">
        <x:v>Seed Catalogue</x:v>
      </x:c>
      <x:c r="B37" s="24" t="str">
        <x:v>Comparative_Notes</x:v>
      </x:c>
      <x:c r="C37" s="24" t="str">
        <x:v>Long text</x:v>
      </x:c>
      <x:c r="D37" s="24" t="str">
        <x:v>No</x:v>
      </x:c>
      <x:c r="E37" s="24" t="str">
        <x:v>Reusable analytical interpretation.</x:v>
      </x:c>
      <x:c r="F37" s="24" t="str">
        <x:v>Name the relevant axis: ontology, function, mechanics, narrative, or iconography.</x:v>
      </x:c>
    </x:row>
    <x:row r="38" ht="40" customHeight="1">
      <x:c r="A38" s="24" t="str">
        <x:v>Seed Catalogue</x:v>
      </x:c>
      <x:c r="B38" s="24" t="str">
        <x:v>Canon_Status</x:v>
      </x:c>
      <x:c r="C38" s="24" t="str">
        <x:v>Controlled text</x:v>
      </x:c>
      <x:c r="D38" s="24" t="str">
        <x:v>Yes</x:v>
      </x:c>
      <x:c r="E38" s="24" t="str">
        <x:v>Status within the specified continuity.</x:v>
      </x:c>
      <x:c r="F38" s="24" t="str">
        <x:v>See Controlled Vocab.</x:v>
      </x:c>
    </x:row>
    <x:row r="39" ht="40" customHeight="1">
      <x:c r="A39" s="24" t="str">
        <x:v>Seed Catalogue</x:v>
      </x:c>
      <x:c r="B39" s="24" t="str">
        <x:v>Evidence_Level</x:v>
      </x:c>
      <x:c r="C39" s="24" t="str">
        <x:v>Controlled text</x:v>
      </x:c>
      <x:c r="D39" s="24" t="str">
        <x:v>Yes</x:v>
      </x:c>
      <x:c r="E39" s="24" t="str">
        <x:v>Degree of direct source review.</x:v>
      </x:c>
      <x:c r="F39" s="24" t="str">
        <x:v>See Controlled Vocab.</x:v>
      </x:c>
    </x:row>
    <x:row r="40" ht="40" customHeight="1">
      <x:c r="A40" s="24" t="str">
        <x:v>Seed Catalogue</x:v>
      </x:c>
      <x:c r="B40" s="24" t="str">
        <x:v>Source_Reference</x:v>
      </x:c>
      <x:c r="C40" s="24" t="str">
        <x:v>Long text</x:v>
      </x:c>
      <x:c r="D40" s="24" t="str">
        <x:v>Yes</x:v>
      </x:c>
      <x:c r="E40" s="24" t="str">
        <x:v>Book, rules page, game codex, episode, or review note.</x:v>
      </x:c>
      <x:c r="F40" s="24" t="str">
        <x:v>Replace generic corpus notes with precise citations in deep passes.</x:v>
      </x:c>
    </x:row>
    <x:row r="41" ht="40" customHeight="1">
      <x:c r="A41" s="24" t="str">
        <x:v>Seed Catalogue</x:v>
      </x:c>
      <x:c r="B41" s="24" t="str">
        <x:v>Reference_URL</x:v>
      </x:c>
      <x:c r="C41" s="24" t="str">
        <x:v>URL</x:v>
      </x:c>
      <x:c r="D41" s="24" t="str">
        <x:v>No</x:v>
      </x:c>
      <x:c r="E41" s="24" t="str">
        <x:v>Link supporting orientation or verification.</x:v>
      </x:c>
      <x:c r="F41" s="24" t="str">
        <x:v>Prefer official sources.</x:v>
      </x:c>
    </x:row>
    <x:row r="42" ht="40" customHeight="1">
      <x:c r="A42" s="24" t="str">
        <x:v>Seed Catalogue</x:v>
      </x:c>
      <x:c r="B42" s="24" t="str">
        <x:v>Review_Status</x:v>
      </x:c>
      <x:c r="C42" s="24" t="str">
        <x:v>Controlled text</x:v>
      </x:c>
      <x:c r="D42" s="24" t="str">
        <x:v>Yes</x:v>
      </x:c>
      <x:c r="E42" s="24" t="str">
        <x:v>Workflow status.</x:v>
      </x:c>
      <x:c r="F42" s="24" t="str">
        <x:v>Seeded does not mean every detail has completed line-level citation review.</x:v>
      </x:c>
    </x:row>
    <x:row r="43" ht="40" customHeight="1">
      <x:c r="A43" s="24" t="str">
        <x:v>Controlled Vocab</x:v>
      </x:c>
      <x:c r="B43" s="24" t="str">
        <x:v>Axis</x:v>
      </x:c>
      <x:c r="C43" s="24" t="str">
        <x:v>Text</x:v>
      </x:c>
      <x:c r="D43" s="24" t="str">
        <x:v>Yes</x:v>
      </x:c>
      <x:c r="E43" s="24" t="str">
        <x:v>Name of the controlled vocabulary.</x:v>
      </x:c>
      <x:c r="F43" s="24" t="str">
        <x:v>Use exact axis spelling.</x:v>
      </x:c>
    </x:row>
    <x:row r="44" ht="40" customHeight="1">
      <x:c r="A44" s="24" t="str">
        <x:v>Controlled Vocab</x:v>
      </x:c>
      <x:c r="B44" s="24" t="str">
        <x:v>Value</x:v>
      </x:c>
      <x:c r="C44" s="24" t="str">
        <x:v>Text</x:v>
      </x:c>
      <x:c r="D44" s="24" t="str">
        <x:v>Yes</x:v>
      </x:c>
      <x:c r="E44" s="24" t="str">
        <x:v>Permitted or recommended label.</x:v>
      </x:c>
      <x:c r="F44" s="24" t="str">
        <x:v>New values require governance review.</x:v>
      </x:c>
    </x:row>
    <x:row r="45" ht="40" customHeight="1">
      <x:c r="A45" s="24" t="str">
        <x:v>Controlled Vocab</x:v>
      </x:c>
      <x:c r="B45" s="24" t="str">
        <x:v>Definition</x:v>
      </x:c>
      <x:c r="C45" s="24" t="str">
        <x:v>Long text</x:v>
      </x:c>
      <x:c r="D45" s="24" t="str">
        <x:v>Yes</x:v>
      </x:c>
      <x:c r="E45" s="24" t="str">
        <x:v>Meaning of the value.</x:v>
      </x:c>
      <x:c r="F45" s="24" t="str">
        <x:v>Keep definitions mutually distinguishable.</x:v>
      </x:c>
    </x:row>
    <x:row r="46" ht="40" customHeight="1">
      <x:c r="A46" s="24" t="str">
        <x:v>Controlled Vocab</x:v>
      </x:c>
      <x:c r="B46" s="24" t="str">
        <x:v>Use</x:v>
      </x:c>
      <x:c r="C46" s="24" t="str">
        <x:v>Long text</x:v>
      </x:c>
      <x:c r="D46" s="24" t="str">
        <x:v>Yes</x:v>
      </x:c>
      <x:c r="E46" s="24" t="str">
        <x:v>Application guidance.</x:v>
      </x:c>
      <x:c r="F46" s="24" t="str">
        <x:v>May include caution or multiplicity rules.</x:v>
      </x:c>
    </x:row>
    <x:row r="47" ht="40" customHeight="1">
      <x:c r="A47" s="24" t="str">
        <x:v>Relationship Rules</x:v>
      </x:c>
      <x:c r="B47" s="24" t="str">
        <x:v>Relation</x:v>
      </x:c>
      <x:c r="C47" s="24" t="str">
        <x:v>Controlled text</x:v>
      </x:c>
      <x:c r="D47" s="24" t="str">
        <x:v>Yes</x:v>
      </x:c>
      <x:c r="E47" s="24" t="str">
        <x:v>Relationship label used in cross-setting links.</x:v>
      </x:c>
      <x:c r="F47" s="24" t="str">
        <x:v>Prefer specific relations over generic similarity.</x:v>
      </x:c>
    </x:row>
    <x:row r="48" ht="40" customHeight="1">
      <x:c r="A48" s="24" t="str">
        <x:v>Relationship Rules</x:v>
      </x:c>
      <x:c r="B48" s="24" t="str">
        <x:v>Directionality</x:v>
      </x:c>
      <x:c r="C48" s="24" t="str">
        <x:v>Controlled text</x:v>
      </x:c>
      <x:c r="D48" s="24" t="str">
        <x:v>Yes</x:v>
      </x:c>
      <x:c r="E48" s="24" t="str">
        <x:v>Symmetric or directed.</x:v>
      </x:c>
      <x:c r="F48" s="24" t="str">
        <x:v>Directed relationships require subject and object ordering.</x:v>
      </x:c>
    </x:row>
    <x:row r="49" ht="40" customHeight="1">
      <x:c r="A49" s="24" t="str">
        <x:v>Relationship Rules</x:v>
      </x:c>
      <x:c r="B49" s="24" t="str">
        <x:v>Scope</x:v>
      </x:c>
      <x:c r="C49" s="24" t="str">
        <x:v>Text</x:v>
      </x:c>
      <x:c r="D49" s="24" t="str">
        <x:v>Yes</x:v>
      </x:c>
      <x:c r="E49" s="24" t="str">
        <x:v>Where the relationship applies.</x:v>
      </x:c>
      <x:c r="F49" s="24" t="str">
        <x:v>Examples: within continuity, cross-setting, adaptation, mechanics.</x:v>
      </x:c>
    </x:row>
    <x:row r="50" ht="40" customHeight="1">
      <x:c r="A50" s="24" t="str">
        <x:v>Relationship Rules</x:v>
      </x:c>
      <x:c r="B50" s="24" t="str">
        <x:v>Use_When</x:v>
      </x:c>
      <x:c r="C50" s="24" t="str">
        <x:v>Long text</x:v>
      </x:c>
      <x:c r="D50" s="24" t="str">
        <x:v>Yes</x:v>
      </x:c>
      <x:c r="E50" s="24" t="str">
        <x:v>Positive inclusion rule.</x:v>
      </x:c>
      <x:c r="F50" s="24" t="str">
        <x:v>Apply only when evidence supports the stated dimension.</x:v>
      </x:c>
    </x:row>
    <x:row r="51" ht="40" customHeight="1">
      <x:c r="A51" s="24" t="str">
        <x:v>Relationship Rules</x:v>
      </x:c>
      <x:c r="B51" s="24" t="str">
        <x:v>Do_Not_Use_When</x:v>
      </x:c>
      <x:c r="C51" s="24" t="str">
        <x:v>Long text</x:v>
      </x:c>
      <x:c r="D51" s="24" t="str">
        <x:v>Yes</x:v>
      </x:c>
      <x:c r="E51" s="24" t="str">
        <x:v>Common misuse.</x:v>
      </x:c>
      <x:c r="F51" s="24" t="str">
        <x:v>Protect against false equivalence.</x:v>
      </x:c>
    </x:row>
    <x:row r="52" ht="40" customHeight="1">
      <x:c r="A52" s="24" t="str">
        <x:v>Relationship Rules</x:v>
      </x:c>
      <x:c r="B52" s="24" t="str">
        <x:v>Example</x:v>
      </x:c>
      <x:c r="C52" s="24" t="str">
        <x:v>Long text</x:v>
      </x:c>
      <x:c r="D52" s="24" t="str">
        <x:v>No</x:v>
      </x:c>
      <x:c r="E52" s="24" t="str">
        <x:v>Illustrative application.</x:v>
      </x:c>
      <x:c r="F52" s="24" t="str">
        <x:v>Examples are explanatory, not exhaustive.</x:v>
      </x:c>
    </x:row>
    <x:row r="53" ht="40" customHeight="1">
      <x:c r="A53" s="24" t="str">
        <x:v>Master Taxonomy</x:v>
      </x:c>
      <x:c r="B53" s="24" t="str">
        <x:v>Parent_Name</x:v>
      </x:c>
      <x:c r="C53" s="24" t="str">
        <x:v>Formula / lookup</x:v>
      </x:c>
      <x:c r="D53" s="24" t="str">
        <x:v>No for roots</x:v>
      </x:c>
      <x:c r="E53" s="24" t="str">
        <x:v>Human-readable name of Parent_ID.</x:v>
      </x:c>
      <x:c r="F53" s="24" t="str">
        <x:v>Calculated with VLOOKUP from Master Taxonomy; do not hand-edit.</x:v>
      </x:c>
    </x:row>
    <x:row r="54" ht="40" customHeight="1">
      <x:c r="A54" s="24" t="str">
        <x:v>Seed Catalogue</x:v>
      </x:c>
      <x:c r="B54" s="24" t="str">
        <x:v>Primary_Archetype_Name</x:v>
      </x:c>
      <x:c r="C54" s="24" t="str">
        <x:v>Formula / lookup</x:v>
      </x:c>
      <x:c r="D54" s="24" t="str">
        <x:v>Yes</x:v>
      </x:c>
      <x:c r="E54" s="24" t="str">
        <x:v>Human-readable normalized name linked from Primary_Archetype_ID.</x:v>
      </x:c>
      <x:c r="F54" s="24" t="str">
        <x:v>Calculated with VLOOKUP from Master Taxonomy.</x:v>
      </x:c>
    </x:row>
    <x:row r="55" ht="40" customHeight="1">
      <x:c r="A55" s="24" t="str">
        <x:v>Seed Catalogue</x:v>
      </x:c>
      <x:c r="B55" s="24" t="str">
        <x:v>Additional_Archetype_Names</x:v>
      </x:c>
      <x:c r="C55" s="24" t="str">
        <x:v>Denormalized text</x:v>
      </x:c>
      <x:c r="D55" s="24" t="str">
        <x:v>No</x:v>
      </x:c>
      <x:c r="E55" s="24" t="str">
        <x:v>Human-readable names corresponding to Additional_Archetype_IDs.</x:v>
      </x:c>
      <x:c r="F55" s="24" t="str">
        <x:v>Regenerate after ID changes to prevent drift.</x:v>
      </x:c>
    </x:row>
    <x:row r="56" ht="40" customHeight="1">
      <x:c r="A56" s="119" t="str">
        <x:v>Source Priority</x:v>
      </x:c>
      <x:c r="B56" s="120" t="str">
        <x:v>Baseline_Rank</x:v>
      </x:c>
      <x:c r="C56" s="120" t="str">
        <x:v>Integer</x:v>
      </x:c>
      <x:c r="D56" s="120" t="str">
        <x:v>Yes</x:v>
      </x:c>
      <x:c r="E56" s="120" t="str">
        <x:v>Rank generated from the current weighted baseline score before editorial overrides or future rescoring.</x:v>
      </x:c>
      <x:c r="F56" s="120" t="str">
        <x:v>Treat as a navigation aid, not a permanent canonical order.</x:v>
      </x:c>
    </x:row>
    <x:row r="57" ht="40" customHeight="1">
      <x:c r="A57" s="119" t="str">
        <x:v>Source Priority</x:v>
      </x:c>
      <x:c r="B57" s="120" t="str">
        <x:v>Source_ID</x:v>
      </x:c>
      <x:c r="C57" s="120" t="str">
        <x:v>Text / foreign key</x:v>
      </x:c>
      <x:c r="D57" s="120" t="str">
        <x:v>Yes</x:v>
      </x:c>
      <x:c r="E57" s="120" t="str">
        <x:v>Stable identifier linking to Source Corpus.</x:v>
      </x:c>
      <x:c r="F57" s="120" t="str">
        <x:v>Must match Source Corpus.Source_ID.</x:v>
      </x:c>
    </x:row>
    <x:row r="58" ht="40" customHeight="1">
      <x:c r="A58" s="119" t="str">
        <x:v>Source Priority</x:v>
      </x:c>
      <x:c r="B58" s="120" t="str">
        <x:v>Title_or_Franchise</x:v>
      </x:c>
      <x:c r="C58" s="120" t="str">
        <x:v>Text</x:v>
      </x:c>
      <x:c r="D58" s="120" t="str">
        <x:v>Yes</x:v>
      </x:c>
      <x:c r="E58" s="120" t="str">
        <x:v>Human-readable title copied from Source Corpus.</x:v>
      </x:c>
      <x:c r="F58" s="120" t="str">
        <x:v>Refresh after source-title changes.</x:v>
      </x:c>
    </x:row>
    <x:row r="59" ht="40" customHeight="1">
      <x:c r="A59" s="119" t="str">
        <x:v>Source Priority</x:v>
      </x:c>
      <x:c r="B59" s="120" t="str">
        <x:v>Medium</x:v>
      </x:c>
      <x:c r="C59" s="120" t="str">
        <x:v>Controlled / source text</x:v>
      </x:c>
      <x:c r="D59" s="120" t="str">
        <x:v>Yes</x:v>
      </x:c>
      <x:c r="E59" s="120" t="str">
        <x:v>Medium or source form used for broad comparison.</x:v>
      </x:c>
      <x:c r="F59" s="120" t="str">
        <x:v>Retain the more specific Source Corpus wording.</x:v>
      </x:c>
    </x:row>
    <x:row r="60" ht="40" customHeight="1">
      <x:c r="A60" s="119" t="str">
        <x:v>Source Priority</x:v>
      </x:c>
      <x:c r="B60" s="120" t="str">
        <x:v>Region_Tradition</x:v>
      </x:c>
      <x:c r="C60" s="120" t="str">
        <x:v>Text</x:v>
      </x:c>
      <x:c r="D60" s="120" t="str">
        <x:v>Yes</x:v>
      </x:c>
      <x:c r="E60" s="120" t="str">
        <x:v>Regional, linguistic, cultural, or genre context.</x:v>
      </x:c>
      <x:c r="F60" s="120" t="str">
        <x:v>Avoid continent-level generalization where a more precise tradition is known.</x:v>
      </x:c>
    </x:row>
    <x:row r="61" ht="40" customHeight="1">
      <x:c r="A61" s="119" t="str">
        <x:v>Source Priority</x:v>
      </x:c>
      <x:c r="B61" s="120" t="str">
        <x:v>Existing_Seed_Entries</x:v>
      </x:c>
      <x:c r="C61" s="120" t="str">
        <x:v>Formula / count</x:v>
      </x:c>
      <x:c r="D61" s="120" t="str">
        <x:v>Yes</x:v>
      </x:c>
      <x:c r="E61" s="120" t="str">
        <x:v>Number of Seed Catalogue records currently linked to this source.</x:v>
      </x:c>
      <x:c r="F61" s="120" t="str">
        <x:v>Calculated from Seed Catalogue.Source_ID.</x:v>
      </x:c>
    </x:row>
    <x:row r="62" ht="40" customHeight="1">
      <x:c r="A62" s="119" t="str">
        <x:v>Source Priority</x:v>
      </x:c>
      <x:c r="B62" s="120" t="str">
        <x:v>Archetype_Novelty</x:v>
      </x:c>
      <x:c r="C62" s="120" t="str">
        <x:v>Integer 1–5</x:v>
      </x:c>
      <x:c r="D62" s="120" t="str">
        <x:v>Yes</x:v>
      </x:c>
      <x:c r="E62" s="120" t="str">
        <x:v>Degree to which the source contributes new reusable archetypes or material distinctions.</x:v>
      </x:c>
      <x:c r="F62" s="120" t="str">
        <x:v>Use 5 only for unusually generative or foundational material.</x:v>
      </x:c>
    </x:row>
    <x:row r="63" ht="40" customHeight="1">
      <x:c r="A63" s="119" t="str">
        <x:v>Source Priority</x:v>
      </x:c>
      <x:c r="B63" s="120" t="str">
        <x:v>Domain_Breadth</x:v>
      </x:c>
      <x:c r="C63" s="120" t="str">
        <x:v>Integer 1–5</x:v>
      </x:c>
      <x:c r="D63" s="120" t="str">
        <x:v>Yes</x:v>
      </x:c>
      <x:c r="E63" s="120" t="str">
        <x:v>Number and richness of analytical domains the source can materially expand.</x:v>
      </x:c>
      <x:c r="F63" s="120" t="str">
        <x:v>Breadth is not raw entry count.</x:v>
      </x:c>
    </x:row>
    <x:row r="64" ht="40" customHeight="1">
      <x:c r="A64" s="119" t="str">
        <x:v>Source Priority</x:v>
      </x:c>
      <x:c r="B64" s="120" t="str">
        <x:v>Coverage_Gap_Value</x:v>
      </x:c>
      <x:c r="C64" s="120" t="str">
        <x:v>Integer 1–5</x:v>
      </x:c>
      <x:c r="D64" s="120" t="str">
        <x:v>Yes</x:v>
      </x:c>
      <x:c r="E64" s="120" t="str">
        <x:v>Value for correcting an underrepresented tradition, worldview, medium, or conceptual model.</x:v>
      </x:c>
      <x:c r="F64" s="120" t="str">
        <x:v>Score coverage need separately from perceived familiarity or popularity.</x:v>
      </x:c>
    </x:row>
    <x:row r="65" ht="40" customHeight="1">
      <x:c r="A65" s="119" t="str">
        <x:v>Source Priority</x:v>
      </x:c>
      <x:c r="B65" s="120" t="str">
        <x:v>Historical_Influence</x:v>
      </x:c>
      <x:c r="C65" s="120" t="str">
        <x:v>Integer 1–5</x:v>
      </x:c>
      <x:c r="D65" s="120" t="str">
        <x:v>Yes</x:v>
      </x:c>
      <x:c r="E65" s="120" t="str">
        <x:v>Documented or strongly established influence on later traditions or media.</x:v>
      </x:c>
      <x:c r="F65" s="120" t="str">
        <x:v>Do not infer direct influence solely from similarity.</x:v>
      </x:c>
    </x:row>
    <x:row r="66" ht="40" customHeight="1">
      <x:c r="A66" s="119" t="str">
        <x:v>Source Priority</x:v>
      </x:c>
      <x:c r="B66" s="120" t="str">
        <x:v>Conceptual_Depth</x:v>
      </x:c>
      <x:c r="C66" s="120" t="str">
        <x:v>Integer 1–5</x:v>
      </x:c>
      <x:c r="D66" s="120" t="str">
        <x:v>Yes</x:v>
      </x:c>
      <x:c r="E66" s="120" t="str">
        <x:v>Internal richness of cosmology, institutions, social relations, narrative structures, and metaphysical rules.</x:v>
      </x:c>
      <x:c r="F66" s="120" t="str">
        <x:v>Depth can be high even when few entries are needed.</x:v>
      </x:c>
    </x:row>
    <x:row r="67" ht="40" customHeight="1">
      <x:c r="A67" s="119" t="str">
        <x:v>Source Priority</x:v>
      </x:c>
      <x:c r="B67" s="120" t="str">
        <x:v>Adaptation_Value</x:v>
      </x:c>
      <x:c r="C67" s="120" t="str">
        <x:v>Integer 1–5</x:v>
      </x:c>
      <x:c r="D67" s="120" t="str">
        <x:v>Yes</x:v>
      </x:c>
      <x:c r="E67" s="120" t="str">
        <x:v>Usefulness for studying transformation across media, rules, editions, or continuities.</x:v>
      </x:c>
      <x:c r="F67" s="120" t="str">
        <x:v>A derivative work may score highly here while scoring modestly on novelty.</x:v>
      </x:c>
    </x:row>
    <x:row r="68" ht="40" customHeight="1">
      <x:c r="A68" s="119" t="str">
        <x:v>Source Priority</x:v>
      </x:c>
      <x:c r="B68" s="120" t="str">
        <x:v>Source_Quality</x:v>
      </x:c>
      <x:c r="C68" s="120" t="str">
        <x:v>Integer 1–5</x:v>
      </x:c>
      <x:c r="D68" s="120" t="str">
        <x:v>Yes</x:v>
      </x:c>
      <x:c r="E68" s="120" t="str">
        <x:v>Availability and reliability of primary texts, critical editions, official materials, and strong scholarship.</x:v>
      </x:c>
      <x:c r="F68" s="120" t="str">
        <x:v>Score the attainable evidence base, not the tradition's worth.</x:v>
      </x:c>
    </x:row>
    <x:row r="69" ht="40" customHeight="1">
      <x:c r="A69" s="119" t="str">
        <x:v>Source Priority</x:v>
      </x:c>
      <x:c r="B69" s="120" t="str">
        <x:v>Redundancy_Penalty</x:v>
      </x:c>
      <x:c r="C69" s="120" t="str">
        <x:v>Integer 0–5</x:v>
      </x:c>
      <x:c r="D69" s="120" t="str">
        <x:v>Yes</x:v>
      </x:c>
      <x:c r="E69" s="120" t="str">
        <x:v>Degree to which the source repeats patterns already well represented in the atlas.</x:v>
      </x:c>
      <x:c r="F69" s="120" t="str">
        <x:v>Apply conservatively; influence or distinctive execution may still justify coverage.</x:v>
      </x:c>
    </x:row>
    <x:row r="70" ht="40" customHeight="1">
      <x:c r="A70" s="119" t="str">
        <x:v>Source Priority</x:v>
      </x:c>
      <x:c r="B70" s="120" t="str">
        <x:v>Marginal_Value_Score</x:v>
      </x:c>
      <x:c r="C70" s="120" t="str">
        <x:v>Formula / number</x:v>
      </x:c>
      <x:c r="D70" s="120" t="str">
        <x:v>Yes</x:v>
      </x:c>
      <x:c r="E70" s="120" t="str">
        <x:v>Weighted score combining novelty, breadth, gap value, influence, depth, adaptation value, source quality, and redundancy.</x:v>
      </x:c>
      <x:c r="F70" s="120" t="str">
        <x:v>Recalculate from the visible weight cells; do not type hardcoded totals.</x:v>
      </x:c>
    </x:row>
    <x:row r="71" ht="40" customHeight="1">
      <x:c r="A71" s="119" t="str">
        <x:v>Source Priority</x:v>
      </x:c>
      <x:c r="B71" s="120" t="str">
        <x:v>Recommended_Treatment</x:v>
      </x:c>
      <x:c r="C71" s="120" t="str">
        <x:v>Formula / controlled text</x:v>
      </x:c>
      <x:c r="D71" s="120" t="str">
        <x:v>Yes</x:v>
      </x:c>
      <x:c r="E71" s="120" t="str">
        <x:v>Suggested research depth derived from threshold cells.</x:v>
      </x:c>
      <x:c r="F71" s="120" t="str">
        <x:v>Editorial judgment may override the formula with an explicit note.</x:v>
      </x:c>
    </x:row>
    <x:row r="72" ht="40" customHeight="1">
      <x:c r="A72" s="119" t="str">
        <x:v>Source Priority</x:v>
      </x:c>
      <x:c r="B72" s="120" t="str">
        <x:v>Editorial_Basis</x:v>
      </x:c>
      <x:c r="C72" s="120" t="str">
        <x:v>Text</x:v>
      </x:c>
      <x:c r="D72" s="120" t="str">
        <x:v>Yes</x:v>
      </x:c>
      <x:c r="E72" s="120" t="str">
        <x:v>Reason the baseline scores were assigned or overridden.</x:v>
      </x:c>
      <x:c r="F72" s="120" t="str">
        <x:v>Distinguish heuristic assignment from a source-specific editorial review.</x:v>
      </x:c>
    </x:row>
    <x:row r="73" ht="40" customHeight="1">
      <x:c r="A73" s="119" t="str">
        <x:v>Source Priority</x:v>
      </x:c>
      <x:c r="B73" s="120" t="str">
        <x:v>Priority_Rationale</x:v>
      </x:c>
      <x:c r="C73" s="120" t="str">
        <x:v>Long text</x:v>
      </x:c>
      <x:c r="D73" s="120" t="str">
        <x:v>Yes</x:v>
      </x:c>
      <x:c r="E73" s="120" t="str">
        <x:v>Concise explanation of the source's marginal value and the principal research task.</x:v>
      </x:c>
      <x:c r="F73" s="120" t="str">
        <x:v>State the gap filled rather than merely praising importance.</x:v>
      </x:c>
    </x:row>
    <x:row r="74" ht="40" customHeight="1">
      <x:c r="A74" s="119" t="str">
        <x:v>Source Priority</x:v>
      </x:c>
      <x:c r="B74" s="120" t="str">
        <x:v>Review_Status</x:v>
      </x:c>
      <x:c r="C74" s="120" t="str">
        <x:v>Controlled text</x:v>
      </x:c>
      <x:c r="D74" s="120" t="str">
        <x:v>Yes</x:v>
      </x:c>
      <x:c r="E74" s="120" t="str">
        <x:v>Current confidence and editorial state of the priority assessment.</x:v>
      </x:c>
      <x:c r="F74" s="120" t="str">
        <x:v>Priority scores require periodic review as the database grows.</x:v>
      </x:c>
    </x:row>
    <x:row r="75" ht="40" customHeight="1">
      <x:c r="A75" s="119" t="str">
        <x:v>Source Priority</x:v>
      </x:c>
      <x:c r="B75" s="120" t="str">
        <x:v>Reference_URL</x:v>
      </x:c>
      <x:c r="C75" s="120" t="str">
        <x:v>URL</x:v>
      </x:c>
      <x:c r="D75" s="120" t="str">
        <x:v>No</x:v>
      </x:c>
      <x:c r="E75" s="120" t="str">
        <x:v>Orientation link to the best available official, primary, scholarly, or corpus-level source.</x:v>
      </x:c>
      <x:c r="F75" s="120" t="str">
        <x:v>Use more precise citations in source-specific records.</x:v>
      </x:c>
    </x:row>
    <x:row r="76" ht="40" customHeight="1">
      <x:c r="A76" s="119" t="str">
        <x:v>Source Priority</x:v>
      </x:c>
      <x:c r="B76" s="120" t="str">
        <x:v>Last_Reviewed</x:v>
      </x:c>
      <x:c r="C76" s="120" t="str">
        <x:v>Date</x:v>
      </x:c>
      <x:c r="D76" s="120" t="str">
        <x:v>Yes</x:v>
      </x:c>
      <x:c r="E76" s="120" t="str">
        <x:v>Date on which the priority assessment was last reviewed.</x:v>
      </x:c>
      <x:c r="F76" s="120" t="str">
        <x:v>Use ISO-style dates in source data where possible.</x:v>
      </x:c>
    </x:row>
    <x:row r="77" ht="40" customHeight="1">
      <x:c r="A77" s="119" t="str">
        <x:v>Term Metadata</x:v>
      </x:c>
      <x:c r="B77" s="120" t="str">
        <x:v>Term_ID</x:v>
      </x:c>
      <x:c r="C77" s="120" t="str">
        <x:v>Text / key</x:v>
      </x:c>
      <x:c r="D77" s="120" t="str">
        <x:v>Yes</x:v>
      </x:c>
      <x:c r="E77" s="120" t="str">
        <x:v>Stable identifier for a language- and witness-sensitive terminology record.</x:v>
      </x:c>
      <x:c r="F77" s="120" t="str">
        <x:v>Never reuse a retired ID.</x:v>
      </x:c>
    </x:row>
    <x:row r="78" ht="40" customHeight="1">
      <x:c r="A78" s="119" t="str">
        <x:v>Term Metadata</x:v>
      </x:c>
      <x:c r="B78" s="120" t="str">
        <x:v>Source_Entry_ID</x:v>
      </x:c>
      <x:c r="C78" s="120" t="str">
        <x:v>Text / foreign key</x:v>
      </x:c>
      <x:c r="D78" s="120" t="str">
        <x:v>Yes</x:v>
      </x:c>
      <x:c r="E78" s="120" t="str">
        <x:v>Seed Catalogue entry described by the terminology record.</x:v>
      </x:c>
      <x:c r="F78" s="120" t="str">
        <x:v>Must match Seed Catalogue.Entry_ID.</x:v>
      </x:c>
    </x:row>
    <x:row r="79" ht="40" customHeight="1">
      <x:c r="A79" s="119" t="str">
        <x:v>Term Metadata</x:v>
      </x:c>
      <x:c r="B79" s="120" t="str">
        <x:v>Source_ID</x:v>
      </x:c>
      <x:c r="C79" s="120" t="str">
        <x:v>Text / foreign key</x:v>
      </x:c>
      <x:c r="D79" s="120" t="str">
        <x:v>Yes</x:v>
      </x:c>
      <x:c r="E79" s="120" t="str">
        <x:v>Source Corpus record governing the terminology context.</x:v>
      </x:c>
      <x:c r="F79" s="120" t="str">
        <x:v>Must match Source Corpus.Source_ID.</x:v>
      </x:c>
    </x:row>
    <x:row r="80" ht="40" customHeight="1">
      <x:c r="A80" s="119" t="str">
        <x:v>Term Metadata</x:v>
      </x:c>
      <x:c r="B80" s="120" t="str">
        <x:v>Canonical_Term</x:v>
      </x:c>
      <x:c r="C80" s="120" t="str">
        <x:v>Text</x:v>
      </x:c>
      <x:c r="D80" s="120" t="str">
        <x:v>Yes</x:v>
      </x:c>
      <x:c r="E80" s="120" t="str">
        <x:v>Preferred display term for this source, witness, or layer.</x:v>
      </x:c>
      <x:c r="F80" s="120" t="str">
        <x:v>Preserve diacritics when reliable.</x:v>
      </x:c>
    </x:row>
    <x:row r="81" ht="40" customHeight="1">
      <x:c r="A81" s="119" t="str">
        <x:v>Term Metadata</x:v>
      </x:c>
      <x:c r="B81" s="120" t="str">
        <x:v>Original_Language</x:v>
      </x:c>
      <x:c r="C81" s="120" t="str">
        <x:v>Text</x:v>
      </x:c>
      <x:c r="D81" s="120" t="str">
        <x:v>No</x:v>
      </x:c>
      <x:c r="E81" s="120" t="str">
        <x:v>Language or language stage associated with the recorded term.</x:v>
      </x:c>
      <x:c r="F81" s="120" t="str">
        <x:v>Be specific when a source includes multiple languages.</x:v>
      </x:c>
    </x:row>
    <x:row r="82" ht="40" customHeight="1">
      <x:c r="A82" s="119" t="str">
        <x:v>Term Metadata</x:v>
      </x:c>
      <x:c r="B82" s="120" t="str">
        <x:v>Original_Script</x:v>
      </x:c>
      <x:c r="C82" s="120" t="str">
        <x:v>Text</x:v>
      </x:c>
      <x:c r="D82" s="120" t="str">
        <x:v>No</x:v>
      </x:c>
      <x:c r="E82" s="120" t="str">
        <x:v>Term written in the relevant original script.</x:v>
      </x:c>
      <x:c r="F82" s="120" t="str">
        <x:v>Leave blank rather than inventing an unverified spelling.</x:v>
      </x:c>
    </x:row>
    <x:row r="83" ht="40" customHeight="1">
      <x:c r="A83" s="119" t="str">
        <x:v>Term Metadata</x:v>
      </x:c>
      <x:c r="B83" s="120" t="str">
        <x:v>Transliteration</x:v>
      </x:c>
      <x:c r="C83" s="120" t="str">
        <x:v>Text</x:v>
      </x:c>
      <x:c r="D83" s="120" t="str">
        <x:v>No</x:v>
      </x:c>
      <x:c r="E83" s="120" t="str">
        <x:v>Romanization under a named or inferable transliteration system.</x:v>
      </x:c>
      <x:c r="F83" s="120" t="str">
        <x:v>Record the system in notes or Citation_Granularity where ambiguity matters.</x:v>
      </x:c>
    </x:row>
    <x:row r="84" ht="40" customHeight="1">
      <x:c r="A84" s="119" t="str">
        <x:v>Term Metadata</x:v>
      </x:c>
      <x:c r="B84" s="120" t="str">
        <x:v>Literal_Gloss</x:v>
      </x:c>
      <x:c r="C84" s="120" t="str">
        <x:v>Text</x:v>
      </x:c>
      <x:c r="D84" s="120" t="str">
        <x:v>No</x:v>
      </x:c>
      <x:c r="E84" s="120" t="str">
        <x:v>Cautious word-level gloss rather than a full cultural definition.</x:v>
      </x:c>
      <x:c r="F84" s="120" t="str">
        <x:v>Do not treat a literal gloss as an exhaustive translation.</x:v>
      </x:c>
    </x:row>
    <x:row r="85" ht="40" customHeight="1">
      <x:c r="A85" s="119" t="str">
        <x:v>Term Metadata</x:v>
      </x:c>
      <x:c r="B85" s="120" t="str">
        <x:v>Period_or_Layer</x:v>
      </x:c>
      <x:c r="C85" s="120" t="str">
        <x:v>Text</x:v>
      </x:c>
      <x:c r="D85" s="120" t="str">
        <x:v>No</x:v>
      </x:c>
      <x:c r="E85" s="120" t="str">
        <x:v>Textual, historical, redactional, edition, or adaptation layer.</x:v>
      </x:c>
      <x:c r="F85" s="120" t="str">
        <x:v>Use explicit uncertainty where dating or layering is disputed.</x:v>
      </x:c>
    </x:row>
    <x:row r="86" ht="40" customHeight="1">
      <x:c r="A86" s="119" t="str">
        <x:v>Term Metadata</x:v>
      </x:c>
      <x:c r="B86" s="120" t="str">
        <x:v>Region_or_Tradition</x:v>
      </x:c>
      <x:c r="C86" s="120" t="str">
        <x:v>Text</x:v>
      </x:c>
      <x:c r="D86" s="120" t="str">
        <x:v>Yes</x:v>
      </x:c>
      <x:c r="E86" s="120" t="str">
        <x:v>Specific regional, textual, religious, performance, or interpretive tradition.</x:v>
      </x:c>
      <x:c r="F86" s="120" t="str">
        <x:v>Avoid flattening distinct traditions into a national or continental label.</x:v>
      </x:c>
    </x:row>
    <x:row r="87" ht="40" customHeight="1">
      <x:c r="A87" s="119" t="str">
        <x:v>Term Metadata</x:v>
      </x:c>
      <x:c r="B87" s="120" t="str">
        <x:v>Textual_Witness</x:v>
      </x:c>
      <x:c r="C87" s="120" t="str">
        <x:v>Text</x:v>
      </x:c>
      <x:c r="D87" s="120" t="str">
        <x:v>No</x:v>
      </x:c>
      <x:c r="E87" s="120" t="str">
        <x:v>Edition, manuscript family, translation, oral account, rules text, or adaptation witness reviewed.</x:v>
      </x:c>
      <x:c r="F87" s="120" t="str">
        <x:v>Cite the exact witness whenever practical.</x:v>
      </x:c>
    </x:row>
    <x:row r="88" ht="40" customHeight="1">
      <x:c r="A88" s="119" t="str">
        <x:v>Term Metadata</x:v>
      </x:c>
      <x:c r="B88" s="120" t="str">
        <x:v>Tradition_Status</x:v>
      </x:c>
      <x:c r="C88" s="120" t="str">
        <x:v>Controlled text</x:v>
      </x:c>
      <x:c r="D88" s="120" t="str">
        <x:v>Yes</x:v>
      </x:c>
      <x:c r="E88" s="120" t="str">
        <x:v>Whether the record concerns a living sacred tradition, historical religion, epic corpus, folklore, adaptation, convention, or disputed composite.</x:v>
      </x:c>
      <x:c r="F88" s="120" t="str">
        <x:v>Controls sourcing and cultural-caution expectations.</x:v>
      </x:c>
    </x:row>
    <x:row r="89" ht="40" customHeight="1">
      <x:c r="A89" s="119" t="str">
        <x:v>Term Metadata</x:v>
      </x:c>
      <x:c r="B89" s="120" t="str">
        <x:v>Translation_Variants</x:v>
      </x:c>
      <x:c r="C89" s="120" t="str">
        <x:v>Long text</x:v>
      </x:c>
      <x:c r="D89" s="120" t="str">
        <x:v>No</x:v>
      </x:c>
      <x:c r="E89" s="120" t="str">
        <x:v>Competing, historical, official, or common English renderings.</x:v>
      </x:c>
      <x:c r="F89" s="120" t="str">
        <x:v>Separate variants and identify misleading equivalences.</x:v>
      </x:c>
    </x:row>
    <x:row r="90" ht="40" customHeight="1">
      <x:c r="A90" s="119" t="str">
        <x:v>Term Metadata</x:v>
      </x:c>
      <x:c r="B90" s="120" t="str">
        <x:v>Sacred_Context_Caution</x:v>
      </x:c>
      <x:c r="C90" s="120" t="str">
        <x:v>Long text</x:v>
      </x:c>
      <x:c r="D90" s="120" t="str">
        <x:v>No</x:v>
      </x:c>
      <x:c r="E90" s="120" t="str">
        <x:v>Specific warning about reducing a sacred, living, or culturally embedded concept to a fantasy mechanic.</x:v>
      </x:c>
      <x:c r="F90" s="120" t="str">
        <x:v>Use concrete cautions rather than generic disclaimers.</x:v>
      </x:c>
    </x:row>
    <x:row r="91" ht="40" customHeight="1">
      <x:c r="A91" s="119" t="str">
        <x:v>Term Metadata</x:v>
      </x:c>
      <x:c r="B91" s="120" t="str">
        <x:v>Novelty_Classification</x:v>
      </x:c>
      <x:c r="C91" s="120" t="str">
        <x:v>Controlled text</x:v>
      </x:c>
      <x:c r="D91" s="120" t="str">
        <x:v>Yes</x:v>
      </x:c>
      <x:c r="E91" s="120" t="str">
        <x:v>Research value of the term: new domain/family/subtype, counterexample, adaptation transformation, representative example, or redundant sample.</x:v>
      </x:c>
      <x:c r="F91" s="120" t="str">
        <x:v>A term can be important without requiring a new normalized family.</x:v>
      </x:c>
    </x:row>
    <x:row r="92" ht="40" customHeight="1">
      <x:c r="A92" s="119" t="str">
        <x:v>Term Metadata</x:v>
      </x:c>
      <x:c r="B92" s="120" t="str">
        <x:v>Citation_Granularity</x:v>
      </x:c>
      <x:c r="C92" s="120" t="str">
        <x:v>Text</x:v>
      </x:c>
      <x:c r="D92" s="120" t="str">
        <x:v>Yes</x:v>
      </x:c>
      <x:c r="E92" s="120" t="str">
        <x:v>Level at which evidence is currently recorded: corpus, volume, book, parva, chapter, verse, rules page, codex, and so forth.</x:v>
      </x:c>
      <x:c r="F92" s="120" t="str">
        <x:v>Increase granularity during deep passes.</x:v>
      </x:c>
    </x:row>
    <x:row r="93" ht="40" customHeight="1">
      <x:c r="A93" s="119" t="str">
        <x:v>Term Metadata</x:v>
      </x:c>
      <x:c r="B93" s="120" t="str">
        <x:v>Reference_URL</x:v>
      </x:c>
      <x:c r="C93" s="120" t="str">
        <x:v>URL</x:v>
      </x:c>
      <x:c r="D93" s="120" t="str">
        <x:v>No</x:v>
      </x:c>
      <x:c r="E93" s="120" t="str">
        <x:v>Orientation or access link to the cited witness or institutional source.</x:v>
      </x:c>
      <x:c r="F93" s="120" t="str">
        <x:v>Do not substitute a general URL for a precise textual citation when making detailed claims.</x:v>
      </x:c>
    </x:row>
    <x:row r="94" ht="40" customHeight="1">
      <x:c r="A94" s="119" t="str">
        <x:v>Term Metadata</x:v>
      </x:c>
      <x:c r="B94" s="120" t="str">
        <x:v>Review_Status</x:v>
      </x:c>
      <x:c r="C94" s="120" t="str">
        <x:v>Controlled text</x:v>
      </x:c>
      <x:c r="D94" s="120" t="str">
        <x:v>Yes</x:v>
      </x:c>
      <x:c r="E94" s="120" t="str">
        <x:v>Current editorial verification state.</x:v>
      </x:c>
      <x:c r="F94" s="120" t="str">
        <x:v>Use together with Seed Catalogue.Evidence_Level.</x:v>
      </x:c>
    </x:row>
    <x:row r="95" ht="40" customHeight="1">
      <x:c r="A95" s="119" t="str">
        <x:v>Adaptation Crosswalk</x:v>
      </x:c>
      <x:c r="B95" s="120" t="str">
        <x:v>Crosswalk_ID</x:v>
      </x:c>
      <x:c r="C95" s="120" t="str">
        <x:v>Text / key</x:v>
      </x:c>
      <x:c r="D95" s="120" t="str">
        <x:v>Yes</x:v>
      </x:c>
      <x:c r="E95" s="120" t="str">
        <x:v>Stable identifier for a typed source-to-adaptation transformation record.</x:v>
      </x:c>
      <x:c r="F95" s="120" t="str">
        <x:v>Never reuse a retired ID.</x:v>
      </x:c>
    </x:row>
    <x:row r="96" ht="40" customHeight="1">
      <x:c r="A96" s="119" t="str">
        <x:v>Adaptation Crosswalk</x:v>
      </x:c>
      <x:c r="B96" s="120" t="str">
        <x:v>Traditional_Source_ID</x:v>
      </x:c>
      <x:c r="C96" s="120" t="str">
        <x:v>Text / foreign key</x:v>
      </x:c>
      <x:c r="D96" s="120" t="str">
        <x:v>No for general patterns</x:v>
      </x:c>
      <x:c r="E96" s="120" t="str">
        <x:v>Source Corpus record for the traditional, literary, historical, or earlier concept.</x:v>
      </x:c>
      <x:c r="F96" s="120" t="str">
        <x:v>May be blank for a deliberately generic adaptation operation; otherwise link to Source Corpus.</x:v>
      </x:c>
    </x:row>
    <x:row r="97" ht="40" customHeight="1">
      <x:c r="A97" s="119" t="str">
        <x:v>Adaptation Crosswalk</x:v>
      </x:c>
      <x:c r="B97" s="120" t="str">
        <x:v>Traditional_Concept</x:v>
      </x:c>
      <x:c r="C97" s="120" t="str">
        <x:v>Text</x:v>
      </x:c>
      <x:c r="D97" s="120" t="str">
        <x:v>Yes</x:v>
      </x:c>
      <x:c r="E97" s="120" t="str">
        <x:v>Source-faithful concept prior to the adaptation operation.</x:v>
      </x:c>
      <x:c r="F97" s="120" t="str">
        <x:v>Use native terminology where the row is tradition-specific.</x:v>
      </x:c>
    </x:row>
    <x:row r="98" ht="40" customHeight="1">
      <x:c r="A98" s="119" t="str">
        <x:v>Adaptation Crosswalk</x:v>
      </x:c>
      <x:c r="B98" s="120" t="str">
        <x:v>Traditional_Record_Type</x:v>
      </x:c>
      <x:c r="C98" s="120" t="str">
        <x:v>Text</x:v>
      </x:c>
      <x:c r="D98" s="120" t="str">
        <x:v>Yes</x:v>
      </x:c>
      <x:c r="E98" s="120" t="str">
        <x:v>Ontology, role, institution, object, event, law, place, or relationship in the earlier source.</x:v>
      </x:c>
      <x:c r="F98" s="120" t="str">
        <x:v>Do not assume every input is a creature or class.</x:v>
      </x:c>
    </x:row>
    <x:row r="99" ht="40" customHeight="1">
      <x:c r="A99" s="119" t="str">
        <x:v>Adaptation Crosswalk</x:v>
      </x:c>
      <x:c r="B99" s="120" t="str">
        <x:v>Adaptation_Source_ID</x:v>
      </x:c>
      <x:c r="C99" s="120" t="str">
        <x:v>Text / foreign key</x:v>
      </x:c>
      <x:c r="D99" s="120" t="str">
        <x:v>Yes</x:v>
      </x:c>
      <x:c r="E99" s="120" t="str">
        <x:v>Source Corpus record for the later adaptation.</x:v>
      </x:c>
      <x:c r="F99" s="120" t="str">
        <x:v>Must match Source Corpus.Source_ID.</x:v>
      </x:c>
    </x:row>
    <x:row r="100" ht="40" customHeight="1">
      <x:c r="A100" s="119" t="str">
        <x:v>Adaptation Crosswalk</x:v>
      </x:c>
      <x:c r="B100" s="120" t="str">
        <x:v>Adaptation_Title</x:v>
      </x:c>
      <x:c r="C100" s="120" t="str">
        <x:v>Text</x:v>
      </x:c>
      <x:c r="D100" s="120" t="str">
        <x:v>Yes</x:v>
      </x:c>
      <x:c r="E100" s="120" t="str">
        <x:v>Human-readable title of the adaptation.</x:v>
      </x:c>
      <x:c r="F100" s="120" t="str">
        <x:v>Refresh after source-title changes.</x:v>
      </x:c>
    </x:row>
    <x:row r="101" ht="40" customHeight="1">
      <x:c r="A101" s="119" t="str">
        <x:v>Adaptation Crosswalk</x:v>
      </x:c>
      <x:c r="B101" s="120" t="str">
        <x:v>Adapted_Concept</x:v>
      </x:c>
      <x:c r="C101" s="120" t="str">
        <x:v>Text</x:v>
      </x:c>
      <x:c r="D101" s="120" t="str">
        <x:v>Yes</x:v>
      </x:c>
      <x:c r="E101" s="120" t="str">
        <x:v>Name or category used by the adaptation.</x:v>
      </x:c>
      <x:c r="F101" s="120" t="str">
        <x:v>Record edition, expansion, or continuity when material.</x:v>
      </x:c>
    </x:row>
    <x:row r="102" ht="40" customHeight="1">
      <x:c r="A102" s="119" t="str">
        <x:v>Adaptation Crosswalk</x:v>
      </x:c>
      <x:c r="B102" s="120" t="str">
        <x:v>Game_Form</x:v>
      </x:c>
      <x:c r="C102" s="120" t="str">
        <x:v>Text</x:v>
      </x:c>
      <x:c r="D102" s="120" t="str">
        <x:v>No</x:v>
      </x:c>
      <x:c r="E102" s="120" t="str">
        <x:v>Class, unit, faction, resource, ability, technology, boss, item, building, or other adapted form.</x:v>
      </x:c>
      <x:c r="F102" s="120" t="str">
        <x:v>Despite the field name, non-game adaptations may describe an equivalent media form.</x:v>
      </x:c>
    </x:row>
    <x:row r="103" ht="40" customHeight="1">
      <x:c r="A103" s="119" t="str">
        <x:v>Adaptation Crosswalk</x:v>
      </x:c>
      <x:c r="B103" s="120" t="str">
        <x:v>Adaptation_Operation</x:v>
      </x:c>
      <x:c r="C103" s="120" t="str">
        <x:v>Controlled text</x:v>
      </x:c>
      <x:c r="D103" s="120" t="str">
        <x:v>Yes</x:v>
      </x:c>
      <x:c r="E103" s="120" t="str">
        <x:v>Typed operation such as unitization, mechanization, factionalization, itemization, or decontextualization.</x:v>
      </x:c>
      <x:c r="F103" s="120" t="str">
        <x:v>Choose the most explanatory primary operation; discuss secondary operations in notes.</x:v>
      </x:c>
    </x:row>
    <x:row r="104" ht="40" customHeight="1">
      <x:c r="A104" s="119" t="str">
        <x:v>Adaptation Crosswalk</x:v>
      </x:c>
      <x:c r="B104" s="120" t="str">
        <x:v>Preserved_Dimension</x:v>
      </x:c>
      <x:c r="C104" s="120" t="str">
        <x:v>Long text</x:v>
      </x:c>
      <x:c r="D104" s="120" t="str">
        <x:v>Yes</x:v>
      </x:c>
      <x:c r="E104" s="120" t="str">
        <x:v>Names, images, relationships, functions, or meanings retained by the adaptation.</x:v>
      </x:c>
      <x:c r="F104" s="120" t="str">
        <x:v>State positive continuity before describing loss.</x:v>
      </x:c>
    </x:row>
    <x:row r="105" ht="40" customHeight="1">
      <x:c r="A105" s="119" t="str">
        <x:v>Adaptation Crosswalk</x:v>
      </x:c>
      <x:c r="B105" s="120" t="str">
        <x:v>Changed_or_Lost</x:v>
      </x:c>
      <x:c r="C105" s="120" t="str">
        <x:v>Long text</x:v>
      </x:c>
      <x:c r="D105" s="120" t="str">
        <x:v>Yes</x:v>
      </x:c>
      <x:c r="E105" s="120" t="str">
        <x:v>Context, ambiguity, plurality, social meaning, ritual status, ontology, or narrative function altered or omitted.</x:v>
      </x:c>
      <x:c r="F105" s="120" t="str">
        <x:v>Avoid implying that adaptation is inherently inferior; describe the operation.</x:v>
      </x:c>
    </x:row>
    <x:row r="106" ht="40" customHeight="1">
      <x:c r="A106" s="119" t="str">
        <x:v>Adaptation Crosswalk</x:v>
      </x:c>
      <x:c r="B106" s="120" t="str">
        <x:v>Mechanical_Function</x:v>
      </x:c>
      <x:c r="C106" s="120" t="str">
        <x:v>Long text</x:v>
      </x:c>
      <x:c r="D106" s="120" t="str">
        <x:v>No</x:v>
      </x:c>
      <x:c r="E106" s="120" t="str">
        <x:v>What the adapted concept does within the target medium's rules or structure.</x:v>
      </x:c>
      <x:c r="F106" s="120" t="str">
        <x:v>Use for games and other systematized media.</x:v>
      </x:c>
    </x:row>
    <x:row r="107" ht="40" customHeight="1">
      <x:c r="A107" s="119" t="str">
        <x:v>Adaptation Crosswalk</x:v>
      </x:c>
      <x:c r="B107" s="120" t="str">
        <x:v>Equivalence_Level</x:v>
      </x:c>
      <x:c r="C107" s="120" t="str">
        <x:v>Controlled text</x:v>
      </x:c>
      <x:c r="D107" s="120" t="str">
        <x:v>Yes</x:v>
      </x:c>
      <x:c r="E107" s="120" t="str">
        <x:v>Strength and type of analogy between the source concept and its adaptation form.</x:v>
      </x:c>
      <x:c r="F107" s="120" t="str">
        <x:v>Default to partial analogy unless evidence justifies a stronger claim.</x:v>
      </x:c>
    </x:row>
    <x:row r="108" ht="40" customHeight="1">
      <x:c r="A108" s="119" t="str">
        <x:v>Adaptation Crosswalk</x:v>
      </x:c>
      <x:c r="B108" s="120" t="str">
        <x:v>Evidence_Level</x:v>
      </x:c>
      <x:c r="C108" s="120" t="str">
        <x:v>Controlled text</x:v>
      </x:c>
      <x:c r="D108" s="120" t="str">
        <x:v>Yes</x:v>
      </x:c>
      <x:c r="E108" s="120" t="str">
        <x:v>Quality of the reviewed evidence supporting the adaptation description.</x:v>
      </x:c>
      <x:c r="F108" s="120" t="str">
        <x:v>Apply the same claim discipline used in Seed Catalogue.</x:v>
      </x:c>
    </x:row>
    <x:row r="109" ht="40" customHeight="1">
      <x:c r="A109" s="119" t="str">
        <x:v>Adaptation Crosswalk</x:v>
      </x:c>
      <x:c r="B109" s="120" t="str">
        <x:v>Source_Reference</x:v>
      </x:c>
      <x:c r="C109" s="120" t="str">
        <x:v>Long text</x:v>
      </x:c>
      <x:c r="D109" s="120" t="str">
        <x:v>Yes</x:v>
      </x:c>
      <x:c r="E109" s="120" t="str">
        <x:v>Edition, text, official rules material, game guide, or source passage supporting the crosswalk.</x:v>
      </x:c>
      <x:c r="F109" s="120" t="str">
        <x:v>Cite both sides when the claim depends on source-specific detail.</x:v>
      </x:c>
    </x:row>
    <x:row r="110" ht="40" customHeight="1">
      <x:c r="A110" s="119" t="str">
        <x:v>Adaptation Crosswalk</x:v>
      </x:c>
      <x:c r="B110" s="120" t="str">
        <x:v>Reference_URL</x:v>
      </x:c>
      <x:c r="C110" s="120" t="str">
        <x:v>URL</x:v>
      </x:c>
      <x:c r="D110" s="120" t="str">
        <x:v>No</x:v>
      </x:c>
      <x:c r="E110" s="120" t="str">
        <x:v>Orientation link to official or primary adaptation material.</x:v>
      </x:c>
      <x:c r="F110" s="120" t="str">
        <x:v>Supplement with tradition-side evidence for specific cross-cultural claims.</x:v>
      </x:c>
    </x:row>
    <x:row r="111" ht="40" customHeight="1">
      <x:c r="A111" s="119" t="str">
        <x:v>Adaptation Crosswalk</x:v>
      </x:c>
      <x:c r="B111" s="120" t="str">
        <x:v>Review_Status</x:v>
      </x:c>
      <x:c r="C111" s="120" t="str">
        <x:v>Controlled text</x:v>
      </x:c>
      <x:c r="D111" s="120" t="str">
        <x:v>Yes</x:v>
      </x:c>
      <x:c r="E111" s="120" t="str">
        <x:v>Current editorial verification state.</x:v>
      </x:c>
      <x:c r="F111" s="120" t="str">
        <x:v>Crosswalks are hypotheses requiring periodic review.</x:v>
      </x:c>
    </x:row>
  </x:sheetData>
  <x:pageMargins left="0.7" right="0.7" top="0.75" bottom="0.75" header="0.3" footer="0.3"/>
  <x:tableParts count="1">
    <x:tablePart xmlns:r="http://schemas.openxmlformats.org/officeDocument/2006/relationships" r:id="R117a10ccc4564914"/>
  </x:tableParts>
</x:worksheet>
</file>

<file path=xl/worksheets/sheet9.xml><?xml version="1.0" encoding="utf-8"?>
<x:worksheet xmlns:x="http://schemas.openxmlformats.org/spreadsheetml/2006/main">
  <x:sheetFormatPr defaultRowHeight="15"/>
  <x:cols>
    <x:col min="1" max="1" width="12" hidden="0" customWidth="1"/>
    <x:col min="2" max="2" width="30" hidden="0" customWidth="1"/>
    <x:col min="3" max="3" width="36" hidden="0" customWidth="1"/>
    <x:col min="4" max="4" width="58" hidden="0" customWidth="1"/>
    <x:col min="5" max="5" width="16" hidden="0" customWidth="1"/>
    <x:col min="6" max="6" width="16" hidden="0" customWidth="1"/>
  </x:cols>
  <x:sheetData>
    <x:row r="1" ht="34" customHeight="1">
      <x:c r="A1" s="31" t="str">
        <x:v>Queue_ID</x:v>
      </x:c>
      <x:c r="B1" s="31" t="str">
        <x:v>Workstream</x:v>
      </x:c>
      <x:c r="C1" s="31" t="str">
        <x:v>Scope</x:v>
      </x:c>
      <x:c r="D1" s="31" t="str">
        <x:v>Goal</x:v>
      </x:c>
      <x:c r="E1" s="31" t="str">
        <x:v>Priority</x:v>
      </x:c>
      <x:c r="F1" s="31" t="str">
        <x:v>Status</x:v>
      </x:c>
    </x:row>
    <x:row r="2" ht="42" customHeight="1">
      <x:c r="A2" s="24" t="str">
        <x:v>RQ-001</x:v>
      </x:c>
      <x:c r="B2" s="24" t="str">
        <x:v>Primary-citation deep pass</x:v>
      </x:c>
      <x:c r="C2" s="24" t="str">
        <x:v>Tolkien, ASOIAF, Witcher, Tactics Ogre</x:v>
      </x:c>
      <x:c r="D2" s="24" t="str">
        <x:v>Replace corpus-level references with book/chapter, rules page, codex, or in-game entry citations.</x:v>
      </x:c>
      <x:c r="E2" s="24" t="str">
        <x:v>High</x:v>
      </x:c>
      <x:c r="F2" s="24" t="str">
        <x:v>Open</x:v>
      </x:c>
    </x:row>
    <x:row r="3" ht="42" customHeight="1">
      <x:c r="A3" s="24" t="str">
        <x:v>RQ-002</x:v>
      </x:c>
      <x:c r="B3" s="24" t="str">
        <x:v>Adaptation divergence</x:v>
      </x:c>
      <x:c r="C3" s="24" t="str">
        <x:v>Tolkien, ASOIAF, Witcher, Fullmetal Alchemist</x:v>
      </x:c>
      <x:c r="D3" s="24" t="str">
        <x:v>Create paired records where screen or game adaptations materially change ontology, powers, institutions, or terminology.</x:v>
      </x:c>
      <x:c r="E3" s="24" t="str">
        <x:v>High</x:v>
      </x:c>
      <x:c r="F3" s="24" t="str">
        <x:v>Open</x:v>
      </x:c>
    </x:row>
    <x:row r="4" ht="42" customHeight="1">
      <x:c r="A4" s="24" t="str">
        <x:v>RQ-003</x:v>
      </x:c>
      <x:c r="B4" s="24" t="str">
        <x:v>D&amp;D edition history</x:v>
      </x:c>
      <x:c r="C4" s="24" t="str">
        <x:v>Dungeons &amp; Dragons</x:v>
      </x:c>
      <x:c r="D4" s="24" t="str">
        <x:v>Separate OD&amp;D, AD&amp;D, 3e, 4e, 5e-2014, and 5e-2024 class/species taxonomies.</x:v>
      </x:c>
      <x:c r="E4" s="24" t="str">
        <x:v>High</x:v>
      </x:c>
      <x:c r="F4" s="24" t="str">
        <x:v>Open</x:v>
      </x:c>
    </x:row>
    <x:row r="5" ht="42" customHeight="1">
      <x:c r="A5" s="24" t="str">
        <x:v>RQ-004</x:v>
      </x:c>
      <x:c r="B5" s="24" t="str">
        <x:v>Final Fantasy title matrix</x:v>
      </x:c>
      <x:c r="C5" s="24" t="str">
        <x:v>Final Fantasy</x:v>
      </x:c>
      <x:c r="D5" s="24" t="str">
        <x:v>Record job appearance, meaning, and mechanics per numbered and tactical title rather than only recurring franchise patterns.</x:v>
      </x:c>
      <x:c r="E5" s="24" t="str">
        <x:v>High</x:v>
      </x:c>
      <x:c r="F5" s="24" t="str">
        <x:v>Open</x:v>
      </x:c>
    </x:row>
    <x:row r="6" ht="42" customHeight="1">
      <x:c r="A6" s="24" t="str">
        <x:v>RQ-005</x:v>
      </x:c>
      <x:c r="B6" s="24" t="str">
        <x:v>Live-service snapshots</x:v>
      </x:c>
      <x:c r="C6" s="24" t="str">
        <x:v>World of Warcraft, Final Fantasy XIV, Guild Wars 2</x:v>
      </x:c>
      <x:c r="D6" s="24" t="str">
        <x:v>Store dated snapshots for playable races, classes/jobs, and specialization structures.</x:v>
      </x:c>
      <x:c r="E6" s="24" t="str">
        <x:v>High</x:v>
      </x:c>
      <x:c r="F6" s="24" t="str">
        <x:v>Open</x:v>
      </x:c>
    </x:row>
    <x:row r="7" ht="42" customHeight="1">
      <x:c r="A7" s="24" t="str">
        <x:v>RQ-006</x:v>
      </x:c>
      <x:c r="B7" s="24" t="str">
        <x:v>Japanese folklore layer</x:v>
      </x:c>
      <x:c r="C7" s="24" t="str">
        <x:v>Mythology / folklore and Japanese media</x:v>
      </x:c>
      <x:c r="D7" s="24" t="str">
        <x:v>Separate yōkai, kami, onryō, oni, tengu, kitsune, tsukumogami, and modern media transformations using specialist sources.</x:v>
      </x:c>
      <x:c r="E7" s="24" t="str">
        <x:v>High</x:v>
      </x:c>
      <x:c r="F7" s="24" t="str">
        <x:v>Open</x:v>
      </x:c>
    </x:row>
    <x:row r="8" ht="42" customHeight="1">
      <x:c r="A8" s="24" t="str">
        <x:v>RQ-007</x:v>
      </x:c>
      <x:c r="B8" s="24" t="str">
        <x:v>Chinese cosmology and cultivation</x:v>
      </x:c>
      <x:c r="C8" s="24" t="str">
        <x:v>Xianxia, wuxia, xuanhuan</x:v>
      </x:c>
      <x:c r="D8" s="24" t="str">
        <x:v>Expand cultivation realms, sect roles, immortals, spirits, demons, alchemy, talismans, formations, and heavenly bureaucracy without treating all works as one system.</x:v>
      </x:c>
      <x:c r="E8" s="24" t="str">
        <x:v>High</x:v>
      </x:c>
      <x:c r="F8" s="24" t="str">
        <x:v>Open</x:v>
      </x:c>
    </x:row>
    <x:row r="9" ht="42" customHeight="1">
      <x:c r="A9" s="24" t="str">
        <x:v>RQ-008</x:v>
      </x:c>
      <x:c r="B9" s="24" t="str">
        <x:v>Korean fantasy ecosystems</x:v>
      </x:c>
      <x:c r="C9" s="24" t="str">
        <x:v>Manhwa, web novels, folklore</x:v>
      </x:c>
      <x:c r="D9" s="24" t="str">
        <x:v>Distinguish hunter/gate systems, constellations, regressors, murim traditions, dokkaebi, and indigenous mythic elements.</x:v>
      </x:c>
      <x:c r="E9" s="24" t="str">
        <x:v>Major</x:v>
      </x:c>
      <x:c r="F9" s="24" t="str">
        <x:v>Open</x:v>
      </x:c>
    </x:row>
    <x:row r="10" ht="42" customHeight="1">
      <x:c r="A10" s="24" t="str">
        <x:v>RQ-009</x:v>
      </x:c>
      <x:c r="B10" s="24" t="str">
        <x:v>South Asian traditions</x:v>
      </x:c>
      <x:c r="C10" s="24" t="str">
        <x:v>Epic, puranic, folkloric, and modern fantasy</x:v>
      </x:c>
      <x:c r="D10" s="24" t="str">
        <x:v>Develop culturally specific records for yaksha, rakshasa, naga, gandharva, apsara, asura/deva relations, siddha, and modern reinterpretations.</x:v>
      </x:c>
      <x:c r="E10" s="24" t="str">
        <x:v>High</x:v>
      </x:c>
      <x:c r="F10" s="24" t="str">
        <x:v>In progress — Version 2.0 Mahābhārata source-complex pass seeded</x:v>
      </x:c>
    </x:row>
    <x:row r="11" ht="42" customHeight="1">
      <x:c r="A11" s="24" t="str">
        <x:v>RQ-010</x:v>
      </x:c>
      <x:c r="B11" s="24" t="str">
        <x:v>West Asian and Persian traditions</x:v>
      </x:c>
      <x:c r="C11" s="24" t="str">
        <x:v>Arabic, Persian, Turkic, and adjacent sources</x:v>
      </x:c>
      <x:c r="D11" s="24" t="str">
        <x:v>Separate jinn traditions, divs, peri, ghul, Simurgh, epic heroes, occult sciences, and modern fantasy adaptations.</x:v>
      </x:c>
      <x:c r="E11" s="24" t="str">
        <x:v>High</x:v>
      </x:c>
      <x:c r="F11" s="24" t="str">
        <x:v>Open</x:v>
      </x:c>
    </x:row>
    <x:row r="12" ht="42" customHeight="1">
      <x:c r="A12" s="24" t="str">
        <x:v>RQ-011</x:v>
      </x:c>
      <x:c r="B12" s="24" t="str">
        <x:v>African traditions</x:v>
      </x:c>
      <x:c r="C12" s="24" t="str">
        <x:v>Regional folklore, literature, games, screen media</x:v>
      </x:c>
      <x:c r="D12" s="24" t="str">
        <x:v>Build culture-specific—not continent-level—records with relevant scholarship and language-sensitive terminology.</x:v>
      </x:c>
      <x:c r="E12" s="24" t="str">
        <x:v>High</x:v>
      </x:c>
      <x:c r="F12" s="24" t="str">
        <x:v>Open</x:v>
      </x:c>
    </x:row>
    <x:row r="13" ht="42" customHeight="1">
      <x:c r="A13" s="24" t="str">
        <x:v>RQ-012</x:v>
      </x:c>
      <x:c r="B13" s="24" t="str">
        <x:v>Indigenous traditions</x:v>
      </x:c>
      <x:c r="C13" s="24" t="str">
        <x:v>Americas, Oceania, Arctic and other regions</x:v>
      </x:c>
      <x:c r="D13" s="24" t="str">
        <x:v>Include only with community-respectful sourcing; distinguish living sacred traditions from commercial fantasy borrowing.</x:v>
      </x:c>
      <x:c r="E13" s="24" t="str">
        <x:v>High</x:v>
      </x:c>
      <x:c r="F13" s="24" t="str">
        <x:v>Open</x:v>
      </x:c>
    </x:row>
    <x:row r="14" ht="42" customHeight="1">
      <x:c r="A14" s="24" t="str">
        <x:v>RQ-013</x:v>
      </x:c>
      <x:c r="B14" s="24" t="str">
        <x:v>Latin American fantasy</x:v>
      </x:c>
      <x:c r="C14" s="24" t="str">
        <x:v>Literature, comics, games, screen media</x:v>
      </x:c>
      <x:c r="D14" s="24" t="str">
        <x:v>Expand secondary-world, magical-realist-adjacent, folkloric, and Indigenous/colonial hybrid traditions without conflation.</x:v>
      </x:c>
      <x:c r="E14" s="24" t="str">
        <x:v>Major</x:v>
      </x:c>
      <x:c r="F14" s="24" t="str">
        <x:v>Open</x:v>
      </x:c>
    </x:row>
    <x:row r="15" ht="42" customHeight="1">
      <x:c r="A15" s="24" t="str">
        <x:v>RQ-014</x:v>
      </x:c>
      <x:c r="B15" s="24" t="str">
        <x:v>Africanfuturist and science-fantasy boundary</x:v>
      </x:c>
      <x:c r="C15" s="24" t="str">
        <x:v>Cross-media</x:v>
      </x:c>
      <x:c r="D15" s="24" t="str">
        <x:v>Add concepts where magic, cosmology, and technology produce genuinely hybrid archetypes.</x:v>
      </x:c>
      <x:c r="E15" s="24" t="str">
        <x:v>Major</x:v>
      </x:c>
      <x:c r="F15" s="24" t="str">
        <x:v>Open</x:v>
      </x:c>
    </x:row>
    <x:row r="16" ht="42" customHeight="1">
      <x:c r="A16" s="24" t="str">
        <x:v>RQ-015</x:v>
      </x:c>
      <x:c r="B16" s="24" t="str">
        <x:v>Board and card game mechanics</x:v>
      </x:c>
      <x:c r="C16" s="24" t="str">
        <x:v>Magic: The Gathering and major board games</x:v>
      </x:c>
      <x:c r="D16" s="24" t="str">
        <x:v>Record faction colors, creature types, deck roles, asymmetric peoples, and scenario-specific classes.</x:v>
      </x:c>
      <x:c r="E16" s="24" t="str">
        <x:v>Major</x:v>
      </x:c>
      <x:c r="F16" s="24" t="str">
        <x:v>Open</x:v>
      </x:c>
    </x:row>
    <x:row r="17" ht="42" customHeight="1">
      <x:c r="A17" s="24" t="str">
        <x:v>RQ-016</x:v>
      </x:c>
      <x:c r="B17" s="24" t="str">
        <x:v>Warhammer edition/faction split</x:v>
      </x:c>
      <x:c r="C17" s="24" t="str">
        <x:v>Warhammer Fantasy, The Old World, Age of Sigmar</x:v>
      </x:c>
      <x:c r="D17" s="24" t="str">
        <x:v>Separate continuities and track renamed or reinterpreted peoples and roles.</x:v>
      </x:c>
      <x:c r="E17" s="24" t="str">
        <x:v>Major</x:v>
      </x:c>
      <x:c r="F17" s="24" t="str">
        <x:v>Open</x:v>
      </x:c>
    </x:row>
    <x:row r="18" ht="42" customHeight="1">
      <x:c r="A18" s="24" t="str">
        <x:v>RQ-017</x:v>
      </x:c>
      <x:c r="B18" s="24" t="str">
        <x:v>Monster taxonomy audit</x:v>
      </x:c>
      <x:c r="C18" s="24" t="str">
        <x:v>All sources</x:v>
      </x:c>
      <x:c r="D18" s="24" t="str">
        <x:v>Distinguish species, spirit, curse, transformed mortal, summoned construct, boss role, and moralized enemy label.</x:v>
      </x:c>
      <x:c r="E18" s="24" t="str">
        <x:v>High</x:v>
      </x:c>
      <x:c r="F18" s="24" t="str">
        <x:v>Open</x:v>
      </x:c>
    </x:row>
    <x:row r="19" ht="42" customHeight="1">
      <x:c r="A19" s="24" t="str">
        <x:v>RQ-018</x:v>
      </x:c>
      <x:c r="B19" s="24" t="str">
        <x:v>Narrative archetype corpus</x:v>
      </x:c>
      <x:c r="C19" s="24" t="str">
        <x:v>Literature, film, television, manga/anime</x:v>
      </x:c>
      <x:c r="D19" s="24" t="str">
        <x:v>Link character and plot archetypes to representative works using spoiler-level controls.</x:v>
      </x:c>
      <x:c r="E19" s="24" t="str">
        <x:v>Major</x:v>
      </x:c>
      <x:c r="F19" s="24" t="str">
        <x:v>Open</x:v>
      </x:c>
    </x:row>
    <x:row r="20" ht="42" customHeight="1">
      <x:c r="A20" s="24" t="str">
        <x:v>RQ-019</x:v>
      </x:c>
      <x:c r="B20" s="24" t="str">
        <x:v>Translation terminology</x:v>
      </x:c>
      <x:c r="C20" s="24" t="str">
        <x:v>Translated literature, manga/anime, games</x:v>
      </x:c>
      <x:c r="D20" s="24" t="str">
        <x:v>Store original-language term, romanization, official translation, fan translation, and semantic notes.</x:v>
      </x:c>
      <x:c r="E20" s="24" t="str">
        <x:v>High</x:v>
      </x:c>
      <x:c r="F20" s="24" t="str">
        <x:v>Open</x:v>
      </x:c>
    </x:row>
    <x:row r="21" ht="42" customHeight="1">
      <x:c r="A21" s="24" t="str">
        <x:v>RQ-020</x:v>
      </x:c>
      <x:c r="B21" s="24" t="str">
        <x:v>Provenance and rights metadata</x:v>
      </x:c>
      <x:c r="C21" s="24" t="str">
        <x:v>All sources</x:v>
      </x:c>
      <x:c r="D21" s="24" t="str">
        <x:v>Add citation granularity, publication/edition identifiers, quote limits, and rights-safe notes.</x:v>
      </x:c>
      <x:c r="E21" s="24" t="str">
        <x:v>Major</x:v>
      </x:c>
      <x:c r="F21" s="24" t="str">
        <x:v>Open</x:v>
      </x:c>
    </x:row>
    <x:row r="22" ht="42" customHeight="1">
      <x:c r="A22" s="119" t="str">
        <x:v>RQ-021</x:v>
      </x:c>
      <x:c r="B22" s="120" t="str">
        <x:v>Mahābhārata witness and continuity pass</x:v>
      </x:c>
      <x:c r="C22" s="120" t="str">
        <x:v>BORI Critical Edition, Ganguli translation, Gītā layer, regional and vernacular traditions</x:v>
      </x:c>
      <x:c r="D22" s="120" t="str">
        <x:v>Replace corpus-level seed references with parva/chapter/verse citations; add explicit witness fields and parallel continuity records without privileging one layer as exhaustive.</x:v>
      </x:c>
      <x:c r="E22" s="120" t="str">
        <x:v>High</x:v>
      </x:c>
      <x:c r="F22" s="120" t="str">
        <x:v>In progress — Version 2.0 source-complex pass seeded</x:v>
      </x:c>
    </x:row>
    <x:row r="23" ht="42" customHeight="1">
      <x:c r="A23" s="119" t="str">
        <x:v>RQ-022</x:v>
      </x:c>
      <x:c r="B23" s="120" t="str">
        <x:v>Age of Mythology adaptation maintenance</x:v>
      </x:c>
      <x:c r="C23" s="120" t="str">
        <x:v>Age of Mythology: Retold and dated expansion snapshots</x:v>
      </x:c>
      <x:c r="D23" s="120" t="str">
        <x:v>Maintain a typed myth-to-game crosswalk for pantheon choices, myth units, god powers, favor, age progression, relics, heroes, and added traditions.</x:v>
      </x:c>
      <x:c r="E23" s="120" t="str">
        <x:v>High</x:v>
      </x:c>
      <x:c r="F23" s="120" t="str">
        <x:v>In progress — Version 2.0 adaptation crosswalk seeded</x:v>
      </x:c>
    </x:row>
    <x:row r="24" ht="42" customHeight="1">
      <x:c r="A24" s="119" t="str">
        <x:v>RQ-023</x:v>
      </x:c>
      <x:c r="B24" s="120" t="str">
        <x:v>Artifact/cosmology/law domain audit</x:v>
      </x:c>
      <x:c r="C24" s="120" t="str">
        <x:v>All sources</x:v>
      </x:c>
      <x:c r="D24" s="120" t="str">
        <x:v>Reclassify existing records that are better represented as artifacts, sacred geography, cosmological realms, metaphysical laws, rituals, vows, boons, curses, or exchanges.</x:v>
      </x:c>
      <x:c r="E24" s="120" t="str">
        <x:v>High</x:v>
      </x:c>
      <x:c r="F24" s="120" t="str">
        <x:v>Open</x:v>
      </x:c>
    </x:row>
    <x:row r="25" ht="42" customHeight="1">
      <x:c r="A25" s="119" t="str">
        <x:v>RQ-024</x:v>
      </x:c>
      <x:c r="B25" s="120" t="str">
        <x:v>Chinese and Mexica primary-source deep passes</x:v>
      </x:c>
      <x:c r="C25" s="120" t="str">
        <x:v>Chinese textual/religious traditions; Mexica sources and specialist scholarship</x:v>
      </x:c>
      <x:c r="D25" s="120" t="str">
        <x:v>Build source-specific records with original terminology, textual witnesses, regional scope, sacred-context cautions, and adaptation links.</x:v>
      </x:c>
      <x:c r="E25" s="120" t="str">
        <x:v>High</x:v>
      </x:c>
      <x:c r="F25" s="120" t="str">
        <x:v>Open</x:v>
      </x:c>
    </x:row>
    <x:row r="26" ht="42" customHeight="1">
      <x:c r="A26" s="119" t="str">
        <x:v>RQ-025</x:v>
      </x:c>
      <x:c r="B26" s="120" t="str">
        <x:v>Source-priority editorial review</x:v>
      </x:c>
      <x:c r="C26" s="120" t="str">
        <x:v>All 281 Source Corpus records</x:v>
      </x:c>
      <x:c r="D26" s="120" t="str">
        <x:v>Replace heuristic baseline scores with reviewed marginal-archetype-value assessments and document every override.</x:v>
      </x:c>
      <x:c r="E26" s="120" t="str">
        <x:v>Major</x:v>
      </x:c>
      <x:c r="F26" s="120" t="str">
        <x:v>Open</x:v>
      </x:c>
    </x:row>
    <x:row r="27" ht="42" customHeight="1">
      <x:c r="A27" s="119" t="str">
        <x:v>RQ-026</x:v>
      </x:c>
      <x:c r="B27" s="120" t="str">
        <x:v>Darkest Dungeon version and DLC split</x:v>
      </x:c>
      <x:c r="C27" s="120" t="str">
        <x:v>Darkest Dungeon base game, DLC, and sequel boundary</x:v>
      </x:c>
      <x:c r="D27" s="120" t="str">
        <x:v>Verify the selective innovation records, separate DLC-specific mechanics and states, and keep Darkest Dungeon II as a distinct mechanical model.</x:v>
      </x:c>
      <x:c r="E27" s="120" t="str">
        <x:v>Major</x:v>
      </x:c>
      <x:c r="F27" s="120" t="str">
        <x:v>Open</x:v>
      </x:c>
    </x:row>
  </x:sheetData>
  <x:conditionalFormatting sqref="E2:E21">
    <x:cfRule type="expression" dxfId="18" priority="1">
      <x:formula>$E2="High"</x:formula>
    </x:cfRule>
    <x:cfRule type="expression" dxfId="19" priority="2">
      <x:formula>$E2="Major"</x:formula>
    </x:cfRule>
  </x:conditionalFormatting>
  <x:conditionalFormatting sqref="F2:F21">
    <x:cfRule type="expression" dxfId="20" priority="3">
      <x:formula>$F2="Open"</x:formula>
    </x:cfRule>
  </x:conditionalFormatting>
  <x:dataValidations count="2">
    <x:dataValidation type="list" sqref="E2:E21">
      <x:formula1>"High,Major,Moderate,Low"</x:formula1>
    </x:dataValidation>
    <x:dataValidation type="list" sqref="F2:F21">
      <x:formula1>"Open,In progress,Blocked,Complete"</x:formula1>
    </x:dataValidation>
  </x:dataValidations>
  <x:pageMargins left="0.7" right="0.7" top="0.75" bottom="0.75" header="0.3" footer="0.3"/>
  <x:tableParts count="1">
    <x:tablePart xmlns:r="http://schemas.openxmlformats.org/officeDocument/2006/relationships" r:id="Rbb698b49c389460e"/>
  </x:tableParts>
</x:worksheet>
</file>

<file path=xl/worksheets/sheet10.xml><?xml version="1.0" encoding="utf-8"?>
<x:worksheet xmlns:x="http://schemas.openxmlformats.org/spreadsheetml/2006/main">
  <x:sheetFormatPr defaultRowHeight="15"/>
  <x:cols>
    <x:col min="1" max="1" width="11" hidden="0" customWidth="1"/>
    <x:col min="2" max="2" width="11" hidden="0" customWidth="1"/>
    <x:col min="3" max="3" width="31" hidden="0" customWidth="1"/>
    <x:col min="4" max="4" width="23" hidden="0" customWidth="1"/>
    <x:col min="5" max="5" width="28" hidden="0" customWidth="1"/>
    <x:col min="6" max="6" width="12" hidden="0" customWidth="1"/>
    <x:col min="7" max="7" width="12" hidden="0" customWidth="1"/>
    <x:col min="8" max="8" width="11" hidden="0" customWidth="1"/>
    <x:col min="9" max="9" width="12" hidden="0" customWidth="1"/>
    <x:col min="10" max="10" width="12" hidden="0" customWidth="1"/>
    <x:col min="11" max="11" width="11" hidden="0" customWidth="1"/>
    <x:col min="12" max="12" width="11" hidden="0" customWidth="1"/>
    <x:col min="13" max="13" width="11" hidden="0" customWidth="1"/>
    <x:col min="14" max="14" width="12" hidden="0" customWidth="1"/>
    <x:col min="15" max="15" width="13" hidden="0" customWidth="1"/>
    <x:col min="16" max="16" width="23" hidden="0" customWidth="1"/>
    <x:col min="17" max="17" width="24" hidden="0" customWidth="1"/>
    <x:col min="18" max="18" width="42" hidden="0" customWidth="1"/>
    <x:col min="19" max="19" width="28" hidden="0" customWidth="1"/>
    <x:col min="20" max="20" width="34" hidden="0" customWidth="1"/>
    <x:col min="21" max="21" width="13" hidden="0" customWidth="1"/>
    <x:col min="23" max="23" width="26" hidden="0" customWidth="1"/>
    <x:col min="24" max="24" width="12" hidden="0" customWidth="1"/>
  </x:cols>
  <x:sheetData>
    <x:row r="1" ht="28" customHeight="1">
      <x:c r="A1" s="104" t="str">
        <x:v>Source Priority — Marginal Archetype Value</x:v>
      </x:c>
      <x:c r="B1" s="104"/>
      <x:c r="C1" s="104"/>
      <x:c r="D1" s="104"/>
      <x:c r="E1" s="104"/>
      <x:c r="F1" s="104"/>
      <x:c r="G1" s="104"/>
      <x:c r="H1" s="104"/>
      <x:c r="I1" s="104"/>
      <x:c r="J1" s="104"/>
      <x:c r="K1" s="104"/>
      <x:c r="L1" s="104"/>
      <x:c r="M1" s="104"/>
      <x:c r="N1" s="104"/>
      <x:c r="O1" s="104"/>
      <x:c r="P1" s="104"/>
      <x:c r="Q1" s="104"/>
      <x:c r="R1" s="104"/>
      <x:c r="S1" s="104"/>
      <x:c r="T1" s="104"/>
      <x:c r="U1" s="104"/>
      <x:c r="W1" s="118" t="str">
        <x:v>Criterion weight</x:v>
      </x:c>
      <x:c r="X1" s="118" t="str">
        <x:v>Points</x:v>
      </x:c>
    </x:row>
    <x:row r="2" ht="30" customHeight="1">
      <x:c r="A2" s="109" t="str">
        <x:v>Ranks sources by the new conceptual coverage they can add, rather than by the raw number of named classes, creatures, or characters.</x:v>
      </x:c>
      <x:c r="B2" s="109"/>
      <x:c r="C2" s="109"/>
      <x:c r="D2" s="109"/>
      <x:c r="E2" s="109"/>
      <x:c r="F2" s="109"/>
      <x:c r="G2" s="109"/>
      <x:c r="H2" s="109"/>
      <x:c r="I2" s="109"/>
      <x:c r="J2" s="109"/>
      <x:c r="K2" s="109"/>
      <x:c r="L2" s="109"/>
      <x:c r="M2" s="109"/>
      <x:c r="N2" s="109"/>
      <x:c r="O2" s="109"/>
      <x:c r="P2" s="109"/>
      <x:c r="Q2" s="109"/>
      <x:c r="R2" s="109"/>
      <x:c r="S2" s="109"/>
      <x:c r="T2" s="109"/>
      <x:c r="U2" s="109"/>
      <x:c r="W2" t="str">
        <x:v>Archetype novelty</x:v>
      </x:c>
      <x:c r="X2" t="n">
        <x:v>25</x:v>
      </x:c>
    </x:row>
    <x:row r="3" ht="42" customHeight="1">
      <x:c r="A3" s="114" t="str">
        <x:v>The scores are a transparent baseline. Editorial review may override them when cultural importance, evidence quality, adaptation history, or corpus boundaries require judgment.</x:v>
      </x:c>
      <x:c r="B3" s="114"/>
      <x:c r="C3" s="114"/>
      <x:c r="D3" s="114"/>
      <x:c r="E3" s="114"/>
      <x:c r="F3" s="114"/>
      <x:c r="G3" s="114"/>
      <x:c r="H3" s="114"/>
      <x:c r="I3" s="114"/>
      <x:c r="J3" s="114"/>
      <x:c r="K3" s="114"/>
      <x:c r="L3" s="114"/>
      <x:c r="M3" s="114"/>
      <x:c r="N3" s="114"/>
      <x:c r="O3" s="114"/>
      <x:c r="P3" s="114"/>
      <x:c r="Q3" s="114"/>
      <x:c r="R3" s="114"/>
      <x:c r="S3" s="114"/>
      <x:c r="T3" s="114"/>
      <x:c r="U3" s="114"/>
      <x:c r="W3" t="str">
        <x:v>Domain breadth</x:v>
      </x:c>
      <x:c r="X3" t="n">
        <x:v>15</x:v>
      </x:c>
    </x:row>
    <x:row r="4">
      <x:c r="W4" t="str">
        <x:v>Coverage-gap value</x:v>
      </x:c>
      <x:c r="X4" t="n">
        <x:v>15</x:v>
      </x:c>
    </x:row>
    <x:row r="5">
      <x:c r="W5" t="str">
        <x:v>Historical influence</x:v>
      </x:c>
      <x:c r="X5" t="n">
        <x:v>15</x:v>
      </x:c>
    </x:row>
    <x:row r="6" ht="42" customHeight="1">
      <x:c r="A6" s="118" t="str">
        <x:v>Baseline_Rank</x:v>
      </x:c>
      <x:c r="B6" s="118" t="str">
        <x:v>Source_ID</x:v>
      </x:c>
      <x:c r="C6" s="118" t="str">
        <x:v>Title_or_Franchise</x:v>
      </x:c>
      <x:c r="D6" s="118" t="str">
        <x:v>Medium</x:v>
      </x:c>
      <x:c r="E6" s="118" t="str">
        <x:v>Region_Tradition</x:v>
      </x:c>
      <x:c r="F6" s="118" t="str">
        <x:v>Existing_Seed_Entries</x:v>
      </x:c>
      <x:c r="G6" s="118" t="str">
        <x:v>Archetype_Novelty</x:v>
      </x:c>
      <x:c r="H6" s="118" t="str">
        <x:v>Domain_Breadth</x:v>
      </x:c>
      <x:c r="I6" s="118" t="str">
        <x:v>Coverage_Gap_Value</x:v>
      </x:c>
      <x:c r="J6" s="118" t="str">
        <x:v>Historical_Influence</x:v>
      </x:c>
      <x:c r="K6" s="118" t="str">
        <x:v>Conceptual_Depth</x:v>
      </x:c>
      <x:c r="L6" s="118" t="str">
        <x:v>Adaptation_Value</x:v>
      </x:c>
      <x:c r="M6" s="118" t="str">
        <x:v>Source_Quality</x:v>
      </x:c>
      <x:c r="N6" s="118" t="str">
        <x:v>Redundancy_Penalty</x:v>
      </x:c>
      <x:c r="O6" s="118" t="str">
        <x:v>Marginal_Value_Score</x:v>
      </x:c>
      <x:c r="P6" s="118" t="str">
        <x:v>Recommended_Treatment</x:v>
      </x:c>
      <x:c r="Q6" s="118" t="str">
        <x:v>Editorial_Basis</x:v>
      </x:c>
      <x:c r="R6" s="118" t="str">
        <x:v>Priority_Rationale</x:v>
      </x:c>
      <x:c r="S6" s="118" t="str">
        <x:v>Review_Status</x:v>
      </x:c>
      <x:c r="T6" s="118" t="str">
        <x:v>Reference_URL</x:v>
      </x:c>
      <x:c r="U6" s="118" t="str">
        <x:v>Last_Reviewed</x:v>
      </x:c>
      <x:c r="W6" t="str">
        <x:v>Conceptual depth</x:v>
      </x:c>
      <x:c r="X6" t="n">
        <x:v>10</x:v>
      </x:c>
    </x:row>
    <x:row r="7" ht="46" customHeight="1">
      <x:c r="A7" s="119" t="n">
        <x:v>1</x:v>
      </x:c>
      <x:c r="B7" s="119" t="str">
        <x:v>SRC-277</x:v>
      </x:c>
      <x:c r="C7" s="120" t="str">
        <x:v>Mahābhārata — BORI Critical Edition</x:v>
      </x:c>
      <x:c r="D7" s="120" t="str">
        <x:v>Critical Edition / Epic Literature</x:v>
      </x:c>
      <x:c r="E7" s="120" t="str">
        <x:v>South Asia / Sanskrit</x:v>
      </x:c>
      <x:c r="F7" s="119" t="n">
        <x:f>COUNTIF('Seed Catalogue'!$C$2:$C$452,B7)</x:f>
        <x:v>81</x:v>
      </x:c>
      <x:c r="G7" s="122" t="n">
        <x:v>5</x:v>
      </x:c>
      <x:c r="H7" s="122" t="n">
        <x:v>5</x:v>
      </x:c>
      <x:c r="I7" s="122" t="n">
        <x:v>5</x:v>
      </x:c>
      <x:c r="J7" s="122" t="n">
        <x:v>5</x:v>
      </x:c>
      <x:c r="K7" s="122" t="n">
        <x:v>5</x:v>
      </x:c>
      <x:c r="L7" s="122" t="n">
        <x:v>4</x:v>
      </x:c>
      <x:c r="M7" s="122" t="n">
        <x:v>5</x:v>
      </x:c>
      <x:c r="N7" s="122" t="n">
        <x:v>0</x:v>
      </x:c>
      <x:c r="O7" s="123" t="n">
        <x:f>ROUND(G7/5*$X$2+H7/5*$X$3+I7/5*$X$4+J7/5*$X$5+K7/5*$X$6+L7/5*$X$7+M7/5*$X$8-N7/5*$X$9,1)</x:f>
        <x:v>98</x:v>
      </x:c>
      <x:c r="P7" s="119" t="str">
        <x:f>IF(O7&gt;=$X$12,"Foundational deep pass",IF(O7&gt;=$X$13,"Major deep pass",IF(O7&gt;=$X$14,"Targeted innovation pass",IF(O7&gt;=$X$15,"Sampling pass","Reference / defer"))))</x:f>
        <x:v>Foundational deep pass</x:v>
      </x:c>
      <x:c r="Q7" s="120" t="str">
        <x:v>BORI Critical Edition override</x:v>
      </x:c>
      <x:c r="R7" s="120" t="str">
        <x:v>Highest-priority reference witness for the current South Asian deep pass, with explicit limits regarding regional and living traditions.</x:v>
      </x:c>
      <x:c r="S7" s="120" t="str">
        <x:v>Editorial override — review required</x:v>
      </x:c>
      <x:c r="T7" s="120" t="str">
        <x:v>https://bori.ac.in/department/mahabharata/</x:v>
      </x:c>
      <x:c r="U7" s="121" t="n">
        <x:v>46236</x:v>
      </x:c>
      <x:c r="W7" t="str">
        <x:v>Adaptation value</x:v>
      </x:c>
      <x:c r="X7" t="n">
        <x:v>10</x:v>
      </x:c>
    </x:row>
    <x:row r="8" ht="46" customHeight="1">
      <x:c r="A8" s="119" t="n">
        <x:v>2</x:v>
      </x:c>
      <x:c r="B8" s="119" t="str">
        <x:v>SRC-278</x:v>
      </x:c>
      <x:c r="C8" s="120" t="str">
        <x:v>Bhagavad Gītā (Mahābhārata, Bhīṣma Parva)</x:v>
      </x:c>
      <x:c r="D8" s="120" t="str">
        <x:v>Epic-Philosophical Text / Sacred Narrative</x:v>
      </x:c>
      <x:c r="E8" s="120" t="str">
        <x:v>South Asia / Sanskrit</x:v>
      </x:c>
      <x:c r="F8" s="119" t="n">
        <x:f>COUNTIF('Seed Catalogue'!$C$2:$C$452,B8)</x:f>
        <x:v>9</x:v>
      </x:c>
      <x:c r="G8" s="122" t="n">
        <x:v>5</x:v>
      </x:c>
      <x:c r="H8" s="122" t="n">
        <x:v>5</x:v>
      </x:c>
      <x:c r="I8" s="122" t="n">
        <x:v>5</x:v>
      </x:c>
      <x:c r="J8" s="122" t="n">
        <x:v>5</x:v>
      </x:c>
      <x:c r="K8" s="122" t="n">
        <x:v>5</x:v>
      </x:c>
      <x:c r="L8" s="122" t="n">
        <x:v>5</x:v>
      </x:c>
      <x:c r="M8" s="122" t="n">
        <x:v>5</x:v>
      </x:c>
      <x:c r="N8" s="122" t="n">
        <x:v>1</x:v>
      </x:c>
      <x:c r="O8" s="123" t="n">
        <x:f>ROUND(G8/5*$X$2+H8/5*$X$3+I8/5*$X$4+J8/5*$X$5+K8/5*$X$6+L8/5*$X$7+M8/5*$X$8-N8/5*$X$9,1)</x:f>
        <x:v>96</x:v>
      </x:c>
      <x:c r="P8" s="119" t="str">
        <x:f>IF(O8&gt;=$X$12,"Foundational deep pass",IF(O8&gt;=$X$13,"Major deep pass",IF(O8&gt;=$X$14,"Targeted innovation pass",IF(O8&gt;=$X$15,"Sampling pass","Reference / defer"))))</x:f>
        <x:v>Foundational deep pass</x:v>
      </x:c>
      <x:c r="Q8" s="120" t="str">
        <x:v>Bhagavad Gītā embedded-text override</x:v>
      </x:c>
      <x:c r="R8" s="120" t="str">
        <x:v>Exceptionally influential philosophical and revelatory material; preserve its embedded, sacred, and commentarial contexts.</x:v>
      </x:c>
      <x:c r="S8" s="120" t="str">
        <x:v>Editorial override — review required</x:v>
      </x:c>
      <x:c r="T8" s="120" t="str">
        <x:v>https://www.gitasupersite.iitk.ac.in/</x:v>
      </x:c>
      <x:c r="U8" s="121" t="n">
        <x:v>46236</x:v>
      </x:c>
      <x:c r="W8" t="str">
        <x:v>Source quality</x:v>
      </x:c>
      <x:c r="X8" t="n">
        <x:v>10</x:v>
      </x:c>
    </x:row>
    <x:row r="9" ht="46" customHeight="1">
      <x:c r="A9" s="119" t="n">
        <x:v>3</x:v>
      </x:c>
      <x:c r="B9" s="119" t="str">
        <x:v>SRC-013</x:v>
      </x:c>
      <x:c r="C9" s="120" t="str">
        <x:v>Ancient Egyptian Mythology</x:v>
      </x:c>
      <x:c r="D9" s="120" t="str">
        <x:v>Mythology / Folklore</x:v>
      </x:c>
      <x:c r="E9" s="120" t="str">
        <x:v>Ancient Egypt</x:v>
      </x:c>
      <x:c r="F9" s="119" t="n">
        <x:f>COUNTIF('Seed Catalogue'!$C$2:$C$452,B9)</x:f>
        <x:v>0</x:v>
      </x:c>
      <x:c r="G9" s="122" t="n">
        <x:v>5</x:v>
      </x:c>
      <x:c r="H9" s="122" t="n">
        <x:v>5</x:v>
      </x:c>
      <x:c r="I9" s="122" t="n">
        <x:v>5</x:v>
      </x:c>
      <x:c r="J9" s="122" t="n">
        <x:v>5</x:v>
      </x:c>
      <x:c r="K9" s="122" t="n">
        <x:v>5</x:v>
      </x:c>
      <x:c r="L9" s="122" t="n">
        <x:v>5</x:v>
      </x:c>
      <x:c r="M9" s="122" t="n">
        <x:v>4</x:v>
      </x:c>
      <x:c r="N9" s="122" t="n">
        <x:v>1</x:v>
      </x:c>
      <x:c r="O9" s="123" t="n">
        <x:f>ROUND(G9/5*$X$2+H9/5*$X$3+I9/5*$X$4+J9/5*$X$5+K9/5*$X$6+L9/5*$X$7+M9/5*$X$8-N9/5*$X$9,1)</x:f>
        <x:v>94</x:v>
      </x:c>
      <x:c r="P9" s="119" t="str">
        <x:f>IF(O9&gt;=$X$12,"Foundational deep pass",IF(O9&gt;=$X$13,"Major deep pass",IF(O9&gt;=$X$14,"Targeted innovation pass",IF(O9&gt;=$X$15,"Sampling pass","Reference / defer"))))</x:f>
        <x:v>Foundational deep pass</x:v>
      </x:c>
      <x:c r="Q9" s="120" t="str">
        <x:v>Egyptian traditions override</x:v>
      </x:c>
      <x:c r="R9" s="120" t="str">
        <x:v>Afterlife judgment, sacred names, divine kingship, temple cosmology, and composite divine embodiment.</x:v>
      </x:c>
      <x:c r="S9" s="120" t="str">
        <x:v>Editorial override — review required</x:v>
      </x:c>
      <x:c r="T9" s="120" t="str">
        <x:v>https://en.wikipedia.org/wiki/Ancient_Egyptian_Mythology</x:v>
      </x:c>
      <x:c r="U9" s="121" t="n">
        <x:v>46236</x:v>
      </x:c>
      <x:c r="W9" t="str">
        <x:v>Redundancy penalty</x:v>
      </x:c>
      <x:c r="X9" t="n">
        <x:v>20</x:v>
      </x:c>
    </x:row>
    <x:row r="10" ht="46" customHeight="1">
      <x:c r="A10" s="119" t="n">
        <x:v>4</x:v>
      </x:c>
      <x:c r="B10" s="119" t="str">
        <x:v>SRC-279</x:v>
      </x:c>
      <x:c r="C10" s="120" t="str">
        <x:v>Chinese Mythology and Religious Traditions</x:v>
      </x:c>
      <x:c r="D10" s="120" t="str">
        <x:v>Mythology / Religion / Folklore</x:v>
      </x:c>
      <x:c r="E10" s="120" t="str">
        <x:v>China and Sinosphere</x:v>
      </x:c>
      <x:c r="F10" s="119" t="n">
        <x:f>COUNTIF('Seed Catalogue'!$C$2:$C$452,B10)</x:f>
        <x:v>0</x:v>
      </x:c>
      <x:c r="G10" s="122" t="n">
        <x:v>5</x:v>
      </x:c>
      <x:c r="H10" s="122" t="n">
        <x:v>5</x:v>
      </x:c>
      <x:c r="I10" s="122" t="n">
        <x:v>5</x:v>
      </x:c>
      <x:c r="J10" s="122" t="n">
        <x:v>5</x:v>
      </x:c>
      <x:c r="K10" s="122" t="n">
        <x:v>5</x:v>
      </x:c>
      <x:c r="L10" s="122" t="n">
        <x:v>5</x:v>
      </x:c>
      <x:c r="M10" s="122" t="n">
        <x:v>4</x:v>
      </x:c>
      <x:c r="N10" s="122" t="n">
        <x:v>1</x:v>
      </x:c>
      <x:c r="O10" s="123" t="n">
        <x:f>ROUND(G10/5*$X$2+H10/5*$X$3+I10/5*$X$4+J10/5*$X$5+K10/5*$X$6+L10/5*$X$7+M10/5*$X$8-N10/5*$X$9,1)</x:f>
        <x:v>94</x:v>
      </x:c>
      <x:c r="P10" s="119" t="str">
        <x:f>IF(O10&gt;=$X$12,"Foundational deep pass",IF(O10&gt;=$X$13,"Major deep pass",IF(O10&gt;=$X$14,"Targeted innovation pass",IF(O10&gt;=$X$15,"Sampling pass","Reference / defer"))))</x:f>
        <x:v>Foundational deep pass</x:v>
      </x:c>
      <x:c r="Q10" s="120" t="str">
        <x:v>Chinese source-complex override</x:v>
      </x:c>
      <x:c r="R10" s="120" t="str">
        <x:v>Celestial bureaucracy, immortals, talismans, registers, underworld courts, and multiple religious-literary systems fill major gaps.</x:v>
      </x:c>
      <x:c r="S10" s="120" t="str">
        <x:v>Editorial override — review required</x:v>
      </x:c>
      <x:c r="T10" s="120" t="str">
        <x:v>https://ctext.org/</x:v>
      </x:c>
      <x:c r="U10" s="121" t="n">
        <x:v>46236</x:v>
      </x:c>
    </x:row>
    <x:row r="11" ht="46" customHeight="1">
      <x:c r="A11" s="119" t="n">
        <x:v>5</x:v>
      </x:c>
      <x:c r="B11" s="119" t="str">
        <x:v>SRC-003</x:v>
      </x:c>
      <x:c r="C11" s="120" t="str">
        <x:v>Irish Mythological Cycle</x:v>
      </x:c>
      <x:c r="D11" s="120" t="str">
        <x:v>Mythology / Folklore</x:v>
      </x:c>
      <x:c r="E11" s="120" t="str">
        <x:v>Ireland</x:v>
      </x:c>
      <x:c r="F11" s="119" t="n">
        <x:f>COUNTIF('Seed Catalogue'!$C$2:$C$452,B11)</x:f>
        <x:v>0</x:v>
      </x:c>
      <x:c r="G11" s="122" t="n">
        <x:v>5</x:v>
      </x:c>
      <x:c r="H11" s="122" t="n">
        <x:v>5</x:v>
      </x:c>
      <x:c r="I11" s="122" t="n">
        <x:v>5</x:v>
      </x:c>
      <x:c r="J11" s="122" t="n">
        <x:v>5</x:v>
      </x:c>
      <x:c r="K11" s="122" t="n">
        <x:v>5</x:v>
      </x:c>
      <x:c r="L11" s="122" t="n">
        <x:v>5</x:v>
      </x:c>
      <x:c r="M11" s="122" t="n">
        <x:v>4</x:v>
      </x:c>
      <x:c r="N11" s="122" t="n">
        <x:v>1</x:v>
      </x:c>
      <x:c r="O11" s="123" t="n">
        <x:f>ROUND(G11/5*$X$2+H11/5*$X$3+I11/5*$X$4+J11/5*$X$5+K11/5*$X$6+L11/5*$X$7+M11/5*$X$8-N11/5*$X$9,1)</x:f>
        <x:v>94</x:v>
      </x:c>
      <x:c r="P11" s="119" t="str">
        <x:f>IF(O11&gt;=$X$12,"Foundational deep pass",IF(O11&gt;=$X$13,"Major deep pass",IF(O11&gt;=$X$14,"Targeted innovation pass",IF(O11&gt;=$X$15,"Sampling pass","Reference / defer"))))</x:f>
        <x:v>Foundational deep pass</x:v>
      </x:c>
      <x:c r="Q11" s="120" t="str">
        <x:v>Irish source-complex override</x:v>
      </x:c>
      <x:c r="R11" s="120" t="str">
        <x:v>Geasa, sovereignty, otherworld peoples, poet-satirists, kinship, and transformation address major framework gaps.</x:v>
      </x:c>
      <x:c r="S11" s="120" t="str">
        <x:v>Editorial override — review required</x:v>
      </x:c>
      <x:c r="T11" s="120" t="str">
        <x:v>https://en.wikipedia.org/wiki/Irish_Mythological_Cycle</x:v>
      </x:c>
      <x:c r="U11" s="121" t="n">
        <x:v>46236</x:v>
      </x:c>
      <x:c r="W11" s="118" t="str">
        <x:v>Recommended treatment</x:v>
      </x:c>
      <x:c r="X11" s="118" t="str">
        <x:v>Minimum score</x:v>
      </x:c>
    </x:row>
    <x:row r="12" ht="46" customHeight="1">
      <x:c r="A12" s="119" t="n">
        <x:v>6</x:v>
      </x:c>
      <x:c r="B12" s="119" t="str">
        <x:v>SRC-019</x:v>
      </x:c>
      <x:c r="C12" s="120" t="str">
        <x:v>Japanese Yōkai and Kami Traditions</x:v>
      </x:c>
      <x:c r="D12" s="120" t="str">
        <x:v>Mythology / Folklore</x:v>
      </x:c>
      <x:c r="E12" s="120" t="str">
        <x:v>Japan</x:v>
      </x:c>
      <x:c r="F12" s="119" t="n">
        <x:f>COUNTIF('Seed Catalogue'!$C$2:$C$452,B12)</x:f>
        <x:v>0</x:v>
      </x:c>
      <x:c r="G12" s="122" t="n">
        <x:v>5</x:v>
      </x:c>
      <x:c r="H12" s="122" t="n">
        <x:v>5</x:v>
      </x:c>
      <x:c r="I12" s="122" t="n">
        <x:v>5</x:v>
      </x:c>
      <x:c r="J12" s="122" t="n">
        <x:v>5</x:v>
      </x:c>
      <x:c r="K12" s="122" t="n">
        <x:v>5</x:v>
      </x:c>
      <x:c r="L12" s="122" t="n">
        <x:v>5</x:v>
      </x:c>
      <x:c r="M12" s="122" t="n">
        <x:v>4</x:v>
      </x:c>
      <x:c r="N12" s="122" t="n">
        <x:v>1</x:v>
      </x:c>
      <x:c r="O12" s="123" t="n">
        <x:f>ROUND(G12/5*$X$2+H12/5*$X$3+I12/5*$X$4+J12/5*$X$5+K12/5*$X$6+L12/5*$X$7+M12/5*$X$8-N12/5*$X$9,1)</x:f>
        <x:v>94</x:v>
      </x:c>
      <x:c r="P12" s="119" t="str">
        <x:f>IF(O12&gt;=$X$12,"Foundational deep pass",IF(O12&gt;=$X$13,"Major deep pass",IF(O12&gt;=$X$14,"Targeted innovation pass",IF(O12&gt;=$X$15,"Sampling pass","Reference / defer"))))</x:f>
        <x:v>Foundational deep pass</x:v>
      </x:c>
      <x:c r="Q12" s="120" t="str">
        <x:v>Japanese traditions override</x:v>
      </x:c>
      <x:c r="R12" s="120" t="str">
        <x:v>Kami, yōkai, purity, place, ritual offices, object spirits, and adaptation transformations address major gaps.</x:v>
      </x:c>
      <x:c r="S12" s="120" t="str">
        <x:v>Editorial override — review required</x:v>
      </x:c>
      <x:c r="T12" s="120" t="str">
        <x:v>https://en.wikipedia.org/wiki/Japanese_Y%C5%8Dkai_and_Kami_Traditions</x:v>
      </x:c>
      <x:c r="U12" s="121" t="n">
        <x:v>46236</x:v>
      </x:c>
      <x:c r="W12" t="str">
        <x:v>Foundational deep pass</x:v>
      </x:c>
      <x:c r="X12" t="n">
        <x:v>75</x:v>
      </x:c>
    </x:row>
    <x:row r="13" ht="46" customHeight="1">
      <x:c r="A13" s="119" t="n">
        <x:v>7</x:v>
      </x:c>
      <x:c r="B13" s="119" t="str">
        <x:v>SRC-010</x:v>
      </x:c>
      <x:c r="C13" s="120" t="str">
        <x:v>Jinn Traditions</x:v>
      </x:c>
      <x:c r="D13" s="120" t="str">
        <x:v>Mythology / Folklore</x:v>
      </x:c>
      <x:c r="E13" s="120" t="str">
        <x:v>Middle East / Islamic world</x:v>
      </x:c>
      <x:c r="F13" s="119" t="n">
        <x:f>COUNTIF('Seed Catalogue'!$C$2:$C$452,B13)</x:f>
        <x:v>0</x:v>
      </x:c>
      <x:c r="G13" s="122" t="n">
        <x:v>5</x:v>
      </x:c>
      <x:c r="H13" s="122" t="n">
        <x:v>5</x:v>
      </x:c>
      <x:c r="I13" s="122" t="n">
        <x:v>5</x:v>
      </x:c>
      <x:c r="J13" s="122" t="n">
        <x:v>5</x:v>
      </x:c>
      <x:c r="K13" s="122" t="n">
        <x:v>5</x:v>
      </x:c>
      <x:c r="L13" s="122" t="n">
        <x:v>5</x:v>
      </x:c>
      <x:c r="M13" s="122" t="n">
        <x:v>4</x:v>
      </x:c>
      <x:c r="N13" s="122" t="n">
        <x:v>1</x:v>
      </x:c>
      <x:c r="O13" s="123" t="n">
        <x:f>ROUND(G13/5*$X$2+H13/5*$X$3+I13/5*$X$4+J13/5*$X$5+K13/5*$X$6+L13/5*$X$7+M13/5*$X$8-N13/5*$X$9,1)</x:f>
        <x:v>94</x:v>
      </x:c>
      <x:c r="P13" s="119" t="str">
        <x:f>IF(O13&gt;=$X$12,"Foundational deep pass",IF(O13&gt;=$X$13,"Major deep pass",IF(O13&gt;=$X$14,"Targeted innovation pass",IF(O13&gt;=$X$15,"Sampling pass","Reference / defer"))))</x:f>
        <x:v>Foundational deep pass</x:v>
      </x:c>
      <x:c r="Q13" s="120" t="str">
        <x:v>Jinn-traditions override</x:v>
      </x:c>
      <x:c r="R13" s="120" t="str">
        <x:v>High ontology and social-personhood value; must remain distinct from generic demon categories.</x:v>
      </x:c>
      <x:c r="S13" s="120" t="str">
        <x:v>Editorial override — review required</x:v>
      </x:c>
      <x:c r="T13" s="120" t="str">
        <x:v>https://en.wikipedia.org/wiki/Jinn_Traditions</x:v>
      </x:c>
      <x:c r="U13" s="121" t="n">
        <x:v>46236</x:v>
      </x:c>
      <x:c r="W13" t="str">
        <x:v>Major deep pass</x:v>
      </x:c>
      <x:c r="X13" t="n">
        <x:v>60</x:v>
      </x:c>
    </x:row>
    <x:row r="14" ht="46" customHeight="1">
      <x:c r="A14" s="119" t="n">
        <x:v>8</x:v>
      </x:c>
      <x:c r="B14" s="119" t="str">
        <x:v>SRC-016</x:v>
      </x:c>
      <x:c r="C14" s="120" t="str">
        <x:v>Journey to the West</x:v>
      </x:c>
      <x:c r="D14" s="120" t="str">
        <x:v>Novel / Mythic Fantasy</x:v>
      </x:c>
      <x:c r="E14" s="120" t="str">
        <x:v>China</x:v>
      </x:c>
      <x:c r="F14" s="119" t="n">
        <x:f>COUNTIF('Seed Catalogue'!$C$2:$C$452,B14)</x:f>
        <x:v>0</x:v>
      </x:c>
      <x:c r="G14" s="122" t="n">
        <x:v>5</x:v>
      </x:c>
      <x:c r="H14" s="122" t="n">
        <x:v>5</x:v>
      </x:c>
      <x:c r="I14" s="122" t="n">
        <x:v>5</x:v>
      </x:c>
      <x:c r="J14" s="122" t="n">
        <x:v>5</x:v>
      </x:c>
      <x:c r="K14" s="122" t="n">
        <x:v>5</x:v>
      </x:c>
      <x:c r="L14" s="122" t="n">
        <x:v>5</x:v>
      </x:c>
      <x:c r="M14" s="122" t="n">
        <x:v>4</x:v>
      </x:c>
      <x:c r="N14" s="122" t="n">
        <x:v>1</x:v>
      </x:c>
      <x:c r="O14" s="123" t="n">
        <x:f>ROUND(G14/5*$X$2+H14/5*$X$3+I14/5*$X$4+J14/5*$X$5+K14/5*$X$6+L14/5*$X$7+M14/5*$X$8-N14/5*$X$9,1)</x:f>
        <x:v>94</x:v>
      </x:c>
      <x:c r="P14" s="119" t="str">
        <x:f>IF(O14&gt;=$X$12,"Foundational deep pass",IF(O14&gt;=$X$13,"Major deep pass",IF(O14&gt;=$X$14,"Targeted innovation pass",IF(O14&gt;=$X$15,"Sampling pass","Reference / defer"))))</x:f>
        <x:v>Foundational deep pass</x:v>
      </x:c>
      <x:c r="Q14" s="120" t="str">
        <x:v>Journey to the West override</x:v>
      </x:c>
      <x:c r="R14" s="120" t="str">
        <x:v>Celestial bureaucracy, immortals, pilgrimage, transformations, demon sociality, artifacts, and divine administration.</x:v>
      </x:c>
      <x:c r="S14" s="120" t="str">
        <x:v>Editorial override — review required</x:v>
      </x:c>
      <x:c r="T14" s="120" t="str">
        <x:v>https://en.wikipedia.org/wiki/Journey_to_the_West</x:v>
      </x:c>
      <x:c r="U14" s="121" t="n">
        <x:v>46236</x:v>
      </x:c>
      <x:c r="W14" t="str">
        <x:v>Targeted innovation pass</x:v>
      </x:c>
      <x:c r="X14" t="n">
        <x:v>45</x:v>
      </x:c>
    </x:row>
    <x:row r="15" ht="46" customHeight="1">
      <x:c r="A15" s="119" t="n">
        <x:v>9</x:v>
      </x:c>
      <x:c r="B15" s="119" t="str">
        <x:v>SRC-014</x:v>
      </x:c>
      <x:c r="C15" s="120" t="str">
        <x:v>Mahābhārata (epic tradition)</x:v>
      </x:c>
      <x:c r="D15" s="120" t="str">
        <x:v>Epic Literature / Sacred Narrative</x:v>
      </x:c>
      <x:c r="E15" s="120" t="str">
        <x:v>South Asia / Sanskrit and regional traditions</x:v>
      </x:c>
      <x:c r="F15" s="119" t="n">
        <x:f>COUNTIF('Seed Catalogue'!$C$2:$C$452,B15)</x:f>
        <x:v>0</x:v>
      </x:c>
      <x:c r="G15" s="122" t="n">
        <x:v>5</x:v>
      </x:c>
      <x:c r="H15" s="122" t="n">
        <x:v>5</x:v>
      </x:c>
      <x:c r="I15" s="122" t="n">
        <x:v>5</x:v>
      </x:c>
      <x:c r="J15" s="122" t="n">
        <x:v>5</x:v>
      </x:c>
      <x:c r="K15" s="122" t="n">
        <x:v>5</x:v>
      </x:c>
      <x:c r="L15" s="122" t="n">
        <x:v>5</x:v>
      </x:c>
      <x:c r="M15" s="122" t="n">
        <x:v>4</x:v>
      </x:c>
      <x:c r="N15" s="122" t="n">
        <x:v>1</x:v>
      </x:c>
      <x:c r="O15" s="123" t="n">
        <x:f>ROUND(G15/5*$X$2+H15/5*$X$3+I15/5*$X$4+J15/5*$X$5+K15/5*$X$6+L15/5*$X$7+M15/5*$X$8-N15/5*$X$9,1)</x:f>
        <x:v>94</x:v>
      </x:c>
      <x:c r="P15" s="119" t="str">
        <x:f>IF(O15&gt;=$X$12,"Foundational deep pass",IF(O15&gt;=$X$13,"Major deep pass",IF(O15&gt;=$X$14,"Targeted innovation pass",IF(O15&gt;=$X$15,"Sampling pass","Reference / defer"))))</x:f>
        <x:v>Foundational deep pass</x:v>
      </x:c>
      <x:c r="Q15" s="120" t="str">
        <x:v>Mahābhārata source-complex override</x:v>
      </x:c>
      <x:c r="R15" s="120" t="str">
        <x:v>Foundational multi-domain source; Version 2.0 begins a deep pass but regional and textual layers remain major priorities.</x:v>
      </x:c>
      <x:c r="S15" s="120" t="str">
        <x:v>Editorial override — review required</x:v>
      </x:c>
      <x:c r="T15" s="120" t="str">
        <x:v>https://bori.ac.in/department/mahabharata/</x:v>
      </x:c>
      <x:c r="U15" s="121" t="n">
        <x:v>46236</x:v>
      </x:c>
      <x:c r="W15" t="str">
        <x:v>Sampling pass</x:v>
      </x:c>
      <x:c r="X15" t="n">
        <x:v>30</x:v>
      </x:c>
    </x:row>
    <x:row r="16" ht="34" customHeight="1">
      <x:c r="A16" s="119" t="n">
        <x:v>10</x:v>
      </x:c>
      <x:c r="B16" s="119" t="str">
        <x:v>SRC-280</x:v>
      </x:c>
      <x:c r="C16" s="120" t="str">
        <x:v>Mexica (Aztec) Mythology and Ritual Traditions</x:v>
      </x:c>
      <x:c r="D16" s="120" t="str">
        <x:v>Mythology / Religion / Sacred History</x:v>
      </x:c>
      <x:c r="E16" s="120" t="str">
        <x:v>Mesoamerica / Central Mexico / Nahua</x:v>
      </x:c>
      <x:c r="F16" s="119" t="n">
        <x:f>COUNTIF('Seed Catalogue'!$C$2:$C$452,B16)</x:f>
        <x:v>0</x:v>
      </x:c>
      <x:c r="G16" s="122" t="n">
        <x:v>5</x:v>
      </x:c>
      <x:c r="H16" s="122" t="n">
        <x:v>5</x:v>
      </x:c>
      <x:c r="I16" s="122" t="n">
        <x:v>5</x:v>
      </x:c>
      <x:c r="J16" s="122" t="n">
        <x:v>5</x:v>
      </x:c>
      <x:c r="K16" s="122" t="n">
        <x:v>5</x:v>
      </x:c>
      <x:c r="L16" s="122" t="n">
        <x:v>5</x:v>
      </x:c>
      <x:c r="M16" s="122" t="n">
        <x:v>4</x:v>
      </x:c>
      <x:c r="N16" s="122" t="n">
        <x:v>1</x:v>
      </x:c>
      <x:c r="O16" s="123" t="n">
        <x:f>ROUND(G16/5*$X$2+H16/5*$X$3+I16/5*$X$4+J16/5*$X$5+K16/5*$X$6+L16/5*$X$7+M16/5*$X$8-N16/5*$X$9,1)</x:f>
        <x:v>94</x:v>
      </x:c>
      <x:c r="P16" s="119" t="str">
        <x:f>IF(O16&gt;=$X$12,"Foundational deep pass",IF(O16&gt;=$X$13,"Major deep pass",IF(O16&gt;=$X$14,"Targeted innovation pass",IF(O16&gt;=$X$15,"Sampling pass","Reference / defer"))))</x:f>
        <x:v>Foundational deep pass</x:v>
      </x:c>
      <x:c r="Q16" s="120" t="str">
        <x:v>Mexica source-complex override</x:v>
      </x:c>
      <x:c r="R16" s="120" t="str">
        <x:v>Calendrical cosmology, cosmic maintenance, offerings, world ages, sacred warfare, and place-based identity are underrepresented.</x:v>
      </x:c>
      <x:c r="S16" s="120" t="str">
        <x:v>Editorial override — review required</x:v>
      </x:c>
      <x:c r="T16" s="120" t="str">
        <x:v>https://www.britishmuseum.org/collection/galleries/mexico</x:v>
      </x:c>
      <x:c r="U16" s="121" t="n">
        <x:v>46236</x:v>
      </x:c>
      <x:c r="W16" s="114" t="str">
        <x:v>Changing the weights recalculates Marginal_Value_Score and Recommended_Treatment; Baseline_Rank and row order remain fixed until the table is re-sorted.</x:v>
      </x:c>
      <x:c r="X16" s="114"/>
      <x:c r="Y16" s="114"/>
      <x:c r="Z16" s="114"/>
      <x:c r="AA16" s="114"/>
      <x:c r="AB16" s="114"/>
      <x:c r="AC16" s="114"/>
      <x:c r="AD16" s="114"/>
    </x:row>
    <x:row r="17" ht="46" customHeight="1">
      <x:c r="A17" s="119" t="n">
        <x:v>11</x:v>
      </x:c>
      <x:c r="B17" s="119" t="str">
        <x:v>SRC-009</x:v>
      </x:c>
      <x:c r="C17" s="120" t="str">
        <x:v>One Thousand and One Nights</x:v>
      </x:c>
      <x:c r="D17" s="120" t="str">
        <x:v>Frame Tale / Folklore</x:v>
      </x:c>
      <x:c r="E17" s="120" t="str">
        <x:v>Middle East / South Asia</x:v>
      </x:c>
      <x:c r="F17" s="119" t="n">
        <x:f>COUNTIF('Seed Catalogue'!$C$2:$C$452,B17)</x:f>
        <x:v>0</x:v>
      </x:c>
      <x:c r="G17" s="122" t="n">
        <x:v>5</x:v>
      </x:c>
      <x:c r="H17" s="122" t="n">
        <x:v>5</x:v>
      </x:c>
      <x:c r="I17" s="122" t="n">
        <x:v>5</x:v>
      </x:c>
      <x:c r="J17" s="122" t="n">
        <x:v>5</x:v>
      </x:c>
      <x:c r="K17" s="122" t="n">
        <x:v>5</x:v>
      </x:c>
      <x:c r="L17" s="122" t="n">
        <x:v>5</x:v>
      </x:c>
      <x:c r="M17" s="122" t="n">
        <x:v>4</x:v>
      </x:c>
      <x:c r="N17" s="122" t="n">
        <x:v>1</x:v>
      </x:c>
      <x:c r="O17" s="123" t="n">
        <x:f>ROUND(G17/5*$X$2+H17/5*$X$3+I17/5*$X$4+J17/5*$X$5+K17/5*$X$6+L17/5*$X$7+M17/5*$X$8-N17/5*$X$9,1)</x:f>
        <x:v>94</x:v>
      </x:c>
      <x:c r="P17" s="119" t="str">
        <x:f>IF(O17&gt;=$X$12,"Foundational deep pass",IF(O17&gt;=$X$13,"Major deep pass",IF(O17&gt;=$X$14,"Targeted innovation pass",IF(O17&gt;=$X$15,"Sampling pass","Reference / defer"))))</x:f>
        <x:v>Foundational deep pass</x:v>
      </x:c>
      <x:c r="Q17" s="120" t="str">
        <x:v>Nights source-complex override</x:v>
      </x:c>
      <x:c r="R17" s="120" t="str">
        <x:v>Jinn, talismans, merchants, nested stories, travel, and occult roles add high marginal value.</x:v>
      </x:c>
      <x:c r="S17" s="120" t="str">
        <x:v>Editorial override — review required</x:v>
      </x:c>
      <x:c r="T17" s="120" t="str">
        <x:v>https://en.wikipedia.org/wiki/One_Thousand_and_One_Nights</x:v>
      </x:c>
      <x:c r="U17" s="121" t="n">
        <x:v>46236</x:v>
      </x:c>
    </x:row>
    <x:row r="18" ht="46" customHeight="1">
      <x:c r="A18" s="119" t="n">
        <x:v>12</x:v>
      </x:c>
      <x:c r="B18" s="119" t="str">
        <x:v>SRC-015</x:v>
      </x:c>
      <x:c r="C18" s="120" t="str">
        <x:v>Ramayana</x:v>
      </x:c>
      <x:c r="D18" s="120" t="str">
        <x:v>Epic Literature</x:v>
      </x:c>
      <x:c r="E18" s="120" t="str">
        <x:v>South and Southeast Asia</x:v>
      </x:c>
      <x:c r="F18" s="119" t="n">
        <x:f>COUNTIF('Seed Catalogue'!$C$2:$C$452,B18)</x:f>
        <x:v>0</x:v>
      </x:c>
      <x:c r="G18" s="122" t="n">
        <x:v>5</x:v>
      </x:c>
      <x:c r="H18" s="122" t="n">
        <x:v>5</x:v>
      </x:c>
      <x:c r="I18" s="122" t="n">
        <x:v>5</x:v>
      </x:c>
      <x:c r="J18" s="122" t="n">
        <x:v>5</x:v>
      </x:c>
      <x:c r="K18" s="122" t="n">
        <x:v>5</x:v>
      </x:c>
      <x:c r="L18" s="122" t="n">
        <x:v>5</x:v>
      </x:c>
      <x:c r="M18" s="122" t="n">
        <x:v>4</x:v>
      </x:c>
      <x:c r="N18" s="122" t="n">
        <x:v>1</x:v>
      </x:c>
      <x:c r="O18" s="123" t="n">
        <x:f>ROUND(G18/5*$X$2+H18/5*$X$3+I18/5*$X$4+J18/5*$X$5+K18/5*$X$6+L18/5*$X$7+M18/5*$X$8-N18/5*$X$9,1)</x:f>
        <x:v>94</x:v>
      </x:c>
      <x:c r="P18" s="119" t="str">
        <x:f>IF(O18&gt;=$X$12,"Foundational deep pass",IF(O18&gt;=$X$13,"Major deep pass",IF(O18&gt;=$X$14,"Targeted innovation pass",IF(O18&gt;=$X$15,"Sampling pass","Reference / defer"))))</x:f>
        <x:v>Foundational deep pass</x:v>
      </x:c>
      <x:c r="Q18" s="120" t="str">
        <x:v>Rāmāyaṇa source-complex override</x:v>
      </x:c>
      <x:c r="R18" s="120" t="str">
        <x:v>Divine embodiment, exile, sacred weapons, alliance with nonhuman peoples, kingship, and adaptation history.</x:v>
      </x:c>
      <x:c r="S18" s="120" t="str">
        <x:v>Editorial override — review required</x:v>
      </x:c>
      <x:c r="T18" s="120" t="str">
        <x:v>https://en.wikipedia.org/wiki/Ramayana</x:v>
      </x:c>
      <x:c r="U18" s="121" t="n">
        <x:v>46236</x:v>
      </x:c>
    </x:row>
    <x:row r="19" ht="46" customHeight="1">
      <x:c r="A19" s="119" t="n">
        <x:v>13</x:v>
      </x:c>
      <x:c r="B19" s="119" t="str">
        <x:v>SRC-022</x:v>
      </x:c>
      <x:c r="C19" s="120" t="str">
        <x:v>Yorùbá Òrìṣà Traditions</x:v>
      </x:c>
      <x:c r="D19" s="120" t="str">
        <x:v>Mythology / Religion / Folklore</x:v>
      </x:c>
      <x:c r="E19" s="120" t="str">
        <x:v>West Africa / Yorùbá</x:v>
      </x:c>
      <x:c r="F19" s="119" t="n">
        <x:f>COUNTIF('Seed Catalogue'!$C$2:$C$452,B19)</x:f>
        <x:v>0</x:v>
      </x:c>
      <x:c r="G19" s="122" t="n">
        <x:v>5</x:v>
      </x:c>
      <x:c r="H19" s="122" t="n">
        <x:v>5</x:v>
      </x:c>
      <x:c r="I19" s="122" t="n">
        <x:v>5</x:v>
      </x:c>
      <x:c r="J19" s="122" t="n">
        <x:v>5</x:v>
      </x:c>
      <x:c r="K19" s="122" t="n">
        <x:v>5</x:v>
      </x:c>
      <x:c r="L19" s="122" t="n">
        <x:v>5</x:v>
      </x:c>
      <x:c r="M19" s="122" t="n">
        <x:v>4</x:v>
      </x:c>
      <x:c r="N19" s="122" t="n">
        <x:v>1</x:v>
      </x:c>
      <x:c r="O19" s="123" t="n">
        <x:f>ROUND(G19/5*$X$2+H19/5*$X$3+I19/5*$X$4+J19/5*$X$5+K19/5*$X$6+L19/5*$X$7+M19/5*$X$8-N19/5*$X$9,1)</x:f>
        <x:v>94</x:v>
      </x:c>
      <x:c r="P19" s="119" t="str">
        <x:f>IF(O19&gt;=$X$12,"Foundational deep pass",IF(O19&gt;=$X$13,"Major deep pass",IF(O19&gt;=$X$14,"Targeted innovation pass",IF(O19&gt;=$X$15,"Sampling pass","Reference / defer"))))</x:f>
        <x:v>Foundational deep pass</x:v>
      </x:c>
      <x:c r="Q19" s="120" t="str">
        <x:v>Yorùbá/Ifá priority override</x:v>
      </x:c>
      <x:c r="R19" s="120" t="str">
        <x:v>Divination, destiny, òrìṣà relations, possession, praise, ritual authority, and living sacred context are major gaps.</x:v>
      </x:c>
      <x:c r="S19" s="120" t="str">
        <x:v>Editorial override — review required</x:v>
      </x:c>
      <x:c r="T19" s="120" t="str">
        <x:v>https://en.wikipedia.org/wiki/Yor%C3%B9b%C3%A1_%C3%92r%C3%AC%E1%B9%A3%C3%A0_Traditions</x:v>
      </x:c>
      <x:c r="U19" s="121" t="n">
        <x:v>46236</x:v>
      </x:c>
    </x:row>
    <x:row r="20" ht="46" customHeight="1">
      <x:c r="A20" s="119" t="n">
        <x:v>14</x:v>
      </x:c>
      <x:c r="B20" s="119" t="str">
        <x:v>SRC-021</x:v>
      </x:c>
      <x:c r="C20" s="120" t="str">
        <x:v>Popol Vuh</x:v>
      </x:c>
      <x:c r="D20" s="120" t="str">
        <x:v>Epic / Sacred Narrative</x:v>
      </x:c>
      <x:c r="E20" s="120" t="str">
        <x:v>Mesoamerica / K'iche' Maya</x:v>
      </x:c>
      <x:c r="F20" s="119" t="n">
        <x:f>COUNTIF('Seed Catalogue'!$C$2:$C$452,B20)</x:f>
        <x:v>0</x:v>
      </x:c>
      <x:c r="G20" s="122" t="n">
        <x:v>5</x:v>
      </x:c>
      <x:c r="H20" s="122" t="n">
        <x:v>5</x:v>
      </x:c>
      <x:c r="I20" s="122" t="n">
        <x:v>5</x:v>
      </x:c>
      <x:c r="J20" s="122" t="n">
        <x:v>5</x:v>
      </x:c>
      <x:c r="K20" s="122" t="n">
        <x:v>5</x:v>
      </x:c>
      <x:c r="L20" s="122" t="n">
        <x:v>4</x:v>
      </x:c>
      <x:c r="M20" s="122" t="n">
        <x:v>4</x:v>
      </x:c>
      <x:c r="N20" s="122" t="n">
        <x:v>1</x:v>
      </x:c>
      <x:c r="O20" s="123" t="n">
        <x:f>ROUND(G20/5*$X$2+H20/5*$X$3+I20/5*$X$4+J20/5*$X$5+K20/5*$X$6+L20/5*$X$7+M20/5*$X$8-N20/5*$X$9,1)</x:f>
        <x:v>92</x:v>
      </x:c>
      <x:c r="P20" s="119" t="str">
        <x:f>IF(O20&gt;=$X$12,"Foundational deep pass",IF(O20&gt;=$X$13,"Major deep pass",IF(O20&gt;=$X$14,"Targeted innovation pass",IF(O20&gt;=$X$15,"Sampling pass","Reference / defer"))))</x:f>
        <x:v>Foundational deep pass</x:v>
      </x:c>
      <x:c r="Q20" s="120" t="str">
        <x:v>Popol Vuh override</x:v>
      </x:c>
      <x:c r="R20" s="120" t="str">
        <x:v>Creation, hero twins, underworld trials, animal relations, and K'iche' sacred narrative provide high marginal value.</x:v>
      </x:c>
      <x:c r="S20" s="120" t="str">
        <x:v>Editorial override — review required</x:v>
      </x:c>
      <x:c r="T20" s="120" t="str">
        <x:v>https://en.wikipedia.org/wiki/Popol_Vuh</x:v>
      </x:c>
      <x:c r="U20" s="121" t="n">
        <x:v>46236</x:v>
      </x:c>
    </x:row>
    <x:row r="21" ht="46" customHeight="1">
      <x:c r="A21" s="119" t="n">
        <x:v>15</x:v>
      </x:c>
      <x:c r="B21" s="119" t="str">
        <x:v>SRC-011</x:v>
      </x:c>
      <x:c r="C21" s="120" t="str">
        <x:v>Shahnameh</x:v>
      </x:c>
      <x:c r="D21" s="120" t="str">
        <x:v>Epic Literature</x:v>
      </x:c>
      <x:c r="E21" s="120" t="str">
        <x:v>Persian / Iranian</x:v>
      </x:c>
      <x:c r="F21" s="119" t="n">
        <x:f>COUNTIF('Seed Catalogue'!$C$2:$C$452,B21)</x:f>
        <x:v>0</x:v>
      </x:c>
      <x:c r="G21" s="122" t="n">
        <x:v>5</x:v>
      </x:c>
      <x:c r="H21" s="122" t="n">
        <x:v>5</x:v>
      </x:c>
      <x:c r="I21" s="122" t="n">
        <x:v>5</x:v>
      </x:c>
      <x:c r="J21" s="122" t="n">
        <x:v>5</x:v>
      </x:c>
      <x:c r="K21" s="122" t="n">
        <x:v>5</x:v>
      </x:c>
      <x:c r="L21" s="122" t="n">
        <x:v>4</x:v>
      </x:c>
      <x:c r="M21" s="122" t="n">
        <x:v>4</x:v>
      </x:c>
      <x:c r="N21" s="122" t="n">
        <x:v>1</x:v>
      </x:c>
      <x:c r="O21" s="123" t="n">
        <x:f>ROUND(G21/5*$X$2+H21/5*$X$3+I21/5*$X$4+J21/5*$X$5+K21/5*$X$6+L21/5*$X$7+M21/5*$X$8-N21/5*$X$9,1)</x:f>
        <x:v>92</x:v>
      </x:c>
      <x:c r="P21" s="119" t="str">
        <x:f>IF(O21&gt;=$X$12,"Foundational deep pass",IF(O21&gt;=$X$13,"Major deep pass",IF(O21&gt;=$X$14,"Targeted innovation pass",IF(O21&gt;=$X$15,"Sampling pass","Reference / defer"))))</x:f>
        <x:v>Foundational deep pass</x:v>
      </x:c>
      <x:c r="Q21" s="120" t="str">
        <x:v>Persian epic override</x:v>
      </x:c>
      <x:c r="R21" s="120" t="str">
        <x:v>Royal glory, divs, peris, Simurgh, hero houses, and tragic kingship fill major gaps.</x:v>
      </x:c>
      <x:c r="S21" s="120" t="str">
        <x:v>Editorial override — review required</x:v>
      </x:c>
      <x:c r="T21" s="120" t="str">
        <x:v>https://en.wikipedia.org/wiki/Shahnameh</x:v>
      </x:c>
      <x:c r="U21" s="121" t="n">
        <x:v>46236</x:v>
      </x:c>
    </x:row>
    <x:row r="22" ht="46" customHeight="1">
      <x:c r="A22" s="119" t="n">
        <x:v>16</x:v>
      </x:c>
      <x:c r="B22" s="119" t="str">
        <x:v>SRC-012</x:v>
      </x:c>
      <x:c r="C22" s="120" t="str">
        <x:v>Epic of Gilgamesh</x:v>
      </x:c>
      <x:c r="D22" s="120" t="str">
        <x:v>Epic Literature</x:v>
      </x:c>
      <x:c r="E22" s="120" t="str">
        <x:v>Mesopotamia</x:v>
      </x:c>
      <x:c r="F22" s="119" t="n">
        <x:f>COUNTIF('Seed Catalogue'!$C$2:$C$452,B22)</x:f>
        <x:v>0</x:v>
      </x:c>
      <x:c r="G22" s="122" t="n">
        <x:v>5</x:v>
      </x:c>
      <x:c r="H22" s="122" t="n">
        <x:v>5</x:v>
      </x:c>
      <x:c r="I22" s="122" t="n">
        <x:v>4</x:v>
      </x:c>
      <x:c r="J22" s="122" t="n">
        <x:v>5</x:v>
      </x:c>
      <x:c r="K22" s="122" t="n">
        <x:v>5</x:v>
      </x:c>
      <x:c r="L22" s="122" t="n">
        <x:v>4</x:v>
      </x:c>
      <x:c r="M22" s="122" t="n">
        <x:v>5</x:v>
      </x:c>
      <x:c r="N22" s="122" t="n">
        <x:v>1</x:v>
      </x:c>
      <x:c r="O22" s="123" t="n">
        <x:f>ROUND(G22/5*$X$2+H22/5*$X$3+I22/5*$X$4+J22/5*$X$5+K22/5*$X$6+L22/5*$X$7+M22/5*$X$8-N22/5*$X$9,1)</x:f>
        <x:v>91</x:v>
      </x:c>
      <x:c r="P22" s="119" t="str">
        <x:f>IF(O22&gt;=$X$12,"Foundational deep pass",IF(O22&gt;=$X$13,"Major deep pass",IF(O22&gt;=$X$14,"Targeted innovation pass",IF(O22&gt;=$X$15,"Sampling pass","Reference / defer"))))</x:f>
        <x:v>Foundational deep pass</x:v>
      </x:c>
      <x:c r="Q22" s="120" t="str">
        <x:v>Mesopotamian epic override</x:v>
      </x:c>
      <x:c r="R22" s="120" t="str">
        <x:v>Foundational kingship, monster guardians, divine conflict, and immortality-quest material.</x:v>
      </x:c>
      <x:c r="S22" s="120" t="str">
        <x:v>Editorial override — review required</x:v>
      </x:c>
      <x:c r="T22" s="120" t="str">
        <x:v>https://en.wikipedia.org/wiki/Epic_of_Gilgamesh</x:v>
      </x:c>
      <x:c r="U22" s="121" t="n">
        <x:v>46236</x:v>
      </x:c>
    </x:row>
    <x:row r="23" ht="46" customHeight="1">
      <x:c r="A23" s="119" t="n">
        <x:v>17</x:v>
      </x:c>
      <x:c r="B23" s="119" t="str">
        <x:v>SRC-005</x:v>
      </x:c>
      <x:c r="C23" s="120" t="str">
        <x:v>Arthurian Legend</x:v>
      </x:c>
      <x:c r="D23" s="120" t="str">
        <x:v>Literature / Mythic Cycle</x:v>
      </x:c>
      <x:c r="E23" s="120" t="str">
        <x:v>Britain / France / Europe</x:v>
      </x:c>
      <x:c r="F23" s="119" t="n">
        <x:f>COUNTIF('Seed Catalogue'!$C$2:$C$452,B23)</x:f>
        <x:v>0</x:v>
      </x:c>
      <x:c r="G23" s="122" t="n">
        <x:v>5</x:v>
      </x:c>
      <x:c r="H23" s="122" t="n">
        <x:v>5</x:v>
      </x:c>
      <x:c r="I23" s="122" t="n">
        <x:v>4</x:v>
      </x:c>
      <x:c r="J23" s="122" t="n">
        <x:v>5</x:v>
      </x:c>
      <x:c r="K23" s="122" t="n">
        <x:v>5</x:v>
      </x:c>
      <x:c r="L23" s="122" t="n">
        <x:v>4</x:v>
      </x:c>
      <x:c r="M23" s="122" t="n">
        <x:v>4</x:v>
      </x:c>
      <x:c r="N23" s="122" t="n">
        <x:v>1</x:v>
      </x:c>
      <x:c r="O23" s="123" t="n">
        <x:f>ROUND(G23/5*$X$2+H23/5*$X$3+I23/5*$X$4+J23/5*$X$5+K23/5*$X$6+L23/5*$X$7+M23/5*$X$8-N23/5*$X$9,1)</x:f>
        <x:v>89</x:v>
      </x:c>
      <x:c r="P23" s="119" t="str">
        <x:f>IF(O23&gt;=$X$12,"Foundational deep pass",IF(O23&gt;=$X$13,"Major deep pass",IF(O23&gt;=$X$14,"Targeted innovation pass",IF(O23&gt;=$X$15,"Sampling pass","Reference / defer"))))</x:f>
        <x:v>Foundational deep pass</x:v>
      </x:c>
      <x:c r="Q23" s="120" t="str">
        <x:v>Mythic/epic source baseline</x:v>
      </x:c>
      <x:c r="R23" s="120" t="str">
        <x:v>High ontology, cosmology, ritual, narrative, and historical-influence value; prioritize source-specific deep research.</x:v>
      </x:c>
      <x:c r="S23" s="120" t="str">
        <x:v>Heuristic baseline — editorial review required</x:v>
      </x:c>
      <x:c r="T23" s="120" t="str">
        <x:v>https://en.wikipedia.org/wiki/Arthurian_Legend</x:v>
      </x:c>
      <x:c r="U23" s="121" t="n">
        <x:v>46236</x:v>
      </x:c>
    </x:row>
    <x:row r="24" ht="46" customHeight="1">
      <x:c r="A24" s="119" t="n">
        <x:v>18</x:v>
      </x:c>
      <x:c r="B24" s="119" t="str">
        <x:v>SRC-006</x:v>
      </x:c>
      <x:c r="C24" s="120" t="str">
        <x:v>Kalevala</x:v>
      </x:c>
      <x:c r="D24" s="120" t="str">
        <x:v>Epic / Folklore</x:v>
      </x:c>
      <x:c r="E24" s="120" t="str">
        <x:v>Finland / Karelia</x:v>
      </x:c>
      <x:c r="F24" s="119" t="n">
        <x:f>COUNTIF('Seed Catalogue'!$C$2:$C$452,B24)</x:f>
        <x:v>0</x:v>
      </x:c>
      <x:c r="G24" s="122" t="n">
        <x:v>5</x:v>
      </x:c>
      <x:c r="H24" s="122" t="n">
        <x:v>5</x:v>
      </x:c>
      <x:c r="I24" s="122" t="n">
        <x:v>4</x:v>
      </x:c>
      <x:c r="J24" s="122" t="n">
        <x:v>5</x:v>
      </x:c>
      <x:c r="K24" s="122" t="n">
        <x:v>5</x:v>
      </x:c>
      <x:c r="L24" s="122" t="n">
        <x:v>4</x:v>
      </x:c>
      <x:c r="M24" s="122" t="n">
        <x:v>4</x:v>
      </x:c>
      <x:c r="N24" s="122" t="n">
        <x:v>1</x:v>
      </x:c>
      <x:c r="O24" s="123" t="n">
        <x:f>ROUND(G24/5*$X$2+H24/5*$X$3+I24/5*$X$4+J24/5*$X$5+K24/5*$X$6+L24/5*$X$7+M24/5*$X$8-N24/5*$X$9,1)</x:f>
        <x:v>89</x:v>
      </x:c>
      <x:c r="P24" s="119" t="str">
        <x:f>IF(O24&gt;=$X$12,"Foundational deep pass",IF(O24&gt;=$X$13,"Major deep pass",IF(O24&gt;=$X$14,"Targeted innovation pass",IF(O24&gt;=$X$15,"Sampling pass","Reference / defer"))))</x:f>
        <x:v>Foundational deep pass</x:v>
      </x:c>
      <x:c r="Q24" s="120" t="str">
        <x:v>Finnic epic override</x:v>
      </x:c>
      <x:c r="R24" s="120" t="str">
        <x:v>Song magic, smithing, artifact quests, and cosmological poetics add distinctive models.</x:v>
      </x:c>
      <x:c r="S24" s="120" t="str">
        <x:v>Editorial override — review required</x:v>
      </x:c>
      <x:c r="T24" s="120" t="str">
        <x:v>https://en.wikipedia.org/wiki/Kalevala</x:v>
      </x:c>
      <x:c r="U24" s="121" t="n">
        <x:v>46236</x:v>
      </x:c>
    </x:row>
    <x:row r="25" ht="46" customHeight="1">
      <x:c r="A25" s="119" t="n">
        <x:v>19</x:v>
      </x:c>
      <x:c r="B25" s="119" t="str">
        <x:v>SRC-004</x:v>
      </x:c>
      <x:c r="C25" s="120" t="str">
        <x:v>The Mabinogion</x:v>
      </x:c>
      <x:c r="D25" s="120" t="str">
        <x:v>Literature / Mythic Cycle</x:v>
      </x:c>
      <x:c r="E25" s="120" t="str">
        <x:v>Wales</x:v>
      </x:c>
      <x:c r="F25" s="119" t="n">
        <x:f>COUNTIF('Seed Catalogue'!$C$2:$C$452,B25)</x:f>
        <x:v>0</x:v>
      </x:c>
      <x:c r="G25" s="122" t="n">
        <x:v>5</x:v>
      </x:c>
      <x:c r="H25" s="122" t="n">
        <x:v>5</x:v>
      </x:c>
      <x:c r="I25" s="122" t="n">
        <x:v>4</x:v>
      </x:c>
      <x:c r="J25" s="122" t="n">
        <x:v>5</x:v>
      </x:c>
      <x:c r="K25" s="122" t="n">
        <x:v>5</x:v>
      </x:c>
      <x:c r="L25" s="122" t="n">
        <x:v>4</x:v>
      </x:c>
      <x:c r="M25" s="122" t="n">
        <x:v>4</x:v>
      </x:c>
      <x:c r="N25" s="122" t="n">
        <x:v>1</x:v>
      </x:c>
      <x:c r="O25" s="123" t="n">
        <x:f>ROUND(G25/5*$X$2+H25/5*$X$3+I25/5*$X$4+J25/5*$X$5+K25/5*$X$6+L25/5*$X$7+M25/5*$X$8-N25/5*$X$9,1)</x:f>
        <x:v>89</x:v>
      </x:c>
      <x:c r="P25" s="119" t="str">
        <x:f>IF(O25&gt;=$X$12,"Foundational deep pass",IF(O25&gt;=$X$13,"Major deep pass",IF(O25&gt;=$X$14,"Targeted innovation pass",IF(O25&gt;=$X$15,"Sampling pass","Reference / defer"))))</x:f>
        <x:v>Foundational deep pass</x:v>
      </x:c>
      <x:c r="Q25" s="120" t="str">
        <x:v>Welsh mythic-cycle override</x:v>
      </x:c>
      <x:c r="R25" s="120" t="str">
        <x:v>High value for transformation, sovereignty, otherworld journeys, and kinship structures.</x:v>
      </x:c>
      <x:c r="S25" s="120" t="str">
        <x:v>Editorial override — review required</x:v>
      </x:c>
      <x:c r="T25" s="120" t="str">
        <x:v>https://en.wikipedia.org/wiki/The_Mabinogion</x:v>
      </x:c>
      <x:c r="U25" s="121" t="n">
        <x:v>46236</x:v>
      </x:c>
    </x:row>
    <x:row r="26" ht="46" customHeight="1">
      <x:c r="A26" s="119" t="n">
        <x:v>20</x:v>
      </x:c>
      <x:c r="B26" s="119" t="str">
        <x:v>SRC-020</x:v>
      </x:c>
      <x:c r="C26" s="120" t="str">
        <x:v>Korean Mythology and Folklore</x:v>
      </x:c>
      <x:c r="D26" s="120" t="str">
        <x:v>Mythology / Folklore</x:v>
      </x:c>
      <x:c r="E26" s="120" t="str">
        <x:v>Korea</x:v>
      </x:c>
      <x:c r="F26" s="119" t="n">
        <x:f>COUNTIF('Seed Catalogue'!$C$2:$C$452,B26)</x:f>
        <x:v>0</x:v>
      </x:c>
      <x:c r="G26" s="122" t="n">
        <x:v>5</x:v>
      </x:c>
      <x:c r="H26" s="122" t="n">
        <x:v>5</x:v>
      </x:c>
      <x:c r="I26" s="122" t="n">
        <x:v>4</x:v>
      </x:c>
      <x:c r="J26" s="122" t="n">
        <x:v>4</x:v>
      </x:c>
      <x:c r="K26" s="122" t="n">
        <x:v>5</x:v>
      </x:c>
      <x:c r="L26" s="122" t="n">
        <x:v>4</x:v>
      </x:c>
      <x:c r="M26" s="122" t="n">
        <x:v>4</x:v>
      </x:c>
      <x:c r="N26" s="122" t="n">
        <x:v>1</x:v>
      </x:c>
      <x:c r="O26" s="123" t="n">
        <x:f>ROUND(G26/5*$X$2+H26/5*$X$3+I26/5*$X$4+J26/5*$X$5+K26/5*$X$6+L26/5*$X$7+M26/5*$X$8-N26/5*$X$9,1)</x:f>
        <x:v>86</x:v>
      </x:c>
      <x:c r="P26" s="119" t="str">
        <x:f>IF(O26&gt;=$X$12,"Foundational deep pass",IF(O26&gt;=$X$13,"Major deep pass",IF(O26&gt;=$X$14,"Targeted innovation pass",IF(O26&gt;=$X$15,"Sampling pass","Reference / defer"))))</x:f>
        <x:v>Foundational deep pass</x:v>
      </x:c>
      <x:c r="Q26" s="120" t="str">
        <x:v>Mythic/epic source baseline</x:v>
      </x:c>
      <x:c r="R26" s="120" t="str">
        <x:v>High ontology, cosmology, ritual, narrative, and historical-influence value; prioritize source-specific deep research.</x:v>
      </x:c>
      <x:c r="S26" s="120" t="str">
        <x:v>Heuristic baseline — editorial review required</x:v>
      </x:c>
      <x:c r="T26" s="120" t="str">
        <x:v>https://en.wikipedia.org/wiki/Korean_Mythology_and_Folklore</x:v>
      </x:c>
      <x:c r="U26" s="121" t="n">
        <x:v>46236</x:v>
      </x:c>
    </x:row>
    <x:row r="27" ht="46" customHeight="1">
      <x:c r="A27" s="119" t="n">
        <x:v>21</x:v>
      </x:c>
      <x:c r="B27" s="119" t="str">
        <x:v>SRC-024</x:v>
      </x:c>
      <x:c r="C27" s="120" t="str">
        <x:v>Māori Mythology</x:v>
      </x:c>
      <x:c r="D27" s="120" t="str">
        <x:v>Mythology / Folklore</x:v>
      </x:c>
      <x:c r="E27" s="120" t="str">
        <x:v>Aotearoa New Zealand</x:v>
      </x:c>
      <x:c r="F27" s="119" t="n">
        <x:f>COUNTIF('Seed Catalogue'!$C$2:$C$452,B27)</x:f>
        <x:v>0</x:v>
      </x:c>
      <x:c r="G27" s="122" t="n">
        <x:v>5</x:v>
      </x:c>
      <x:c r="H27" s="122" t="n">
        <x:v>5</x:v>
      </x:c>
      <x:c r="I27" s="122" t="n">
        <x:v>4</x:v>
      </x:c>
      <x:c r="J27" s="122" t="n">
        <x:v>4</x:v>
      </x:c>
      <x:c r="K27" s="122" t="n">
        <x:v>5</x:v>
      </x:c>
      <x:c r="L27" s="122" t="n">
        <x:v>4</x:v>
      </x:c>
      <x:c r="M27" s="122" t="n">
        <x:v>4</x:v>
      </x:c>
      <x:c r="N27" s="122" t="n">
        <x:v>1</x:v>
      </x:c>
      <x:c r="O27" s="123" t="n">
        <x:f>ROUND(G27/5*$X$2+H27/5*$X$3+I27/5*$X$4+J27/5*$X$5+K27/5*$X$6+L27/5*$X$7+M27/5*$X$8-N27/5*$X$9,1)</x:f>
        <x:v>86</x:v>
      </x:c>
      <x:c r="P27" s="119" t="str">
        <x:f>IF(O27&gt;=$X$12,"Foundational deep pass",IF(O27&gt;=$X$13,"Major deep pass",IF(O27&gt;=$X$14,"Targeted innovation pass",IF(O27&gt;=$X$15,"Sampling pass","Reference / defer"))))</x:f>
        <x:v>Foundational deep pass</x:v>
      </x:c>
      <x:c r="Q27" s="120" t="str">
        <x:v>Mythic/epic source baseline</x:v>
      </x:c>
      <x:c r="R27" s="120" t="str">
        <x:v>High ontology, cosmology, ritual, narrative, and historical-influence value; prioritize source-specific deep research.</x:v>
      </x:c>
      <x:c r="S27" s="120" t="str">
        <x:v>Heuristic baseline — editorial review required</x:v>
      </x:c>
      <x:c r="T27" s="120" t="str">
        <x:v>https://en.wikipedia.org/wiki/M%C4%81ori_Mythology</x:v>
      </x:c>
      <x:c r="U27" s="121" t="n">
        <x:v>46236</x:v>
      </x:c>
    </x:row>
    <x:row r="28" ht="46" customHeight="1">
      <x:c r="A28" s="119" t="n">
        <x:v>22</x:v>
      </x:c>
      <x:c r="B28" s="119" t="str">
        <x:v>SRC-025</x:v>
      </x:c>
      <x:c r="C28" s="120" t="str">
        <x:v>Polynesian Māui Cycles</x:v>
      </x:c>
      <x:c r="D28" s="120" t="str">
        <x:v>Mythology / Folklore</x:v>
      </x:c>
      <x:c r="E28" s="120" t="str">
        <x:v>Polynesia</x:v>
      </x:c>
      <x:c r="F28" s="119" t="n">
        <x:f>COUNTIF('Seed Catalogue'!$C$2:$C$452,B28)</x:f>
        <x:v>0</x:v>
      </x:c>
      <x:c r="G28" s="122" t="n">
        <x:v>5</x:v>
      </x:c>
      <x:c r="H28" s="122" t="n">
        <x:v>5</x:v>
      </x:c>
      <x:c r="I28" s="122" t="n">
        <x:v>4</x:v>
      </x:c>
      <x:c r="J28" s="122" t="n">
        <x:v>4</x:v>
      </x:c>
      <x:c r="K28" s="122" t="n">
        <x:v>5</x:v>
      </x:c>
      <x:c r="L28" s="122" t="n">
        <x:v>4</x:v>
      </x:c>
      <x:c r="M28" s="122" t="n">
        <x:v>4</x:v>
      </x:c>
      <x:c r="N28" s="122" t="n">
        <x:v>1</x:v>
      </x:c>
      <x:c r="O28" s="123" t="n">
        <x:f>ROUND(G28/5*$X$2+H28/5*$X$3+I28/5*$X$4+J28/5*$X$5+K28/5*$X$6+L28/5*$X$7+M28/5*$X$8-N28/5*$X$9,1)</x:f>
        <x:v>86</x:v>
      </x:c>
      <x:c r="P28" s="119" t="str">
        <x:f>IF(O28&gt;=$X$12,"Foundational deep pass",IF(O28&gt;=$X$13,"Major deep pass",IF(O28&gt;=$X$14,"Targeted innovation pass",IF(O28&gt;=$X$15,"Sampling pass","Reference / defer"))))</x:f>
        <x:v>Foundational deep pass</x:v>
      </x:c>
      <x:c r="Q28" s="120" t="str">
        <x:v>Mythic/epic source baseline</x:v>
      </x:c>
      <x:c r="R28" s="120" t="str">
        <x:v>High ontology, cosmology, ritual, narrative, and historical-influence value; prioritize source-specific deep research.</x:v>
      </x:c>
      <x:c r="S28" s="120" t="str">
        <x:v>Heuristic baseline — editorial review required</x:v>
      </x:c>
      <x:c r="T28" s="120" t="str">
        <x:v>https://en.wikipedia.org/wiki/Polynesian_M%C4%81ui_Cycles</x:v>
      </x:c>
      <x:c r="U28" s="121" t="n">
        <x:v>46236</x:v>
      </x:c>
    </x:row>
    <x:row r="29" ht="46" customHeight="1">
      <x:c r="A29" s="119" t="n">
        <x:v>23</x:v>
      </x:c>
      <x:c r="B29" s="119" t="str">
        <x:v>SRC-023</x:v>
      </x:c>
      <x:c r="C29" s="120" t="str">
        <x:v>Sundiata Epic</x:v>
      </x:c>
      <x:c r="D29" s="120" t="str">
        <x:v>Epic / Oral Literature</x:v>
      </x:c>
      <x:c r="E29" s="120" t="str">
        <x:v>West Africa / Mande</x:v>
      </x:c>
      <x:c r="F29" s="119" t="n">
        <x:f>COUNTIF('Seed Catalogue'!$C$2:$C$452,B29)</x:f>
        <x:v>0</x:v>
      </x:c>
      <x:c r="G29" s="122" t="n">
        <x:v>5</x:v>
      </x:c>
      <x:c r="H29" s="122" t="n">
        <x:v>5</x:v>
      </x:c>
      <x:c r="I29" s="122" t="n">
        <x:v>4</x:v>
      </x:c>
      <x:c r="J29" s="122" t="n">
        <x:v>4</x:v>
      </x:c>
      <x:c r="K29" s="122" t="n">
        <x:v>5</x:v>
      </x:c>
      <x:c r="L29" s="122" t="n">
        <x:v>4</x:v>
      </x:c>
      <x:c r="M29" s="122" t="n">
        <x:v>4</x:v>
      </x:c>
      <x:c r="N29" s="122" t="n">
        <x:v>1</x:v>
      </x:c>
      <x:c r="O29" s="123" t="n">
        <x:f>ROUND(G29/5*$X$2+H29/5*$X$3+I29/5*$X$4+J29/5*$X$5+K29/5*$X$6+L29/5*$X$7+M29/5*$X$8-N29/5*$X$9,1)</x:f>
        <x:v>86</x:v>
      </x:c>
      <x:c r="P29" s="119" t="str">
        <x:f>IF(O29&gt;=$X$12,"Foundational deep pass",IF(O29&gt;=$X$13,"Major deep pass",IF(O29&gt;=$X$14,"Targeted innovation pass",IF(O29&gt;=$X$15,"Sampling pass","Reference / defer"))))</x:f>
        <x:v>Foundational deep pass</x:v>
      </x:c>
      <x:c r="Q29" s="120" t="str">
        <x:v>Mythic/epic source baseline</x:v>
      </x:c>
      <x:c r="R29" s="120" t="str">
        <x:v>High ontology, cosmology, ritual, narrative, and historical-influence value; prioritize source-specific deep research.</x:v>
      </x:c>
      <x:c r="S29" s="120" t="str">
        <x:v>Heuristic baseline — editorial review required</x:v>
      </x:c>
      <x:c r="T29" s="120" t="str">
        <x:v>https://en.wikipedia.org/wiki/Sundiata_Epic</x:v>
      </x:c>
      <x:c r="U29" s="121" t="n">
        <x:v>46236</x:v>
      </x:c>
    </x:row>
    <x:row r="30" ht="46" customHeight="1">
      <x:c r="A30" s="119" t="n">
        <x:v>24</x:v>
      </x:c>
      <x:c r="B30" s="119" t="str">
        <x:v>SRC-007</x:v>
      </x:c>
      <x:c r="C30" s="120" t="str">
        <x:v>Slavic Folklore</x:v>
      </x:c>
      <x:c r="D30" s="120" t="str">
        <x:v>Mythology / Folklore</x:v>
      </x:c>
      <x:c r="E30" s="120" t="str">
        <x:v>Eastern and Central Europe</x:v>
      </x:c>
      <x:c r="F30" s="119" t="n">
        <x:f>COUNTIF('Seed Catalogue'!$C$2:$C$452,B30)</x:f>
        <x:v>0</x:v>
      </x:c>
      <x:c r="G30" s="122" t="n">
        <x:v>5</x:v>
      </x:c>
      <x:c r="H30" s="122" t="n">
        <x:v>5</x:v>
      </x:c>
      <x:c r="I30" s="122" t="n">
        <x:v>4</x:v>
      </x:c>
      <x:c r="J30" s="122" t="n">
        <x:v>5</x:v>
      </x:c>
      <x:c r="K30" s="122" t="n">
        <x:v>5</x:v>
      </x:c>
      <x:c r="L30" s="122" t="n">
        <x:v>5</x:v>
      </x:c>
      <x:c r="M30" s="122" t="n">
        <x:v>3</x:v>
      </x:c>
      <x:c r="N30" s="122" t="n">
        <x:v>2</x:v>
      </x:c>
      <x:c r="O30" s="123" t="n">
        <x:f>ROUND(G30/5*$X$2+H30/5*$X$3+I30/5*$X$4+J30/5*$X$5+K30/5*$X$6+L30/5*$X$7+M30/5*$X$8-N30/5*$X$9,1)</x:f>
        <x:v>85</x:v>
      </x:c>
      <x:c r="P30" s="119" t="str">
        <x:f>IF(O30&gt;=$X$12,"Foundational deep pass",IF(O30&gt;=$X$13,"Major deep pass",IF(O30&gt;=$X$14,"Targeted innovation pass",IF(O30&gt;=$X$15,"Sampling pass","Reference / defer"))))</x:f>
        <x:v>Foundational deep pass</x:v>
      </x:c>
      <x:c r="Q30" s="120" t="str">
        <x:v>Slavic source-complex override</x:v>
      </x:c>
      <x:c r="R30" s="120" t="str">
        <x:v>Household, field, forest, water, witch, revenant, and dragon traditions correct generic monster taxonomies.</x:v>
      </x:c>
      <x:c r="S30" s="120" t="str">
        <x:v>Editorial override — review required</x:v>
      </x:c>
      <x:c r="T30" s="120" t="str">
        <x:v>https://en.wikipedia.org/wiki/Slavic_Folklore</x:v>
      </x:c>
      <x:c r="U30" s="121" t="n">
        <x:v>46236</x:v>
      </x:c>
    </x:row>
    <x:row r="31" ht="46" customHeight="1">
      <x:c r="A31" s="119" t="n">
        <x:v>25</x:v>
      </x:c>
      <x:c r="B31" s="119" t="str">
        <x:v>SRC-001</x:v>
      </x:c>
      <x:c r="C31" s="120" t="str">
        <x:v>Ancient Greek Mythology</x:v>
      </x:c>
      <x:c r="D31" s="120" t="str">
        <x:v>Mythology / Folklore</x:v>
      </x:c>
      <x:c r="E31" s="120" t="str">
        <x:v>Mediterranean / Greek</x:v>
      </x:c>
      <x:c r="F31" s="119" t="n">
        <x:f>COUNTIF('Seed Catalogue'!$C$2:$C$452,B31)</x:f>
        <x:v>0</x:v>
      </x:c>
      <x:c r="G31" s="122" t="n">
        <x:v>5</x:v>
      </x:c>
      <x:c r="H31" s="122" t="n">
        <x:v>5</x:v>
      </x:c>
      <x:c r="I31" s="122" t="n">
        <x:v>3</x:v>
      </x:c>
      <x:c r="J31" s="122" t="n">
        <x:v>5</x:v>
      </x:c>
      <x:c r="K31" s="122" t="n">
        <x:v>5</x:v>
      </x:c>
      <x:c r="L31" s="122" t="n">
        <x:v>5</x:v>
      </x:c>
      <x:c r="M31" s="122" t="n">
        <x:v>5</x:v>
      </x:c>
      <x:c r="N31" s="122" t="n">
        <x:v>3</x:v>
      </x:c>
      <x:c r="O31" s="123" t="n">
        <x:f>ROUND(G31/5*$X$2+H31/5*$X$3+I31/5*$X$4+J31/5*$X$5+K31/5*$X$6+L31/5*$X$7+M31/5*$X$8-N31/5*$X$9,1)</x:f>
        <x:v>82</x:v>
      </x:c>
      <x:c r="P31" s="119" t="str">
        <x:f>IF(O31&gt;=$X$12,"Foundational deep pass",IF(O31&gt;=$X$13,"Major deep pass",IF(O31&gt;=$X$14,"Targeted innovation pass",IF(O31&gt;=$X$15,"Sampling pass","Reference / defer"))))</x:f>
        <x:v>Foundational deep pass</x:v>
      </x:c>
      <x:c r="Q31" s="120" t="str">
        <x:v>Corrective classical-source pass</x:v>
      </x:c>
      <x:c r="R31" s="120" t="str">
        <x:v>Highly influential but already heavily mediated through fantasy; prioritize correction of modern simplifications.</x:v>
      </x:c>
      <x:c r="S31" s="120" t="str">
        <x:v>Heuristic baseline — editorial review required</x:v>
      </x:c>
      <x:c r="T31" s="120" t="str">
        <x:v>https://en.wikipedia.org/wiki/Ancient_Greek_Mythology</x:v>
      </x:c>
      <x:c r="U31" s="121" t="n">
        <x:v>46236</x:v>
      </x:c>
    </x:row>
    <x:row r="32" ht="46" customHeight="1">
      <x:c r="A32" s="119" t="n">
        <x:v>26</x:v>
      </x:c>
      <x:c r="B32" s="119" t="str">
        <x:v>SRC-002</x:v>
      </x:c>
      <x:c r="C32" s="120" t="str">
        <x:v>Norse Mythology</x:v>
      </x:c>
      <x:c r="D32" s="120" t="str">
        <x:v>Mythology / Folklore</x:v>
      </x:c>
      <x:c r="E32" s="120" t="str">
        <x:v>Northern Europe / Norse</x:v>
      </x:c>
      <x:c r="F32" s="119" t="n">
        <x:f>COUNTIF('Seed Catalogue'!$C$2:$C$452,B32)</x:f>
        <x:v>0</x:v>
      </x:c>
      <x:c r="G32" s="122" t="n">
        <x:v>5</x:v>
      </x:c>
      <x:c r="H32" s="122" t="n">
        <x:v>5</x:v>
      </x:c>
      <x:c r="I32" s="122" t="n">
        <x:v>3</x:v>
      </x:c>
      <x:c r="J32" s="122" t="n">
        <x:v>5</x:v>
      </x:c>
      <x:c r="K32" s="122" t="n">
        <x:v>5</x:v>
      </x:c>
      <x:c r="L32" s="122" t="n">
        <x:v>5</x:v>
      </x:c>
      <x:c r="M32" s="122" t="n">
        <x:v>5</x:v>
      </x:c>
      <x:c r="N32" s="122" t="n">
        <x:v>3</x:v>
      </x:c>
      <x:c r="O32" s="123" t="n">
        <x:f>ROUND(G32/5*$X$2+H32/5*$X$3+I32/5*$X$4+J32/5*$X$5+K32/5*$X$6+L32/5*$X$7+M32/5*$X$8-N32/5*$X$9,1)</x:f>
        <x:v>82</x:v>
      </x:c>
      <x:c r="P32" s="119" t="str">
        <x:f>IF(O32&gt;=$X$12,"Foundational deep pass",IF(O32&gt;=$X$13,"Major deep pass",IF(O32&gt;=$X$14,"Targeted innovation pass",IF(O32&gt;=$X$15,"Sampling pass","Reference / defer"))))</x:f>
        <x:v>Foundational deep pass</x:v>
      </x:c>
      <x:c r="Q32" s="120" t="str">
        <x:v>Corrective Norse-source pass</x:v>
      </x:c>
      <x:c r="R32" s="120" t="str">
        <x:v>High influence and cosmological depth; focus on categories distorted by modern game-race and monster taxonomies.</x:v>
      </x:c>
      <x:c r="S32" s="120" t="str">
        <x:v>Heuristic baseline — editorial review required</x:v>
      </x:c>
      <x:c r="T32" s="120" t="str">
        <x:v>https://en.wikipedia.org/wiki/Norse_Mythology</x:v>
      </x:c>
      <x:c r="U32" s="121" t="n">
        <x:v>46236</x:v>
      </x:c>
    </x:row>
    <x:row r="33" ht="46" customHeight="1">
      <x:c r="A33" s="119" t="n">
        <x:v>27</x:v>
      </x:c>
      <x:c r="B33" s="119" t="str">
        <x:v>SRC-281</x:v>
      </x:c>
      <x:c r="C33" s="120" t="str">
        <x:v>Age of Mythology: Retold</x:v>
      </x:c>
      <x:c r="D33" s="120" t="str">
        <x:v>Video Game / Real-Time Strategy</x:v>
      </x:c>
      <x:c r="E33" s="120" t="str">
        <x:v>United States / global commercial adaptation</x:v>
      </x:c>
      <x:c r="F33" s="119" t="n">
        <x:f>COUNTIF('Seed Catalogue'!$C$2:$C$452,B33)</x:f>
        <x:v>26</x:v>
      </x:c>
      <x:c r="G33" s="122" t="n">
        <x:v>4</x:v>
      </x:c>
      <x:c r="H33" s="122" t="n">
        <x:v>4</x:v>
      </x:c>
      <x:c r="I33" s="122" t="n">
        <x:v>4</x:v>
      </x:c>
      <x:c r="J33" s="122" t="n">
        <x:v>4</x:v>
      </x:c>
      <x:c r="K33" s="122" t="n">
        <x:v>4</x:v>
      </x:c>
      <x:c r="L33" s="122" t="n">
        <x:v>5</x:v>
      </x:c>
      <x:c r="M33" s="122" t="n">
        <x:v>5</x:v>
      </x:c>
      <x:c r="N33" s="122" t="n">
        <x:v>2</x:v>
      </x:c>
      <x:c r="O33" s="123" t="n">
        <x:f>ROUND(G33/5*$X$2+H33/5*$X$3+I33/5*$X$4+J33/5*$X$5+K33/5*$X$6+L33/5*$X$7+M33/5*$X$8-N33/5*$X$9,1)</x:f>
        <x:v>76</x:v>
      </x:c>
      <x:c r="P33" s="119" t="str">
        <x:f>IF(O33&gt;=$X$12,"Foundational deep pass",IF(O33&gt;=$X$13,"Major deep pass",IF(O33&gt;=$X$14,"Targeted innovation pass",IF(O33&gt;=$X$15,"Sampling pass","Reference / defer"))))</x:f>
        <x:v>Foundational deep pass</x:v>
      </x:c>
      <x:c r="Q33" s="120" t="str">
        <x:v>Age of Mythology adaptation override</x:v>
      </x:c>
      <x:c r="R33" s="120" t="str">
        <x:v>High adaptation value: directly exposes how myths become factions, units, resources, powers, counters, and progression systems.</x:v>
      </x:c>
      <x:c r="S33" s="120" t="str">
        <x:v>Editorial override — review required</x:v>
      </x:c>
      <x:c r="T33" s="120" t="str">
        <x:v>https://www.ageofempires.com/games/age-of-mythology-retold/</x:v>
      </x:c>
      <x:c r="U33" s="121" t="n">
        <x:v>46236</x:v>
      </x:c>
    </x:row>
    <x:row r="34" ht="46" customHeight="1">
      <x:c r="A34" s="119" t="n">
        <x:v>28</x:v>
      </x:c>
      <x:c r="B34" s="119" t="str">
        <x:v>SRC-050</x:v>
      </x:c>
      <x:c r="C34" s="120" t="str">
        <x:v>Bas-Lag</x:v>
      </x:c>
      <x:c r="D34" s="120" t="str">
        <x:v>Literature</x:v>
      </x:c>
      <x:c r="E34" s="120" t="str">
        <x:v>Britain / New Weird</x:v>
      </x:c>
      <x:c r="F34" s="119" t="n">
        <x:f>COUNTIF('Seed Catalogue'!$C$2:$C$452,B34)</x:f>
        <x:v>0</x:v>
      </x:c>
      <x:c r="G34" s="122" t="n">
        <x:v>4</x:v>
      </x:c>
      <x:c r="H34" s="122" t="n">
        <x:v>4</x:v>
      </x:c>
      <x:c r="I34" s="122" t="n">
        <x:v>3</x:v>
      </x:c>
      <x:c r="J34" s="122" t="n">
        <x:v>5</x:v>
      </x:c>
      <x:c r="K34" s="122" t="n">
        <x:v>4</x:v>
      </x:c>
      <x:c r="L34" s="122" t="n">
        <x:v>4</x:v>
      </x:c>
      <x:c r="M34" s="122" t="n">
        <x:v>4</x:v>
      </x:c>
      <x:c r="N34" s="122" t="n">
        <x:v>2</x:v>
      </x:c>
      <x:c r="O34" s="123" t="n">
        <x:f>ROUND(G34/5*$X$2+H34/5*$X$3+I34/5*$X$4+J34/5*$X$5+K34/5*$X$6+L34/5*$X$7+M34/5*$X$8-N34/5*$X$9,1)</x:f>
        <x:v>72</x:v>
      </x:c>
      <x:c r="P34" s="119" t="str">
        <x:f>IF(O34&gt;=$X$12,"Foundational deep pass",IF(O34&gt;=$X$13,"Major deep pass",IF(O34&gt;=$X$14,"Targeted innovation pass",IF(O34&gt;=$X$15,"Sampling pass","Reference / defer"))))</x:f>
        <x:v>Major deep pass</x:v>
      </x:c>
      <x:c r="Q34" s="120" t="str">
        <x:v>Literary-source baseline</x:v>
      </x:c>
      <x:c r="R34" s="120" t="str">
        <x:v>Prioritize distinctive ontology, narrative structures, institutions, and power logics over familiar surface labels.</x:v>
      </x:c>
      <x:c r="S34" s="120" t="str">
        <x:v>Heuristic baseline — editorial review required</x:v>
      </x:c>
      <x:c r="T34" s="120" t="str">
        <x:v>https://en.wikipedia.org/wiki/Bas-Lag</x:v>
      </x:c>
      <x:c r="U34" s="121" t="n">
        <x:v>46236</x:v>
      </x:c>
    </x:row>
    <x:row r="35" ht="46" customHeight="1">
      <x:c r="A35" s="119" t="n">
        <x:v>29</x:v>
      </x:c>
      <x:c r="B35" s="119" t="str">
        <x:v>SRC-067</x:v>
      </x:c>
      <x:c r="C35" s="120" t="str">
        <x:v>Black Leopard, Red Wolf</x:v>
      </x:c>
      <x:c r="D35" s="120" t="str">
        <x:v>Literature</x:v>
      </x:c>
      <x:c r="E35" s="120" t="str">
        <x:v>Jamaica / African-inspired fantasy</x:v>
      </x:c>
      <x:c r="F35" s="119" t="n">
        <x:f>COUNTIF('Seed Catalogue'!$C$2:$C$452,B35)</x:f>
        <x:v>0</x:v>
      </x:c>
      <x:c r="G35" s="122" t="n">
        <x:v>4</x:v>
      </x:c>
      <x:c r="H35" s="122" t="n">
        <x:v>4</x:v>
      </x:c>
      <x:c r="I35" s="122" t="n">
        <x:v>3</x:v>
      </x:c>
      <x:c r="J35" s="122" t="n">
        <x:v>5</x:v>
      </x:c>
      <x:c r="K35" s="122" t="n">
        <x:v>4</x:v>
      </x:c>
      <x:c r="L35" s="122" t="n">
        <x:v>4</x:v>
      </x:c>
      <x:c r="M35" s="122" t="n">
        <x:v>4</x:v>
      </x:c>
      <x:c r="N35" s="122" t="n">
        <x:v>2</x:v>
      </x:c>
      <x:c r="O35" s="123" t="n">
        <x:f>ROUND(G35/5*$X$2+H35/5*$X$3+I35/5*$X$4+J35/5*$X$5+K35/5*$X$6+L35/5*$X$7+M35/5*$X$8-N35/5*$X$9,1)</x:f>
        <x:v>72</x:v>
      </x:c>
      <x:c r="P35" s="119" t="str">
        <x:f>IF(O35&gt;=$X$12,"Foundational deep pass",IF(O35&gt;=$X$13,"Major deep pass",IF(O35&gt;=$X$14,"Targeted innovation pass",IF(O35&gt;=$X$15,"Sampling pass","Reference / defer"))))</x:f>
        <x:v>Major deep pass</x:v>
      </x:c>
      <x:c r="Q35" s="120" t="str">
        <x:v>Literary-source baseline</x:v>
      </x:c>
      <x:c r="R35" s="120" t="str">
        <x:v>Prioritize distinctive ontology, narrative structures, institutions, and power logics over familiar surface labels.</x:v>
      </x:c>
      <x:c r="S35" s="120" t="str">
        <x:v>Heuristic baseline — editorial review required</x:v>
      </x:c>
      <x:c r="T35" s="120" t="str">
        <x:v>https://en.wikipedia.org/wiki/Black_Leopard,_Red_Wolf</x:v>
      </x:c>
      <x:c r="U35" s="121" t="n">
        <x:v>46236</x:v>
      </x:c>
    </x:row>
    <x:row r="36" ht="46" customHeight="1">
      <x:c r="A36" s="119" t="n">
        <x:v>30</x:v>
      </x:c>
      <x:c r="B36" s="119" t="str">
        <x:v>SRC-027</x:v>
      </x:c>
      <x:c r="C36" s="120" t="str">
        <x:v>Conan the Cimmerian</x:v>
      </x:c>
      <x:c r="D36" s="120" t="str">
        <x:v>Literature</x:v>
      </x:c>
      <x:c r="E36" s="120" t="str">
        <x:v>United States / sword and sorcery</x:v>
      </x:c>
      <x:c r="F36" s="119" t="n">
        <x:f>COUNTIF('Seed Catalogue'!$C$2:$C$452,B36)</x:f>
        <x:v>0</x:v>
      </x:c>
      <x:c r="G36" s="122" t="n">
        <x:v>4</x:v>
      </x:c>
      <x:c r="H36" s="122" t="n">
        <x:v>4</x:v>
      </x:c>
      <x:c r="I36" s="122" t="n">
        <x:v>3</x:v>
      </x:c>
      <x:c r="J36" s="122" t="n">
        <x:v>5</x:v>
      </x:c>
      <x:c r="K36" s="122" t="n">
        <x:v>4</x:v>
      </x:c>
      <x:c r="L36" s="122" t="n">
        <x:v>4</x:v>
      </x:c>
      <x:c r="M36" s="122" t="n">
        <x:v>4</x:v>
      </x:c>
      <x:c r="N36" s="122" t="n">
        <x:v>2</x:v>
      </x:c>
      <x:c r="O36" s="123" t="n">
        <x:f>ROUND(G36/5*$X$2+H36/5*$X$3+I36/5*$X$4+J36/5*$X$5+K36/5*$X$6+L36/5*$X$7+M36/5*$X$8-N36/5*$X$9,1)</x:f>
        <x:v>72</x:v>
      </x:c>
      <x:c r="P36" s="119" t="str">
        <x:f>IF(O36&gt;=$X$12,"Foundational deep pass",IF(O36&gt;=$X$13,"Major deep pass",IF(O36&gt;=$X$14,"Targeted innovation pass",IF(O36&gt;=$X$15,"Sampling pass","Reference / defer"))))</x:f>
        <x:v>Major deep pass</x:v>
      </x:c>
      <x:c r="Q36" s="120" t="str">
        <x:v>Literary-source baseline</x:v>
      </x:c>
      <x:c r="R36" s="120" t="str">
        <x:v>Prioritize distinctive ontology, narrative structures, institutions, and power logics over familiar surface labels.</x:v>
      </x:c>
      <x:c r="S36" s="120" t="str">
        <x:v>Heuristic baseline — editorial review required</x:v>
      </x:c>
      <x:c r="T36" s="120" t="str">
        <x:v>https://en.wikipedia.org/wiki/Conan_the_Cimmerian</x:v>
      </x:c>
      <x:c r="U36" s="121" t="n">
        <x:v>46236</x:v>
      </x:c>
    </x:row>
    <x:row r="37" ht="46" customHeight="1">
      <x:c r="A37" s="119" t="n">
        <x:v>31</x:v>
      </x:c>
      <x:c r="B37" s="119" t="str">
        <x:v>SRC-042</x:v>
      </x:c>
      <x:c r="C37" s="120" t="str">
        <x:v>Discworld</x:v>
      </x:c>
      <x:c r="D37" s="120" t="str">
        <x:v>Literature</x:v>
      </x:c>
      <x:c r="E37" s="120" t="str">
        <x:v>Britain</x:v>
      </x:c>
      <x:c r="F37" s="119" t="n">
        <x:f>COUNTIF('Seed Catalogue'!$C$2:$C$452,B37)</x:f>
        <x:v>0</x:v>
      </x:c>
      <x:c r="G37" s="122" t="n">
        <x:v>4</x:v>
      </x:c>
      <x:c r="H37" s="122" t="n">
        <x:v>4</x:v>
      </x:c>
      <x:c r="I37" s="122" t="n">
        <x:v>3</x:v>
      </x:c>
      <x:c r="J37" s="122" t="n">
        <x:v>5</x:v>
      </x:c>
      <x:c r="K37" s="122" t="n">
        <x:v>4</x:v>
      </x:c>
      <x:c r="L37" s="122" t="n">
        <x:v>4</x:v>
      </x:c>
      <x:c r="M37" s="122" t="n">
        <x:v>4</x:v>
      </x:c>
      <x:c r="N37" s="122" t="n">
        <x:v>2</x:v>
      </x:c>
      <x:c r="O37" s="123" t="n">
        <x:f>ROUND(G37/5*$X$2+H37/5*$X$3+I37/5*$X$4+J37/5*$X$5+K37/5*$X$6+L37/5*$X$7+M37/5*$X$8-N37/5*$X$9,1)</x:f>
        <x:v>72</x:v>
      </x:c>
      <x:c r="P37" s="119" t="str">
        <x:f>IF(O37&gt;=$X$12,"Foundational deep pass",IF(O37&gt;=$X$13,"Major deep pass",IF(O37&gt;=$X$14,"Targeted innovation pass",IF(O37&gt;=$X$15,"Sampling pass","Reference / defer"))))</x:f>
        <x:v>Major deep pass</x:v>
      </x:c>
      <x:c r="Q37" s="120" t="str">
        <x:v>Literary-source baseline</x:v>
      </x:c>
      <x:c r="R37" s="120" t="str">
        <x:v>Prioritize distinctive ontology, narrative structures, institutions, and power logics over familiar surface labels.</x:v>
      </x:c>
      <x:c r="S37" s="120" t="str">
        <x:v>Heuristic baseline — editorial review required</x:v>
      </x:c>
      <x:c r="T37" s="120" t="str">
        <x:v>https://en.wikipedia.org/wiki/Discworld</x:v>
      </x:c>
      <x:c r="U37" s="121" t="n">
        <x:v>46236</x:v>
      </x:c>
    </x:row>
    <x:row r="38" ht="46" customHeight="1">
      <x:c r="A38" s="119" t="n">
        <x:v>32</x:v>
      </x:c>
      <x:c r="B38" s="119" t="str">
        <x:v>SRC-035</x:v>
      </x:c>
      <x:c r="C38" s="120" t="str">
        <x:v>Earthsea</x:v>
      </x:c>
      <x:c r="D38" s="120" t="str">
        <x:v>Literature</x:v>
      </x:c>
      <x:c r="E38" s="120" t="str">
        <x:v>United States</x:v>
      </x:c>
      <x:c r="F38" s="119" t="n">
        <x:f>COUNTIF('Seed Catalogue'!$C$2:$C$452,B38)</x:f>
        <x:v>0</x:v>
      </x:c>
      <x:c r="G38" s="122" t="n">
        <x:v>4</x:v>
      </x:c>
      <x:c r="H38" s="122" t="n">
        <x:v>4</x:v>
      </x:c>
      <x:c r="I38" s="122" t="n">
        <x:v>3</x:v>
      </x:c>
      <x:c r="J38" s="122" t="n">
        <x:v>5</x:v>
      </x:c>
      <x:c r="K38" s="122" t="n">
        <x:v>4</x:v>
      </x:c>
      <x:c r="L38" s="122" t="n">
        <x:v>4</x:v>
      </x:c>
      <x:c r="M38" s="122" t="n">
        <x:v>4</x:v>
      </x:c>
      <x:c r="N38" s="122" t="n">
        <x:v>2</x:v>
      </x:c>
      <x:c r="O38" s="123" t="n">
        <x:f>ROUND(G38/5*$X$2+H38/5*$X$3+I38/5*$X$4+J38/5*$X$5+K38/5*$X$6+L38/5*$X$7+M38/5*$X$8-N38/5*$X$9,1)</x:f>
        <x:v>72</x:v>
      </x:c>
      <x:c r="P38" s="119" t="str">
        <x:f>IF(O38&gt;=$X$12,"Foundational deep pass",IF(O38&gt;=$X$13,"Major deep pass",IF(O38&gt;=$X$14,"Targeted innovation pass",IF(O38&gt;=$X$15,"Sampling pass","Reference / defer"))))</x:f>
        <x:v>Major deep pass</x:v>
      </x:c>
      <x:c r="Q38" s="120" t="str">
        <x:v>Literary-source baseline</x:v>
      </x:c>
      <x:c r="R38" s="120" t="str">
        <x:v>Prioritize distinctive ontology, narrative structures, institutions, and power logics over familiar surface labels.</x:v>
      </x:c>
      <x:c r="S38" s="120" t="str">
        <x:v>Heuristic baseline — editorial review required</x:v>
      </x:c>
      <x:c r="T38" s="120" t="str">
        <x:v>https://en.wikipedia.org/wiki/Earthsea</x:v>
      </x:c>
      <x:c r="U38" s="121" t="n">
        <x:v>46236</x:v>
      </x:c>
    </x:row>
    <x:row r="39" ht="46" customHeight="1">
      <x:c r="A39" s="119" t="n">
        <x:v>33</x:v>
      </x:c>
      <x:c r="B39" s="119" t="str">
        <x:v>SRC-036</x:v>
      </x:c>
      <x:c r="C39" s="120" t="str">
        <x:v>Elric of Melniboné</x:v>
      </x:c>
      <x:c r="D39" s="120" t="str">
        <x:v>Literature</x:v>
      </x:c>
      <x:c r="E39" s="120" t="str">
        <x:v>Britain / sword and sorcery</x:v>
      </x:c>
      <x:c r="F39" s="119" t="n">
        <x:f>COUNTIF('Seed Catalogue'!$C$2:$C$452,B39)</x:f>
        <x:v>0</x:v>
      </x:c>
      <x:c r="G39" s="122" t="n">
        <x:v>4</x:v>
      </x:c>
      <x:c r="H39" s="122" t="n">
        <x:v>4</x:v>
      </x:c>
      <x:c r="I39" s="122" t="n">
        <x:v>3</x:v>
      </x:c>
      <x:c r="J39" s="122" t="n">
        <x:v>5</x:v>
      </x:c>
      <x:c r="K39" s="122" t="n">
        <x:v>4</x:v>
      </x:c>
      <x:c r="L39" s="122" t="n">
        <x:v>4</x:v>
      </x:c>
      <x:c r="M39" s="122" t="n">
        <x:v>4</x:v>
      </x:c>
      <x:c r="N39" s="122" t="n">
        <x:v>2</x:v>
      </x:c>
      <x:c r="O39" s="123" t="n">
        <x:f>ROUND(G39/5*$X$2+H39/5*$X$3+I39/5*$X$4+J39/5*$X$5+K39/5*$X$6+L39/5*$X$7+M39/5*$X$8-N39/5*$X$9,1)</x:f>
        <x:v>72</x:v>
      </x:c>
      <x:c r="P39" s="119" t="str">
        <x:f>IF(O39&gt;=$X$12,"Foundational deep pass",IF(O39&gt;=$X$13,"Major deep pass",IF(O39&gt;=$X$14,"Targeted innovation pass",IF(O39&gt;=$X$15,"Sampling pass","Reference / defer"))))</x:f>
        <x:v>Major deep pass</x:v>
      </x:c>
      <x:c r="Q39" s="120" t="str">
        <x:v>Literary-source baseline</x:v>
      </x:c>
      <x:c r="R39" s="120" t="str">
        <x:v>Prioritize distinctive ontology, narrative structures, institutions, and power logics over familiar surface labels.</x:v>
      </x:c>
      <x:c r="S39" s="120" t="str">
        <x:v>Heuristic baseline — editorial review required</x:v>
      </x:c>
      <x:c r="T39" s="120" t="str">
        <x:v>https://en.wikipedia.org/wiki/Elric_of_Melnibon%C3%A9</x:v>
      </x:c>
      <x:c r="U39" s="121" t="n">
        <x:v>46236</x:v>
      </x:c>
    </x:row>
    <x:row r="40" ht="46" customHeight="1">
      <x:c r="A40" s="119" t="n">
        <x:v>34</x:v>
      </x:c>
      <x:c r="B40" s="119" t="str">
        <x:v>SRC-028</x:v>
      </x:c>
      <x:c r="C40" s="120" t="str">
        <x:v>Fafhrd and the Gray Mouser</x:v>
      </x:c>
      <x:c r="D40" s="120" t="str">
        <x:v>Literature</x:v>
      </x:c>
      <x:c r="E40" s="120" t="str">
        <x:v>United States / sword and sorcery</x:v>
      </x:c>
      <x:c r="F40" s="119" t="n">
        <x:f>COUNTIF('Seed Catalogue'!$C$2:$C$452,B40)</x:f>
        <x:v>0</x:v>
      </x:c>
      <x:c r="G40" s="122" t="n">
        <x:v>4</x:v>
      </x:c>
      <x:c r="H40" s="122" t="n">
        <x:v>4</x:v>
      </x:c>
      <x:c r="I40" s="122" t="n">
        <x:v>3</x:v>
      </x:c>
      <x:c r="J40" s="122" t="n">
        <x:v>5</x:v>
      </x:c>
      <x:c r="K40" s="122" t="n">
        <x:v>4</x:v>
      </x:c>
      <x:c r="L40" s="122" t="n">
        <x:v>4</x:v>
      </x:c>
      <x:c r="M40" s="122" t="n">
        <x:v>4</x:v>
      </x:c>
      <x:c r="N40" s="122" t="n">
        <x:v>2</x:v>
      </x:c>
      <x:c r="O40" s="123" t="n">
        <x:f>ROUND(G40/5*$X$2+H40/5*$X$3+I40/5*$X$4+J40/5*$X$5+K40/5*$X$6+L40/5*$X$7+M40/5*$X$8-N40/5*$X$9,1)</x:f>
        <x:v>72</x:v>
      </x:c>
      <x:c r="P40" s="119" t="str">
        <x:f>IF(O40&gt;=$X$12,"Foundational deep pass",IF(O40&gt;=$X$13,"Major deep pass",IF(O40&gt;=$X$14,"Targeted innovation pass",IF(O40&gt;=$X$15,"Sampling pass","Reference / defer"))))</x:f>
        <x:v>Major deep pass</x:v>
      </x:c>
      <x:c r="Q40" s="120" t="str">
        <x:v>Literary-source baseline</x:v>
      </x:c>
      <x:c r="R40" s="120" t="str">
        <x:v>Prioritize distinctive ontology, narrative structures, institutions, and power logics over familiar surface labels.</x:v>
      </x:c>
      <x:c r="S40" s="120" t="str">
        <x:v>Heuristic baseline — editorial review required</x:v>
      </x:c>
      <x:c r="T40" s="120" t="str">
        <x:v>https://en.wikipedia.org/wiki/Fafhrd_and_the_Gray_Mouser</x:v>
      </x:c>
      <x:c r="U40" s="121" t="n">
        <x:v>46236</x:v>
      </x:c>
    </x:row>
    <x:row r="41" ht="46" customHeight="1">
      <x:c r="A41" s="119" t="n">
        <x:v>35</x:v>
      </x:c>
      <x:c r="B41" s="119" t="str">
        <x:v>SRC-008</x:v>
      </x:c>
      <x:c r="C41" s="120" t="str">
        <x:v>Grimm Fairy Tales</x:v>
      </x:c>
      <x:c r="D41" s="120" t="str">
        <x:v>Fairy Tale Collection</x:v>
      </x:c>
      <x:c r="E41" s="120" t="str">
        <x:v>German-speaking Europe</x:v>
      </x:c>
      <x:c r="F41" s="119" t="n">
        <x:f>COUNTIF('Seed Catalogue'!$C$2:$C$452,B41)</x:f>
        <x:v>0</x:v>
      </x:c>
      <x:c r="G41" s="122" t="n">
        <x:v>4</x:v>
      </x:c>
      <x:c r="H41" s="122" t="n">
        <x:v>4</x:v>
      </x:c>
      <x:c r="I41" s="122" t="n">
        <x:v>3</x:v>
      </x:c>
      <x:c r="J41" s="122" t="n">
        <x:v>5</x:v>
      </x:c>
      <x:c r="K41" s="122" t="n">
        <x:v>4</x:v>
      </x:c>
      <x:c r="L41" s="122" t="n">
        <x:v>4</x:v>
      </x:c>
      <x:c r="M41" s="122" t="n">
        <x:v>4</x:v>
      </x:c>
      <x:c r="N41" s="122" t="n">
        <x:v>2</x:v>
      </x:c>
      <x:c r="O41" s="123" t="n">
        <x:f>ROUND(G41/5*$X$2+H41/5*$X$3+I41/5*$X$4+J41/5*$X$5+K41/5*$X$6+L41/5*$X$7+M41/5*$X$8-N41/5*$X$9,1)</x:f>
        <x:v>72</x:v>
      </x:c>
      <x:c r="P41" s="119" t="str">
        <x:f>IF(O41&gt;=$X$12,"Foundational deep pass",IF(O41&gt;=$X$13,"Major deep pass",IF(O41&gt;=$X$14,"Targeted innovation pass",IF(O41&gt;=$X$15,"Sampling pass","Reference / defer"))))</x:f>
        <x:v>Major deep pass</x:v>
      </x:c>
      <x:c r="Q41" s="120" t="str">
        <x:v>Literary-source baseline</x:v>
      </x:c>
      <x:c r="R41" s="120" t="str">
        <x:v>Prioritize distinctive ontology, narrative structures, institutions, and power logics over familiar surface labels.</x:v>
      </x:c>
      <x:c r="S41" s="120" t="str">
        <x:v>Heuristic baseline — editorial review required</x:v>
      </x:c>
      <x:c r="T41" s="120" t="str">
        <x:v>https://en.wikipedia.org/wiki/Grimm_Fairy_Tales</x:v>
      </x:c>
      <x:c r="U41" s="121" t="n">
        <x:v>46236</x:v>
      </x:c>
    </x:row>
    <x:row r="42" ht="46" customHeight="1">
      <x:c r="A42" s="119" t="n">
        <x:v>36</x:v>
      </x:c>
      <x:c r="B42" s="119" t="str">
        <x:v>SRC-017</x:v>
      </x:c>
      <x:c r="C42" s="120" t="str">
        <x:v>Investiture of the Gods</x:v>
      </x:c>
      <x:c r="D42" s="120" t="str">
        <x:v>Novel / Mythic Fantasy</x:v>
      </x:c>
      <x:c r="E42" s="120" t="str">
        <x:v>China</x:v>
      </x:c>
      <x:c r="F42" s="119" t="n">
        <x:f>COUNTIF('Seed Catalogue'!$C$2:$C$452,B42)</x:f>
        <x:v>0</x:v>
      </x:c>
      <x:c r="G42" s="122" t="n">
        <x:v>4</x:v>
      </x:c>
      <x:c r="H42" s="122" t="n">
        <x:v>4</x:v>
      </x:c>
      <x:c r="I42" s="122" t="n">
        <x:v>3</x:v>
      </x:c>
      <x:c r="J42" s="122" t="n">
        <x:v>5</x:v>
      </x:c>
      <x:c r="K42" s="122" t="n">
        <x:v>4</x:v>
      </x:c>
      <x:c r="L42" s="122" t="n">
        <x:v>4</x:v>
      </x:c>
      <x:c r="M42" s="122" t="n">
        <x:v>4</x:v>
      </x:c>
      <x:c r="N42" s="122" t="n">
        <x:v>2</x:v>
      </x:c>
      <x:c r="O42" s="123" t="n">
        <x:f>ROUND(G42/5*$X$2+H42/5*$X$3+I42/5*$X$4+J42/5*$X$5+K42/5*$X$6+L42/5*$X$7+M42/5*$X$8-N42/5*$X$9,1)</x:f>
        <x:v>72</x:v>
      </x:c>
      <x:c r="P42" s="119" t="str">
        <x:f>IF(O42&gt;=$X$12,"Foundational deep pass",IF(O42&gt;=$X$13,"Major deep pass",IF(O42&gt;=$X$14,"Targeted innovation pass",IF(O42&gt;=$X$15,"Sampling pass","Reference / defer"))))</x:f>
        <x:v>Major deep pass</x:v>
      </x:c>
      <x:c r="Q42" s="120" t="str">
        <x:v>Literary-source baseline</x:v>
      </x:c>
      <x:c r="R42" s="120" t="str">
        <x:v>Prioritize distinctive ontology, narrative structures, institutions, and power logics over familiar surface labels.</x:v>
      </x:c>
      <x:c r="S42" s="120" t="str">
        <x:v>Heuristic baseline — editorial review required</x:v>
      </x:c>
      <x:c r="T42" s="120" t="str">
        <x:v>https://en.wikipedia.org/wiki/Investiture_of_the_Gods</x:v>
      </x:c>
      <x:c r="U42" s="121" t="n">
        <x:v>46236</x:v>
      </x:c>
    </x:row>
    <x:row r="43" ht="46" customHeight="1">
      <x:c r="A43" s="119" t="n">
        <x:v>37</x:v>
      </x:c>
      <x:c r="B43" s="119" t="str">
        <x:v>SRC-065</x:v>
      </x:c>
      <x:c r="C43" s="120" t="str">
        <x:v>Jonathan Strange &amp; Mr Norrell</x:v>
      </x:c>
      <x:c r="D43" s="120" t="str">
        <x:v>Literature</x:v>
      </x:c>
      <x:c r="E43" s="120" t="str">
        <x:v>Britain</x:v>
      </x:c>
      <x:c r="F43" s="119" t="n">
        <x:f>COUNTIF('Seed Catalogue'!$C$2:$C$452,B43)</x:f>
        <x:v>0</x:v>
      </x:c>
      <x:c r="G43" s="122" t="n">
        <x:v>4</x:v>
      </x:c>
      <x:c r="H43" s="122" t="n">
        <x:v>4</x:v>
      </x:c>
      <x:c r="I43" s="122" t="n">
        <x:v>3</x:v>
      </x:c>
      <x:c r="J43" s="122" t="n">
        <x:v>5</x:v>
      </x:c>
      <x:c r="K43" s="122" t="n">
        <x:v>4</x:v>
      </x:c>
      <x:c r="L43" s="122" t="n">
        <x:v>4</x:v>
      </x:c>
      <x:c r="M43" s="122" t="n">
        <x:v>4</x:v>
      </x:c>
      <x:c r="N43" s="122" t="n">
        <x:v>2</x:v>
      </x:c>
      <x:c r="O43" s="123" t="n">
        <x:f>ROUND(G43/5*$X$2+H43/5*$X$3+I43/5*$X$4+J43/5*$X$5+K43/5*$X$6+L43/5*$X$7+M43/5*$X$8-N43/5*$X$9,1)</x:f>
        <x:v>72</x:v>
      </x:c>
      <x:c r="P43" s="119" t="str">
        <x:f>IF(O43&gt;=$X$12,"Foundational deep pass",IF(O43&gt;=$X$13,"Major deep pass",IF(O43&gt;=$X$14,"Targeted innovation pass",IF(O43&gt;=$X$15,"Sampling pass","Reference / defer"))))</x:f>
        <x:v>Major deep pass</x:v>
      </x:c>
      <x:c r="Q43" s="120" t="str">
        <x:v>Literary-source baseline</x:v>
      </x:c>
      <x:c r="R43" s="120" t="str">
        <x:v>Prioritize distinctive ontology, narrative structures, institutions, and power logics over familiar surface labels.</x:v>
      </x:c>
      <x:c r="S43" s="120" t="str">
        <x:v>Heuristic baseline — editorial review required</x:v>
      </x:c>
      <x:c r="T43" s="120" t="str">
        <x:v>https://en.wikipedia.org/wiki/Jonathan_Strange_%26_Mr_Norrell</x:v>
      </x:c>
      <x:c r="U43" s="121" t="n">
        <x:v>46236</x:v>
      </x:c>
    </x:row>
    <x:row r="44" ht="46" customHeight="1">
      <x:c r="A44" s="119" t="n">
        <x:v>38</x:v>
      </x:c>
      <x:c r="B44" s="119" t="str">
        <x:v>SRC-048</x:v>
      </x:c>
      <x:c r="C44" s="120" t="str">
        <x:v>Malazan Book of the Fallen</x:v>
      </x:c>
      <x:c r="D44" s="120" t="str">
        <x:v>Literature</x:v>
      </x:c>
      <x:c r="E44" s="120" t="str">
        <x:v>Canada</x:v>
      </x:c>
      <x:c r="F44" s="119" t="n">
        <x:f>COUNTIF('Seed Catalogue'!$C$2:$C$452,B44)</x:f>
        <x:v>0</x:v>
      </x:c>
      <x:c r="G44" s="122" t="n">
        <x:v>4</x:v>
      </x:c>
      <x:c r="H44" s="122" t="n">
        <x:v>4</x:v>
      </x:c>
      <x:c r="I44" s="122" t="n">
        <x:v>3</x:v>
      </x:c>
      <x:c r="J44" s="122" t="n">
        <x:v>5</x:v>
      </x:c>
      <x:c r="K44" s="122" t="n">
        <x:v>4</x:v>
      </x:c>
      <x:c r="L44" s="122" t="n">
        <x:v>4</x:v>
      </x:c>
      <x:c r="M44" s="122" t="n">
        <x:v>4</x:v>
      </x:c>
      <x:c r="N44" s="122" t="n">
        <x:v>2</x:v>
      </x:c>
      <x:c r="O44" s="123" t="n">
        <x:f>ROUND(G44/5*$X$2+H44/5*$X$3+I44/5*$X$4+J44/5*$X$5+K44/5*$X$6+L44/5*$X$7+M44/5*$X$8-N44/5*$X$9,1)</x:f>
        <x:v>72</x:v>
      </x:c>
      <x:c r="P44" s="119" t="str">
        <x:f>IF(O44&gt;=$X$12,"Foundational deep pass",IF(O44&gt;=$X$13,"Major deep pass",IF(O44&gt;=$X$14,"Targeted innovation pass",IF(O44&gt;=$X$15,"Sampling pass","Reference / defer"))))</x:f>
        <x:v>Major deep pass</x:v>
      </x:c>
      <x:c r="Q44" s="120" t="str">
        <x:v>Literary-source baseline</x:v>
      </x:c>
      <x:c r="R44" s="120" t="str">
        <x:v>Prioritize distinctive ontology, narrative structures, institutions, and power logics over familiar surface labels.</x:v>
      </x:c>
      <x:c r="S44" s="120" t="str">
        <x:v>Heuristic baseline — editorial review required</x:v>
      </x:c>
      <x:c r="T44" s="120" t="str">
        <x:v>https://en.wikipedia.org/wiki/Malazan_Book_of_the_Fallen</x:v>
      </x:c>
      <x:c r="U44" s="121" t="n">
        <x:v>46236</x:v>
      </x:c>
    </x:row>
    <x:row r="45" ht="46" customHeight="1">
      <x:c r="A45" s="119" t="n">
        <x:v>39</x:v>
      </x:c>
      <x:c r="B45" s="119" t="str">
        <x:v>SRC-043</x:v>
      </x:c>
      <x:c r="C45" s="120" t="str">
        <x:v>Memory, Sorrow, and Thorn</x:v>
      </x:c>
      <x:c r="D45" s="120" t="str">
        <x:v>Literature</x:v>
      </x:c>
      <x:c r="E45" s="120" t="str">
        <x:v>United States</x:v>
      </x:c>
      <x:c r="F45" s="119" t="n">
        <x:f>COUNTIF('Seed Catalogue'!$C$2:$C$452,B45)</x:f>
        <x:v>0</x:v>
      </x:c>
      <x:c r="G45" s="122" t="n">
        <x:v>4</x:v>
      </x:c>
      <x:c r="H45" s="122" t="n">
        <x:v>4</x:v>
      </x:c>
      <x:c r="I45" s="122" t="n">
        <x:v>3</x:v>
      </x:c>
      <x:c r="J45" s="122" t="n">
        <x:v>5</x:v>
      </x:c>
      <x:c r="K45" s="122" t="n">
        <x:v>4</x:v>
      </x:c>
      <x:c r="L45" s="122" t="n">
        <x:v>4</x:v>
      </x:c>
      <x:c r="M45" s="122" t="n">
        <x:v>4</x:v>
      </x:c>
      <x:c r="N45" s="122" t="n">
        <x:v>2</x:v>
      </x:c>
      <x:c r="O45" s="123" t="n">
        <x:f>ROUND(G45/5*$X$2+H45/5*$X$3+I45/5*$X$4+J45/5*$X$5+K45/5*$X$6+L45/5*$X$7+M45/5*$X$8-N45/5*$X$9,1)</x:f>
        <x:v>72</x:v>
      </x:c>
      <x:c r="P45" s="119" t="str">
        <x:f>IF(O45&gt;=$X$12,"Foundational deep pass",IF(O45&gt;=$X$13,"Major deep pass",IF(O45&gt;=$X$14,"Targeted innovation pass",IF(O45&gt;=$X$15,"Sampling pass","Reference / defer"))))</x:f>
        <x:v>Major deep pass</x:v>
      </x:c>
      <x:c r="Q45" s="120" t="str">
        <x:v>Literary-source baseline</x:v>
      </x:c>
      <x:c r="R45" s="120" t="str">
        <x:v>Prioritize distinctive ontology, narrative structures, institutions, and power logics over familiar surface labels.</x:v>
      </x:c>
      <x:c r="S45" s="120" t="str">
        <x:v>Heuristic baseline — editorial review required</x:v>
      </x:c>
      <x:c r="T45" s="120" t="str">
        <x:v>https://en.wikipedia.org/wiki/Memory,_Sorrow,_and_Thorn</x:v>
      </x:c>
      <x:c r="U45" s="121" t="n">
        <x:v>46236</x:v>
      </x:c>
    </x:row>
    <x:row r="46" ht="46" customHeight="1">
      <x:c r="A46" s="119" t="n">
        <x:v>40</x:v>
      </x:c>
      <x:c r="B46" s="119" t="str">
        <x:v>SRC-052</x:v>
      </x:c>
      <x:c r="C46" s="120" t="str">
        <x:v>Mistborn</x:v>
      </x:c>
      <x:c r="D46" s="120" t="str">
        <x:v>Literature</x:v>
      </x:c>
      <x:c r="E46" s="120" t="str">
        <x:v>United States</x:v>
      </x:c>
      <x:c r="F46" s="119" t="n">
        <x:f>COUNTIF('Seed Catalogue'!$C$2:$C$452,B46)</x:f>
        <x:v>0</x:v>
      </x:c>
      <x:c r="G46" s="122" t="n">
        <x:v>4</x:v>
      </x:c>
      <x:c r="H46" s="122" t="n">
        <x:v>4</x:v>
      </x:c>
      <x:c r="I46" s="122" t="n">
        <x:v>3</x:v>
      </x:c>
      <x:c r="J46" s="122" t="n">
        <x:v>5</x:v>
      </x:c>
      <x:c r="K46" s="122" t="n">
        <x:v>4</x:v>
      </x:c>
      <x:c r="L46" s="122" t="n">
        <x:v>4</x:v>
      </x:c>
      <x:c r="M46" s="122" t="n">
        <x:v>4</x:v>
      </x:c>
      <x:c r="N46" s="122" t="n">
        <x:v>2</x:v>
      </x:c>
      <x:c r="O46" s="123" t="n">
        <x:f>ROUND(G46/5*$X$2+H46/5*$X$3+I46/5*$X$4+J46/5*$X$5+K46/5*$X$6+L46/5*$X$7+M46/5*$X$8-N46/5*$X$9,1)</x:f>
        <x:v>72</x:v>
      </x:c>
      <x:c r="P46" s="119" t="str">
        <x:f>IF(O46&gt;=$X$12,"Foundational deep pass",IF(O46&gt;=$X$13,"Major deep pass",IF(O46&gt;=$X$14,"Targeted innovation pass",IF(O46&gt;=$X$15,"Sampling pass","Reference / defer"))))</x:f>
        <x:v>Major deep pass</x:v>
      </x:c>
      <x:c r="Q46" s="120" t="str">
        <x:v>Literary-source baseline</x:v>
      </x:c>
      <x:c r="R46" s="120" t="str">
        <x:v>Prioritize distinctive ontology, narrative structures, institutions, and power logics over familiar surface labels.</x:v>
      </x:c>
      <x:c r="S46" s="120" t="str">
        <x:v>Heuristic baseline — editorial review required</x:v>
      </x:c>
      <x:c r="T46" s="120" t="str">
        <x:v>https://en.wikipedia.org/wiki/Mistborn</x:v>
      </x:c>
      <x:c r="U46" s="121" t="n">
        <x:v>46236</x:v>
      </x:c>
    </x:row>
    <x:row r="47" ht="46" customHeight="1">
      <x:c r="A47" s="119" t="n">
        <x:v>41</x:v>
      </x:c>
      <x:c r="B47" s="119" t="str">
        <x:v>SRC-074</x:v>
      </x:c>
      <x:c r="C47" s="120" t="str">
        <x:v>Moribito</x:v>
      </x:c>
      <x:c r="D47" s="120" t="str">
        <x:v>Literature</x:v>
      </x:c>
      <x:c r="E47" s="120" t="str">
        <x:v>Japan</x:v>
      </x:c>
      <x:c r="F47" s="119" t="n">
        <x:f>COUNTIF('Seed Catalogue'!$C$2:$C$452,B47)</x:f>
        <x:v>0</x:v>
      </x:c>
      <x:c r="G47" s="122" t="n">
        <x:v>4</x:v>
      </x:c>
      <x:c r="H47" s="122" t="n">
        <x:v>4</x:v>
      </x:c>
      <x:c r="I47" s="122" t="n">
        <x:v>3</x:v>
      </x:c>
      <x:c r="J47" s="122" t="n">
        <x:v>5</x:v>
      </x:c>
      <x:c r="K47" s="122" t="n">
        <x:v>4</x:v>
      </x:c>
      <x:c r="L47" s="122" t="n">
        <x:v>4</x:v>
      </x:c>
      <x:c r="M47" s="122" t="n">
        <x:v>4</x:v>
      </x:c>
      <x:c r="N47" s="122" t="n">
        <x:v>2</x:v>
      </x:c>
      <x:c r="O47" s="123" t="n">
        <x:f>ROUND(G47/5*$X$2+H47/5*$X$3+I47/5*$X$4+J47/5*$X$5+K47/5*$X$6+L47/5*$X$7+M47/5*$X$8-N47/5*$X$9,1)</x:f>
        <x:v>72</x:v>
      </x:c>
      <x:c r="P47" s="119" t="str">
        <x:f>IF(O47&gt;=$X$12,"Foundational deep pass",IF(O47&gt;=$X$13,"Major deep pass",IF(O47&gt;=$X$14,"Targeted innovation pass",IF(O47&gt;=$X$15,"Sampling pass","Reference / defer"))))</x:f>
        <x:v>Major deep pass</x:v>
      </x:c>
      <x:c r="Q47" s="120" t="str">
        <x:v>Literary-source baseline</x:v>
      </x:c>
      <x:c r="R47" s="120" t="str">
        <x:v>Prioritize distinctive ontology, narrative structures, institutions, and power logics over familiar surface labels.</x:v>
      </x:c>
      <x:c r="S47" s="120" t="str">
        <x:v>Heuristic baseline — editorial review required</x:v>
      </x:c>
      <x:c r="T47" s="120" t="str">
        <x:v>https://en.wikipedia.org/wiki/Moribito</x:v>
      </x:c>
      <x:c r="U47" s="121" t="n">
        <x:v>46236</x:v>
      </x:c>
    </x:row>
    <x:row r="48" ht="46" customHeight="1">
      <x:c r="A48" s="119" t="n">
        <x:v>42</x:v>
      </x:c>
      <x:c r="B48" s="119" t="str">
        <x:v>SRC-045</x:v>
      </x:c>
      <x:c r="C48" s="120" t="str">
        <x:v>Realm of the Elderlings</x:v>
      </x:c>
      <x:c r="D48" s="120" t="str">
        <x:v>Literature</x:v>
      </x:c>
      <x:c r="E48" s="120" t="str">
        <x:v>United States</x:v>
      </x:c>
      <x:c r="F48" s="119" t="n">
        <x:f>COUNTIF('Seed Catalogue'!$C$2:$C$452,B48)</x:f>
        <x:v>0</x:v>
      </x:c>
      <x:c r="G48" s="122" t="n">
        <x:v>4</x:v>
      </x:c>
      <x:c r="H48" s="122" t="n">
        <x:v>4</x:v>
      </x:c>
      <x:c r="I48" s="122" t="n">
        <x:v>3</x:v>
      </x:c>
      <x:c r="J48" s="122" t="n">
        <x:v>5</x:v>
      </x:c>
      <x:c r="K48" s="122" t="n">
        <x:v>4</x:v>
      </x:c>
      <x:c r="L48" s="122" t="n">
        <x:v>4</x:v>
      </x:c>
      <x:c r="M48" s="122" t="n">
        <x:v>4</x:v>
      </x:c>
      <x:c r="N48" s="122" t="n">
        <x:v>2</x:v>
      </x:c>
      <x:c r="O48" s="123" t="n">
        <x:f>ROUND(G48/5*$X$2+H48/5*$X$3+I48/5*$X$4+J48/5*$X$5+K48/5*$X$6+L48/5*$X$7+M48/5*$X$8-N48/5*$X$9,1)</x:f>
        <x:v>72</x:v>
      </x:c>
      <x:c r="P48" s="119" t="str">
        <x:f>IF(O48&gt;=$X$12,"Foundational deep pass",IF(O48&gt;=$X$13,"Major deep pass",IF(O48&gt;=$X$14,"Targeted innovation pass",IF(O48&gt;=$X$15,"Sampling pass","Reference / defer"))))</x:f>
        <x:v>Major deep pass</x:v>
      </x:c>
      <x:c r="Q48" s="120" t="str">
        <x:v>Literary-source baseline</x:v>
      </x:c>
      <x:c r="R48" s="120" t="str">
        <x:v>Prioritize distinctive ontology, narrative structures, institutions, and power logics over familiar surface labels.</x:v>
      </x:c>
      <x:c r="S48" s="120" t="str">
        <x:v>Heuristic baseline — editorial review required</x:v>
      </x:c>
      <x:c r="T48" s="120" t="str">
        <x:v>https://en.wikipedia.org/wiki/Realm_of_the_Elderlings</x:v>
      </x:c>
      <x:c r="U48" s="121" t="n">
        <x:v>46236</x:v>
      </x:c>
    </x:row>
    <x:row r="49" ht="46" customHeight="1">
      <x:c r="A49" s="119" t="n">
        <x:v>43</x:v>
      </x:c>
      <x:c r="B49" s="119" t="str">
        <x:v>SRC-071</x:v>
      </x:c>
      <x:c r="C49" s="120" t="str">
        <x:v>The Bird That Drinks Tears</x:v>
      </x:c>
      <x:c r="D49" s="120" t="str">
        <x:v>Literature</x:v>
      </x:c>
      <x:c r="E49" s="120" t="str">
        <x:v>South Korea</x:v>
      </x:c>
      <x:c r="F49" s="119" t="n">
        <x:f>COUNTIF('Seed Catalogue'!$C$2:$C$452,B49)</x:f>
        <x:v>0</x:v>
      </x:c>
      <x:c r="G49" s="122" t="n">
        <x:v>4</x:v>
      </x:c>
      <x:c r="H49" s="122" t="n">
        <x:v>4</x:v>
      </x:c>
      <x:c r="I49" s="122" t="n">
        <x:v>3</x:v>
      </x:c>
      <x:c r="J49" s="122" t="n">
        <x:v>5</x:v>
      </x:c>
      <x:c r="K49" s="122" t="n">
        <x:v>4</x:v>
      </x:c>
      <x:c r="L49" s="122" t="n">
        <x:v>4</x:v>
      </x:c>
      <x:c r="M49" s="122" t="n">
        <x:v>4</x:v>
      </x:c>
      <x:c r="N49" s="122" t="n">
        <x:v>2</x:v>
      </x:c>
      <x:c r="O49" s="123" t="n">
        <x:f>ROUND(G49/5*$X$2+H49/5*$X$3+I49/5*$X$4+J49/5*$X$5+K49/5*$X$6+L49/5*$X$7+M49/5*$X$8-N49/5*$X$9,1)</x:f>
        <x:v>72</x:v>
      </x:c>
      <x:c r="P49" s="119" t="str">
        <x:f>IF(O49&gt;=$X$12,"Foundational deep pass",IF(O49&gt;=$X$13,"Major deep pass",IF(O49&gt;=$X$14,"Targeted innovation pass",IF(O49&gt;=$X$15,"Sampling pass","Reference / defer"))))</x:f>
        <x:v>Major deep pass</x:v>
      </x:c>
      <x:c r="Q49" s="120" t="str">
        <x:v>Literary-source baseline</x:v>
      </x:c>
      <x:c r="R49" s="120" t="str">
        <x:v>Prioritize distinctive ontology, narrative structures, institutions, and power logics over familiar surface labels.</x:v>
      </x:c>
      <x:c r="S49" s="120" t="str">
        <x:v>Heuristic baseline — editorial review required</x:v>
      </x:c>
      <x:c r="T49" s="120" t="str">
        <x:v>https://en.wikipedia.org/wiki/The_Bird_That_Drinks_Tears</x:v>
      </x:c>
      <x:c r="U49" s="121" t="n">
        <x:v>46236</x:v>
      </x:c>
    </x:row>
    <x:row r="50" ht="46" customHeight="1">
      <x:c r="A50" s="119" t="n">
        <x:v>44</x:v>
      </x:c>
      <x:c r="B50" s="119" t="str">
        <x:v>SRC-040</x:v>
      </x:c>
      <x:c r="C50" s="120" t="str">
        <x:v>The Black Company</x:v>
      </x:c>
      <x:c r="D50" s="120" t="str">
        <x:v>Literature</x:v>
      </x:c>
      <x:c r="E50" s="120" t="str">
        <x:v>United States / military fantasy</x:v>
      </x:c>
      <x:c r="F50" s="119" t="n">
        <x:f>COUNTIF('Seed Catalogue'!$C$2:$C$452,B50)</x:f>
        <x:v>0</x:v>
      </x:c>
      <x:c r="G50" s="122" t="n">
        <x:v>4</x:v>
      </x:c>
      <x:c r="H50" s="122" t="n">
        <x:v>4</x:v>
      </x:c>
      <x:c r="I50" s="122" t="n">
        <x:v>3</x:v>
      </x:c>
      <x:c r="J50" s="122" t="n">
        <x:v>5</x:v>
      </x:c>
      <x:c r="K50" s="122" t="n">
        <x:v>4</x:v>
      </x:c>
      <x:c r="L50" s="122" t="n">
        <x:v>4</x:v>
      </x:c>
      <x:c r="M50" s="122" t="n">
        <x:v>4</x:v>
      </x:c>
      <x:c r="N50" s="122" t="n">
        <x:v>2</x:v>
      </x:c>
      <x:c r="O50" s="123" t="n">
        <x:f>ROUND(G50/5*$X$2+H50/5*$X$3+I50/5*$X$4+J50/5*$X$5+K50/5*$X$6+L50/5*$X$7+M50/5*$X$8-N50/5*$X$9,1)</x:f>
        <x:v>72</x:v>
      </x:c>
      <x:c r="P50" s="119" t="str">
        <x:f>IF(O50&gt;=$X$12,"Foundational deep pass",IF(O50&gt;=$X$13,"Major deep pass",IF(O50&gt;=$X$14,"Targeted innovation pass",IF(O50&gt;=$X$15,"Sampling pass","Reference / defer"))))</x:f>
        <x:v>Major deep pass</x:v>
      </x:c>
      <x:c r="Q50" s="120" t="str">
        <x:v>Literary-source baseline</x:v>
      </x:c>
      <x:c r="R50" s="120" t="str">
        <x:v>Prioritize distinctive ontology, narrative structures, institutions, and power logics over familiar surface labels.</x:v>
      </x:c>
      <x:c r="S50" s="120" t="str">
        <x:v>Heuristic baseline — editorial review required</x:v>
      </x:c>
      <x:c r="T50" s="120" t="str">
        <x:v>https://en.wikipedia.org/wiki/The_Black_Company</x:v>
      </x:c>
      <x:c r="U50" s="121" t="n">
        <x:v>46236</x:v>
      </x:c>
    </x:row>
    <x:row r="51" ht="46" customHeight="1">
      <x:c r="A51" s="119" t="n">
        <x:v>45</x:v>
      </x:c>
      <x:c r="B51" s="119" t="str">
        <x:v>SRC-085</x:v>
      </x:c>
      <x:c r="C51" s="120" t="str">
        <x:v>The Books of Earthsea</x:v>
      </x:c>
      <x:c r="D51" s="120" t="str">
        <x:v>Literature</x:v>
      </x:c>
      <x:c r="E51" s="120" t="str">
        <x:v>United States</x:v>
      </x:c>
      <x:c r="F51" s="119" t="n">
        <x:f>COUNTIF('Seed Catalogue'!$C$2:$C$452,B51)</x:f>
        <x:v>0</x:v>
      </x:c>
      <x:c r="G51" s="122" t="n">
        <x:v>4</x:v>
      </x:c>
      <x:c r="H51" s="122" t="n">
        <x:v>4</x:v>
      </x:c>
      <x:c r="I51" s="122" t="n">
        <x:v>3</x:v>
      </x:c>
      <x:c r="J51" s="122" t="n">
        <x:v>5</x:v>
      </x:c>
      <x:c r="K51" s="122" t="n">
        <x:v>4</x:v>
      </x:c>
      <x:c r="L51" s="122" t="n">
        <x:v>4</x:v>
      </x:c>
      <x:c r="M51" s="122" t="n">
        <x:v>4</x:v>
      </x:c>
      <x:c r="N51" s="122" t="n">
        <x:v>2</x:v>
      </x:c>
      <x:c r="O51" s="123" t="n">
        <x:f>ROUND(G51/5*$X$2+H51/5*$X$3+I51/5*$X$4+J51/5*$X$5+K51/5*$X$6+L51/5*$X$7+M51/5*$X$8-N51/5*$X$9,1)</x:f>
        <x:v>72</x:v>
      </x:c>
      <x:c r="P51" s="119" t="str">
        <x:f>IF(O51&gt;=$X$12,"Foundational deep pass",IF(O51&gt;=$X$13,"Major deep pass",IF(O51&gt;=$X$14,"Targeted innovation pass",IF(O51&gt;=$X$15,"Sampling pass","Reference / defer"))))</x:f>
        <x:v>Major deep pass</x:v>
      </x:c>
      <x:c r="Q51" s="120" t="str">
        <x:v>Literary-source baseline</x:v>
      </x:c>
      <x:c r="R51" s="120" t="str">
        <x:v>Prioritize distinctive ontology, narrative structures, institutions, and power logics over familiar surface labels.</x:v>
      </x:c>
      <x:c r="S51" s="120" t="str">
        <x:v>Heuristic baseline — editorial review required</x:v>
      </x:c>
      <x:c r="T51" s="120" t="str">
        <x:v>https://en.wikipedia.org/wiki/The_Books_of_Earthsea</x:v>
      </x:c>
      <x:c r="U51" s="121" t="n">
        <x:v>46236</x:v>
      </x:c>
    </x:row>
    <x:row r="52" ht="46" customHeight="1">
      <x:c r="A52" s="119" t="n">
        <x:v>46</x:v>
      </x:c>
      <x:c r="B52" s="119" t="str">
        <x:v>SRC-056</x:v>
      </x:c>
      <x:c r="C52" s="120" t="str">
        <x:v>The Broken Earth</x:v>
      </x:c>
      <x:c r="D52" s="120" t="str">
        <x:v>Literature</x:v>
      </x:c>
      <x:c r="E52" s="120" t="str">
        <x:v>United States</x:v>
      </x:c>
      <x:c r="F52" s="119" t="n">
        <x:f>COUNTIF('Seed Catalogue'!$C$2:$C$452,B52)</x:f>
        <x:v>0</x:v>
      </x:c>
      <x:c r="G52" s="122" t="n">
        <x:v>4</x:v>
      </x:c>
      <x:c r="H52" s="122" t="n">
        <x:v>4</x:v>
      </x:c>
      <x:c r="I52" s="122" t="n">
        <x:v>3</x:v>
      </x:c>
      <x:c r="J52" s="122" t="n">
        <x:v>5</x:v>
      </x:c>
      <x:c r="K52" s="122" t="n">
        <x:v>4</x:v>
      </x:c>
      <x:c r="L52" s="122" t="n">
        <x:v>4</x:v>
      </x:c>
      <x:c r="M52" s="122" t="n">
        <x:v>4</x:v>
      </x:c>
      <x:c r="N52" s="122" t="n">
        <x:v>2</x:v>
      </x:c>
      <x:c r="O52" s="123" t="n">
        <x:f>ROUND(G52/5*$X$2+H52/5*$X$3+I52/5*$X$4+J52/5*$X$5+K52/5*$X$6+L52/5*$X$7+M52/5*$X$8-N52/5*$X$9,1)</x:f>
        <x:v>72</x:v>
      </x:c>
      <x:c r="P52" s="119" t="str">
        <x:f>IF(O52&gt;=$X$12,"Foundational deep pass",IF(O52&gt;=$X$13,"Major deep pass",IF(O52&gt;=$X$14,"Targeted innovation pass",IF(O52&gt;=$X$15,"Sampling pass","Reference / defer"))))</x:f>
        <x:v>Major deep pass</x:v>
      </x:c>
      <x:c r="Q52" s="120" t="str">
        <x:v>Literary-source baseline</x:v>
      </x:c>
      <x:c r="R52" s="120" t="str">
        <x:v>Prioritize distinctive ontology, narrative structures, institutions, and power logics over familiar surface labels.</x:v>
      </x:c>
      <x:c r="S52" s="120" t="str">
        <x:v>Heuristic baseline — editorial review required</x:v>
      </x:c>
      <x:c r="T52" s="120" t="str">
        <x:v>https://en.wikipedia.org/wiki/The_Broken_Earth</x:v>
      </x:c>
      <x:c r="U52" s="121" t="n">
        <x:v>46236</x:v>
      </x:c>
    </x:row>
    <x:row r="53" ht="46" customHeight="1">
      <x:c r="A53" s="119" t="n">
        <x:v>47</x:v>
      </x:c>
      <x:c r="B53" s="119" t="str">
        <x:v>SRC-030</x:v>
      </x:c>
      <x:c r="C53" s="120" t="str">
        <x:v>The Chronicles of Narnia</x:v>
      </x:c>
      <x:c r="D53" s="120" t="str">
        <x:v>Literature</x:v>
      </x:c>
      <x:c r="E53" s="120" t="str">
        <x:v>Britain</x:v>
      </x:c>
      <x:c r="F53" s="119" t="n">
        <x:f>COUNTIF('Seed Catalogue'!$C$2:$C$452,B53)</x:f>
        <x:v>0</x:v>
      </x:c>
      <x:c r="G53" s="122" t="n">
        <x:v>4</x:v>
      </x:c>
      <x:c r="H53" s="122" t="n">
        <x:v>4</x:v>
      </x:c>
      <x:c r="I53" s="122" t="n">
        <x:v>3</x:v>
      </x:c>
      <x:c r="J53" s="122" t="n">
        <x:v>5</x:v>
      </x:c>
      <x:c r="K53" s="122" t="n">
        <x:v>4</x:v>
      </x:c>
      <x:c r="L53" s="122" t="n">
        <x:v>4</x:v>
      </x:c>
      <x:c r="M53" s="122" t="n">
        <x:v>4</x:v>
      </x:c>
      <x:c r="N53" s="122" t="n">
        <x:v>2</x:v>
      </x:c>
      <x:c r="O53" s="123" t="n">
        <x:f>ROUND(G53/5*$X$2+H53/5*$X$3+I53/5*$X$4+J53/5*$X$5+K53/5*$X$6+L53/5*$X$7+M53/5*$X$8-N53/5*$X$9,1)</x:f>
        <x:v>72</x:v>
      </x:c>
      <x:c r="P53" s="119" t="str">
        <x:f>IF(O53&gt;=$X$12,"Foundational deep pass",IF(O53&gt;=$X$13,"Major deep pass",IF(O53&gt;=$X$14,"Targeted innovation pass",IF(O53&gt;=$X$15,"Sampling pass","Reference / defer"))))</x:f>
        <x:v>Major deep pass</x:v>
      </x:c>
      <x:c r="Q53" s="120" t="str">
        <x:v>Literary-source baseline</x:v>
      </x:c>
      <x:c r="R53" s="120" t="str">
        <x:v>Prioritize distinctive ontology, narrative structures, institutions, and power logics over familiar surface labels.</x:v>
      </x:c>
      <x:c r="S53" s="120" t="str">
        <x:v>Heuristic baseline — editorial review required</x:v>
      </x:c>
      <x:c r="T53" s="120" t="str">
        <x:v>https://en.wikipedia.org/wiki/The_Chronicles_of_Narnia</x:v>
      </x:c>
      <x:c r="U53" s="121" t="n">
        <x:v>46236</x:v>
      </x:c>
    </x:row>
    <x:row r="54" ht="46" customHeight="1">
      <x:c r="A54" s="119" t="n">
        <x:v>48</x:v>
      </x:c>
      <x:c r="B54" s="119" t="str">
        <x:v>SRC-058</x:v>
      </x:c>
      <x:c r="C54" s="120" t="str">
        <x:v>The Daevabad Trilogy</x:v>
      </x:c>
      <x:c r="D54" s="120" t="str">
        <x:v>Literature</x:v>
      </x:c>
      <x:c r="E54" s="120" t="str">
        <x:v>United States / Islamic-world-inspired fantasy</x:v>
      </x:c>
      <x:c r="F54" s="119" t="n">
        <x:f>COUNTIF('Seed Catalogue'!$C$2:$C$452,B54)</x:f>
        <x:v>0</x:v>
      </x:c>
      <x:c r="G54" s="122" t="n">
        <x:v>4</x:v>
      </x:c>
      <x:c r="H54" s="122" t="n">
        <x:v>4</x:v>
      </x:c>
      <x:c r="I54" s="122" t="n">
        <x:v>3</x:v>
      </x:c>
      <x:c r="J54" s="122" t="n">
        <x:v>5</x:v>
      </x:c>
      <x:c r="K54" s="122" t="n">
        <x:v>4</x:v>
      </x:c>
      <x:c r="L54" s="122" t="n">
        <x:v>4</x:v>
      </x:c>
      <x:c r="M54" s="122" t="n">
        <x:v>4</x:v>
      </x:c>
      <x:c r="N54" s="122" t="n">
        <x:v>2</x:v>
      </x:c>
      <x:c r="O54" s="123" t="n">
        <x:f>ROUND(G54/5*$X$2+H54/5*$X$3+I54/5*$X$4+J54/5*$X$5+K54/5*$X$6+L54/5*$X$7+M54/5*$X$8-N54/5*$X$9,1)</x:f>
        <x:v>72</x:v>
      </x:c>
      <x:c r="P54" s="119" t="str">
        <x:f>IF(O54&gt;=$X$12,"Foundational deep pass",IF(O54&gt;=$X$13,"Major deep pass",IF(O54&gt;=$X$14,"Targeted innovation pass",IF(O54&gt;=$X$15,"Sampling pass","Reference / defer"))))</x:f>
        <x:v>Major deep pass</x:v>
      </x:c>
      <x:c r="Q54" s="120" t="str">
        <x:v>Literary-source baseline</x:v>
      </x:c>
      <x:c r="R54" s="120" t="str">
        <x:v>Prioritize distinctive ontology, narrative structures, institutions, and power logics over familiar surface labels.</x:v>
      </x:c>
      <x:c r="S54" s="120" t="str">
        <x:v>Heuristic baseline — editorial review required</x:v>
      </x:c>
      <x:c r="T54" s="120" t="str">
        <x:v>https://en.wikipedia.org/wiki/The_Daevabad_Trilogy</x:v>
      </x:c>
      <x:c r="U54" s="121" t="n">
        <x:v>46236</x:v>
      </x:c>
    </x:row>
    <x:row r="55" ht="46" customHeight="1">
      <x:c r="A55" s="119" t="n">
        <x:v>49</x:v>
      </x:c>
      <x:c r="B55" s="119" t="str">
        <x:v>SRC-029</x:v>
      </x:c>
      <x:c r="C55" s="120" t="str">
        <x:v>The Dying Earth</x:v>
      </x:c>
      <x:c r="D55" s="120" t="str">
        <x:v>Literature</x:v>
      </x:c>
      <x:c r="E55" s="120" t="str">
        <x:v>United States / science fantasy</x:v>
      </x:c>
      <x:c r="F55" s="119" t="n">
        <x:f>COUNTIF('Seed Catalogue'!$C$2:$C$452,B55)</x:f>
        <x:v>0</x:v>
      </x:c>
      <x:c r="G55" s="122" t="n">
        <x:v>4</x:v>
      </x:c>
      <x:c r="H55" s="122" t="n">
        <x:v>4</x:v>
      </x:c>
      <x:c r="I55" s="122" t="n">
        <x:v>3</x:v>
      </x:c>
      <x:c r="J55" s="122" t="n">
        <x:v>5</x:v>
      </x:c>
      <x:c r="K55" s="122" t="n">
        <x:v>4</x:v>
      </x:c>
      <x:c r="L55" s="122" t="n">
        <x:v>4</x:v>
      </x:c>
      <x:c r="M55" s="122" t="n">
        <x:v>4</x:v>
      </x:c>
      <x:c r="N55" s="122" t="n">
        <x:v>2</x:v>
      </x:c>
      <x:c r="O55" s="123" t="n">
        <x:f>ROUND(G55/5*$X$2+H55/5*$X$3+I55/5*$X$4+J55/5*$X$5+K55/5*$X$6+L55/5*$X$7+M55/5*$X$8-N55/5*$X$9,1)</x:f>
        <x:v>72</x:v>
      </x:c>
      <x:c r="P55" s="119" t="str">
        <x:f>IF(O55&gt;=$X$12,"Foundational deep pass",IF(O55&gt;=$X$13,"Major deep pass",IF(O55&gt;=$X$14,"Targeted innovation pass",IF(O55&gt;=$X$15,"Sampling pass","Reference / defer"))))</x:f>
        <x:v>Major deep pass</x:v>
      </x:c>
      <x:c r="Q55" s="120" t="str">
        <x:v>Literary-source baseline</x:v>
      </x:c>
      <x:c r="R55" s="120" t="str">
        <x:v>Prioritize distinctive ontology, narrative structures, institutions, and power logics over familiar surface labels.</x:v>
      </x:c>
      <x:c r="S55" s="120" t="str">
        <x:v>Heuristic baseline — editorial review required</x:v>
      </x:c>
      <x:c r="T55" s="120" t="str">
        <x:v>https://en.wikipedia.org/wiki/The_Dying_Earth</x:v>
      </x:c>
      <x:c r="U55" s="121" t="n">
        <x:v>46236</x:v>
      </x:c>
    </x:row>
    <x:row r="56" ht="46" customHeight="1">
      <x:c r="A56" s="119" t="n">
        <x:v>50</x:v>
      </x:c>
      <x:c r="B56" s="119" t="str">
        <x:v>SRC-051</x:v>
      </x:c>
      <x:c r="C56" s="120" t="str">
        <x:v>The First Law</x:v>
      </x:c>
      <x:c r="D56" s="120" t="str">
        <x:v>Literature</x:v>
      </x:c>
      <x:c r="E56" s="120" t="str">
        <x:v>Britain</x:v>
      </x:c>
      <x:c r="F56" s="119" t="n">
        <x:f>COUNTIF('Seed Catalogue'!$C$2:$C$452,B56)</x:f>
        <x:v>0</x:v>
      </x:c>
      <x:c r="G56" s="122" t="n">
        <x:v>4</x:v>
      </x:c>
      <x:c r="H56" s="122" t="n">
        <x:v>4</x:v>
      </x:c>
      <x:c r="I56" s="122" t="n">
        <x:v>3</x:v>
      </x:c>
      <x:c r="J56" s="122" t="n">
        <x:v>5</x:v>
      </x:c>
      <x:c r="K56" s="122" t="n">
        <x:v>4</x:v>
      </x:c>
      <x:c r="L56" s="122" t="n">
        <x:v>4</x:v>
      </x:c>
      <x:c r="M56" s="122" t="n">
        <x:v>4</x:v>
      </x:c>
      <x:c r="N56" s="122" t="n">
        <x:v>2</x:v>
      </x:c>
      <x:c r="O56" s="123" t="n">
        <x:f>ROUND(G56/5*$X$2+H56/5*$X$3+I56/5*$X$4+J56/5*$X$5+K56/5*$X$6+L56/5*$X$7+M56/5*$X$8-N56/5*$X$9,1)</x:f>
        <x:v>72</x:v>
      </x:c>
      <x:c r="P56" s="119" t="str">
        <x:f>IF(O56&gt;=$X$12,"Foundational deep pass",IF(O56&gt;=$X$13,"Major deep pass",IF(O56&gt;=$X$14,"Targeted innovation pass",IF(O56&gt;=$X$15,"Sampling pass","Reference / defer"))))</x:f>
        <x:v>Major deep pass</x:v>
      </x:c>
      <x:c r="Q56" s="120" t="str">
        <x:v>Literary-source baseline</x:v>
      </x:c>
      <x:c r="R56" s="120" t="str">
        <x:v>Prioritize distinctive ontology, narrative structures, institutions, and power logics over familiar surface labels.</x:v>
      </x:c>
      <x:c r="S56" s="120" t="str">
        <x:v>Heuristic baseline — editorial review required</x:v>
      </x:c>
      <x:c r="T56" s="120" t="str">
        <x:v>https://en.wikipedia.org/wiki/The_First_Law</x:v>
      </x:c>
      <x:c r="U56" s="121" t="n">
        <x:v>46236</x:v>
      </x:c>
    </x:row>
    <x:row r="57" ht="46" customHeight="1">
      <x:c r="A57" s="119" t="n">
        <x:v>51</x:v>
      </x:c>
      <x:c r="B57" s="119" t="str">
        <x:v>SRC-079</x:v>
      </x:c>
      <x:c r="C57" s="120" t="str">
        <x:v>The Legend of the Condor Heroes</x:v>
      </x:c>
      <x:c r="D57" s="120" t="str">
        <x:v>Literature / Wuxia</x:v>
      </x:c>
      <x:c r="E57" s="120" t="str">
        <x:v>Hong Kong / China</x:v>
      </x:c>
      <x:c r="F57" s="119" t="n">
        <x:f>COUNTIF('Seed Catalogue'!$C$2:$C$452,B57)</x:f>
        <x:v>0</x:v>
      </x:c>
      <x:c r="G57" s="122" t="n">
        <x:v>4</x:v>
      </x:c>
      <x:c r="H57" s="122" t="n">
        <x:v>4</x:v>
      </x:c>
      <x:c r="I57" s="122" t="n">
        <x:v>3</x:v>
      </x:c>
      <x:c r="J57" s="122" t="n">
        <x:v>5</x:v>
      </x:c>
      <x:c r="K57" s="122" t="n">
        <x:v>4</x:v>
      </x:c>
      <x:c r="L57" s="122" t="n">
        <x:v>4</x:v>
      </x:c>
      <x:c r="M57" s="122" t="n">
        <x:v>4</x:v>
      </x:c>
      <x:c r="N57" s="122" t="n">
        <x:v>2</x:v>
      </x:c>
      <x:c r="O57" s="123" t="n">
        <x:f>ROUND(G57/5*$X$2+H57/5*$X$3+I57/5*$X$4+J57/5*$X$5+K57/5*$X$6+L57/5*$X$7+M57/5*$X$8-N57/5*$X$9,1)</x:f>
        <x:v>72</x:v>
      </x:c>
      <x:c r="P57" s="119" t="str">
        <x:f>IF(O57&gt;=$X$12,"Foundational deep pass",IF(O57&gt;=$X$13,"Major deep pass",IF(O57&gt;=$X$14,"Targeted innovation pass",IF(O57&gt;=$X$15,"Sampling pass","Reference / defer"))))</x:f>
        <x:v>Major deep pass</x:v>
      </x:c>
      <x:c r="Q57" s="120" t="str">
        <x:v>Literary-source baseline</x:v>
      </x:c>
      <x:c r="R57" s="120" t="str">
        <x:v>Prioritize distinctive ontology, narrative structures, institutions, and power logics over familiar surface labels.</x:v>
      </x:c>
      <x:c r="S57" s="120" t="str">
        <x:v>Heuristic baseline — editorial review required</x:v>
      </x:c>
      <x:c r="T57" s="120" t="str">
        <x:v>https://en.wikipedia.org/wiki/The_Legend_of_the_Condor_Heroes</x:v>
      </x:c>
      <x:c r="U57" s="121" t="n">
        <x:v>46236</x:v>
      </x:c>
    </x:row>
    <x:row r="58" ht="46" customHeight="1">
      <x:c r="A58" s="119" t="n">
        <x:v>52</x:v>
      </x:c>
      <x:c r="B58" s="119" t="str">
        <x:v>SRC-031</x:v>
      </x:c>
      <x:c r="C58" s="120" t="str">
        <x:v>The Lord of the Rings</x:v>
      </x:c>
      <x:c r="D58" s="120" t="str">
        <x:v>Literature</x:v>
      </x:c>
      <x:c r="E58" s="120" t="str">
        <x:v>Britain</x:v>
      </x:c>
      <x:c r="F58" s="119" t="n">
        <x:f>COUNTIF('Seed Catalogue'!$C$2:$C$452,B58)</x:f>
        <x:v>0</x:v>
      </x:c>
      <x:c r="G58" s="122" t="n">
        <x:v>4</x:v>
      </x:c>
      <x:c r="H58" s="122" t="n">
        <x:v>4</x:v>
      </x:c>
      <x:c r="I58" s="122" t="n">
        <x:v>3</x:v>
      </x:c>
      <x:c r="J58" s="122" t="n">
        <x:v>5</x:v>
      </x:c>
      <x:c r="K58" s="122" t="n">
        <x:v>4</x:v>
      </x:c>
      <x:c r="L58" s="122" t="n">
        <x:v>4</x:v>
      </x:c>
      <x:c r="M58" s="122" t="n">
        <x:v>4</x:v>
      </x:c>
      <x:c r="N58" s="122" t="n">
        <x:v>2</x:v>
      </x:c>
      <x:c r="O58" s="123" t="n">
        <x:f>ROUND(G58/5*$X$2+H58/5*$X$3+I58/5*$X$4+J58/5*$X$5+K58/5*$X$6+L58/5*$X$7+M58/5*$X$8-N58/5*$X$9,1)</x:f>
        <x:v>72</x:v>
      </x:c>
      <x:c r="P58" s="119" t="str">
        <x:f>IF(O58&gt;=$X$12,"Foundational deep pass",IF(O58&gt;=$X$13,"Major deep pass",IF(O58&gt;=$X$14,"Targeted innovation pass",IF(O58&gt;=$X$15,"Sampling pass","Reference / defer"))))</x:f>
        <x:v>Major deep pass</x:v>
      </x:c>
      <x:c r="Q58" s="120" t="str">
        <x:v>Literary-source baseline</x:v>
      </x:c>
      <x:c r="R58" s="120" t="str">
        <x:v>Prioritize distinctive ontology, narrative structures, institutions, and power logics over familiar surface labels.</x:v>
      </x:c>
      <x:c r="S58" s="120" t="str">
        <x:v>Heuristic baseline — editorial review required</x:v>
      </x:c>
      <x:c r="T58" s="120" t="str">
        <x:v>https://www.tolkienestate.com/writing/j-r-r-tolkien/the-lord-of-the-rings/</x:v>
      </x:c>
      <x:c r="U58" s="121" t="n">
        <x:v>46236</x:v>
      </x:c>
    </x:row>
    <x:row r="59" ht="46" customHeight="1">
      <x:c r="A59" s="119" t="n">
        <x:v>53</x:v>
      </x:c>
      <x:c r="B59" s="119" t="str">
        <x:v>SRC-033</x:v>
      </x:c>
      <x:c r="C59" s="120" t="str">
        <x:v>The Once and Future King</x:v>
      </x:c>
      <x:c r="D59" s="120" t="str">
        <x:v>Literature</x:v>
      </x:c>
      <x:c r="E59" s="120" t="str">
        <x:v>Britain</x:v>
      </x:c>
      <x:c r="F59" s="119" t="n">
        <x:f>COUNTIF('Seed Catalogue'!$C$2:$C$452,B59)</x:f>
        <x:v>0</x:v>
      </x:c>
      <x:c r="G59" s="122" t="n">
        <x:v>4</x:v>
      </x:c>
      <x:c r="H59" s="122" t="n">
        <x:v>4</x:v>
      </x:c>
      <x:c r="I59" s="122" t="n">
        <x:v>3</x:v>
      </x:c>
      <x:c r="J59" s="122" t="n">
        <x:v>5</x:v>
      </x:c>
      <x:c r="K59" s="122" t="n">
        <x:v>4</x:v>
      </x:c>
      <x:c r="L59" s="122" t="n">
        <x:v>4</x:v>
      </x:c>
      <x:c r="M59" s="122" t="n">
        <x:v>4</x:v>
      </x:c>
      <x:c r="N59" s="122" t="n">
        <x:v>2</x:v>
      </x:c>
      <x:c r="O59" s="123" t="n">
        <x:f>ROUND(G59/5*$X$2+H59/5*$X$3+I59/5*$X$4+J59/5*$X$5+K59/5*$X$6+L59/5*$X$7+M59/5*$X$8-N59/5*$X$9,1)</x:f>
        <x:v>72</x:v>
      </x:c>
      <x:c r="P59" s="119" t="str">
        <x:f>IF(O59&gt;=$X$12,"Foundational deep pass",IF(O59&gt;=$X$13,"Major deep pass",IF(O59&gt;=$X$14,"Targeted innovation pass",IF(O59&gt;=$X$15,"Sampling pass","Reference / defer"))))</x:f>
        <x:v>Major deep pass</x:v>
      </x:c>
      <x:c r="Q59" s="120" t="str">
        <x:v>Literary-source baseline</x:v>
      </x:c>
      <x:c r="R59" s="120" t="str">
        <x:v>Prioritize distinctive ontology, narrative structures, institutions, and power logics over familiar surface labels.</x:v>
      </x:c>
      <x:c r="S59" s="120" t="str">
        <x:v>Heuristic baseline — editorial review required</x:v>
      </x:c>
      <x:c r="T59" s="120" t="str">
        <x:v>https://en.wikipedia.org/wiki/The_Once_and_Future_King</x:v>
      </x:c>
      <x:c r="U59" s="121" t="n">
        <x:v>46236</x:v>
      </x:c>
    </x:row>
    <x:row r="60" ht="46" customHeight="1">
      <x:c r="A60" s="119" t="n">
        <x:v>54</x:v>
      </x:c>
      <x:c r="B60" s="119" t="str">
        <x:v>SRC-053</x:v>
      </x:c>
      <x:c r="C60" s="120" t="str">
        <x:v>The Stormlight Archive</x:v>
      </x:c>
      <x:c r="D60" s="120" t="str">
        <x:v>Literature</x:v>
      </x:c>
      <x:c r="E60" s="120" t="str">
        <x:v>United States</x:v>
      </x:c>
      <x:c r="F60" s="119" t="n">
        <x:f>COUNTIF('Seed Catalogue'!$C$2:$C$452,B60)</x:f>
        <x:v>0</x:v>
      </x:c>
      <x:c r="G60" s="122" t="n">
        <x:v>4</x:v>
      </x:c>
      <x:c r="H60" s="122" t="n">
        <x:v>4</x:v>
      </x:c>
      <x:c r="I60" s="122" t="n">
        <x:v>3</x:v>
      </x:c>
      <x:c r="J60" s="122" t="n">
        <x:v>5</x:v>
      </x:c>
      <x:c r="K60" s="122" t="n">
        <x:v>4</x:v>
      </x:c>
      <x:c r="L60" s="122" t="n">
        <x:v>4</x:v>
      </x:c>
      <x:c r="M60" s="122" t="n">
        <x:v>4</x:v>
      </x:c>
      <x:c r="N60" s="122" t="n">
        <x:v>2</x:v>
      </x:c>
      <x:c r="O60" s="123" t="n">
        <x:f>ROUND(G60/5*$X$2+H60/5*$X$3+I60/5*$X$4+J60/5*$X$5+K60/5*$X$6+L60/5*$X$7+M60/5*$X$8-N60/5*$X$9,1)</x:f>
        <x:v>72</x:v>
      </x:c>
      <x:c r="P60" s="119" t="str">
        <x:f>IF(O60&gt;=$X$12,"Foundational deep pass",IF(O60&gt;=$X$13,"Major deep pass",IF(O60&gt;=$X$14,"Targeted innovation pass",IF(O60&gt;=$X$15,"Sampling pass","Reference / defer"))))</x:f>
        <x:v>Major deep pass</x:v>
      </x:c>
      <x:c r="Q60" s="120" t="str">
        <x:v>Literary-source baseline</x:v>
      </x:c>
      <x:c r="R60" s="120" t="str">
        <x:v>Prioritize distinctive ontology, narrative structures, institutions, and power logics over familiar surface labels.</x:v>
      </x:c>
      <x:c r="S60" s="120" t="str">
        <x:v>Heuristic baseline — editorial review required</x:v>
      </x:c>
      <x:c r="T60" s="120" t="str">
        <x:v>https://en.wikipedia.org/wiki/The_Stormlight_Archive</x:v>
      </x:c>
      <x:c r="U60" s="121" t="n">
        <x:v>46236</x:v>
      </x:c>
    </x:row>
    <x:row r="61" ht="46" customHeight="1">
      <x:c r="A61" s="119" t="n">
        <x:v>55</x:v>
      </x:c>
      <x:c r="B61" s="119" t="str">
        <x:v>SRC-044</x:v>
      </x:c>
      <x:c r="C61" s="120" t="str">
        <x:v>The Wheel of Time</x:v>
      </x:c>
      <x:c r="D61" s="120" t="str">
        <x:v>Literature</x:v>
      </x:c>
      <x:c r="E61" s="120" t="str">
        <x:v>United States</x:v>
      </x:c>
      <x:c r="F61" s="119" t="n">
        <x:f>COUNTIF('Seed Catalogue'!$C$2:$C$452,B61)</x:f>
        <x:v>0</x:v>
      </x:c>
      <x:c r="G61" s="122" t="n">
        <x:v>4</x:v>
      </x:c>
      <x:c r="H61" s="122" t="n">
        <x:v>4</x:v>
      </x:c>
      <x:c r="I61" s="122" t="n">
        <x:v>3</x:v>
      </x:c>
      <x:c r="J61" s="122" t="n">
        <x:v>5</x:v>
      </x:c>
      <x:c r="K61" s="122" t="n">
        <x:v>4</x:v>
      </x:c>
      <x:c r="L61" s="122" t="n">
        <x:v>4</x:v>
      </x:c>
      <x:c r="M61" s="122" t="n">
        <x:v>4</x:v>
      </x:c>
      <x:c r="N61" s="122" t="n">
        <x:v>2</x:v>
      </x:c>
      <x:c r="O61" s="123" t="n">
        <x:f>ROUND(G61/5*$X$2+H61/5*$X$3+I61/5*$X$4+J61/5*$X$5+K61/5*$X$6+L61/5*$X$7+M61/5*$X$8-N61/5*$X$9,1)</x:f>
        <x:v>72</x:v>
      </x:c>
      <x:c r="P61" s="119" t="str">
        <x:f>IF(O61&gt;=$X$12,"Foundational deep pass",IF(O61&gt;=$X$13,"Major deep pass",IF(O61&gt;=$X$14,"Targeted innovation pass",IF(O61&gt;=$X$15,"Sampling pass","Reference / defer"))))</x:f>
        <x:v>Major deep pass</x:v>
      </x:c>
      <x:c r="Q61" s="120" t="str">
        <x:v>Literary-source baseline</x:v>
      </x:c>
      <x:c r="R61" s="120" t="str">
        <x:v>Prioritize distinctive ontology, narrative structures, institutions, and power logics over familiar surface labels.</x:v>
      </x:c>
      <x:c r="S61" s="120" t="str">
        <x:v>Heuristic baseline — editorial review required</x:v>
      </x:c>
      <x:c r="T61" s="120" t="str">
        <x:v>https://en.wikipedia.org/wiki/The_Wheel_of_Time</x:v>
      </x:c>
      <x:c r="U61" s="121" t="n">
        <x:v>46236</x:v>
      </x:c>
    </x:row>
    <x:row r="62" ht="46" customHeight="1">
      <x:c r="A62" s="119" t="n">
        <x:v>56</x:v>
      </x:c>
      <x:c r="B62" s="119" t="str">
        <x:v>SRC-026</x:v>
      </x:c>
      <x:c r="C62" s="120" t="str">
        <x:v>Tolkien's Legendarium</x:v>
      </x:c>
      <x:c r="D62" s="120" t="str">
        <x:v>Literature</x:v>
      </x:c>
      <x:c r="E62" s="120" t="str">
        <x:v>Britain / European philological fantasy</x:v>
      </x:c>
      <x:c r="F62" s="119" t="n">
        <x:f>COUNTIF('Seed Catalogue'!$C$2:$C$452,B62)</x:f>
        <x:v>25</x:v>
      </x:c>
      <x:c r="G62" s="122" t="n">
        <x:v>4</x:v>
      </x:c>
      <x:c r="H62" s="122" t="n">
        <x:v>5</x:v>
      </x:c>
      <x:c r="I62" s="122" t="n">
        <x:v>2</x:v>
      </x:c>
      <x:c r="J62" s="122" t="n">
        <x:v>5</x:v>
      </x:c>
      <x:c r="K62" s="122" t="n">
        <x:v>5</x:v>
      </x:c>
      <x:c r="L62" s="122" t="n">
        <x:v>5</x:v>
      </x:c>
      <x:c r="M62" s="122" t="n">
        <x:v>5</x:v>
      </x:c>
      <x:c r="N62" s="122" t="n">
        <x:v>4</x:v>
      </x:c>
      <x:c r="O62" s="123" t="n">
        <x:f>ROUND(G62/5*$X$2+H62/5*$X$3+I62/5*$X$4+J62/5*$X$5+K62/5*$X$6+L62/5*$X$7+M62/5*$X$8-N62/5*$X$9,1)</x:f>
        <x:v>70</x:v>
      </x:c>
      <x:c r="P62" s="119" t="str">
        <x:f>IF(O62&gt;=$X$12,"Foundational deep pass",IF(O62&gt;=$X$13,"Major deep pass",IF(O62&gt;=$X$14,"Targeted innovation pass",IF(O62&gt;=$X$15,"Sampling pass","Reference / defer"))))</x:f>
        <x:v>Major deep pass</x:v>
      </x:c>
      <x:c r="Q62" s="120" t="str">
        <x:v>Tolkien influence/redundancy override</x:v>
      </x:c>
      <x:c r="R62" s="120" t="str">
        <x:v>Foundational influence remains essential, but core peoples and classes are already heavily seeded; prioritize textual and adaptation divergence.</x:v>
      </x:c>
      <x:c r="S62" s="120" t="str">
        <x:v>Editorial override — review required</x:v>
      </x:c>
      <x:c r="T62" s="120" t="str">
        <x:v>https://www.tolkienestate.com/writing/</x:v>
      </x:c>
      <x:c r="U62" s="121" t="n">
        <x:v>46236</x:v>
      </x:c>
    </x:row>
    <x:row r="63" ht="46" customHeight="1">
      <x:c r="A63" s="119" t="n">
        <x:v>57</x:v>
      </x:c>
      <x:c r="B63" s="119" t="str">
        <x:v>SRC-069</x:v>
      </x:c>
      <x:c r="C63" s="120" t="str">
        <x:v>Akata Witch</x:v>
      </x:c>
      <x:c r="D63" s="120" t="str">
        <x:v>Literature</x:v>
      </x:c>
      <x:c r="E63" s="120" t="str">
        <x:v>Nigeria / United States</x:v>
      </x:c>
      <x:c r="F63" s="119" t="n">
        <x:f>COUNTIF('Seed Catalogue'!$C$2:$C$452,B63)</x:f>
        <x:v>0</x:v>
      </x:c>
      <x:c r="G63" s="122" t="n">
        <x:v>4</x:v>
      </x:c>
      <x:c r="H63" s="122" t="n">
        <x:v>4</x:v>
      </x:c>
      <x:c r="I63" s="122" t="n">
        <x:v>3</x:v>
      </x:c>
      <x:c r="J63" s="122" t="n">
        <x:v>4</x:v>
      </x:c>
      <x:c r="K63" s="122" t="n">
        <x:v>4</x:v>
      </x:c>
      <x:c r="L63" s="122" t="n">
        <x:v>4</x:v>
      </x:c>
      <x:c r="M63" s="122" t="n">
        <x:v>4</x:v>
      </x:c>
      <x:c r="N63" s="122" t="n">
        <x:v>2</x:v>
      </x:c>
      <x:c r="O63" s="123" t="n">
        <x:f>ROUND(G63/5*$X$2+H63/5*$X$3+I63/5*$X$4+J63/5*$X$5+K63/5*$X$6+L63/5*$X$7+M63/5*$X$8-N63/5*$X$9,1)</x:f>
        <x:v>69</x:v>
      </x:c>
      <x:c r="P63" s="119" t="str">
        <x:f>IF(O63&gt;=$X$12,"Foundational deep pass",IF(O63&gt;=$X$13,"Major deep pass",IF(O63&gt;=$X$14,"Targeted innovation pass",IF(O63&gt;=$X$15,"Sampling pass","Reference / defer"))))</x:f>
        <x:v>Major deep pass</x:v>
      </x:c>
      <x:c r="Q63" s="120" t="str">
        <x:v>Literary-source baseline</x:v>
      </x:c>
      <x:c r="R63" s="120" t="str">
        <x:v>Prioritize distinctive ontology, narrative structures, institutions, and power logics over familiar surface labels.</x:v>
      </x:c>
      <x:c r="S63" s="120" t="str">
        <x:v>Heuristic baseline — editorial review required</x:v>
      </x:c>
      <x:c r="T63" s="120" t="str">
        <x:v>https://en.wikipedia.org/wiki/Akata_Witch</x:v>
      </x:c>
      <x:c r="U63" s="121" t="n">
        <x:v>46236</x:v>
      </x:c>
    </x:row>
    <x:row r="64" ht="46" customHeight="1">
      <x:c r="A64" s="119" t="n">
        <x:v>58</x:v>
      </x:c>
      <x:c r="B64" s="119" t="str">
        <x:v>SRC-070</x:v>
      </x:c>
      <x:c r="C64" s="120" t="str">
        <x:v>Children of Blood and Bone</x:v>
      </x:c>
      <x:c r="D64" s="120" t="str">
        <x:v>Literature</x:v>
      </x:c>
      <x:c r="E64" s="120" t="str">
        <x:v>United States / West African-inspired fantasy</x:v>
      </x:c>
      <x:c r="F64" s="119" t="n">
        <x:f>COUNTIF('Seed Catalogue'!$C$2:$C$452,B64)</x:f>
        <x:v>0</x:v>
      </x:c>
      <x:c r="G64" s="122" t="n">
        <x:v>4</x:v>
      </x:c>
      <x:c r="H64" s="122" t="n">
        <x:v>4</x:v>
      </x:c>
      <x:c r="I64" s="122" t="n">
        <x:v>3</x:v>
      </x:c>
      <x:c r="J64" s="122" t="n">
        <x:v>4</x:v>
      </x:c>
      <x:c r="K64" s="122" t="n">
        <x:v>4</x:v>
      </x:c>
      <x:c r="L64" s="122" t="n">
        <x:v>4</x:v>
      </x:c>
      <x:c r="M64" s="122" t="n">
        <x:v>4</x:v>
      </x:c>
      <x:c r="N64" s="122" t="n">
        <x:v>2</x:v>
      </x:c>
      <x:c r="O64" s="123" t="n">
        <x:f>ROUND(G64/5*$X$2+H64/5*$X$3+I64/5*$X$4+J64/5*$X$5+K64/5*$X$6+L64/5*$X$7+M64/5*$X$8-N64/5*$X$9,1)</x:f>
        <x:v>69</x:v>
      </x:c>
      <x:c r="P64" s="119" t="str">
        <x:f>IF(O64&gt;=$X$12,"Foundational deep pass",IF(O64&gt;=$X$13,"Major deep pass",IF(O64&gt;=$X$14,"Targeted innovation pass",IF(O64&gt;=$X$15,"Sampling pass","Reference / defer"))))</x:f>
        <x:v>Major deep pass</x:v>
      </x:c>
      <x:c r="Q64" s="120" t="str">
        <x:v>Literary-source baseline</x:v>
      </x:c>
      <x:c r="R64" s="120" t="str">
        <x:v>Prioritize distinctive ontology, narrative structures, institutions, and power logics over familiar surface labels.</x:v>
      </x:c>
      <x:c r="S64" s="120" t="str">
        <x:v>Heuristic baseline — editorial review required</x:v>
      </x:c>
      <x:c r="T64" s="120" t="str">
        <x:v>https://en.wikipedia.org/wiki/Children_of_Blood_and_Bone</x:v>
      </x:c>
      <x:c r="U64" s="121" t="n">
        <x:v>46236</x:v>
      </x:c>
    </x:row>
    <x:row r="65" ht="46" customHeight="1">
      <x:c r="A65" s="119" t="n">
        <x:v>59</x:v>
      </x:c>
      <x:c r="B65" s="119" t="str">
        <x:v>SRC-038</x:v>
      </x:c>
      <x:c r="C65" s="120" t="str">
        <x:v>Dragonriders of Pern</x:v>
      </x:c>
      <x:c r="D65" s="120" t="str">
        <x:v>Literature</x:v>
      </x:c>
      <x:c r="E65" s="120" t="str">
        <x:v>United States / Ireland / science fantasy</x:v>
      </x:c>
      <x:c r="F65" s="119" t="n">
        <x:f>COUNTIF('Seed Catalogue'!$C$2:$C$452,B65)</x:f>
        <x:v>0</x:v>
      </x:c>
      <x:c r="G65" s="122" t="n">
        <x:v>4</x:v>
      </x:c>
      <x:c r="H65" s="122" t="n">
        <x:v>4</x:v>
      </x:c>
      <x:c r="I65" s="122" t="n">
        <x:v>3</x:v>
      </x:c>
      <x:c r="J65" s="122" t="n">
        <x:v>4</x:v>
      </x:c>
      <x:c r="K65" s="122" t="n">
        <x:v>4</x:v>
      </x:c>
      <x:c r="L65" s="122" t="n">
        <x:v>4</x:v>
      </x:c>
      <x:c r="M65" s="122" t="n">
        <x:v>4</x:v>
      </x:c>
      <x:c r="N65" s="122" t="n">
        <x:v>2</x:v>
      </x:c>
      <x:c r="O65" s="123" t="n">
        <x:f>ROUND(G65/5*$X$2+H65/5*$X$3+I65/5*$X$4+J65/5*$X$5+K65/5*$X$6+L65/5*$X$7+M65/5*$X$8-N65/5*$X$9,1)</x:f>
        <x:v>69</x:v>
      </x:c>
      <x:c r="P65" s="119" t="str">
        <x:f>IF(O65&gt;=$X$12,"Foundational deep pass",IF(O65&gt;=$X$13,"Major deep pass",IF(O65&gt;=$X$14,"Targeted innovation pass",IF(O65&gt;=$X$15,"Sampling pass","Reference / defer"))))</x:f>
        <x:v>Major deep pass</x:v>
      </x:c>
      <x:c r="Q65" s="120" t="str">
        <x:v>Literary-source baseline</x:v>
      </x:c>
      <x:c r="R65" s="120" t="str">
        <x:v>Prioritize distinctive ontology, narrative structures, institutions, and power logics over familiar surface labels.</x:v>
      </x:c>
      <x:c r="S65" s="120" t="str">
        <x:v>Heuristic baseline — editorial review required</x:v>
      </x:c>
      <x:c r="T65" s="120" t="str">
        <x:v>https://en.wikipedia.org/wiki/Dragonriders_of_Pern</x:v>
      </x:c>
      <x:c r="U65" s="121" t="n">
        <x:v>46236</x:v>
      </x:c>
    </x:row>
    <x:row r="66" ht="46" customHeight="1">
      <x:c r="A66" s="119" t="n">
        <x:v>60</x:v>
      </x:c>
      <x:c r="B66" s="119" t="str">
        <x:v>SRC-055</x:v>
      </x:c>
      <x:c r="C66" s="120" t="str">
        <x:v>Gentleman Bastard Sequence</x:v>
      </x:c>
      <x:c r="D66" s="120" t="str">
        <x:v>Literature</x:v>
      </x:c>
      <x:c r="E66" s="120" t="str">
        <x:v>United States</x:v>
      </x:c>
      <x:c r="F66" s="119" t="n">
        <x:f>COUNTIF('Seed Catalogue'!$C$2:$C$452,B66)</x:f>
        <x:v>0</x:v>
      </x:c>
      <x:c r="G66" s="122" t="n">
        <x:v>4</x:v>
      </x:c>
      <x:c r="H66" s="122" t="n">
        <x:v>4</x:v>
      </x:c>
      <x:c r="I66" s="122" t="n">
        <x:v>3</x:v>
      </x:c>
      <x:c r="J66" s="122" t="n">
        <x:v>4</x:v>
      </x:c>
      <x:c r="K66" s="122" t="n">
        <x:v>4</x:v>
      </x:c>
      <x:c r="L66" s="122" t="n">
        <x:v>4</x:v>
      </x:c>
      <x:c r="M66" s="122" t="n">
        <x:v>4</x:v>
      </x:c>
      <x:c r="N66" s="122" t="n">
        <x:v>2</x:v>
      </x:c>
      <x:c r="O66" s="123" t="n">
        <x:f>ROUND(G66/5*$X$2+H66/5*$X$3+I66/5*$X$4+J66/5*$X$5+K66/5*$X$6+L66/5*$X$7+M66/5*$X$8-N66/5*$X$9,1)</x:f>
        <x:v>69</x:v>
      </x:c>
      <x:c r="P66" s="119" t="str">
        <x:f>IF(O66&gt;=$X$12,"Foundational deep pass",IF(O66&gt;=$X$13,"Major deep pass",IF(O66&gt;=$X$14,"Targeted innovation pass",IF(O66&gt;=$X$15,"Sampling pass","Reference / defer"))))</x:f>
        <x:v>Major deep pass</x:v>
      </x:c>
      <x:c r="Q66" s="120" t="str">
        <x:v>Literary-source baseline</x:v>
      </x:c>
      <x:c r="R66" s="120" t="str">
        <x:v>Prioritize distinctive ontology, narrative structures, institutions, and power logics over familiar surface labels.</x:v>
      </x:c>
      <x:c r="S66" s="120" t="str">
        <x:v>Heuristic baseline — editorial review required</x:v>
      </x:c>
      <x:c r="T66" s="120" t="str">
        <x:v>https://en.wikipedia.org/wiki/Gentleman_Bastard_Sequence</x:v>
      </x:c>
      <x:c r="U66" s="121" t="n">
        <x:v>46236</x:v>
      </x:c>
    </x:row>
    <x:row r="67" ht="46" customHeight="1">
      <x:c r="A67" s="119" t="n">
        <x:v>61</x:v>
      </x:c>
      <x:c r="B67" s="119" t="str">
        <x:v>SRC-032</x:v>
      </x:c>
      <x:c r="C67" s="120" t="str">
        <x:v>Gormenghast</x:v>
      </x:c>
      <x:c r="D67" s="120" t="str">
        <x:v>Literature</x:v>
      </x:c>
      <x:c r="E67" s="120" t="str">
        <x:v>Britain</x:v>
      </x:c>
      <x:c r="F67" s="119" t="n">
        <x:f>COUNTIF('Seed Catalogue'!$C$2:$C$452,B67)</x:f>
        <x:v>0</x:v>
      </x:c>
      <x:c r="G67" s="122" t="n">
        <x:v>4</x:v>
      </x:c>
      <x:c r="H67" s="122" t="n">
        <x:v>4</x:v>
      </x:c>
      <x:c r="I67" s="122" t="n">
        <x:v>3</x:v>
      </x:c>
      <x:c r="J67" s="122" t="n">
        <x:v>4</x:v>
      </x:c>
      <x:c r="K67" s="122" t="n">
        <x:v>4</x:v>
      </x:c>
      <x:c r="L67" s="122" t="n">
        <x:v>4</x:v>
      </x:c>
      <x:c r="M67" s="122" t="n">
        <x:v>4</x:v>
      </x:c>
      <x:c r="N67" s="122" t="n">
        <x:v>2</x:v>
      </x:c>
      <x:c r="O67" s="123" t="n">
        <x:f>ROUND(G67/5*$X$2+H67/5*$X$3+I67/5*$X$4+J67/5*$X$5+K67/5*$X$6+L67/5*$X$7+M67/5*$X$8-N67/5*$X$9,1)</x:f>
        <x:v>69</x:v>
      </x:c>
      <x:c r="P67" s="119" t="str">
        <x:f>IF(O67&gt;=$X$12,"Foundational deep pass",IF(O67&gt;=$X$13,"Major deep pass",IF(O67&gt;=$X$14,"Targeted innovation pass",IF(O67&gt;=$X$15,"Sampling pass","Reference / defer"))))</x:f>
        <x:v>Major deep pass</x:v>
      </x:c>
      <x:c r="Q67" s="120" t="str">
        <x:v>Literary-source baseline</x:v>
      </x:c>
      <x:c r="R67" s="120" t="str">
        <x:v>Prioritize distinctive ontology, narrative structures, institutions, and power logics over familiar surface labels.</x:v>
      </x:c>
      <x:c r="S67" s="120" t="str">
        <x:v>Heuristic baseline — editorial review required</x:v>
      </x:c>
      <x:c r="T67" s="120" t="str">
        <x:v>https://en.wikipedia.org/wiki/Gormenghast</x:v>
      </x:c>
      <x:c r="U67" s="121" t="n">
        <x:v>46236</x:v>
      </x:c>
    </x:row>
    <x:row r="68" ht="46" customHeight="1">
      <x:c r="A68" s="119" t="n">
        <x:v>62</x:v>
      </x:c>
      <x:c r="B68" s="119" t="str">
        <x:v>SRC-049</x:v>
      </x:c>
      <x:c r="C68" s="120" t="str">
        <x:v>His Dark Materials</x:v>
      </x:c>
      <x:c r="D68" s="120" t="str">
        <x:v>Literature</x:v>
      </x:c>
      <x:c r="E68" s="120" t="str">
        <x:v>Britain</x:v>
      </x:c>
      <x:c r="F68" s="119" t="n">
        <x:f>COUNTIF('Seed Catalogue'!$C$2:$C$452,B68)</x:f>
        <x:v>0</x:v>
      </x:c>
      <x:c r="G68" s="122" t="n">
        <x:v>4</x:v>
      </x:c>
      <x:c r="H68" s="122" t="n">
        <x:v>4</x:v>
      </x:c>
      <x:c r="I68" s="122" t="n">
        <x:v>3</x:v>
      </x:c>
      <x:c r="J68" s="122" t="n">
        <x:v>4</x:v>
      </x:c>
      <x:c r="K68" s="122" t="n">
        <x:v>4</x:v>
      </x:c>
      <x:c r="L68" s="122" t="n">
        <x:v>4</x:v>
      </x:c>
      <x:c r="M68" s="122" t="n">
        <x:v>4</x:v>
      </x:c>
      <x:c r="N68" s="122" t="n">
        <x:v>2</x:v>
      </x:c>
      <x:c r="O68" s="123" t="n">
        <x:f>ROUND(G68/5*$X$2+H68/5*$X$3+I68/5*$X$4+J68/5*$X$5+K68/5*$X$6+L68/5*$X$7+M68/5*$X$8-N68/5*$X$9,1)</x:f>
        <x:v>69</x:v>
      </x:c>
      <x:c r="P68" s="119" t="str">
        <x:f>IF(O68&gt;=$X$12,"Foundational deep pass",IF(O68&gt;=$X$13,"Major deep pass",IF(O68&gt;=$X$14,"Targeted innovation pass",IF(O68&gt;=$X$15,"Sampling pass","Reference / defer"))))</x:f>
        <x:v>Major deep pass</x:v>
      </x:c>
      <x:c r="Q68" s="120" t="str">
        <x:v>Literary-source baseline</x:v>
      </x:c>
      <x:c r="R68" s="120" t="str">
        <x:v>Prioritize distinctive ontology, narrative structures, institutions, and power logics over familiar surface labels.</x:v>
      </x:c>
      <x:c r="S68" s="120" t="str">
        <x:v>Heuristic baseline — editorial review required</x:v>
      </x:c>
      <x:c r="T68" s="120" t="str">
        <x:v>https://en.wikipedia.org/wiki/His_Dark_Materials</x:v>
      </x:c>
      <x:c r="U68" s="121" t="n">
        <x:v>46236</x:v>
      </x:c>
    </x:row>
    <x:row r="69" ht="46" customHeight="1">
      <x:c r="A69" s="119" t="n">
        <x:v>63</x:v>
      </x:c>
      <x:c r="B69" s="119" t="str">
        <x:v>SRC-080</x:v>
      </x:c>
      <x:c r="C69" s="120" t="str">
        <x:v>Kalpa Imperial</x:v>
      </x:c>
      <x:c r="D69" s="120" t="str">
        <x:v>Literature</x:v>
      </x:c>
      <x:c r="E69" s="120" t="str">
        <x:v>Argentina</x:v>
      </x:c>
      <x:c r="F69" s="119" t="n">
        <x:f>COUNTIF('Seed Catalogue'!$C$2:$C$452,B69)</x:f>
        <x:v>0</x:v>
      </x:c>
      <x:c r="G69" s="122" t="n">
        <x:v>4</x:v>
      </x:c>
      <x:c r="H69" s="122" t="n">
        <x:v>4</x:v>
      </x:c>
      <x:c r="I69" s="122" t="n">
        <x:v>3</x:v>
      </x:c>
      <x:c r="J69" s="122" t="n">
        <x:v>4</x:v>
      </x:c>
      <x:c r="K69" s="122" t="n">
        <x:v>4</x:v>
      </x:c>
      <x:c r="L69" s="122" t="n">
        <x:v>4</x:v>
      </x:c>
      <x:c r="M69" s="122" t="n">
        <x:v>4</x:v>
      </x:c>
      <x:c r="N69" s="122" t="n">
        <x:v>2</x:v>
      </x:c>
      <x:c r="O69" s="123" t="n">
        <x:f>ROUND(G69/5*$X$2+H69/5*$X$3+I69/5*$X$4+J69/5*$X$5+K69/5*$X$6+L69/5*$X$7+M69/5*$X$8-N69/5*$X$9,1)</x:f>
        <x:v>69</x:v>
      </x:c>
      <x:c r="P69" s="119" t="str">
        <x:f>IF(O69&gt;=$X$12,"Foundational deep pass",IF(O69&gt;=$X$13,"Major deep pass",IF(O69&gt;=$X$14,"Targeted innovation pass",IF(O69&gt;=$X$15,"Sampling pass","Reference / defer"))))</x:f>
        <x:v>Major deep pass</x:v>
      </x:c>
      <x:c r="Q69" s="120" t="str">
        <x:v>Literary-source baseline</x:v>
      </x:c>
      <x:c r="R69" s="120" t="str">
        <x:v>Prioritize distinctive ontology, narrative structures, institutions, and power logics over familiar surface labels.</x:v>
      </x:c>
      <x:c r="S69" s="120" t="str">
        <x:v>Heuristic baseline — editorial review required</x:v>
      </x:c>
      <x:c r="T69" s="120" t="str">
        <x:v>https://en.wikipedia.org/wiki/Kalpa_Imperial</x:v>
      </x:c>
      <x:c r="U69" s="121" t="n">
        <x:v>46236</x:v>
      </x:c>
    </x:row>
    <x:row r="70" ht="46" customHeight="1">
      <x:c r="A70" s="119" t="n">
        <x:v>64</x:v>
      </x:c>
      <x:c r="B70" s="119" t="str">
        <x:v>SRC-066</x:v>
      </x:c>
      <x:c r="C70" s="120" t="str">
        <x:v>Kushiel's Legacy</x:v>
      </x:c>
      <x:c r="D70" s="120" t="str">
        <x:v>Literature</x:v>
      </x:c>
      <x:c r="E70" s="120" t="str">
        <x:v>United States</x:v>
      </x:c>
      <x:c r="F70" s="119" t="n">
        <x:f>COUNTIF('Seed Catalogue'!$C$2:$C$452,B70)</x:f>
        <x:v>0</x:v>
      </x:c>
      <x:c r="G70" s="122" t="n">
        <x:v>4</x:v>
      </x:c>
      <x:c r="H70" s="122" t="n">
        <x:v>4</x:v>
      </x:c>
      <x:c r="I70" s="122" t="n">
        <x:v>3</x:v>
      </x:c>
      <x:c r="J70" s="122" t="n">
        <x:v>4</x:v>
      </x:c>
      <x:c r="K70" s="122" t="n">
        <x:v>4</x:v>
      </x:c>
      <x:c r="L70" s="122" t="n">
        <x:v>4</x:v>
      </x:c>
      <x:c r="M70" s="122" t="n">
        <x:v>4</x:v>
      </x:c>
      <x:c r="N70" s="122" t="n">
        <x:v>2</x:v>
      </x:c>
      <x:c r="O70" s="123" t="n">
        <x:f>ROUND(G70/5*$X$2+H70/5*$X$3+I70/5*$X$4+J70/5*$X$5+K70/5*$X$6+L70/5*$X$7+M70/5*$X$8-N70/5*$X$9,1)</x:f>
        <x:v>69</x:v>
      </x:c>
      <x:c r="P70" s="119" t="str">
        <x:f>IF(O70&gt;=$X$12,"Foundational deep pass",IF(O70&gt;=$X$13,"Major deep pass",IF(O70&gt;=$X$14,"Targeted innovation pass",IF(O70&gt;=$X$15,"Sampling pass","Reference / defer"))))</x:f>
        <x:v>Major deep pass</x:v>
      </x:c>
      <x:c r="Q70" s="120" t="str">
        <x:v>Literary-source baseline</x:v>
      </x:c>
      <x:c r="R70" s="120" t="str">
        <x:v>Prioritize distinctive ontology, narrative structures, institutions, and power logics over familiar surface labels.</x:v>
      </x:c>
      <x:c r="S70" s="120" t="str">
        <x:v>Heuristic baseline — editorial review required</x:v>
      </x:c>
      <x:c r="T70" s="120" t="str">
        <x:v>https://en.wikipedia.org/wiki/Kushiel's_Legacy</x:v>
      </x:c>
      <x:c r="U70" s="121" t="n">
        <x:v>46236</x:v>
      </x:c>
    </x:row>
    <x:row r="71" ht="46" customHeight="1">
      <x:c r="A71" s="119" t="n">
        <x:v>65</x:v>
      </x:c>
      <x:c r="B71" s="119" t="str">
        <x:v>SRC-064</x:v>
      </x:c>
      <x:c r="C71" s="120" t="str">
        <x:v>Powder Mage</x:v>
      </x:c>
      <x:c r="D71" s="120" t="str">
        <x:v>Literature</x:v>
      </x:c>
      <x:c r="E71" s="120" t="str">
        <x:v>United States / flintlock fantasy</x:v>
      </x:c>
      <x:c r="F71" s="119" t="n">
        <x:f>COUNTIF('Seed Catalogue'!$C$2:$C$452,B71)</x:f>
        <x:v>0</x:v>
      </x:c>
      <x:c r="G71" s="122" t="n">
        <x:v>4</x:v>
      </x:c>
      <x:c r="H71" s="122" t="n">
        <x:v>4</x:v>
      </x:c>
      <x:c r="I71" s="122" t="n">
        <x:v>3</x:v>
      </x:c>
      <x:c r="J71" s="122" t="n">
        <x:v>4</x:v>
      </x:c>
      <x:c r="K71" s="122" t="n">
        <x:v>4</x:v>
      </x:c>
      <x:c r="L71" s="122" t="n">
        <x:v>4</x:v>
      </x:c>
      <x:c r="M71" s="122" t="n">
        <x:v>4</x:v>
      </x:c>
      <x:c r="N71" s="122" t="n">
        <x:v>2</x:v>
      </x:c>
      <x:c r="O71" s="123" t="n">
        <x:f>ROUND(G71/5*$X$2+H71/5*$X$3+I71/5*$X$4+J71/5*$X$5+K71/5*$X$6+L71/5*$X$7+M71/5*$X$8-N71/5*$X$9,1)</x:f>
        <x:v>69</x:v>
      </x:c>
      <x:c r="P71" s="119" t="str">
        <x:f>IF(O71&gt;=$X$12,"Foundational deep pass",IF(O71&gt;=$X$13,"Major deep pass",IF(O71&gt;=$X$14,"Targeted innovation pass",IF(O71&gt;=$X$15,"Sampling pass","Reference / defer"))))</x:f>
        <x:v>Major deep pass</x:v>
      </x:c>
      <x:c r="Q71" s="120" t="str">
        <x:v>Literary-source baseline</x:v>
      </x:c>
      <x:c r="R71" s="120" t="str">
        <x:v>Prioritize distinctive ontology, narrative structures, institutions, and power logics over familiar surface labels.</x:v>
      </x:c>
      <x:c r="S71" s="120" t="str">
        <x:v>Heuristic baseline — editorial review required</x:v>
      </x:c>
      <x:c r="T71" s="120" t="str">
        <x:v>https://en.wikipedia.org/wiki/Powder_Mage</x:v>
      </x:c>
      <x:c r="U71" s="121" t="n">
        <x:v>46236</x:v>
      </x:c>
    </x:row>
    <x:row r="72" ht="46" customHeight="1">
      <x:c r="A72" s="119" t="n">
        <x:v>66</x:v>
      </x:c>
      <x:c r="B72" s="119" t="str">
        <x:v>SRC-041</x:v>
      </x:c>
      <x:c r="C72" s="120" t="str">
        <x:v>Riftwar Cycle</x:v>
      </x:c>
      <x:c r="D72" s="120" t="str">
        <x:v>Literature</x:v>
      </x:c>
      <x:c r="E72" s="120" t="str">
        <x:v>United States</x:v>
      </x:c>
      <x:c r="F72" s="119" t="n">
        <x:f>COUNTIF('Seed Catalogue'!$C$2:$C$452,B72)</x:f>
        <x:v>0</x:v>
      </x:c>
      <x:c r="G72" s="122" t="n">
        <x:v>4</x:v>
      </x:c>
      <x:c r="H72" s="122" t="n">
        <x:v>4</x:v>
      </x:c>
      <x:c r="I72" s="122" t="n">
        <x:v>3</x:v>
      </x:c>
      <x:c r="J72" s="122" t="n">
        <x:v>4</x:v>
      </x:c>
      <x:c r="K72" s="122" t="n">
        <x:v>4</x:v>
      </x:c>
      <x:c r="L72" s="122" t="n">
        <x:v>4</x:v>
      </x:c>
      <x:c r="M72" s="122" t="n">
        <x:v>4</x:v>
      </x:c>
      <x:c r="N72" s="122" t="n">
        <x:v>2</x:v>
      </x:c>
      <x:c r="O72" s="123" t="n">
        <x:f>ROUND(G72/5*$X$2+H72/5*$X$3+I72/5*$X$4+J72/5*$X$5+K72/5*$X$6+L72/5*$X$7+M72/5*$X$8-N72/5*$X$9,1)</x:f>
        <x:v>69</x:v>
      </x:c>
      <x:c r="P72" s="119" t="str">
        <x:f>IF(O72&gt;=$X$12,"Foundational deep pass",IF(O72&gt;=$X$13,"Major deep pass",IF(O72&gt;=$X$14,"Targeted innovation pass",IF(O72&gt;=$X$15,"Sampling pass","Reference / defer"))))</x:f>
        <x:v>Major deep pass</x:v>
      </x:c>
      <x:c r="Q72" s="120" t="str">
        <x:v>Literary-source baseline</x:v>
      </x:c>
      <x:c r="R72" s="120" t="str">
        <x:v>Prioritize distinctive ontology, narrative structures, institutions, and power logics over familiar surface labels.</x:v>
      </x:c>
      <x:c r="S72" s="120" t="str">
        <x:v>Heuristic baseline — editorial review required</x:v>
      </x:c>
      <x:c r="T72" s="120" t="str">
        <x:v>https://en.wikipedia.org/wiki/Riftwar_Cycle</x:v>
      </x:c>
      <x:c r="U72" s="121" t="n">
        <x:v>46236</x:v>
      </x:c>
    </x:row>
    <x:row r="73" ht="46" customHeight="1">
      <x:c r="A73" s="119" t="n">
        <x:v>67</x:v>
      </x:c>
      <x:c r="B73" s="119" t="str">
        <x:v>SRC-088</x:v>
      </x:c>
      <x:c r="C73" s="120" t="str">
        <x:v>The Adventures of Amina al-Sirafi</x:v>
      </x:c>
      <x:c r="D73" s="120" t="str">
        <x:v>Literature</x:v>
      </x:c>
      <x:c r="E73" s="120" t="str">
        <x:v>United States / Indian Ocean fantasy</x:v>
      </x:c>
      <x:c r="F73" s="119" t="n">
        <x:f>COUNTIF('Seed Catalogue'!$C$2:$C$452,B73)</x:f>
        <x:v>0</x:v>
      </x:c>
      <x:c r="G73" s="122" t="n">
        <x:v>4</x:v>
      </x:c>
      <x:c r="H73" s="122" t="n">
        <x:v>4</x:v>
      </x:c>
      <x:c r="I73" s="122" t="n">
        <x:v>3</x:v>
      </x:c>
      <x:c r="J73" s="122" t="n">
        <x:v>4</x:v>
      </x:c>
      <x:c r="K73" s="122" t="n">
        <x:v>4</x:v>
      </x:c>
      <x:c r="L73" s="122" t="n">
        <x:v>4</x:v>
      </x:c>
      <x:c r="M73" s="122" t="n">
        <x:v>4</x:v>
      </x:c>
      <x:c r="N73" s="122" t="n">
        <x:v>2</x:v>
      </x:c>
      <x:c r="O73" s="123" t="n">
        <x:f>ROUND(G73/5*$X$2+H73/5*$X$3+I73/5*$X$4+J73/5*$X$5+K73/5*$X$6+L73/5*$X$7+M73/5*$X$8-N73/5*$X$9,1)</x:f>
        <x:v>69</x:v>
      </x:c>
      <x:c r="P73" s="119" t="str">
        <x:f>IF(O73&gt;=$X$12,"Foundational deep pass",IF(O73&gt;=$X$13,"Major deep pass",IF(O73&gt;=$X$14,"Targeted innovation pass",IF(O73&gt;=$X$15,"Sampling pass","Reference / defer"))))</x:f>
        <x:v>Major deep pass</x:v>
      </x:c>
      <x:c r="Q73" s="120" t="str">
        <x:v>Literary-source baseline</x:v>
      </x:c>
      <x:c r="R73" s="120" t="str">
        <x:v>Prioritize distinctive ontology, narrative structures, institutions, and power logics over familiar surface labels.</x:v>
      </x:c>
      <x:c r="S73" s="120" t="str">
        <x:v>Heuristic baseline — editorial review required</x:v>
      </x:c>
      <x:c r="T73" s="120" t="str">
        <x:v>https://en.wikipedia.org/wiki/The_Adventures_of_Amina_al-Sirafi</x:v>
      </x:c>
      <x:c r="U73" s="121" t="n">
        <x:v>46236</x:v>
      </x:c>
    </x:row>
    <x:row r="74" ht="46" customHeight="1">
      <x:c r="A74" s="119" t="n">
        <x:v>68</x:v>
      </x:c>
      <x:c r="B74" s="119" t="str">
        <x:v>SRC-062</x:v>
      </x:c>
      <x:c r="C74" s="120" t="str">
        <x:v>The Book of the New Sun</x:v>
      </x:c>
      <x:c r="D74" s="120" t="str">
        <x:v>Literature</x:v>
      </x:c>
      <x:c r="E74" s="120" t="str">
        <x:v>United States / science fantasy</x:v>
      </x:c>
      <x:c r="F74" s="119" t="n">
        <x:f>COUNTIF('Seed Catalogue'!$C$2:$C$452,B74)</x:f>
        <x:v>0</x:v>
      </x:c>
      <x:c r="G74" s="122" t="n">
        <x:v>4</x:v>
      </x:c>
      <x:c r="H74" s="122" t="n">
        <x:v>4</x:v>
      </x:c>
      <x:c r="I74" s="122" t="n">
        <x:v>3</x:v>
      </x:c>
      <x:c r="J74" s="122" t="n">
        <x:v>4</x:v>
      </x:c>
      <x:c r="K74" s="122" t="n">
        <x:v>4</x:v>
      </x:c>
      <x:c r="L74" s="122" t="n">
        <x:v>4</x:v>
      </x:c>
      <x:c r="M74" s="122" t="n">
        <x:v>4</x:v>
      </x:c>
      <x:c r="N74" s="122" t="n">
        <x:v>2</x:v>
      </x:c>
      <x:c r="O74" s="123" t="n">
        <x:f>ROUND(G74/5*$X$2+H74/5*$X$3+I74/5*$X$4+J74/5*$X$5+K74/5*$X$6+L74/5*$X$7+M74/5*$X$8-N74/5*$X$9,1)</x:f>
        <x:v>69</x:v>
      </x:c>
      <x:c r="P74" s="119" t="str">
        <x:f>IF(O74&gt;=$X$12,"Foundational deep pass",IF(O74&gt;=$X$13,"Major deep pass",IF(O74&gt;=$X$14,"Targeted innovation pass",IF(O74&gt;=$X$15,"Sampling pass","Reference / defer"))))</x:f>
        <x:v>Major deep pass</x:v>
      </x:c>
      <x:c r="Q74" s="120" t="str">
        <x:v>Literary-source baseline</x:v>
      </x:c>
      <x:c r="R74" s="120" t="str">
        <x:v>Prioritize distinctive ontology, narrative structures, institutions, and power logics over familiar surface labels.</x:v>
      </x:c>
      <x:c r="S74" s="120" t="str">
        <x:v>Heuristic baseline — editorial review required</x:v>
      </x:c>
      <x:c r="T74" s="120" t="str">
        <x:v>https://en.wikipedia.org/wiki/The_Book_of_the_New_Sun</x:v>
      </x:c>
      <x:c r="U74" s="121" t="n">
        <x:v>46236</x:v>
      </x:c>
    </x:row>
    <x:row r="75" ht="46" customHeight="1">
      <x:c r="A75" s="119" t="n">
        <x:v>69</x:v>
      </x:c>
      <x:c r="B75" s="119" t="str">
        <x:v>SRC-039</x:v>
      </x:c>
      <x:c r="C75" s="120" t="str">
        <x:v>The Chronicles of Amber</x:v>
      </x:c>
      <x:c r="D75" s="120" t="str">
        <x:v>Literature</x:v>
      </x:c>
      <x:c r="E75" s="120" t="str">
        <x:v>United States</x:v>
      </x:c>
      <x:c r="F75" s="119" t="n">
        <x:f>COUNTIF('Seed Catalogue'!$C$2:$C$452,B75)</x:f>
        <x:v>0</x:v>
      </x:c>
      <x:c r="G75" s="122" t="n">
        <x:v>4</x:v>
      </x:c>
      <x:c r="H75" s="122" t="n">
        <x:v>4</x:v>
      </x:c>
      <x:c r="I75" s="122" t="n">
        <x:v>3</x:v>
      </x:c>
      <x:c r="J75" s="122" t="n">
        <x:v>4</x:v>
      </x:c>
      <x:c r="K75" s="122" t="n">
        <x:v>4</x:v>
      </x:c>
      <x:c r="L75" s="122" t="n">
        <x:v>4</x:v>
      </x:c>
      <x:c r="M75" s="122" t="n">
        <x:v>4</x:v>
      </x:c>
      <x:c r="N75" s="122" t="n">
        <x:v>2</x:v>
      </x:c>
      <x:c r="O75" s="123" t="n">
        <x:f>ROUND(G75/5*$X$2+H75/5*$X$3+I75/5*$X$4+J75/5*$X$5+K75/5*$X$6+L75/5*$X$7+M75/5*$X$8-N75/5*$X$9,1)</x:f>
        <x:v>69</x:v>
      </x:c>
      <x:c r="P75" s="119" t="str">
        <x:f>IF(O75&gt;=$X$12,"Foundational deep pass",IF(O75&gt;=$X$13,"Major deep pass",IF(O75&gt;=$X$14,"Targeted innovation pass",IF(O75&gt;=$X$15,"Sampling pass","Reference / defer"))))</x:f>
        <x:v>Major deep pass</x:v>
      </x:c>
      <x:c r="Q75" s="120" t="str">
        <x:v>Literary-source baseline</x:v>
      </x:c>
      <x:c r="R75" s="120" t="str">
        <x:v>Prioritize distinctive ontology, narrative structures, institutions, and power logics over familiar surface labels.</x:v>
      </x:c>
      <x:c r="S75" s="120" t="str">
        <x:v>Heuristic baseline — editorial review required</x:v>
      </x:c>
      <x:c r="T75" s="120" t="str">
        <x:v>https://en.wikipedia.org/wiki/The_Chronicles_of_Amber</x:v>
      </x:c>
      <x:c r="U75" s="121" t="n">
        <x:v>46236</x:v>
      </x:c>
    </x:row>
    <x:row r="76" ht="46" customHeight="1">
      <x:c r="A76" s="119" t="n">
        <x:v>70</x:v>
      </x:c>
      <x:c r="B76" s="119" t="str">
        <x:v>SRC-034</x:v>
      </x:c>
      <x:c r="C76" s="120" t="str">
        <x:v>The Chronicles of Prydain</x:v>
      </x:c>
      <x:c r="D76" s="120" t="str">
        <x:v>Literature</x:v>
      </x:c>
      <x:c r="E76" s="120" t="str">
        <x:v>United States / Welsh-inspired fantasy</x:v>
      </x:c>
      <x:c r="F76" s="119" t="n">
        <x:f>COUNTIF('Seed Catalogue'!$C$2:$C$452,B76)</x:f>
        <x:v>0</x:v>
      </x:c>
      <x:c r="G76" s="122" t="n">
        <x:v>4</x:v>
      </x:c>
      <x:c r="H76" s="122" t="n">
        <x:v>4</x:v>
      </x:c>
      <x:c r="I76" s="122" t="n">
        <x:v>3</x:v>
      </x:c>
      <x:c r="J76" s="122" t="n">
        <x:v>4</x:v>
      </x:c>
      <x:c r="K76" s="122" t="n">
        <x:v>4</x:v>
      </x:c>
      <x:c r="L76" s="122" t="n">
        <x:v>4</x:v>
      </x:c>
      <x:c r="M76" s="122" t="n">
        <x:v>4</x:v>
      </x:c>
      <x:c r="N76" s="122" t="n">
        <x:v>2</x:v>
      </x:c>
      <x:c r="O76" s="123" t="n">
        <x:f>ROUND(G76/5*$X$2+H76/5*$X$3+I76/5*$X$4+J76/5*$X$5+K76/5*$X$6+L76/5*$X$7+M76/5*$X$8-N76/5*$X$9,1)</x:f>
        <x:v>69</x:v>
      </x:c>
      <x:c r="P76" s="119" t="str">
        <x:f>IF(O76&gt;=$X$12,"Foundational deep pass",IF(O76&gt;=$X$13,"Major deep pass",IF(O76&gt;=$X$14,"Targeted innovation pass",IF(O76&gt;=$X$15,"Sampling pass","Reference / defer"))))</x:f>
        <x:v>Major deep pass</x:v>
      </x:c>
      <x:c r="Q76" s="120" t="str">
        <x:v>Literary-source baseline</x:v>
      </x:c>
      <x:c r="R76" s="120" t="str">
        <x:v>Prioritize distinctive ontology, narrative structures, institutions, and power logics over familiar surface labels.</x:v>
      </x:c>
      <x:c r="S76" s="120" t="str">
        <x:v>Heuristic baseline — editorial review required</x:v>
      </x:c>
      <x:c r="T76" s="120" t="str">
        <x:v>https://en.wikipedia.org/wiki/The_Chronicles_of_Prydain</x:v>
      </x:c>
      <x:c r="U76" s="121" t="n">
        <x:v>46236</x:v>
      </x:c>
    </x:row>
    <x:row r="77" ht="46" customHeight="1">
      <x:c r="A77" s="119" t="n">
        <x:v>71</x:v>
      </x:c>
      <x:c r="B77" s="119" t="str">
        <x:v>SRC-082</x:v>
      </x:c>
      <x:c r="C77" s="120" t="str">
        <x:v>The Deed of Paksenarrion</x:v>
      </x:c>
      <x:c r="D77" s="120" t="str">
        <x:v>Literature</x:v>
      </x:c>
      <x:c r="E77" s="120" t="str">
        <x:v>United States</x:v>
      </x:c>
      <x:c r="F77" s="119" t="n">
        <x:f>COUNTIF('Seed Catalogue'!$C$2:$C$452,B77)</x:f>
        <x:v>0</x:v>
      </x:c>
      <x:c r="G77" s="122" t="n">
        <x:v>4</x:v>
      </x:c>
      <x:c r="H77" s="122" t="n">
        <x:v>4</x:v>
      </x:c>
      <x:c r="I77" s="122" t="n">
        <x:v>3</x:v>
      </x:c>
      <x:c r="J77" s="122" t="n">
        <x:v>4</x:v>
      </x:c>
      <x:c r="K77" s="122" t="n">
        <x:v>4</x:v>
      </x:c>
      <x:c r="L77" s="122" t="n">
        <x:v>4</x:v>
      </x:c>
      <x:c r="M77" s="122" t="n">
        <x:v>4</x:v>
      </x:c>
      <x:c r="N77" s="122" t="n">
        <x:v>2</x:v>
      </x:c>
      <x:c r="O77" s="123" t="n">
        <x:f>ROUND(G77/5*$X$2+H77/5*$X$3+I77/5*$X$4+J77/5*$X$5+K77/5*$X$6+L77/5*$X$7+M77/5*$X$8-N77/5*$X$9,1)</x:f>
        <x:v>69</x:v>
      </x:c>
      <x:c r="P77" s="119" t="str">
        <x:f>IF(O77&gt;=$X$12,"Foundational deep pass",IF(O77&gt;=$X$13,"Major deep pass",IF(O77&gt;=$X$14,"Targeted innovation pass",IF(O77&gt;=$X$15,"Sampling pass","Reference / defer"))))</x:f>
        <x:v>Major deep pass</x:v>
      </x:c>
      <x:c r="Q77" s="120" t="str">
        <x:v>Literary-source baseline</x:v>
      </x:c>
      <x:c r="R77" s="120" t="str">
        <x:v>Prioritize distinctive ontology, narrative structures, institutions, and power logics over familiar surface labels.</x:v>
      </x:c>
      <x:c r="S77" s="120" t="str">
        <x:v>Heuristic baseline — editorial review required</x:v>
      </x:c>
      <x:c r="T77" s="120" t="str">
        <x:v>https://en.wikipedia.org/wiki/The_Deed_of_Paksenarrion</x:v>
      </x:c>
      <x:c r="U77" s="121" t="n">
        <x:v>46236</x:v>
      </x:c>
    </x:row>
    <x:row r="78" ht="46" customHeight="1">
      <x:c r="A78" s="119" t="n">
        <x:v>72</x:v>
      </x:c>
      <x:c r="B78" s="119" t="str">
        <x:v>SRC-083</x:v>
      </x:c>
      <x:c r="C78" s="120" t="str">
        <x:v>The Dragonbone Chair / Osten Ard</x:v>
      </x:c>
      <x:c r="D78" s="120" t="str">
        <x:v>Literature</x:v>
      </x:c>
      <x:c r="E78" s="120" t="str">
        <x:v>United States</x:v>
      </x:c>
      <x:c r="F78" s="119" t="n">
        <x:f>COUNTIF('Seed Catalogue'!$C$2:$C$452,B78)</x:f>
        <x:v>0</x:v>
      </x:c>
      <x:c r="G78" s="122" t="n">
        <x:v>4</x:v>
      </x:c>
      <x:c r="H78" s="122" t="n">
        <x:v>4</x:v>
      </x:c>
      <x:c r="I78" s="122" t="n">
        <x:v>3</x:v>
      </x:c>
      <x:c r="J78" s="122" t="n">
        <x:v>4</x:v>
      </x:c>
      <x:c r="K78" s="122" t="n">
        <x:v>4</x:v>
      </x:c>
      <x:c r="L78" s="122" t="n">
        <x:v>4</x:v>
      </x:c>
      <x:c r="M78" s="122" t="n">
        <x:v>4</x:v>
      </x:c>
      <x:c r="N78" s="122" t="n">
        <x:v>2</x:v>
      </x:c>
      <x:c r="O78" s="123" t="n">
        <x:f>ROUND(G78/5*$X$2+H78/5*$X$3+I78/5*$X$4+J78/5*$X$5+K78/5*$X$6+L78/5*$X$7+M78/5*$X$8-N78/5*$X$9,1)</x:f>
        <x:v>69</x:v>
      </x:c>
      <x:c r="P78" s="119" t="str">
        <x:f>IF(O78&gt;=$X$12,"Foundational deep pass",IF(O78&gt;=$X$13,"Major deep pass",IF(O78&gt;=$X$14,"Targeted innovation pass",IF(O78&gt;=$X$15,"Sampling pass","Reference / defer"))))</x:f>
        <x:v>Major deep pass</x:v>
      </x:c>
      <x:c r="Q78" s="120" t="str">
        <x:v>Literary-source baseline</x:v>
      </x:c>
      <x:c r="R78" s="120" t="str">
        <x:v>Prioritize distinctive ontology, narrative structures, institutions, and power logics over familiar surface labels.</x:v>
      </x:c>
      <x:c r="S78" s="120" t="str">
        <x:v>Heuristic baseline — editorial review required</x:v>
      </x:c>
      <x:c r="T78" s="120" t="str">
        <x:v>https://en.wikipedia.org/wiki/The_Dragonbone_Chair_%2F_Osten_Ard</x:v>
      </x:c>
      <x:c r="U78" s="121" t="n">
        <x:v>46236</x:v>
      </x:c>
    </x:row>
    <x:row r="79" ht="46" customHeight="1">
      <x:c r="A79" s="119" t="n">
        <x:v>73</x:v>
      </x:c>
      <x:c r="B79" s="119" t="str">
        <x:v>SRC-059</x:v>
      </x:c>
      <x:c r="C79" s="120" t="str">
        <x:v>The Green Bone Saga</x:v>
      </x:c>
      <x:c r="D79" s="120" t="str">
        <x:v>Literature</x:v>
      </x:c>
      <x:c r="E79" s="120" t="str">
        <x:v>Canada / East Asian-inspired urban epic fantasy</x:v>
      </x:c>
      <x:c r="F79" s="119" t="n">
        <x:f>COUNTIF('Seed Catalogue'!$C$2:$C$452,B79)</x:f>
        <x:v>0</x:v>
      </x:c>
      <x:c r="G79" s="122" t="n">
        <x:v>4</x:v>
      </x:c>
      <x:c r="H79" s="122" t="n">
        <x:v>4</x:v>
      </x:c>
      <x:c r="I79" s="122" t="n">
        <x:v>3</x:v>
      </x:c>
      <x:c r="J79" s="122" t="n">
        <x:v>4</x:v>
      </x:c>
      <x:c r="K79" s="122" t="n">
        <x:v>4</x:v>
      </x:c>
      <x:c r="L79" s="122" t="n">
        <x:v>4</x:v>
      </x:c>
      <x:c r="M79" s="122" t="n">
        <x:v>4</x:v>
      </x:c>
      <x:c r="N79" s="122" t="n">
        <x:v>2</x:v>
      </x:c>
      <x:c r="O79" s="123" t="n">
        <x:f>ROUND(G79/5*$X$2+H79/5*$X$3+I79/5*$X$4+J79/5*$X$5+K79/5*$X$6+L79/5*$X$7+M79/5*$X$8-N79/5*$X$9,1)</x:f>
        <x:v>69</x:v>
      </x:c>
      <x:c r="P79" s="119" t="str">
        <x:f>IF(O79&gt;=$X$12,"Foundational deep pass",IF(O79&gt;=$X$13,"Major deep pass",IF(O79&gt;=$X$14,"Targeted innovation pass",IF(O79&gt;=$X$15,"Sampling pass","Reference / defer"))))</x:f>
        <x:v>Major deep pass</x:v>
      </x:c>
      <x:c r="Q79" s="120" t="str">
        <x:v>Literary-source baseline</x:v>
      </x:c>
      <x:c r="R79" s="120" t="str">
        <x:v>Prioritize distinctive ontology, narrative structures, institutions, and power logics over familiar surface labels.</x:v>
      </x:c>
      <x:c r="S79" s="120" t="str">
        <x:v>Heuristic baseline — editorial review required</x:v>
      </x:c>
      <x:c r="T79" s="120" t="str">
        <x:v>https://en.wikipedia.org/wiki/The_Green_Bone_Saga</x:v>
      </x:c>
      <x:c r="U79" s="121" t="n">
        <x:v>46236</x:v>
      </x:c>
    </x:row>
    <x:row r="80" ht="46" customHeight="1">
      <x:c r="A80" s="119" t="n">
        <x:v>74</x:v>
      </x:c>
      <x:c r="B80" s="119" t="str">
        <x:v>SRC-081</x:v>
      </x:c>
      <x:c r="C80" s="120" t="str">
        <x:v>The Inheritance Cycle</x:v>
      </x:c>
      <x:c r="D80" s="120" t="str">
        <x:v>Literature</x:v>
      </x:c>
      <x:c r="E80" s="120" t="str">
        <x:v>United States</x:v>
      </x:c>
      <x:c r="F80" s="119" t="n">
        <x:f>COUNTIF('Seed Catalogue'!$C$2:$C$452,B80)</x:f>
        <x:v>0</x:v>
      </x:c>
      <x:c r="G80" s="122" t="n">
        <x:v>4</x:v>
      </x:c>
      <x:c r="H80" s="122" t="n">
        <x:v>4</x:v>
      </x:c>
      <x:c r="I80" s="122" t="n">
        <x:v>3</x:v>
      </x:c>
      <x:c r="J80" s="122" t="n">
        <x:v>4</x:v>
      </x:c>
      <x:c r="K80" s="122" t="n">
        <x:v>4</x:v>
      </x:c>
      <x:c r="L80" s="122" t="n">
        <x:v>4</x:v>
      </x:c>
      <x:c r="M80" s="122" t="n">
        <x:v>4</x:v>
      </x:c>
      <x:c r="N80" s="122" t="n">
        <x:v>2</x:v>
      </x:c>
      <x:c r="O80" s="123" t="n">
        <x:f>ROUND(G80/5*$X$2+H80/5*$X$3+I80/5*$X$4+J80/5*$X$5+K80/5*$X$6+L80/5*$X$7+M80/5*$X$8-N80/5*$X$9,1)</x:f>
        <x:v>69</x:v>
      </x:c>
      <x:c r="P80" s="119" t="str">
        <x:f>IF(O80&gt;=$X$12,"Foundational deep pass",IF(O80&gt;=$X$13,"Major deep pass",IF(O80&gt;=$X$14,"Targeted innovation pass",IF(O80&gt;=$X$15,"Sampling pass","Reference / defer"))))</x:f>
        <x:v>Major deep pass</x:v>
      </x:c>
      <x:c r="Q80" s="120" t="str">
        <x:v>Literary-source baseline</x:v>
      </x:c>
      <x:c r="R80" s="120" t="str">
        <x:v>Prioritize distinctive ontology, narrative structures, institutions, and power logics over familiar surface labels.</x:v>
      </x:c>
      <x:c r="S80" s="120" t="str">
        <x:v>Heuristic baseline — editorial review required</x:v>
      </x:c>
      <x:c r="T80" s="120" t="str">
        <x:v>https://en.wikipedia.org/wiki/The_Inheritance_Cycle</x:v>
      </x:c>
      <x:c r="U80" s="121" t="n">
        <x:v>46236</x:v>
      </x:c>
    </x:row>
    <x:row r="81" ht="46" customHeight="1">
      <x:c r="A81" s="119" t="n">
        <x:v>75</x:v>
      </x:c>
      <x:c r="B81" s="119" t="str">
        <x:v>SRC-087</x:v>
      </x:c>
      <x:c r="C81" s="120" t="str">
        <x:v>The Jasmine Throne</x:v>
      </x:c>
      <x:c r="D81" s="120" t="str">
        <x:v>Literature</x:v>
      </x:c>
      <x:c r="E81" s="120" t="str">
        <x:v>Britain / South Asian-inspired fantasy</x:v>
      </x:c>
      <x:c r="F81" s="119" t="n">
        <x:f>COUNTIF('Seed Catalogue'!$C$2:$C$452,B81)</x:f>
        <x:v>0</x:v>
      </x:c>
      <x:c r="G81" s="122" t="n">
        <x:v>4</x:v>
      </x:c>
      <x:c r="H81" s="122" t="n">
        <x:v>4</x:v>
      </x:c>
      <x:c r="I81" s="122" t="n">
        <x:v>3</x:v>
      </x:c>
      <x:c r="J81" s="122" t="n">
        <x:v>4</x:v>
      </x:c>
      <x:c r="K81" s="122" t="n">
        <x:v>4</x:v>
      </x:c>
      <x:c r="L81" s="122" t="n">
        <x:v>4</x:v>
      </x:c>
      <x:c r="M81" s="122" t="n">
        <x:v>4</x:v>
      </x:c>
      <x:c r="N81" s="122" t="n">
        <x:v>2</x:v>
      </x:c>
      <x:c r="O81" s="123" t="n">
        <x:f>ROUND(G81/5*$X$2+H81/5*$X$3+I81/5*$X$4+J81/5*$X$5+K81/5*$X$6+L81/5*$X$7+M81/5*$X$8-N81/5*$X$9,1)</x:f>
        <x:v>69</x:v>
      </x:c>
      <x:c r="P81" s="119" t="str">
        <x:f>IF(O81&gt;=$X$12,"Foundational deep pass",IF(O81&gt;=$X$13,"Major deep pass",IF(O81&gt;=$X$14,"Targeted innovation pass",IF(O81&gt;=$X$15,"Sampling pass","Reference / defer"))))</x:f>
        <x:v>Major deep pass</x:v>
      </x:c>
      <x:c r="Q81" s="120" t="str">
        <x:v>Literary-source baseline</x:v>
      </x:c>
      <x:c r="R81" s="120" t="str">
        <x:v>Prioritize distinctive ontology, narrative structures, institutions, and power logics over familiar surface labels.</x:v>
      </x:c>
      <x:c r="S81" s="120" t="str">
        <x:v>Heuristic baseline — editorial review required</x:v>
      </x:c>
      <x:c r="T81" s="120" t="str">
        <x:v>https://en.wikipedia.org/wiki/The_Jasmine_Throne</x:v>
      </x:c>
      <x:c r="U81" s="121" t="n">
        <x:v>46236</x:v>
      </x:c>
    </x:row>
    <x:row r="82" ht="46" customHeight="1">
      <x:c r="A82" s="119" t="n">
        <x:v>76</x:v>
      </x:c>
      <x:c r="B82" s="119" t="str">
        <x:v>SRC-054</x:v>
      </x:c>
      <x:c r="C82" s="120" t="str">
        <x:v>The Kingkiller Chronicle</x:v>
      </x:c>
      <x:c r="D82" s="120" t="str">
        <x:v>Literature</x:v>
      </x:c>
      <x:c r="E82" s="120" t="str">
        <x:v>United States</x:v>
      </x:c>
      <x:c r="F82" s="119" t="n">
        <x:f>COUNTIF('Seed Catalogue'!$C$2:$C$452,B82)</x:f>
        <x:v>0</x:v>
      </x:c>
      <x:c r="G82" s="122" t="n">
        <x:v>4</x:v>
      </x:c>
      <x:c r="H82" s="122" t="n">
        <x:v>4</x:v>
      </x:c>
      <x:c r="I82" s="122" t="n">
        <x:v>3</x:v>
      </x:c>
      <x:c r="J82" s="122" t="n">
        <x:v>4</x:v>
      </x:c>
      <x:c r="K82" s="122" t="n">
        <x:v>4</x:v>
      </x:c>
      <x:c r="L82" s="122" t="n">
        <x:v>4</x:v>
      </x:c>
      <x:c r="M82" s="122" t="n">
        <x:v>4</x:v>
      </x:c>
      <x:c r="N82" s="122" t="n">
        <x:v>2</x:v>
      </x:c>
      <x:c r="O82" s="123" t="n">
        <x:f>ROUND(G82/5*$X$2+H82/5*$X$3+I82/5*$X$4+J82/5*$X$5+K82/5*$X$6+L82/5*$X$7+M82/5*$X$8-N82/5*$X$9,1)</x:f>
        <x:v>69</x:v>
      </x:c>
      <x:c r="P82" s="119" t="str">
        <x:f>IF(O82&gt;=$X$12,"Foundational deep pass",IF(O82&gt;=$X$13,"Major deep pass",IF(O82&gt;=$X$14,"Targeted innovation pass",IF(O82&gt;=$X$15,"Sampling pass","Reference / defer"))))</x:f>
        <x:v>Major deep pass</x:v>
      </x:c>
      <x:c r="Q82" s="120" t="str">
        <x:v>Literary-source baseline</x:v>
      </x:c>
      <x:c r="R82" s="120" t="str">
        <x:v>Prioritize distinctive ontology, narrative structures, institutions, and power logics over familiar surface labels.</x:v>
      </x:c>
      <x:c r="S82" s="120" t="str">
        <x:v>Heuristic baseline — editorial review required</x:v>
      </x:c>
      <x:c r="T82" s="120" t="str">
        <x:v>https://en.wikipedia.org/wiki/The_Kingkiller_Chronicle</x:v>
      </x:c>
      <x:c r="U82" s="121" t="n">
        <x:v>46236</x:v>
      </x:c>
    </x:row>
    <x:row r="83" ht="46" customHeight="1">
      <x:c r="A83" s="119" t="n">
        <x:v>77</x:v>
      </x:c>
      <x:c r="B83" s="119" t="str">
        <x:v>SRC-037</x:v>
      </x:c>
      <x:c r="C83" s="120" t="str">
        <x:v>The Last Unicorn</x:v>
      </x:c>
      <x:c r="D83" s="120" t="str">
        <x:v>Literature</x:v>
      </x:c>
      <x:c r="E83" s="120" t="str">
        <x:v>United States</x:v>
      </x:c>
      <x:c r="F83" s="119" t="n">
        <x:f>COUNTIF('Seed Catalogue'!$C$2:$C$452,B83)</x:f>
        <x:v>0</x:v>
      </x:c>
      <x:c r="G83" s="122" t="n">
        <x:v>4</x:v>
      </x:c>
      <x:c r="H83" s="122" t="n">
        <x:v>4</x:v>
      </x:c>
      <x:c r="I83" s="122" t="n">
        <x:v>3</x:v>
      </x:c>
      <x:c r="J83" s="122" t="n">
        <x:v>4</x:v>
      </x:c>
      <x:c r="K83" s="122" t="n">
        <x:v>4</x:v>
      </x:c>
      <x:c r="L83" s="122" t="n">
        <x:v>4</x:v>
      </x:c>
      <x:c r="M83" s="122" t="n">
        <x:v>4</x:v>
      </x:c>
      <x:c r="N83" s="122" t="n">
        <x:v>2</x:v>
      </x:c>
      <x:c r="O83" s="123" t="n">
        <x:f>ROUND(G83/5*$X$2+H83/5*$X$3+I83/5*$X$4+J83/5*$X$5+K83/5*$X$6+L83/5*$X$7+M83/5*$X$8-N83/5*$X$9,1)</x:f>
        <x:v>69</x:v>
      </x:c>
      <x:c r="P83" s="119" t="str">
        <x:f>IF(O83&gt;=$X$12,"Foundational deep pass",IF(O83&gt;=$X$13,"Major deep pass",IF(O83&gt;=$X$14,"Targeted innovation pass",IF(O83&gt;=$X$15,"Sampling pass","Reference / defer"))))</x:f>
        <x:v>Major deep pass</x:v>
      </x:c>
      <x:c r="Q83" s="120" t="str">
        <x:v>Literary-source baseline</x:v>
      </x:c>
      <x:c r="R83" s="120" t="str">
        <x:v>Prioritize distinctive ontology, narrative structures, institutions, and power logics over familiar surface labels.</x:v>
      </x:c>
      <x:c r="S83" s="120" t="str">
        <x:v>Heuristic baseline — editorial review required</x:v>
      </x:c>
      <x:c r="T83" s="120" t="str">
        <x:v>https://en.wikipedia.org/wiki/The_Last_Unicorn</x:v>
      </x:c>
      <x:c r="U83" s="121" t="n">
        <x:v>46236</x:v>
      </x:c>
    </x:row>
    <x:row r="84" ht="46" customHeight="1">
      <x:c r="A84" s="119" t="n">
        <x:v>78</x:v>
      </x:c>
      <x:c r="B84" s="119" t="str">
        <x:v>SRC-084</x:v>
      </x:c>
      <x:c r="C84" s="120" t="str">
        <x:v>The Lions of Al-Rassan</x:v>
      </x:c>
      <x:c r="D84" s="120" t="str">
        <x:v>Literature</x:v>
      </x:c>
      <x:c r="E84" s="120" t="str">
        <x:v>Canada / historical fantasy</x:v>
      </x:c>
      <x:c r="F84" s="119" t="n">
        <x:f>COUNTIF('Seed Catalogue'!$C$2:$C$452,B84)</x:f>
        <x:v>0</x:v>
      </x:c>
      <x:c r="G84" s="122" t="n">
        <x:v>4</x:v>
      </x:c>
      <x:c r="H84" s="122" t="n">
        <x:v>4</x:v>
      </x:c>
      <x:c r="I84" s="122" t="n">
        <x:v>3</x:v>
      </x:c>
      <x:c r="J84" s="122" t="n">
        <x:v>4</x:v>
      </x:c>
      <x:c r="K84" s="122" t="n">
        <x:v>4</x:v>
      </x:c>
      <x:c r="L84" s="122" t="n">
        <x:v>4</x:v>
      </x:c>
      <x:c r="M84" s="122" t="n">
        <x:v>4</x:v>
      </x:c>
      <x:c r="N84" s="122" t="n">
        <x:v>2</x:v>
      </x:c>
      <x:c r="O84" s="123" t="n">
        <x:f>ROUND(G84/5*$X$2+H84/5*$X$3+I84/5*$X$4+J84/5*$X$5+K84/5*$X$6+L84/5*$X$7+M84/5*$X$8-N84/5*$X$9,1)</x:f>
        <x:v>69</x:v>
      </x:c>
      <x:c r="P84" s="119" t="str">
        <x:f>IF(O84&gt;=$X$12,"Foundational deep pass",IF(O84&gt;=$X$13,"Major deep pass",IF(O84&gt;=$X$14,"Targeted innovation pass",IF(O84&gt;=$X$15,"Sampling pass","Reference / defer"))))</x:f>
        <x:v>Major deep pass</x:v>
      </x:c>
      <x:c r="Q84" s="120" t="str">
        <x:v>Literary-source baseline</x:v>
      </x:c>
      <x:c r="R84" s="120" t="str">
        <x:v>Prioritize distinctive ontology, narrative structures, institutions, and power logics over familiar surface labels.</x:v>
      </x:c>
      <x:c r="S84" s="120" t="str">
        <x:v>Heuristic baseline — editorial review required</x:v>
      </x:c>
      <x:c r="T84" s="120" t="str">
        <x:v>https://en.wikipedia.org/wiki/The_Lions_of_Al-Rassan</x:v>
      </x:c>
      <x:c r="U84" s="121" t="n">
        <x:v>46236</x:v>
      </x:c>
    </x:row>
    <x:row r="85" ht="46" customHeight="1">
      <x:c r="A85" s="119" t="n">
        <x:v>79</x:v>
      </x:c>
      <x:c r="B85" s="119" t="str">
        <x:v>SRC-061</x:v>
      </x:c>
      <x:c r="C85" s="120" t="str">
        <x:v>The Locked Tomb</x:v>
      </x:c>
      <x:c r="D85" s="120" t="str">
        <x:v>Literature</x:v>
      </x:c>
      <x:c r="E85" s="120" t="str">
        <x:v>New Zealand / science fantasy</x:v>
      </x:c>
      <x:c r="F85" s="119" t="n">
        <x:f>COUNTIF('Seed Catalogue'!$C$2:$C$452,B85)</x:f>
        <x:v>0</x:v>
      </x:c>
      <x:c r="G85" s="122" t="n">
        <x:v>4</x:v>
      </x:c>
      <x:c r="H85" s="122" t="n">
        <x:v>4</x:v>
      </x:c>
      <x:c r="I85" s="122" t="n">
        <x:v>3</x:v>
      </x:c>
      <x:c r="J85" s="122" t="n">
        <x:v>4</x:v>
      </x:c>
      <x:c r="K85" s="122" t="n">
        <x:v>4</x:v>
      </x:c>
      <x:c r="L85" s="122" t="n">
        <x:v>4</x:v>
      </x:c>
      <x:c r="M85" s="122" t="n">
        <x:v>4</x:v>
      </x:c>
      <x:c r="N85" s="122" t="n">
        <x:v>2</x:v>
      </x:c>
      <x:c r="O85" s="123" t="n">
        <x:f>ROUND(G85/5*$X$2+H85/5*$X$3+I85/5*$X$4+J85/5*$X$5+K85/5*$X$6+L85/5*$X$7+M85/5*$X$8-N85/5*$X$9,1)</x:f>
        <x:v>69</x:v>
      </x:c>
      <x:c r="P85" s="119" t="str">
        <x:f>IF(O85&gt;=$X$12,"Foundational deep pass",IF(O85&gt;=$X$13,"Major deep pass",IF(O85&gt;=$X$14,"Targeted innovation pass",IF(O85&gt;=$X$15,"Sampling pass","Reference / defer"))))</x:f>
        <x:v>Major deep pass</x:v>
      </x:c>
      <x:c r="Q85" s="120" t="str">
        <x:v>Literary-source baseline</x:v>
      </x:c>
      <x:c r="R85" s="120" t="str">
        <x:v>Prioritize distinctive ontology, narrative structures, institutions, and power logics over familiar surface labels.</x:v>
      </x:c>
      <x:c r="S85" s="120" t="str">
        <x:v>Heuristic baseline — editorial review required</x:v>
      </x:c>
      <x:c r="T85" s="120" t="str">
        <x:v>https://en.wikipedia.org/wiki/The_Locked_Tomb</x:v>
      </x:c>
      <x:c r="U85" s="121" t="n">
        <x:v>46236</x:v>
      </x:c>
    </x:row>
    <x:row r="86" ht="46" customHeight="1">
      <x:c r="A86" s="119" t="n">
        <x:v>80</x:v>
      </x:c>
      <x:c r="B86" s="119" t="str">
        <x:v>SRC-057</x:v>
      </x:c>
      <x:c r="C86" s="120" t="str">
        <x:v>The Poppy War</x:v>
      </x:c>
      <x:c r="D86" s="120" t="str">
        <x:v>Literature</x:v>
      </x:c>
      <x:c r="E86" s="120" t="str">
        <x:v>United States / Chinese-inspired fantasy</x:v>
      </x:c>
      <x:c r="F86" s="119" t="n">
        <x:f>COUNTIF('Seed Catalogue'!$C$2:$C$452,B86)</x:f>
        <x:v>0</x:v>
      </x:c>
      <x:c r="G86" s="122" t="n">
        <x:v>4</x:v>
      </x:c>
      <x:c r="H86" s="122" t="n">
        <x:v>4</x:v>
      </x:c>
      <x:c r="I86" s="122" t="n">
        <x:v>3</x:v>
      </x:c>
      <x:c r="J86" s="122" t="n">
        <x:v>4</x:v>
      </x:c>
      <x:c r="K86" s="122" t="n">
        <x:v>4</x:v>
      </x:c>
      <x:c r="L86" s="122" t="n">
        <x:v>4</x:v>
      </x:c>
      <x:c r="M86" s="122" t="n">
        <x:v>4</x:v>
      </x:c>
      <x:c r="N86" s="122" t="n">
        <x:v>2</x:v>
      </x:c>
      <x:c r="O86" s="123" t="n">
        <x:f>ROUND(G86/5*$X$2+H86/5*$X$3+I86/5*$X$4+J86/5*$X$5+K86/5*$X$6+L86/5*$X$7+M86/5*$X$8-N86/5*$X$9,1)</x:f>
        <x:v>69</x:v>
      </x:c>
      <x:c r="P86" s="119" t="str">
        <x:f>IF(O86&gt;=$X$12,"Foundational deep pass",IF(O86&gt;=$X$13,"Major deep pass",IF(O86&gt;=$X$14,"Targeted innovation pass",IF(O86&gt;=$X$15,"Sampling pass","Reference / defer"))))</x:f>
        <x:v>Major deep pass</x:v>
      </x:c>
      <x:c r="Q86" s="120" t="str">
        <x:v>Literary-source baseline</x:v>
      </x:c>
      <x:c r="R86" s="120" t="str">
        <x:v>Prioritize distinctive ontology, narrative structures, institutions, and power logics over familiar surface labels.</x:v>
      </x:c>
      <x:c r="S86" s="120" t="str">
        <x:v>Heuristic baseline — editorial review required</x:v>
      </x:c>
      <x:c r="T86" s="120" t="str">
        <x:v>https://en.wikipedia.org/wiki/The_Poppy_War</x:v>
      </x:c>
      <x:c r="U86" s="121" t="n">
        <x:v>46236</x:v>
      </x:c>
    </x:row>
    <x:row r="87" ht="46" customHeight="1">
      <x:c r="A87" s="119" t="n">
        <x:v>81</x:v>
      </x:c>
      <x:c r="B87" s="119" t="str">
        <x:v>SRC-252</x:v>
      </x:c>
      <x:c r="C87" s="120" t="str">
        <x:v>The Princess Bride</x:v>
      </x:c>
      <x:c r="D87" s="120" t="str">
        <x:v>Film / Literature</x:v>
      </x:c>
      <x:c r="E87" s="120" t="str">
        <x:v>United States</x:v>
      </x:c>
      <x:c r="F87" s="119" t="n">
        <x:f>COUNTIF('Seed Catalogue'!$C$2:$C$452,B87)</x:f>
        <x:v>0</x:v>
      </x:c>
      <x:c r="G87" s="122" t="n">
        <x:v>4</x:v>
      </x:c>
      <x:c r="H87" s="122" t="n">
        <x:v>4</x:v>
      </x:c>
      <x:c r="I87" s="122" t="n">
        <x:v>3</x:v>
      </x:c>
      <x:c r="J87" s="122" t="n">
        <x:v>4</x:v>
      </x:c>
      <x:c r="K87" s="122" t="n">
        <x:v>4</x:v>
      </x:c>
      <x:c r="L87" s="122" t="n">
        <x:v>4</x:v>
      </x:c>
      <x:c r="M87" s="122" t="n">
        <x:v>4</x:v>
      </x:c>
      <x:c r="N87" s="122" t="n">
        <x:v>2</x:v>
      </x:c>
      <x:c r="O87" s="123" t="n">
        <x:f>ROUND(G87/5*$X$2+H87/5*$X$3+I87/5*$X$4+J87/5*$X$5+K87/5*$X$6+L87/5*$X$7+M87/5*$X$8-N87/5*$X$9,1)</x:f>
        <x:v>69</x:v>
      </x:c>
      <x:c r="P87" s="119" t="str">
        <x:f>IF(O87&gt;=$X$12,"Foundational deep pass",IF(O87&gt;=$X$13,"Major deep pass",IF(O87&gt;=$X$14,"Targeted innovation pass",IF(O87&gt;=$X$15,"Sampling pass","Reference / defer"))))</x:f>
        <x:v>Major deep pass</x:v>
      </x:c>
      <x:c r="Q87" s="120" t="str">
        <x:v>Literary-source baseline</x:v>
      </x:c>
      <x:c r="R87" s="120" t="str">
        <x:v>Prioritize distinctive ontology, narrative structures, institutions, and power logics over familiar surface labels.</x:v>
      </x:c>
      <x:c r="S87" s="120" t="str">
        <x:v>Heuristic baseline — editorial review required</x:v>
      </x:c>
      <x:c r="T87" s="120" t="str">
        <x:v>https://en.wikipedia.org/wiki/The_Princess_Bride</x:v>
      </x:c>
      <x:c r="U87" s="121" t="n">
        <x:v>46236</x:v>
      </x:c>
    </x:row>
    <x:row r="88" ht="46" customHeight="1">
      <x:c r="A88" s="119" t="n">
        <x:v>82</x:v>
      </x:c>
      <x:c r="B88" s="119" t="str">
        <x:v>SRC-060</x:v>
      </x:c>
      <x:c r="C88" s="120" t="str">
        <x:v>The Priory of the Orange Tree</x:v>
      </x:c>
      <x:c r="D88" s="120" t="str">
        <x:v>Literature</x:v>
      </x:c>
      <x:c r="E88" s="120" t="str">
        <x:v>Britain</x:v>
      </x:c>
      <x:c r="F88" s="119" t="n">
        <x:f>COUNTIF('Seed Catalogue'!$C$2:$C$452,B88)</x:f>
        <x:v>0</x:v>
      </x:c>
      <x:c r="G88" s="122" t="n">
        <x:v>4</x:v>
      </x:c>
      <x:c r="H88" s="122" t="n">
        <x:v>4</x:v>
      </x:c>
      <x:c r="I88" s="122" t="n">
        <x:v>3</x:v>
      </x:c>
      <x:c r="J88" s="122" t="n">
        <x:v>4</x:v>
      </x:c>
      <x:c r="K88" s="122" t="n">
        <x:v>4</x:v>
      </x:c>
      <x:c r="L88" s="122" t="n">
        <x:v>4</x:v>
      </x:c>
      <x:c r="M88" s="122" t="n">
        <x:v>4</x:v>
      </x:c>
      <x:c r="N88" s="122" t="n">
        <x:v>2</x:v>
      </x:c>
      <x:c r="O88" s="123" t="n">
        <x:f>ROUND(G88/5*$X$2+H88/5*$X$3+I88/5*$X$4+J88/5*$X$5+K88/5*$X$6+L88/5*$X$7+M88/5*$X$8-N88/5*$X$9,1)</x:f>
        <x:v>69</x:v>
      </x:c>
      <x:c r="P88" s="119" t="str">
        <x:f>IF(O88&gt;=$X$12,"Foundational deep pass",IF(O88&gt;=$X$13,"Major deep pass",IF(O88&gt;=$X$14,"Targeted innovation pass",IF(O88&gt;=$X$15,"Sampling pass","Reference / defer"))))</x:f>
        <x:v>Major deep pass</x:v>
      </x:c>
      <x:c r="Q88" s="120" t="str">
        <x:v>Literary-source baseline</x:v>
      </x:c>
      <x:c r="R88" s="120" t="str">
        <x:v>Prioritize distinctive ontology, narrative structures, institutions, and power logics over familiar surface labels.</x:v>
      </x:c>
      <x:c r="S88" s="120" t="str">
        <x:v>Heuristic baseline — editorial review required</x:v>
      </x:c>
      <x:c r="T88" s="120" t="str">
        <x:v>https://en.wikipedia.org/wiki/The_Priory_of_the_Orange_Tree</x:v>
      </x:c>
      <x:c r="U88" s="121" t="n">
        <x:v>46236</x:v>
      </x:c>
    </x:row>
    <x:row r="89" ht="46" customHeight="1">
      <x:c r="A89" s="119" t="n">
        <x:v>83</x:v>
      </x:c>
      <x:c r="B89" s="119" t="str">
        <x:v>SRC-086</x:v>
      </x:c>
      <x:c r="C89" s="120" t="str">
        <x:v>The Spear Cuts Through Water</x:v>
      </x:c>
      <x:c r="D89" s="120" t="str">
        <x:v>Literature</x:v>
      </x:c>
      <x:c r="E89" s="120" t="str">
        <x:v>United States / Filipino-American</x:v>
      </x:c>
      <x:c r="F89" s="119" t="n">
        <x:f>COUNTIF('Seed Catalogue'!$C$2:$C$452,B89)</x:f>
        <x:v>0</x:v>
      </x:c>
      <x:c r="G89" s="122" t="n">
        <x:v>4</x:v>
      </x:c>
      <x:c r="H89" s="122" t="n">
        <x:v>4</x:v>
      </x:c>
      <x:c r="I89" s="122" t="n">
        <x:v>3</x:v>
      </x:c>
      <x:c r="J89" s="122" t="n">
        <x:v>4</x:v>
      </x:c>
      <x:c r="K89" s="122" t="n">
        <x:v>4</x:v>
      </x:c>
      <x:c r="L89" s="122" t="n">
        <x:v>4</x:v>
      </x:c>
      <x:c r="M89" s="122" t="n">
        <x:v>4</x:v>
      </x:c>
      <x:c r="N89" s="122" t="n">
        <x:v>2</x:v>
      </x:c>
      <x:c r="O89" s="123" t="n">
        <x:f>ROUND(G89/5*$X$2+H89/5*$X$3+I89/5*$X$4+J89/5*$X$5+K89/5*$X$6+L89/5*$X$7+M89/5*$X$8-N89/5*$X$9,1)</x:f>
        <x:v>69</x:v>
      </x:c>
      <x:c r="P89" s="119" t="str">
        <x:f>IF(O89&gt;=$X$12,"Foundational deep pass",IF(O89&gt;=$X$13,"Major deep pass",IF(O89&gt;=$X$14,"Targeted innovation pass",IF(O89&gt;=$X$15,"Sampling pass","Reference / defer"))))</x:f>
        <x:v>Major deep pass</x:v>
      </x:c>
      <x:c r="Q89" s="120" t="str">
        <x:v>Literary-source baseline</x:v>
      </x:c>
      <x:c r="R89" s="120" t="str">
        <x:v>Prioritize distinctive ontology, narrative structures, institutions, and power logics over familiar surface labels.</x:v>
      </x:c>
      <x:c r="S89" s="120" t="str">
        <x:v>Heuristic baseline — editorial review required</x:v>
      </x:c>
      <x:c r="T89" s="120" t="str">
        <x:v>https://en.wikipedia.org/wiki/The_Spear_Cuts_Through_Water</x:v>
      </x:c>
      <x:c r="U89" s="121" t="n">
        <x:v>46236</x:v>
      </x:c>
    </x:row>
    <x:row r="90" ht="46" customHeight="1">
      <x:c r="A90" s="119" t="n">
        <x:v>84</x:v>
      </x:c>
      <x:c r="B90" s="119" t="str">
        <x:v>SRC-068</x:v>
      </x:c>
      <x:c r="C90" s="120" t="str">
        <x:v>Who Fears Death</x:v>
      </x:c>
      <x:c r="D90" s="120" t="str">
        <x:v>Literature</x:v>
      </x:c>
      <x:c r="E90" s="120" t="str">
        <x:v>Nigeria / United States</x:v>
      </x:c>
      <x:c r="F90" s="119" t="n">
        <x:f>COUNTIF('Seed Catalogue'!$C$2:$C$452,B90)</x:f>
        <x:v>0</x:v>
      </x:c>
      <x:c r="G90" s="122" t="n">
        <x:v>4</x:v>
      </x:c>
      <x:c r="H90" s="122" t="n">
        <x:v>4</x:v>
      </x:c>
      <x:c r="I90" s="122" t="n">
        <x:v>3</x:v>
      </x:c>
      <x:c r="J90" s="122" t="n">
        <x:v>4</x:v>
      </x:c>
      <x:c r="K90" s="122" t="n">
        <x:v>4</x:v>
      </x:c>
      <x:c r="L90" s="122" t="n">
        <x:v>4</x:v>
      </x:c>
      <x:c r="M90" s="122" t="n">
        <x:v>4</x:v>
      </x:c>
      <x:c r="N90" s="122" t="n">
        <x:v>2</x:v>
      </x:c>
      <x:c r="O90" s="123" t="n">
        <x:f>ROUND(G90/5*$X$2+H90/5*$X$3+I90/5*$X$4+J90/5*$X$5+K90/5*$X$6+L90/5*$X$7+M90/5*$X$8-N90/5*$X$9,1)</x:f>
        <x:v>69</x:v>
      </x:c>
      <x:c r="P90" s="119" t="str">
        <x:f>IF(O90&gt;=$X$12,"Foundational deep pass",IF(O90&gt;=$X$13,"Major deep pass",IF(O90&gt;=$X$14,"Targeted innovation pass",IF(O90&gt;=$X$15,"Sampling pass","Reference / defer"))))</x:f>
        <x:v>Major deep pass</x:v>
      </x:c>
      <x:c r="Q90" s="120" t="str">
        <x:v>Literary-source baseline</x:v>
      </x:c>
      <x:c r="R90" s="120" t="str">
        <x:v>Prioritize distinctive ontology, narrative structures, institutions, and power logics over familiar surface labels.</x:v>
      </x:c>
      <x:c r="S90" s="120" t="str">
        <x:v>Heuristic baseline — editorial review required</x:v>
      </x:c>
      <x:c r="T90" s="120" t="str">
        <x:v>https://en.wikipedia.org/wiki/Who_Fears_Death</x:v>
      </x:c>
      <x:c r="U90" s="121" t="n">
        <x:v>46236</x:v>
      </x:c>
    </x:row>
    <x:row r="91" ht="46" customHeight="1">
      <x:c r="A91" s="119" t="n">
        <x:v>85</x:v>
      </x:c>
      <x:c r="B91" s="119" t="str">
        <x:v>SRC-195</x:v>
      </x:c>
      <x:c r="C91" s="120" t="str">
        <x:v>Berserk</x:v>
      </x:c>
      <x:c r="D91" s="120" t="str">
        <x:v>Manga / Anime</x:v>
      </x:c>
      <x:c r="E91" s="120" t="str">
        <x:v>Japan</x:v>
      </x:c>
      <x:c r="F91" s="119" t="n">
        <x:f>COUNTIF('Seed Catalogue'!$C$2:$C$452,B91)</x:f>
        <x:v>7</x:v>
      </x:c>
      <x:c r="G91" s="122" t="n">
        <x:v>4</x:v>
      </x:c>
      <x:c r="H91" s="122" t="n">
        <x:v>3</x:v>
      </x:c>
      <x:c r="I91" s="122" t="n">
        <x:v>3</x:v>
      </x:c>
      <x:c r="J91" s="122" t="n">
        <x:v>5</x:v>
      </x:c>
      <x:c r="K91" s="122" t="n">
        <x:v>4</x:v>
      </x:c>
      <x:c r="L91" s="122" t="n">
        <x:v>4</x:v>
      </x:c>
      <x:c r="M91" s="122" t="n">
        <x:v>3</x:v>
      </x:c>
      <x:c r="N91" s="122" t="n">
        <x:v>2</x:v>
      </x:c>
      <x:c r="O91" s="123" t="n">
        <x:f>ROUND(G91/5*$X$2+H91/5*$X$3+I91/5*$X$4+J91/5*$X$5+K91/5*$X$6+L91/5*$X$7+M91/5*$X$8-N91/5*$X$9,1)</x:f>
        <x:v>67</x:v>
      </x:c>
      <x:c r="P91" s="119" t="str">
        <x:f>IF(O91&gt;=$X$12,"Foundational deep pass",IF(O91&gt;=$X$13,"Major deep pass",IF(O91&gt;=$X$14,"Targeted innovation pass",IF(O91&gt;=$X$15,"Sampling pass","Reference / defer"))))</x:f>
        <x:v>Major deep pass</x:v>
      </x:c>
      <x:c r="Q91" s="120" t="str">
        <x:v>East Asian serial-media baseline</x:v>
      </x:c>
      <x:c r="R91" s="120" t="str">
        <x:v>Often contributes progression, reincarnation, guild, spirit, and system-fiction innovations; verify translations and source layers.</x:v>
      </x:c>
      <x:c r="S91" s="120" t="str">
        <x:v>Heuristic baseline — editorial review required</x:v>
      </x:c>
      <x:c r="T91" s="120" t="str">
        <x:v>https://en.wikipedia.org/wiki/Berserk</x:v>
      </x:c>
      <x:c r="U91" s="121" t="n">
        <x:v>46236</x:v>
      </x:c>
    </x:row>
    <x:row r="92" ht="46" customHeight="1">
      <x:c r="A92" s="119" t="n">
        <x:v>86</x:v>
      </x:c>
      <x:c r="B92" s="119" t="str">
        <x:v>SRC-199</x:v>
      </x:c>
      <x:c r="C92" s="120" t="str">
        <x:v>Claymore</x:v>
      </x:c>
      <x:c r="D92" s="120" t="str">
        <x:v>Manga / Anime</x:v>
      </x:c>
      <x:c r="E92" s="120" t="str">
        <x:v>Japan</x:v>
      </x:c>
      <x:c r="F92" s="119" t="n">
        <x:f>COUNTIF('Seed Catalogue'!$C$2:$C$452,B92)</x:f>
        <x:v>0</x:v>
      </x:c>
      <x:c r="G92" s="122" t="n">
        <x:v>4</x:v>
      </x:c>
      <x:c r="H92" s="122" t="n">
        <x:v>3</x:v>
      </x:c>
      <x:c r="I92" s="122" t="n">
        <x:v>3</x:v>
      </x:c>
      <x:c r="J92" s="122" t="n">
        <x:v>5</x:v>
      </x:c>
      <x:c r="K92" s="122" t="n">
        <x:v>4</x:v>
      </x:c>
      <x:c r="L92" s="122" t="n">
        <x:v>4</x:v>
      </x:c>
      <x:c r="M92" s="122" t="n">
        <x:v>3</x:v>
      </x:c>
      <x:c r="N92" s="122" t="n">
        <x:v>2</x:v>
      </x:c>
      <x:c r="O92" s="123" t="n">
        <x:f>ROUND(G92/5*$X$2+H92/5*$X$3+I92/5*$X$4+J92/5*$X$5+K92/5*$X$6+L92/5*$X$7+M92/5*$X$8-N92/5*$X$9,1)</x:f>
        <x:v>67</x:v>
      </x:c>
      <x:c r="P92" s="119" t="str">
        <x:f>IF(O92&gt;=$X$12,"Foundational deep pass",IF(O92&gt;=$X$13,"Major deep pass",IF(O92&gt;=$X$14,"Targeted innovation pass",IF(O92&gt;=$X$15,"Sampling pass","Reference / defer"))))</x:f>
        <x:v>Major deep pass</x:v>
      </x:c>
      <x:c r="Q92" s="120" t="str">
        <x:v>East Asian serial-media baseline</x:v>
      </x:c>
      <x:c r="R92" s="120" t="str">
        <x:v>Often contributes progression, reincarnation, guild, spirit, and system-fiction innovations; verify translations and source layers.</x:v>
      </x:c>
      <x:c r="S92" s="120" t="str">
        <x:v>Heuristic baseline — editorial review required</x:v>
      </x:c>
      <x:c r="T92" s="120" t="str">
        <x:v>https://en.wikipedia.org/wiki/Claymore</x:v>
      </x:c>
      <x:c r="U92" s="121" t="n">
        <x:v>46236</x:v>
      </x:c>
    </x:row>
    <x:row r="93" ht="46" customHeight="1">
      <x:c r="A93" s="119" t="n">
        <x:v>87</x:v>
      </x:c>
      <x:c r="B93" s="119" t="str">
        <x:v>SRC-209</x:v>
      </x:c>
      <x:c r="C93" s="120" t="str">
        <x:v>Fate Franchise</x:v>
      </x:c>
      <x:c r="D93" s="120" t="str">
        <x:v>Visual Novel / Anime / Games</x:v>
      </x:c>
      <x:c r="E93" s="120" t="str">
        <x:v>Japan</x:v>
      </x:c>
      <x:c r="F93" s="119" t="n">
        <x:f>COUNTIF('Seed Catalogue'!$C$2:$C$452,B93)</x:f>
        <x:v>0</x:v>
      </x:c>
      <x:c r="G93" s="122" t="n">
        <x:v>4</x:v>
      </x:c>
      <x:c r="H93" s="122" t="n">
        <x:v>3</x:v>
      </x:c>
      <x:c r="I93" s="122" t="n">
        <x:v>3</x:v>
      </x:c>
      <x:c r="J93" s="122" t="n">
        <x:v>5</x:v>
      </x:c>
      <x:c r="K93" s="122" t="n">
        <x:v>4</x:v>
      </x:c>
      <x:c r="L93" s="122" t="n">
        <x:v>4</x:v>
      </x:c>
      <x:c r="M93" s="122" t="n">
        <x:v>3</x:v>
      </x:c>
      <x:c r="N93" s="122" t="n">
        <x:v>2</x:v>
      </x:c>
      <x:c r="O93" s="123" t="n">
        <x:f>ROUND(G93/5*$X$2+H93/5*$X$3+I93/5*$X$4+J93/5*$X$5+K93/5*$X$6+L93/5*$X$7+M93/5*$X$8-N93/5*$X$9,1)</x:f>
        <x:v>67</x:v>
      </x:c>
      <x:c r="P93" s="119" t="str">
        <x:f>IF(O93&gt;=$X$12,"Foundational deep pass",IF(O93&gt;=$X$13,"Major deep pass",IF(O93&gt;=$X$14,"Targeted innovation pass",IF(O93&gt;=$X$15,"Sampling pass","Reference / defer"))))</x:f>
        <x:v>Major deep pass</x:v>
      </x:c>
      <x:c r="Q93" s="120" t="str">
        <x:v>East Asian serial-media baseline</x:v>
      </x:c>
      <x:c r="R93" s="120" t="str">
        <x:v>Often contributes progression, reincarnation, guild, spirit, and system-fiction innovations; verify translations and source layers.</x:v>
      </x:c>
      <x:c r="S93" s="120" t="str">
        <x:v>Heuristic baseline — editorial review required</x:v>
      </x:c>
      <x:c r="T93" s="120" t="str">
        <x:v>https://en.wikipedia.org/wiki/Fate_Franchise</x:v>
      </x:c>
      <x:c r="U93" s="121" t="n">
        <x:v>46236</x:v>
      </x:c>
    </x:row>
    <x:row r="94" ht="46" customHeight="1">
      <x:c r="A94" s="119" t="n">
        <x:v>88</x:v>
      </x:c>
      <x:c r="B94" s="119" t="str">
        <x:v>SRC-198</x:v>
      </x:c>
      <x:c r="C94" s="120" t="str">
        <x:v>Fullmetal Alchemist</x:v>
      </x:c>
      <x:c r="D94" s="120" t="str">
        <x:v>Manga / Anime</x:v>
      </x:c>
      <x:c r="E94" s="120" t="str">
        <x:v>Japan</x:v>
      </x:c>
      <x:c r="F94" s="119" t="n">
        <x:f>COUNTIF('Seed Catalogue'!$C$2:$C$452,B94)</x:f>
        <x:v>7</x:v>
      </x:c>
      <x:c r="G94" s="122" t="n">
        <x:v>4</x:v>
      </x:c>
      <x:c r="H94" s="122" t="n">
        <x:v>3</x:v>
      </x:c>
      <x:c r="I94" s="122" t="n">
        <x:v>3</x:v>
      </x:c>
      <x:c r="J94" s="122" t="n">
        <x:v>5</x:v>
      </x:c>
      <x:c r="K94" s="122" t="n">
        <x:v>4</x:v>
      </x:c>
      <x:c r="L94" s="122" t="n">
        <x:v>4</x:v>
      </x:c>
      <x:c r="M94" s="122" t="n">
        <x:v>3</x:v>
      </x:c>
      <x:c r="N94" s="122" t="n">
        <x:v>2</x:v>
      </x:c>
      <x:c r="O94" s="123" t="n">
        <x:f>ROUND(G94/5*$X$2+H94/5*$X$3+I94/5*$X$4+J94/5*$X$5+K94/5*$X$6+L94/5*$X$7+M94/5*$X$8-N94/5*$X$9,1)</x:f>
        <x:v>67</x:v>
      </x:c>
      <x:c r="P94" s="119" t="str">
        <x:f>IF(O94&gt;=$X$12,"Foundational deep pass",IF(O94&gt;=$X$13,"Major deep pass",IF(O94&gt;=$X$14,"Targeted innovation pass",IF(O94&gt;=$X$15,"Sampling pass","Reference / defer"))))</x:f>
        <x:v>Major deep pass</x:v>
      </x:c>
      <x:c r="Q94" s="120" t="str">
        <x:v>East Asian serial-media baseline</x:v>
      </x:c>
      <x:c r="R94" s="120" t="str">
        <x:v>Often contributes progression, reincarnation, guild, spirit, and system-fiction innovations; verify translations and source layers.</x:v>
      </x:c>
      <x:c r="S94" s="120" t="str">
        <x:v>Heuristic baseline — editorial review required</x:v>
      </x:c>
      <x:c r="T94" s="120" t="str">
        <x:v>https://en.wikipedia.org/wiki/Fullmetal_Alchemist</x:v>
      </x:c>
      <x:c r="U94" s="121" t="n">
        <x:v>46236</x:v>
      </x:c>
    </x:row>
    <x:row r="95" ht="46" customHeight="1">
      <x:c r="A95" s="119" t="n">
        <x:v>89</x:v>
      </x:c>
      <x:c r="B95" s="119" t="str">
        <x:v>SRC-078</x:v>
      </x:c>
      <x:c r="C95" s="120" t="str">
        <x:v>Grandmaster of Demonic Cultivation</x:v>
      </x:c>
      <x:c r="D95" s="120" t="str">
        <x:v>Web Novel / Danmei / Xianxia</x:v>
      </x:c>
      <x:c r="E95" s="120" t="str">
        <x:v>China</x:v>
      </x:c>
      <x:c r="F95" s="119" t="n">
        <x:f>COUNTIF('Seed Catalogue'!$C$2:$C$452,B95)</x:f>
        <x:v>0</x:v>
      </x:c>
      <x:c r="G95" s="122" t="n">
        <x:v>4</x:v>
      </x:c>
      <x:c r="H95" s="122" t="n">
        <x:v>3</x:v>
      </x:c>
      <x:c r="I95" s="122" t="n">
        <x:v>3</x:v>
      </x:c>
      <x:c r="J95" s="122" t="n">
        <x:v>5</x:v>
      </x:c>
      <x:c r="K95" s="122" t="n">
        <x:v>4</x:v>
      </x:c>
      <x:c r="L95" s="122" t="n">
        <x:v>4</x:v>
      </x:c>
      <x:c r="M95" s="122" t="n">
        <x:v>3</x:v>
      </x:c>
      <x:c r="N95" s="122" t="n">
        <x:v>2</x:v>
      </x:c>
      <x:c r="O95" s="123" t="n">
        <x:f>ROUND(G95/5*$X$2+H95/5*$X$3+I95/5*$X$4+J95/5*$X$5+K95/5*$X$6+L95/5*$X$7+M95/5*$X$8-N95/5*$X$9,1)</x:f>
        <x:v>67</x:v>
      </x:c>
      <x:c r="P95" s="119" t="str">
        <x:f>IF(O95&gt;=$X$12,"Foundational deep pass",IF(O95&gt;=$X$13,"Major deep pass",IF(O95&gt;=$X$14,"Targeted innovation pass",IF(O95&gt;=$X$15,"Sampling pass","Reference / defer"))))</x:f>
        <x:v>Major deep pass</x:v>
      </x:c>
      <x:c r="Q95" s="120" t="str">
        <x:v>East Asian serial-media baseline</x:v>
      </x:c>
      <x:c r="R95" s="120" t="str">
        <x:v>Often contributes progression, reincarnation, guild, spirit, and system-fiction innovations; verify translations and source layers.</x:v>
      </x:c>
      <x:c r="S95" s="120" t="str">
        <x:v>Heuristic baseline — editorial review required</x:v>
      </x:c>
      <x:c r="T95" s="120" t="str">
        <x:v>https://en.wikipedia.org/wiki/Grandmaster_of_Demonic_Cultivation</x:v>
      </x:c>
      <x:c r="U95" s="121" t="n">
        <x:v>46236</x:v>
      </x:c>
    </x:row>
    <x:row r="96" ht="46" customHeight="1">
      <x:c r="A96" s="119" t="n">
        <x:v>90</x:v>
      </x:c>
      <x:c r="B96" s="119" t="str">
        <x:v>SRC-207</x:v>
      </x:c>
      <x:c r="C96" s="120" t="str">
        <x:v>Hunter × Hunter</x:v>
      </x:c>
      <x:c r="D96" s="120" t="str">
        <x:v>Manga / Anime</x:v>
      </x:c>
      <x:c r="E96" s="120" t="str">
        <x:v>Japan</x:v>
      </x:c>
      <x:c r="F96" s="119" t="n">
        <x:f>COUNTIF('Seed Catalogue'!$C$2:$C$452,B96)</x:f>
        <x:v>0</x:v>
      </x:c>
      <x:c r="G96" s="122" t="n">
        <x:v>4</x:v>
      </x:c>
      <x:c r="H96" s="122" t="n">
        <x:v>3</x:v>
      </x:c>
      <x:c r="I96" s="122" t="n">
        <x:v>3</x:v>
      </x:c>
      <x:c r="J96" s="122" t="n">
        <x:v>5</x:v>
      </x:c>
      <x:c r="K96" s="122" t="n">
        <x:v>4</x:v>
      </x:c>
      <x:c r="L96" s="122" t="n">
        <x:v>4</x:v>
      </x:c>
      <x:c r="M96" s="122" t="n">
        <x:v>3</x:v>
      </x:c>
      <x:c r="N96" s="122" t="n">
        <x:v>2</x:v>
      </x:c>
      <x:c r="O96" s="123" t="n">
        <x:f>ROUND(G96/5*$X$2+H96/5*$X$3+I96/5*$X$4+J96/5*$X$5+K96/5*$X$6+L96/5*$X$7+M96/5*$X$8-N96/5*$X$9,1)</x:f>
        <x:v>67</x:v>
      </x:c>
      <x:c r="P96" s="119" t="str">
        <x:f>IF(O96&gt;=$X$12,"Foundational deep pass",IF(O96&gt;=$X$13,"Major deep pass",IF(O96&gt;=$X$14,"Targeted innovation pass",IF(O96&gt;=$X$15,"Sampling pass","Reference / defer"))))</x:f>
        <x:v>Major deep pass</x:v>
      </x:c>
      <x:c r="Q96" s="120" t="str">
        <x:v>East Asian serial-media baseline</x:v>
      </x:c>
      <x:c r="R96" s="120" t="str">
        <x:v>Often contributes progression, reincarnation, guild, spirit, and system-fiction innovations; verify translations and source layers.</x:v>
      </x:c>
      <x:c r="S96" s="120" t="str">
        <x:v>Heuristic baseline — editorial review required</x:v>
      </x:c>
      <x:c r="T96" s="120" t="str">
        <x:v>https://en.wikipedia.org/wiki/Hunter_%C3%97_Hunter</x:v>
      </x:c>
      <x:c r="U96" s="121" t="n">
        <x:v>46236</x:v>
      </x:c>
    </x:row>
    <x:row r="97" ht="46" customHeight="1">
      <x:c r="A97" s="119" t="n">
        <x:v>91</x:v>
      </x:c>
      <x:c r="B97" s="119" t="str">
        <x:v>SRC-215</x:v>
      </x:c>
      <x:c r="C97" s="120" t="str">
        <x:v>Log Horizon</x:v>
      </x:c>
      <x:c r="D97" s="120" t="str">
        <x:v>Light Novel / Anime</x:v>
      </x:c>
      <x:c r="E97" s="120" t="str">
        <x:v>Japan</x:v>
      </x:c>
      <x:c r="F97" s="119" t="n">
        <x:f>COUNTIF('Seed Catalogue'!$C$2:$C$452,B97)</x:f>
        <x:v>0</x:v>
      </x:c>
      <x:c r="G97" s="122" t="n">
        <x:v>4</x:v>
      </x:c>
      <x:c r="H97" s="122" t="n">
        <x:v>3</x:v>
      </x:c>
      <x:c r="I97" s="122" t="n">
        <x:v>3</x:v>
      </x:c>
      <x:c r="J97" s="122" t="n">
        <x:v>5</x:v>
      </x:c>
      <x:c r="K97" s="122" t="n">
        <x:v>4</x:v>
      </x:c>
      <x:c r="L97" s="122" t="n">
        <x:v>4</x:v>
      </x:c>
      <x:c r="M97" s="122" t="n">
        <x:v>3</x:v>
      </x:c>
      <x:c r="N97" s="122" t="n">
        <x:v>2</x:v>
      </x:c>
      <x:c r="O97" s="123" t="n">
        <x:f>ROUND(G97/5*$X$2+H97/5*$X$3+I97/5*$X$4+J97/5*$X$5+K97/5*$X$6+L97/5*$X$7+M97/5*$X$8-N97/5*$X$9,1)</x:f>
        <x:v>67</x:v>
      </x:c>
      <x:c r="P97" s="119" t="str">
        <x:f>IF(O97&gt;=$X$12,"Foundational deep pass",IF(O97&gt;=$X$13,"Major deep pass",IF(O97&gt;=$X$14,"Targeted innovation pass",IF(O97&gt;=$X$15,"Sampling pass","Reference / defer"))))</x:f>
        <x:v>Major deep pass</x:v>
      </x:c>
      <x:c r="Q97" s="120" t="str">
        <x:v>East Asian serial-media baseline</x:v>
      </x:c>
      <x:c r="R97" s="120" t="str">
        <x:v>Often contributes progression, reincarnation, guild, spirit, and system-fiction innovations; verify translations and source layers.</x:v>
      </x:c>
      <x:c r="S97" s="120" t="str">
        <x:v>Heuristic baseline — editorial review required</x:v>
      </x:c>
      <x:c r="T97" s="120" t="str">
        <x:v>https://en.wikipedia.org/wiki/Log_Horizon</x:v>
      </x:c>
      <x:c r="U97" s="121" t="n">
        <x:v>46236</x:v>
      </x:c>
    </x:row>
    <x:row r="98" ht="46" customHeight="1">
      <x:c r="A98" s="119" t="n">
        <x:v>92</x:v>
      </x:c>
      <x:c r="B98" s="119" t="str">
        <x:v>SRC-200</x:v>
      </x:c>
      <x:c r="C98" s="120" t="str">
        <x:v>Made in Abyss</x:v>
      </x:c>
      <x:c r="D98" s="120" t="str">
        <x:v>Manga / Anime</x:v>
      </x:c>
      <x:c r="E98" s="120" t="str">
        <x:v>Japan</x:v>
      </x:c>
      <x:c r="F98" s="119" t="n">
        <x:f>COUNTIF('Seed Catalogue'!$C$2:$C$452,B98)</x:f>
        <x:v>0</x:v>
      </x:c>
      <x:c r="G98" s="122" t="n">
        <x:v>4</x:v>
      </x:c>
      <x:c r="H98" s="122" t="n">
        <x:v>3</x:v>
      </x:c>
      <x:c r="I98" s="122" t="n">
        <x:v>3</x:v>
      </x:c>
      <x:c r="J98" s="122" t="n">
        <x:v>5</x:v>
      </x:c>
      <x:c r="K98" s="122" t="n">
        <x:v>4</x:v>
      </x:c>
      <x:c r="L98" s="122" t="n">
        <x:v>4</x:v>
      </x:c>
      <x:c r="M98" s="122" t="n">
        <x:v>3</x:v>
      </x:c>
      <x:c r="N98" s="122" t="n">
        <x:v>2</x:v>
      </x:c>
      <x:c r="O98" s="123" t="n">
        <x:f>ROUND(G98/5*$X$2+H98/5*$X$3+I98/5*$X$4+J98/5*$X$5+K98/5*$X$6+L98/5*$X$7+M98/5*$X$8-N98/5*$X$9,1)</x:f>
        <x:v>67</x:v>
      </x:c>
      <x:c r="P98" s="119" t="str">
        <x:f>IF(O98&gt;=$X$12,"Foundational deep pass",IF(O98&gt;=$X$13,"Major deep pass",IF(O98&gt;=$X$14,"Targeted innovation pass",IF(O98&gt;=$X$15,"Sampling pass","Reference / defer"))))</x:f>
        <x:v>Major deep pass</x:v>
      </x:c>
      <x:c r="Q98" s="120" t="str">
        <x:v>East Asian serial-media baseline</x:v>
      </x:c>
      <x:c r="R98" s="120" t="str">
        <x:v>Often contributes progression, reincarnation, guild, spirit, and system-fiction innovations; verify translations and source layers.</x:v>
      </x:c>
      <x:c r="S98" s="120" t="str">
        <x:v>Heuristic baseline — editorial review required</x:v>
      </x:c>
      <x:c r="T98" s="120" t="str">
        <x:v>https://en.wikipedia.org/wiki/Made_in_Abyss</x:v>
      </x:c>
      <x:c r="U98" s="121" t="n">
        <x:v>46236</x:v>
      </x:c>
    </x:row>
    <x:row r="99" ht="46" customHeight="1">
      <x:c r="A99" s="119" t="n">
        <x:v>93</x:v>
      </x:c>
      <x:c r="B99" s="119" t="str">
        <x:v>SRC-230</x:v>
      </x:c>
      <x:c r="C99" s="120" t="str">
        <x:v>Nausicaä of the Valley of the Wind</x:v>
      </x:c>
      <x:c r="D99" s="120" t="str">
        <x:v>Manga / Animated Film</x:v>
      </x:c>
      <x:c r="E99" s="120" t="str">
        <x:v>Japan</x:v>
      </x:c>
      <x:c r="F99" s="119" t="n">
        <x:f>COUNTIF('Seed Catalogue'!$C$2:$C$452,B99)</x:f>
        <x:v>0</x:v>
      </x:c>
      <x:c r="G99" s="122" t="n">
        <x:v>4</x:v>
      </x:c>
      <x:c r="H99" s="122" t="n">
        <x:v>3</x:v>
      </x:c>
      <x:c r="I99" s="122" t="n">
        <x:v>3</x:v>
      </x:c>
      <x:c r="J99" s="122" t="n">
        <x:v>5</x:v>
      </x:c>
      <x:c r="K99" s="122" t="n">
        <x:v>4</x:v>
      </x:c>
      <x:c r="L99" s="122" t="n">
        <x:v>4</x:v>
      </x:c>
      <x:c r="M99" s="122" t="n">
        <x:v>3</x:v>
      </x:c>
      <x:c r="N99" s="122" t="n">
        <x:v>2</x:v>
      </x:c>
      <x:c r="O99" s="123" t="n">
        <x:f>ROUND(G99/5*$X$2+H99/5*$X$3+I99/5*$X$4+J99/5*$X$5+K99/5*$X$6+L99/5*$X$7+M99/5*$X$8-N99/5*$X$9,1)</x:f>
        <x:v>67</x:v>
      </x:c>
      <x:c r="P99" s="119" t="str">
        <x:f>IF(O99&gt;=$X$12,"Foundational deep pass",IF(O99&gt;=$X$13,"Major deep pass",IF(O99&gt;=$X$14,"Targeted innovation pass",IF(O99&gt;=$X$15,"Sampling pass","Reference / defer"))))</x:f>
        <x:v>Major deep pass</x:v>
      </x:c>
      <x:c r="Q99" s="120" t="str">
        <x:v>East Asian serial-media baseline</x:v>
      </x:c>
      <x:c r="R99" s="120" t="str">
        <x:v>Often contributes progression, reincarnation, guild, spirit, and system-fiction innovations; verify translations and source layers.</x:v>
      </x:c>
      <x:c r="S99" s="120" t="str">
        <x:v>Heuristic baseline — editorial review required</x:v>
      </x:c>
      <x:c r="T99" s="120" t="str">
        <x:v>https://en.wikipedia.org/wiki/Nausica%C3%A4_of_the_Valley_of_the_Wind</x:v>
      </x:c>
      <x:c r="U99" s="121" t="n">
        <x:v>46236</x:v>
      </x:c>
    </x:row>
    <x:row r="100" ht="46" customHeight="1">
      <x:c r="A100" s="119" t="n">
        <x:v>94</x:v>
      </x:c>
      <x:c r="B100" s="119" t="str">
        <x:v>SRC-236</x:v>
      </x:c>
      <x:c r="C100" s="120" t="str">
        <x:v>Omniscient Reader's Viewpoint</x:v>
      </x:c>
      <x:c r="D100" s="120" t="str">
        <x:v>Web Novel / Manhwa</x:v>
      </x:c>
      <x:c r="E100" s="120" t="str">
        <x:v>South Korea</x:v>
      </x:c>
      <x:c r="F100" s="119" t="n">
        <x:f>COUNTIF('Seed Catalogue'!$C$2:$C$452,B100)</x:f>
        <x:v>0</x:v>
      </x:c>
      <x:c r="G100" s="122" t="n">
        <x:v>4</x:v>
      </x:c>
      <x:c r="H100" s="122" t="n">
        <x:v>3</x:v>
      </x:c>
      <x:c r="I100" s="122" t="n">
        <x:v>3</x:v>
      </x:c>
      <x:c r="J100" s="122" t="n">
        <x:v>5</x:v>
      </x:c>
      <x:c r="K100" s="122" t="n">
        <x:v>4</x:v>
      </x:c>
      <x:c r="L100" s="122" t="n">
        <x:v>4</x:v>
      </x:c>
      <x:c r="M100" s="122" t="n">
        <x:v>3</x:v>
      </x:c>
      <x:c r="N100" s="122" t="n">
        <x:v>2</x:v>
      </x:c>
      <x:c r="O100" s="123" t="n">
        <x:f>ROUND(G100/5*$X$2+H100/5*$X$3+I100/5*$X$4+J100/5*$X$5+K100/5*$X$6+L100/5*$X$7+M100/5*$X$8-N100/5*$X$9,1)</x:f>
        <x:v>67</x:v>
      </x:c>
      <x:c r="P100" s="119" t="str">
        <x:f>IF(O100&gt;=$X$12,"Foundational deep pass",IF(O100&gt;=$X$13,"Major deep pass",IF(O100&gt;=$X$14,"Targeted innovation pass",IF(O100&gt;=$X$15,"Sampling pass","Reference / defer"))))</x:f>
        <x:v>Major deep pass</x:v>
      </x:c>
      <x:c r="Q100" s="120" t="str">
        <x:v>East Asian serial-media baseline</x:v>
      </x:c>
      <x:c r="R100" s="120" t="str">
        <x:v>Often contributes progression, reincarnation, guild, spirit, and system-fiction innovations; verify translations and source layers.</x:v>
      </x:c>
      <x:c r="S100" s="120" t="str">
        <x:v>Heuristic baseline — editorial review required</x:v>
      </x:c>
      <x:c r="T100" s="120" t="str">
        <x:v>https://en.wikipedia.org/wiki/Omniscient_Reader's_Viewpoint</x:v>
      </x:c>
      <x:c r="U100" s="121" t="n">
        <x:v>46236</x:v>
      </x:c>
    </x:row>
    <x:row r="101" ht="46" customHeight="1">
      <x:c r="A101" s="119" t="n">
        <x:v>95</x:v>
      </x:c>
      <x:c r="B101" s="119" t="str">
        <x:v>SRC-210</x:v>
      </x:c>
      <x:c r="C101" s="120" t="str">
        <x:v>Overlord</x:v>
      </x:c>
      <x:c r="D101" s="120" t="str">
        <x:v>Light Novel / Anime</x:v>
      </x:c>
      <x:c r="E101" s="120" t="str">
        <x:v>Japan</x:v>
      </x:c>
      <x:c r="F101" s="119" t="n">
        <x:f>COUNTIF('Seed Catalogue'!$C$2:$C$452,B101)</x:f>
        <x:v>7</x:v>
      </x:c>
      <x:c r="G101" s="122" t="n">
        <x:v>4</x:v>
      </x:c>
      <x:c r="H101" s="122" t="n">
        <x:v>3</x:v>
      </x:c>
      <x:c r="I101" s="122" t="n">
        <x:v>3</x:v>
      </x:c>
      <x:c r="J101" s="122" t="n">
        <x:v>5</x:v>
      </x:c>
      <x:c r="K101" s="122" t="n">
        <x:v>4</x:v>
      </x:c>
      <x:c r="L101" s="122" t="n">
        <x:v>4</x:v>
      </x:c>
      <x:c r="M101" s="122" t="n">
        <x:v>3</x:v>
      </x:c>
      <x:c r="N101" s="122" t="n">
        <x:v>2</x:v>
      </x:c>
      <x:c r="O101" s="123" t="n">
        <x:f>ROUND(G101/5*$X$2+H101/5*$X$3+I101/5*$X$4+J101/5*$X$5+K101/5*$X$6+L101/5*$X$7+M101/5*$X$8-N101/5*$X$9,1)</x:f>
        <x:v>67</x:v>
      </x:c>
      <x:c r="P101" s="119" t="str">
        <x:f>IF(O101&gt;=$X$12,"Foundational deep pass",IF(O101&gt;=$X$13,"Major deep pass",IF(O101&gt;=$X$14,"Targeted innovation pass",IF(O101&gt;=$X$15,"Sampling pass","Reference / defer"))))</x:f>
        <x:v>Major deep pass</x:v>
      </x:c>
      <x:c r="Q101" s="120" t="str">
        <x:v>East Asian serial-media baseline</x:v>
      </x:c>
      <x:c r="R101" s="120" t="str">
        <x:v>Often contributes progression, reincarnation, guild, spirit, and system-fiction innovations; verify translations and source layers.</x:v>
      </x:c>
      <x:c r="S101" s="120" t="str">
        <x:v>Heuristic baseline — editorial review required</x:v>
      </x:c>
      <x:c r="T101" s="120" t="str">
        <x:v>https://en.wikipedia.org/wiki/Overlord</x:v>
      </x:c>
      <x:c r="U101" s="121" t="n">
        <x:v>46236</x:v>
      </x:c>
    </x:row>
    <x:row r="102" ht="46" customHeight="1">
      <x:c r="A102" s="119" t="n">
        <x:v>96</x:v>
      </x:c>
      <x:c r="B102" s="119" t="str">
        <x:v>SRC-211</x:v>
      </x:c>
      <x:c r="C102" s="120" t="str">
        <x:v>Re:Zero − Starting Life in Another World</x:v>
      </x:c>
      <x:c r="D102" s="120" t="str">
        <x:v>Web/Light Novel / Anime</x:v>
      </x:c>
      <x:c r="E102" s="120" t="str">
        <x:v>Japan</x:v>
      </x:c>
      <x:c r="F102" s="119" t="n">
        <x:f>COUNTIF('Seed Catalogue'!$C$2:$C$452,B102)</x:f>
        <x:v>0</x:v>
      </x:c>
      <x:c r="G102" s="122" t="n">
        <x:v>4</x:v>
      </x:c>
      <x:c r="H102" s="122" t="n">
        <x:v>3</x:v>
      </x:c>
      <x:c r="I102" s="122" t="n">
        <x:v>3</x:v>
      </x:c>
      <x:c r="J102" s="122" t="n">
        <x:v>5</x:v>
      </x:c>
      <x:c r="K102" s="122" t="n">
        <x:v>4</x:v>
      </x:c>
      <x:c r="L102" s="122" t="n">
        <x:v>4</x:v>
      </x:c>
      <x:c r="M102" s="122" t="n">
        <x:v>3</x:v>
      </x:c>
      <x:c r="N102" s="122" t="n">
        <x:v>2</x:v>
      </x:c>
      <x:c r="O102" s="123" t="n">
        <x:f>ROUND(G102/5*$X$2+H102/5*$X$3+I102/5*$X$4+J102/5*$X$5+K102/5*$X$6+L102/5*$X$7+M102/5*$X$8-N102/5*$X$9,1)</x:f>
        <x:v>67</x:v>
      </x:c>
      <x:c r="P102" s="119" t="str">
        <x:f>IF(O102&gt;=$X$12,"Foundational deep pass",IF(O102&gt;=$X$13,"Major deep pass",IF(O102&gt;=$X$14,"Targeted innovation pass",IF(O102&gt;=$X$15,"Sampling pass","Reference / defer"))))</x:f>
        <x:v>Major deep pass</x:v>
      </x:c>
      <x:c r="Q102" s="120" t="str">
        <x:v>East Asian serial-media baseline</x:v>
      </x:c>
      <x:c r="R102" s="120" t="str">
        <x:v>Often contributes progression, reincarnation, guild, spirit, and system-fiction innovations; verify translations and source layers.</x:v>
      </x:c>
      <x:c r="S102" s="120" t="str">
        <x:v>Heuristic baseline — editorial review required</x:v>
      </x:c>
      <x:c r="T102" s="120" t="str">
        <x:v>https://en.wikipedia.org/wiki/Re:Zero_%E2%88%92_Starting_Life_in_Another_World</x:v>
      </x:c>
      <x:c r="U102" s="121" t="n">
        <x:v>46236</x:v>
      </x:c>
    </x:row>
    <x:row r="103" ht="46" customHeight="1">
      <x:c r="A103" s="119" t="n">
        <x:v>97</x:v>
      </x:c>
      <x:c r="B103" s="119" t="str">
        <x:v>SRC-075</x:v>
      </x:c>
      <x:c r="C103" s="120" t="str">
        <x:v>Record of Lodoss War</x:v>
      </x:c>
      <x:c r="D103" s="120" t="str">
        <x:v>Replay / Novel / Anime</x:v>
      </x:c>
      <x:c r="E103" s="120" t="str">
        <x:v>Japan</x:v>
      </x:c>
      <x:c r="F103" s="119" t="n">
        <x:f>COUNTIF('Seed Catalogue'!$C$2:$C$452,B103)</x:f>
        <x:v>0</x:v>
      </x:c>
      <x:c r="G103" s="122" t="n">
        <x:v>4</x:v>
      </x:c>
      <x:c r="H103" s="122" t="n">
        <x:v>3</x:v>
      </x:c>
      <x:c r="I103" s="122" t="n">
        <x:v>3</x:v>
      </x:c>
      <x:c r="J103" s="122" t="n">
        <x:v>5</x:v>
      </x:c>
      <x:c r="K103" s="122" t="n">
        <x:v>4</x:v>
      </x:c>
      <x:c r="L103" s="122" t="n">
        <x:v>4</x:v>
      </x:c>
      <x:c r="M103" s="122" t="n">
        <x:v>3</x:v>
      </x:c>
      <x:c r="N103" s="122" t="n">
        <x:v>2</x:v>
      </x:c>
      <x:c r="O103" s="123" t="n">
        <x:f>ROUND(G103/5*$X$2+H103/5*$X$3+I103/5*$X$4+J103/5*$X$5+K103/5*$X$6+L103/5*$X$7+M103/5*$X$8-N103/5*$X$9,1)</x:f>
        <x:v>67</x:v>
      </x:c>
      <x:c r="P103" s="119" t="str">
        <x:f>IF(O103&gt;=$X$12,"Foundational deep pass",IF(O103&gt;=$X$13,"Major deep pass",IF(O103&gt;=$X$14,"Targeted innovation pass",IF(O103&gt;=$X$15,"Sampling pass","Reference / defer"))))</x:f>
        <x:v>Major deep pass</x:v>
      </x:c>
      <x:c r="Q103" s="120" t="str">
        <x:v>East Asian serial-media baseline</x:v>
      </x:c>
      <x:c r="R103" s="120" t="str">
        <x:v>Often contributes progression, reincarnation, guild, spirit, and system-fiction innovations; verify translations and source layers.</x:v>
      </x:c>
      <x:c r="S103" s="120" t="str">
        <x:v>Heuristic baseline — editorial review required</x:v>
      </x:c>
      <x:c r="T103" s="120" t="str">
        <x:v>https://en.wikipedia.org/wiki/Record_of_Lodoss_War</x:v>
      </x:c>
      <x:c r="U103" s="121" t="n">
        <x:v>46236</x:v>
      </x:c>
    </x:row>
    <x:row r="104" ht="46" customHeight="1">
      <x:c r="A104" s="119" t="n">
        <x:v>98</x:v>
      </x:c>
      <x:c r="B104" s="119" t="str">
        <x:v>SRC-235</x:v>
      </x:c>
      <x:c r="C104" s="120" t="str">
        <x:v>Solo Leveling</x:v>
      </x:c>
      <x:c r="D104" s="120" t="str">
        <x:v>Web Novel / Manhwa / Anime</x:v>
      </x:c>
      <x:c r="E104" s="120" t="str">
        <x:v>South Korea</x:v>
      </x:c>
      <x:c r="F104" s="119" t="n">
        <x:f>COUNTIF('Seed Catalogue'!$C$2:$C$452,B104)</x:f>
        <x:v>7</x:v>
      </x:c>
      <x:c r="G104" s="122" t="n">
        <x:v>4</x:v>
      </x:c>
      <x:c r="H104" s="122" t="n">
        <x:v>3</x:v>
      </x:c>
      <x:c r="I104" s="122" t="n">
        <x:v>3</x:v>
      </x:c>
      <x:c r="J104" s="122" t="n">
        <x:v>5</x:v>
      </x:c>
      <x:c r="K104" s="122" t="n">
        <x:v>4</x:v>
      </x:c>
      <x:c r="L104" s="122" t="n">
        <x:v>4</x:v>
      </x:c>
      <x:c r="M104" s="122" t="n">
        <x:v>3</x:v>
      </x:c>
      <x:c r="N104" s="122" t="n">
        <x:v>2</x:v>
      </x:c>
      <x:c r="O104" s="123" t="n">
        <x:f>ROUND(G104/5*$X$2+H104/5*$X$3+I104/5*$X$4+J104/5*$X$5+K104/5*$X$6+L104/5*$X$7+M104/5*$X$8-N104/5*$X$9,1)</x:f>
        <x:v>67</x:v>
      </x:c>
      <x:c r="P104" s="119" t="str">
        <x:f>IF(O104&gt;=$X$12,"Foundational deep pass",IF(O104&gt;=$X$13,"Major deep pass",IF(O104&gt;=$X$14,"Targeted innovation pass",IF(O104&gt;=$X$15,"Sampling pass","Reference / defer"))))</x:f>
        <x:v>Major deep pass</x:v>
      </x:c>
      <x:c r="Q104" s="120" t="str">
        <x:v>East Asian serial-media baseline</x:v>
      </x:c>
      <x:c r="R104" s="120" t="str">
        <x:v>Often contributes progression, reincarnation, guild, spirit, and system-fiction innovations; verify translations and source layers.</x:v>
      </x:c>
      <x:c r="S104" s="120" t="str">
        <x:v>Heuristic baseline — editorial review required</x:v>
      </x:c>
      <x:c r="T104" s="120" t="str">
        <x:v>https://en.wikipedia.org/wiki/Solo_Leveling</x:v>
      </x:c>
      <x:c r="U104" s="121" t="n">
        <x:v>46236</x:v>
      </x:c>
    </x:row>
    <x:row r="105" ht="46" customHeight="1">
      <x:c r="A105" s="119" t="n">
        <x:v>99</x:v>
      </x:c>
      <x:c r="B105" s="119" t="str">
        <x:v>SRC-240</x:v>
      </x:c>
      <x:c r="C105" s="120" t="str">
        <x:v>Soul Land / Douluo Dalu</x:v>
      </x:c>
      <x:c r="D105" s="120" t="str">
        <x:v>Web Novel / Donghua / Manhua</x:v>
      </x:c>
      <x:c r="E105" s="120" t="str">
        <x:v>China</x:v>
      </x:c>
      <x:c r="F105" s="119" t="n">
        <x:f>COUNTIF('Seed Catalogue'!$C$2:$C$452,B105)</x:f>
        <x:v>0</x:v>
      </x:c>
      <x:c r="G105" s="122" t="n">
        <x:v>4</x:v>
      </x:c>
      <x:c r="H105" s="122" t="n">
        <x:v>3</x:v>
      </x:c>
      <x:c r="I105" s="122" t="n">
        <x:v>3</x:v>
      </x:c>
      <x:c r="J105" s="122" t="n">
        <x:v>5</x:v>
      </x:c>
      <x:c r="K105" s="122" t="n">
        <x:v>4</x:v>
      </x:c>
      <x:c r="L105" s="122" t="n">
        <x:v>4</x:v>
      </x:c>
      <x:c r="M105" s="122" t="n">
        <x:v>3</x:v>
      </x:c>
      <x:c r="N105" s="122" t="n">
        <x:v>2</x:v>
      </x:c>
      <x:c r="O105" s="123" t="n">
        <x:f>ROUND(G105/5*$X$2+H105/5*$X$3+I105/5*$X$4+J105/5*$X$5+K105/5*$X$6+L105/5*$X$7+M105/5*$X$8-N105/5*$X$9,1)</x:f>
        <x:v>67</x:v>
      </x:c>
      <x:c r="P105" s="119" t="str">
        <x:f>IF(O105&gt;=$X$12,"Foundational deep pass",IF(O105&gt;=$X$13,"Major deep pass",IF(O105&gt;=$X$14,"Targeted innovation pass",IF(O105&gt;=$X$15,"Sampling pass","Reference / defer"))))</x:f>
        <x:v>Major deep pass</x:v>
      </x:c>
      <x:c r="Q105" s="120" t="str">
        <x:v>East Asian serial-media baseline</x:v>
      </x:c>
      <x:c r="R105" s="120" t="str">
        <x:v>Often contributes progression, reincarnation, guild, spirit, and system-fiction innovations; verify translations and source layers.</x:v>
      </x:c>
      <x:c r="S105" s="120" t="str">
        <x:v>Heuristic baseline — editorial review required</x:v>
      </x:c>
      <x:c r="T105" s="120" t="str">
        <x:v>https://en.wikipedia.org/wiki/Soul_Land_%2F_Douluo_Dalu</x:v>
      </x:c>
      <x:c r="U105" s="121" t="n">
        <x:v>46236</x:v>
      </x:c>
    </x:row>
    <x:row r="106" ht="46" customHeight="1">
      <x:c r="A106" s="119" t="n">
        <x:v>100</x:v>
      </x:c>
      <x:c r="B106" s="119" t="str">
        <x:v>SRC-212</x:v>
      </x:c>
      <x:c r="C106" s="120" t="str">
        <x:v>That Time I Got Reincarnated as a Slime</x:v>
      </x:c>
      <x:c r="D106" s="120" t="str">
        <x:v>Web/Light Novel / Manga / Anime</x:v>
      </x:c>
      <x:c r="E106" s="120" t="str">
        <x:v>Japan</x:v>
      </x:c>
      <x:c r="F106" s="119" t="n">
        <x:f>COUNTIF('Seed Catalogue'!$C$2:$C$452,B106)</x:f>
        <x:v>0</x:v>
      </x:c>
      <x:c r="G106" s="122" t="n">
        <x:v>4</x:v>
      </x:c>
      <x:c r="H106" s="122" t="n">
        <x:v>3</x:v>
      </x:c>
      <x:c r="I106" s="122" t="n">
        <x:v>3</x:v>
      </x:c>
      <x:c r="J106" s="122" t="n">
        <x:v>5</x:v>
      </x:c>
      <x:c r="K106" s="122" t="n">
        <x:v>4</x:v>
      </x:c>
      <x:c r="L106" s="122" t="n">
        <x:v>4</x:v>
      </x:c>
      <x:c r="M106" s="122" t="n">
        <x:v>3</x:v>
      </x:c>
      <x:c r="N106" s="122" t="n">
        <x:v>2</x:v>
      </x:c>
      <x:c r="O106" s="123" t="n">
        <x:f>ROUND(G106/5*$X$2+H106/5*$X$3+I106/5*$X$4+J106/5*$X$5+K106/5*$X$6+L106/5*$X$7+M106/5*$X$8-N106/5*$X$9,1)</x:f>
        <x:v>67</x:v>
      </x:c>
      <x:c r="P106" s="119" t="str">
        <x:f>IF(O106&gt;=$X$12,"Foundational deep pass",IF(O106&gt;=$X$13,"Major deep pass",IF(O106&gt;=$X$14,"Targeted innovation pass",IF(O106&gt;=$X$15,"Sampling pass","Reference / defer"))))</x:f>
        <x:v>Major deep pass</x:v>
      </x:c>
      <x:c r="Q106" s="120" t="str">
        <x:v>East Asian serial-media baseline</x:v>
      </x:c>
      <x:c r="R106" s="120" t="str">
        <x:v>Often contributes progression, reincarnation, guild, spirit, and system-fiction innovations; verify translations and source layers.</x:v>
      </x:c>
      <x:c r="S106" s="120" t="str">
        <x:v>Heuristic baseline — editorial review required</x:v>
      </x:c>
      <x:c r="T106" s="120" t="str">
        <x:v>https://en.wikipedia.org/wiki/That_Time_I_Got_Reincarnated_as_a_Slime</x:v>
      </x:c>
      <x:c r="U106" s="121" t="n">
        <x:v>46236</x:v>
      </x:c>
    </x:row>
    <x:row r="107" ht="46" customHeight="1">
      <x:c r="A107" s="119" t="n">
        <x:v>101</x:v>
      </x:c>
      <x:c r="B107" s="119" t="str">
        <x:v>SRC-219</x:v>
      </x:c>
      <x:c r="C107" s="120" t="str">
        <x:v>The Ancient Magus' Bride</x:v>
      </x:c>
      <x:c r="D107" s="120" t="str">
        <x:v>Manga / Anime</x:v>
      </x:c>
      <x:c r="E107" s="120" t="str">
        <x:v>Japan</x:v>
      </x:c>
      <x:c r="F107" s="119" t="n">
        <x:f>COUNTIF('Seed Catalogue'!$C$2:$C$452,B107)</x:f>
        <x:v>0</x:v>
      </x:c>
      <x:c r="G107" s="122" t="n">
        <x:v>4</x:v>
      </x:c>
      <x:c r="H107" s="122" t="n">
        <x:v>3</x:v>
      </x:c>
      <x:c r="I107" s="122" t="n">
        <x:v>3</x:v>
      </x:c>
      <x:c r="J107" s="122" t="n">
        <x:v>5</x:v>
      </x:c>
      <x:c r="K107" s="122" t="n">
        <x:v>4</x:v>
      </x:c>
      <x:c r="L107" s="122" t="n">
        <x:v>4</x:v>
      </x:c>
      <x:c r="M107" s="122" t="n">
        <x:v>3</x:v>
      </x:c>
      <x:c r="N107" s="122" t="n">
        <x:v>2</x:v>
      </x:c>
      <x:c r="O107" s="123" t="n">
        <x:f>ROUND(G107/5*$X$2+H107/5*$X$3+I107/5*$X$4+J107/5*$X$5+K107/5*$X$6+L107/5*$X$7+M107/5*$X$8-N107/5*$X$9,1)</x:f>
        <x:v>67</x:v>
      </x:c>
      <x:c r="P107" s="119" t="str">
        <x:f>IF(O107&gt;=$X$12,"Foundational deep pass",IF(O107&gt;=$X$13,"Major deep pass",IF(O107&gt;=$X$14,"Targeted innovation pass",IF(O107&gt;=$X$15,"Sampling pass","Reference / defer"))))</x:f>
        <x:v>Major deep pass</x:v>
      </x:c>
      <x:c r="Q107" s="120" t="str">
        <x:v>East Asian serial-media baseline</x:v>
      </x:c>
      <x:c r="R107" s="120" t="str">
        <x:v>Often contributes progression, reincarnation, guild, spirit, and system-fiction innovations; verify translations and source layers.</x:v>
      </x:c>
      <x:c r="S107" s="120" t="str">
        <x:v>Heuristic baseline — editorial review required</x:v>
      </x:c>
      <x:c r="T107" s="120" t="str">
        <x:v>https://en.wikipedia.org/wiki/The_Ancient_Magus'_Bride</x:v>
      </x:c>
      <x:c r="U107" s="121" t="n">
        <x:v>46236</x:v>
      </x:c>
    </x:row>
    <x:row r="108" ht="46" customHeight="1">
      <x:c r="A108" s="119" t="n">
        <x:v>102</x:v>
      </x:c>
      <x:c r="B108" s="119" t="str">
        <x:v>SRC-072</x:v>
      </x:c>
      <x:c r="C108" s="120" t="str">
        <x:v>The Twelve Kingdoms</x:v>
      </x:c>
      <x:c r="D108" s="120" t="str">
        <x:v>Light Novel / Literature</x:v>
      </x:c>
      <x:c r="E108" s="120" t="str">
        <x:v>Japan</x:v>
      </x:c>
      <x:c r="F108" s="119" t="n">
        <x:f>COUNTIF('Seed Catalogue'!$C$2:$C$452,B108)</x:f>
        <x:v>0</x:v>
      </x:c>
      <x:c r="G108" s="122" t="n">
        <x:v>4</x:v>
      </x:c>
      <x:c r="H108" s="122" t="n">
        <x:v>3</x:v>
      </x:c>
      <x:c r="I108" s="122" t="n">
        <x:v>3</x:v>
      </x:c>
      <x:c r="J108" s="122" t="n">
        <x:v>5</x:v>
      </x:c>
      <x:c r="K108" s="122" t="n">
        <x:v>4</x:v>
      </x:c>
      <x:c r="L108" s="122" t="n">
        <x:v>4</x:v>
      </x:c>
      <x:c r="M108" s="122" t="n">
        <x:v>3</x:v>
      </x:c>
      <x:c r="N108" s="122" t="n">
        <x:v>2</x:v>
      </x:c>
      <x:c r="O108" s="123" t="n">
        <x:f>ROUND(G108/5*$X$2+H108/5*$X$3+I108/5*$X$4+J108/5*$X$5+K108/5*$X$6+L108/5*$X$7+M108/5*$X$8-N108/5*$X$9,1)</x:f>
        <x:v>67</x:v>
      </x:c>
      <x:c r="P108" s="119" t="str">
        <x:f>IF(O108&gt;=$X$12,"Foundational deep pass",IF(O108&gt;=$X$13,"Major deep pass",IF(O108&gt;=$X$14,"Targeted innovation pass",IF(O108&gt;=$X$15,"Sampling pass","Reference / defer"))))</x:f>
        <x:v>Major deep pass</x:v>
      </x:c>
      <x:c r="Q108" s="120" t="str">
        <x:v>East Asian serial-media baseline</x:v>
      </x:c>
      <x:c r="R108" s="120" t="str">
        <x:v>Often contributes progression, reincarnation, guild, spirit, and system-fiction innovations; verify translations and source layers.</x:v>
      </x:c>
      <x:c r="S108" s="120" t="str">
        <x:v>Heuristic baseline — editorial review required</x:v>
      </x:c>
      <x:c r="T108" s="120" t="str">
        <x:v>https://en.wikipedia.org/wiki/The_Twelve_Kingdoms</x:v>
      </x:c>
      <x:c r="U108" s="121" t="n">
        <x:v>46236</x:v>
      </x:c>
    </x:row>
    <x:row r="109" ht="46" customHeight="1">
      <x:c r="A109" s="119" t="n">
        <x:v>103</x:v>
      </x:c>
      <x:c r="B109" s="119" t="str">
        <x:v>SRC-047</x:v>
      </x:c>
      <x:c r="C109" s="120" t="str">
        <x:v>The Witcher</x:v>
      </x:c>
      <x:c r="D109" s="120" t="str">
        <x:v>Literature</x:v>
      </x:c>
      <x:c r="E109" s="120" t="str">
        <x:v>Poland / Central European fantasy</x:v>
      </x:c>
      <x:c r="F109" s="119" t="n">
        <x:f>COUNTIF('Seed Catalogue'!$C$2:$C$452,B109)</x:f>
        <x:v>25</x:v>
      </x:c>
      <x:c r="G109" s="122" t="n">
        <x:v>4</x:v>
      </x:c>
      <x:c r="H109" s="122" t="n">
        <x:v>4</x:v>
      </x:c>
      <x:c r="I109" s="122" t="n">
        <x:v>2</x:v>
      </x:c>
      <x:c r="J109" s="122" t="n">
        <x:v>5</x:v>
      </x:c>
      <x:c r="K109" s="122" t="n">
        <x:v>5</x:v>
      </x:c>
      <x:c r="L109" s="122" t="n">
        <x:v>5</x:v>
      </x:c>
      <x:c r="M109" s="122" t="n">
        <x:v>5</x:v>
      </x:c>
      <x:c r="N109" s="122" t="n">
        <x:v>4</x:v>
      </x:c>
      <x:c r="O109" s="123" t="n">
        <x:f>ROUND(G109/5*$X$2+H109/5*$X$3+I109/5*$X$4+J109/5*$X$5+K109/5*$X$6+L109/5*$X$7+M109/5*$X$8-N109/5*$X$9,1)</x:f>
        <x:v>67</x:v>
      </x:c>
      <x:c r="P109" s="119" t="str">
        <x:f>IF(O109&gt;=$X$12,"Foundational deep pass",IF(O109&gt;=$X$13,"Major deep pass",IF(O109&gt;=$X$14,"Targeted innovation pass",IF(O109&gt;=$X$15,"Sampling pass","Reference / defer"))))</x:f>
        <x:v>Major deep pass</x:v>
      </x:c>
      <x:c r="Q109" s="120" t="str">
        <x:v>Witcher influence/redundancy override</x:v>
      </x:c>
      <x:c r="R109" s="120" t="str">
        <x:v>Further value lies in continuity splits, folklore transformation, institutions, and moral ecology rather than more monster-hunter class labels.</x:v>
      </x:c>
      <x:c r="S109" s="120" t="str">
        <x:v>Editorial override — review required</x:v>
      </x:c>
      <x:c r="T109" s="120" t="str">
        <x:v>https://www.andrzejsapkowski.pl/</x:v>
      </x:c>
      <x:c r="U109" s="121" t="n">
        <x:v>46236</x:v>
      </x:c>
    </x:row>
    <x:row r="110" ht="46" customHeight="1">
      <x:c r="A110" s="119" t="n">
        <x:v>104</x:v>
      </x:c>
      <x:c r="B110" s="119" t="str">
        <x:v>SRC-223</x:v>
      </x:c>
      <x:c r="C110" s="120" t="str">
        <x:v>Witch Hat Atelier</x:v>
      </x:c>
      <x:c r="D110" s="120" t="str">
        <x:v>Manga / Anime</x:v>
      </x:c>
      <x:c r="E110" s="120" t="str">
        <x:v>Japan</x:v>
      </x:c>
      <x:c r="F110" s="119" t="n">
        <x:f>COUNTIF('Seed Catalogue'!$C$2:$C$452,B110)</x:f>
        <x:v>0</x:v>
      </x:c>
      <x:c r="G110" s="122" t="n">
        <x:v>4</x:v>
      </x:c>
      <x:c r="H110" s="122" t="n">
        <x:v>3</x:v>
      </x:c>
      <x:c r="I110" s="122" t="n">
        <x:v>3</x:v>
      </x:c>
      <x:c r="J110" s="122" t="n">
        <x:v>5</x:v>
      </x:c>
      <x:c r="K110" s="122" t="n">
        <x:v>4</x:v>
      </x:c>
      <x:c r="L110" s="122" t="n">
        <x:v>4</x:v>
      </x:c>
      <x:c r="M110" s="122" t="n">
        <x:v>3</x:v>
      </x:c>
      <x:c r="N110" s="122" t="n">
        <x:v>2</x:v>
      </x:c>
      <x:c r="O110" s="123" t="n">
        <x:f>ROUND(G110/5*$X$2+H110/5*$X$3+I110/5*$X$4+J110/5*$X$5+K110/5*$X$6+L110/5*$X$7+M110/5*$X$8-N110/5*$X$9,1)</x:f>
        <x:v>67</x:v>
      </x:c>
      <x:c r="P110" s="119" t="str">
        <x:f>IF(O110&gt;=$X$12,"Foundational deep pass",IF(O110&gt;=$X$13,"Major deep pass",IF(O110&gt;=$X$14,"Targeted innovation pass",IF(O110&gt;=$X$15,"Sampling pass","Reference / defer"))))</x:f>
        <x:v>Major deep pass</x:v>
      </x:c>
      <x:c r="Q110" s="120" t="str">
        <x:v>East Asian serial-media baseline</x:v>
      </x:c>
      <x:c r="R110" s="120" t="str">
        <x:v>Often contributes progression, reincarnation, guild, spirit, and system-fiction innovations; verify translations and source layers.</x:v>
      </x:c>
      <x:c r="S110" s="120" t="str">
        <x:v>Heuristic baseline — editorial review required</x:v>
      </x:c>
      <x:c r="T110" s="120" t="str">
        <x:v>https://en.wikipedia.org/wiki/Witch_Hat_Atelier</x:v>
      </x:c>
      <x:c r="U110" s="121" t="n">
        <x:v>46236</x:v>
      </x:c>
    </x:row>
    <x:row r="111" ht="46" customHeight="1">
      <x:c r="A111" s="119" t="n">
        <x:v>105</x:v>
      </x:c>
      <x:c r="B111" s="119" t="str">
        <x:v>SRC-063</x:v>
      </x:c>
      <x:c r="C111" s="120" t="str">
        <x:v>The Broken Empire</x:v>
      </x:c>
      <x:c r="D111" s="120" t="str">
        <x:v>Literature</x:v>
      </x:c>
      <x:c r="E111" s="120" t="str">
        <x:v>Britain / dark fantasy</x:v>
      </x:c>
      <x:c r="F111" s="119" t="n">
        <x:f>COUNTIF('Seed Catalogue'!$C$2:$C$452,B111)</x:f>
        <x:v>0</x:v>
      </x:c>
      <x:c r="G111" s="122" t="n">
        <x:v>4</x:v>
      </x:c>
      <x:c r="H111" s="122" t="n">
        <x:v>4</x:v>
      </x:c>
      <x:c r="I111" s="122" t="n">
        <x:v>3</x:v>
      </x:c>
      <x:c r="J111" s="122" t="n">
        <x:v>3</x:v>
      </x:c>
      <x:c r="K111" s="122" t="n">
        <x:v>4</x:v>
      </x:c>
      <x:c r="L111" s="122" t="n">
        <x:v>4</x:v>
      </x:c>
      <x:c r="M111" s="122" t="n">
        <x:v>4</x:v>
      </x:c>
      <x:c r="N111" s="122" t="n">
        <x:v>2</x:v>
      </x:c>
      <x:c r="O111" s="123" t="n">
        <x:f>ROUND(G111/5*$X$2+H111/5*$X$3+I111/5*$X$4+J111/5*$X$5+K111/5*$X$6+L111/5*$X$7+M111/5*$X$8-N111/5*$X$9,1)</x:f>
        <x:v>66</x:v>
      </x:c>
      <x:c r="P111" s="119" t="str">
        <x:f>IF(O111&gt;=$X$12,"Foundational deep pass",IF(O111&gt;=$X$13,"Major deep pass",IF(O111&gt;=$X$14,"Targeted innovation pass",IF(O111&gt;=$X$15,"Sampling pass","Reference / defer"))))</x:f>
        <x:v>Major deep pass</x:v>
      </x:c>
      <x:c r="Q111" s="120" t="str">
        <x:v>Literary-source baseline</x:v>
      </x:c>
      <x:c r="R111" s="120" t="str">
        <x:v>Prioritize distinctive ontology, narrative structures, institutions, and power logics over familiar surface labels.</x:v>
      </x:c>
      <x:c r="S111" s="120" t="str">
        <x:v>Heuristic baseline — editorial review required</x:v>
      </x:c>
      <x:c r="T111" s="120" t="str">
        <x:v>https://en.wikipedia.org/wiki/The_Broken_Empire</x:v>
      </x:c>
      <x:c r="U111" s="121" t="n">
        <x:v>46236</x:v>
      </x:c>
    </x:row>
    <x:row r="112" ht="46" customHeight="1">
      <x:c r="A112" s="119" t="n">
        <x:v>106</x:v>
      </x:c>
      <x:c r="B112" s="119" t="str">
        <x:v>SRC-046</x:v>
      </x:c>
      <x:c r="C112" s="120" t="str">
        <x:v>A Song of Ice and Fire</x:v>
      </x:c>
      <x:c r="D112" s="120" t="str">
        <x:v>Literature</x:v>
      </x:c>
      <x:c r="E112" s="120" t="str">
        <x:v>United States</x:v>
      </x:c>
      <x:c r="F112" s="119" t="n">
        <x:f>COUNTIF('Seed Catalogue'!$C$2:$C$452,B112)</x:f>
        <x:v>22</x:v>
      </x:c>
      <x:c r="G112" s="122" t="n">
        <x:v>4</x:v>
      </x:c>
      <x:c r="H112" s="122" t="n">
        <x:v>4</x:v>
      </x:c>
      <x:c r="I112" s="122" t="n">
        <x:v>3</x:v>
      </x:c>
      <x:c r="J112" s="122" t="n">
        <x:v>5</x:v>
      </x:c>
      <x:c r="K112" s="122" t="n">
        <x:v>4</x:v>
      </x:c>
      <x:c r="L112" s="122" t="n">
        <x:v>4</x:v>
      </x:c>
      <x:c r="M112" s="122" t="n">
        <x:v>4</x:v>
      </x:c>
      <x:c r="N112" s="122" t="n">
        <x:v>4</x:v>
      </x:c>
      <x:c r="O112" s="123" t="n">
        <x:f>ROUND(G112/5*$X$2+H112/5*$X$3+I112/5*$X$4+J112/5*$X$5+K112/5*$X$6+L112/5*$X$7+M112/5*$X$8-N112/5*$X$9,1)</x:f>
        <x:v>64</x:v>
      </x:c>
      <x:c r="P112" s="119" t="str">
        <x:f>IF(O112&gt;=$X$12,"Foundational deep pass",IF(O112&gt;=$X$13,"Major deep pass",IF(O112&gt;=$X$14,"Targeted innovation pass",IF(O112&gt;=$X$15,"Sampling pass","Reference / defer"))))</x:f>
        <x:v>Major deep pass</x:v>
      </x:c>
      <x:c r="Q112" s="120" t="str">
        <x:v>Literary-source baseline</x:v>
      </x:c>
      <x:c r="R112" s="120" t="str">
        <x:v>Prioritize distinctive ontology, narrative structures, institutions, and power logics over familiar surface labels.</x:v>
      </x:c>
      <x:c r="S112" s="120" t="str">
        <x:v>Heuristic baseline — editorial review required</x:v>
      </x:c>
      <x:c r="T112" s="120" t="str">
        <x:v>https://georgerrmartin.com/all-books/cover-gallery/a-song-of-ice-and-fire/</x:v>
      </x:c>
      <x:c r="U112" s="121" t="n">
        <x:v>46236</x:v>
      </x:c>
    </x:row>
    <x:row r="113" ht="46" customHeight="1">
      <x:c r="A113" s="119" t="n">
        <x:v>107</x:v>
      </x:c>
      <x:c r="B113" s="119" t="str">
        <x:v>SRC-244</x:v>
      </x:c>
      <x:c r="C113" s="120" t="str">
        <x:v>Ascendance of a Bookworm</x:v>
      </x:c>
      <x:c r="D113" s="120" t="str">
        <x:v>Light Novel / Anime</x:v>
      </x:c>
      <x:c r="E113" s="120" t="str">
        <x:v>Japan</x:v>
      </x:c>
      <x:c r="F113" s="119" t="n">
        <x:f>COUNTIF('Seed Catalogue'!$C$2:$C$452,B113)</x:f>
        <x:v>0</x:v>
      </x:c>
      <x:c r="G113" s="122" t="n">
        <x:v>4</x:v>
      </x:c>
      <x:c r="H113" s="122" t="n">
        <x:v>3</x:v>
      </x:c>
      <x:c r="I113" s="122" t="n">
        <x:v>3</x:v>
      </x:c>
      <x:c r="J113" s="122" t="n">
        <x:v>4</x:v>
      </x:c>
      <x:c r="K113" s="122" t="n">
        <x:v>4</x:v>
      </x:c>
      <x:c r="L113" s="122" t="n">
        <x:v>4</x:v>
      </x:c>
      <x:c r="M113" s="122" t="n">
        <x:v>3</x:v>
      </x:c>
      <x:c r="N113" s="122" t="n">
        <x:v>2</x:v>
      </x:c>
      <x:c r="O113" s="123" t="n">
        <x:f>ROUND(G113/5*$X$2+H113/5*$X$3+I113/5*$X$4+J113/5*$X$5+K113/5*$X$6+L113/5*$X$7+M113/5*$X$8-N113/5*$X$9,1)</x:f>
        <x:v>64</x:v>
      </x:c>
      <x:c r="P113" s="119" t="str">
        <x:f>IF(O113&gt;=$X$12,"Foundational deep pass",IF(O113&gt;=$X$13,"Major deep pass",IF(O113&gt;=$X$14,"Targeted innovation pass",IF(O113&gt;=$X$15,"Sampling pass","Reference / defer"))))</x:f>
        <x:v>Major deep pass</x:v>
      </x:c>
      <x:c r="Q113" s="120" t="str">
        <x:v>East Asian serial-media baseline</x:v>
      </x:c>
      <x:c r="R113" s="120" t="str">
        <x:v>Often contributes progression, reincarnation, guild, spirit, and system-fiction innovations; verify translations and source layers.</x:v>
      </x:c>
      <x:c r="S113" s="120" t="str">
        <x:v>Heuristic baseline — editorial review required</x:v>
      </x:c>
      <x:c r="T113" s="120" t="str">
        <x:v>https://en.wikipedia.org/wiki/Ascendance_of_a_Bookworm</x:v>
      </x:c>
      <x:c r="U113" s="121" t="n">
        <x:v>46236</x:v>
      </x:c>
    </x:row>
    <x:row r="114" ht="46" customHeight="1">
      <x:c r="A114" s="119" t="n">
        <x:v>108</x:v>
      </x:c>
      <x:c r="B114" s="119" t="str">
        <x:v>SRC-221</x:v>
      </x:c>
      <x:c r="C114" s="120" t="str">
        <x:v>Attack on Titan</x:v>
      </x:c>
      <x:c r="D114" s="120" t="str">
        <x:v>Manga / Anime</x:v>
      </x:c>
      <x:c r="E114" s="120" t="str">
        <x:v>Japan</x:v>
      </x:c>
      <x:c r="F114" s="119" t="n">
        <x:f>COUNTIF('Seed Catalogue'!$C$2:$C$452,B114)</x:f>
        <x:v>0</x:v>
      </x:c>
      <x:c r="G114" s="122" t="n">
        <x:v>4</x:v>
      </x:c>
      <x:c r="H114" s="122" t="n">
        <x:v>3</x:v>
      </x:c>
      <x:c r="I114" s="122" t="n">
        <x:v>3</x:v>
      </x:c>
      <x:c r="J114" s="122" t="n">
        <x:v>4</x:v>
      </x:c>
      <x:c r="K114" s="122" t="n">
        <x:v>4</x:v>
      </x:c>
      <x:c r="L114" s="122" t="n">
        <x:v>4</x:v>
      </x:c>
      <x:c r="M114" s="122" t="n">
        <x:v>3</x:v>
      </x:c>
      <x:c r="N114" s="122" t="n">
        <x:v>2</x:v>
      </x:c>
      <x:c r="O114" s="123" t="n">
        <x:f>ROUND(G114/5*$X$2+H114/5*$X$3+I114/5*$X$4+J114/5*$X$5+K114/5*$X$6+L114/5*$X$7+M114/5*$X$8-N114/5*$X$9,1)</x:f>
        <x:v>64</x:v>
      </x:c>
      <x:c r="P114" s="119" t="str">
        <x:f>IF(O114&gt;=$X$12,"Foundational deep pass",IF(O114&gt;=$X$13,"Major deep pass",IF(O114&gt;=$X$14,"Targeted innovation pass",IF(O114&gt;=$X$15,"Sampling pass","Reference / defer"))))</x:f>
        <x:v>Major deep pass</x:v>
      </x:c>
      <x:c r="Q114" s="120" t="str">
        <x:v>East Asian serial-media baseline</x:v>
      </x:c>
      <x:c r="R114" s="120" t="str">
        <x:v>Often contributes progression, reincarnation, guild, spirit, and system-fiction innovations; verify translations and source layers.</x:v>
      </x:c>
      <x:c r="S114" s="120" t="str">
        <x:v>Heuristic baseline — editorial review required</x:v>
      </x:c>
      <x:c r="T114" s="120" t="str">
        <x:v>https://en.wikipedia.org/wiki/Attack_on_Titan</x:v>
      </x:c>
      <x:c r="U114" s="121" t="n">
        <x:v>46236</x:v>
      </x:c>
    </x:row>
    <x:row r="115" ht="46" customHeight="1">
      <x:c r="A115" s="119" t="n">
        <x:v>109</x:v>
      </x:c>
      <x:c r="B115" s="119" t="str">
        <x:v>SRC-226</x:v>
      </x:c>
      <x:c r="C115" s="120" t="str">
        <x:v>Black Clover</x:v>
      </x:c>
      <x:c r="D115" s="120" t="str">
        <x:v>Manga / Anime</x:v>
      </x:c>
      <x:c r="E115" s="120" t="str">
        <x:v>Japan</x:v>
      </x:c>
      <x:c r="F115" s="119" t="n">
        <x:f>COUNTIF('Seed Catalogue'!$C$2:$C$452,B115)</x:f>
        <x:v>0</x:v>
      </x:c>
      <x:c r="G115" s="122" t="n">
        <x:v>4</x:v>
      </x:c>
      <x:c r="H115" s="122" t="n">
        <x:v>3</x:v>
      </x:c>
      <x:c r="I115" s="122" t="n">
        <x:v>3</x:v>
      </x:c>
      <x:c r="J115" s="122" t="n">
        <x:v>4</x:v>
      </x:c>
      <x:c r="K115" s="122" t="n">
        <x:v>4</x:v>
      </x:c>
      <x:c r="L115" s="122" t="n">
        <x:v>4</x:v>
      </x:c>
      <x:c r="M115" s="122" t="n">
        <x:v>3</x:v>
      </x:c>
      <x:c r="N115" s="122" t="n">
        <x:v>2</x:v>
      </x:c>
      <x:c r="O115" s="123" t="n">
        <x:f>ROUND(G115/5*$X$2+H115/5*$X$3+I115/5*$X$4+J115/5*$X$5+K115/5*$X$6+L115/5*$X$7+M115/5*$X$8-N115/5*$X$9,1)</x:f>
        <x:v>64</x:v>
      </x:c>
      <x:c r="P115" s="119" t="str">
        <x:f>IF(O115&gt;=$X$12,"Foundational deep pass",IF(O115&gt;=$X$13,"Major deep pass",IF(O115&gt;=$X$14,"Targeted innovation pass",IF(O115&gt;=$X$15,"Sampling pass","Reference / defer"))))</x:f>
        <x:v>Major deep pass</x:v>
      </x:c>
      <x:c r="Q115" s="120" t="str">
        <x:v>East Asian serial-media baseline</x:v>
      </x:c>
      <x:c r="R115" s="120" t="str">
        <x:v>Often contributes progression, reincarnation, guild, spirit, and system-fiction innovations; verify translations and source layers.</x:v>
      </x:c>
      <x:c r="S115" s="120" t="str">
        <x:v>Heuristic baseline — editorial review required</x:v>
      </x:c>
      <x:c r="T115" s="120" t="str">
        <x:v>https://en.wikipedia.org/wiki/Black_Clover</x:v>
      </x:c>
      <x:c r="U115" s="121" t="n">
        <x:v>46236</x:v>
      </x:c>
    </x:row>
    <x:row r="116" ht="46" customHeight="1">
      <x:c r="A116" s="119" t="n">
        <x:v>110</x:v>
      </x:c>
      <x:c r="B116" s="119" t="str">
        <x:v>SRC-205</x:v>
      </x:c>
      <x:c r="C116" s="120" t="str">
        <x:v>Bleach</x:v>
      </x:c>
      <x:c r="D116" s="120" t="str">
        <x:v>Manga / Anime</x:v>
      </x:c>
      <x:c r="E116" s="120" t="str">
        <x:v>Japan</x:v>
      </x:c>
      <x:c r="F116" s="119" t="n">
        <x:f>COUNTIF('Seed Catalogue'!$C$2:$C$452,B116)</x:f>
        <x:v>0</x:v>
      </x:c>
      <x:c r="G116" s="122" t="n">
        <x:v>4</x:v>
      </x:c>
      <x:c r="H116" s="122" t="n">
        <x:v>3</x:v>
      </x:c>
      <x:c r="I116" s="122" t="n">
        <x:v>3</x:v>
      </x:c>
      <x:c r="J116" s="122" t="n">
        <x:v>4</x:v>
      </x:c>
      <x:c r="K116" s="122" t="n">
        <x:v>4</x:v>
      </x:c>
      <x:c r="L116" s="122" t="n">
        <x:v>4</x:v>
      </x:c>
      <x:c r="M116" s="122" t="n">
        <x:v>3</x:v>
      </x:c>
      <x:c r="N116" s="122" t="n">
        <x:v>2</x:v>
      </x:c>
      <x:c r="O116" s="123" t="n">
        <x:f>ROUND(G116/5*$X$2+H116/5*$X$3+I116/5*$X$4+J116/5*$X$5+K116/5*$X$6+L116/5*$X$7+M116/5*$X$8-N116/5*$X$9,1)</x:f>
        <x:v>64</x:v>
      </x:c>
      <x:c r="P116" s="119" t="str">
        <x:f>IF(O116&gt;=$X$12,"Foundational deep pass",IF(O116&gt;=$X$13,"Major deep pass",IF(O116&gt;=$X$14,"Targeted innovation pass",IF(O116&gt;=$X$15,"Sampling pass","Reference / defer"))))</x:f>
        <x:v>Major deep pass</x:v>
      </x:c>
      <x:c r="Q116" s="120" t="str">
        <x:v>East Asian serial-media baseline</x:v>
      </x:c>
      <x:c r="R116" s="120" t="str">
        <x:v>Often contributes progression, reincarnation, guild, spirit, and system-fiction innovations; verify translations and source layers.</x:v>
      </x:c>
      <x:c r="S116" s="120" t="str">
        <x:v>Heuristic baseline — editorial review required</x:v>
      </x:c>
      <x:c r="T116" s="120" t="str">
        <x:v>https://en.wikipedia.org/wiki/Bleach</x:v>
      </x:c>
      <x:c r="U116" s="121" t="n">
        <x:v>46236</x:v>
      </x:c>
    </x:row>
    <x:row r="117" ht="46" customHeight="1">
      <x:c r="A117" s="119" t="n">
        <x:v>111</x:v>
      </x:c>
      <x:c r="B117" s="119" t="str">
        <x:v>SRC-234</x:v>
      </x:c>
      <x:c r="C117" s="120" t="str">
        <x:v>Chainsaw Man</x:v>
      </x:c>
      <x:c r="D117" s="120" t="str">
        <x:v>Manga / Anime</x:v>
      </x:c>
      <x:c r="E117" s="120" t="str">
        <x:v>Japan</x:v>
      </x:c>
      <x:c r="F117" s="119" t="n">
        <x:f>COUNTIF('Seed Catalogue'!$C$2:$C$452,B117)</x:f>
        <x:v>0</x:v>
      </x:c>
      <x:c r="G117" s="122" t="n">
        <x:v>4</x:v>
      </x:c>
      <x:c r="H117" s="122" t="n">
        <x:v>3</x:v>
      </x:c>
      <x:c r="I117" s="122" t="n">
        <x:v>3</x:v>
      </x:c>
      <x:c r="J117" s="122" t="n">
        <x:v>4</x:v>
      </x:c>
      <x:c r="K117" s="122" t="n">
        <x:v>4</x:v>
      </x:c>
      <x:c r="L117" s="122" t="n">
        <x:v>4</x:v>
      </x:c>
      <x:c r="M117" s="122" t="n">
        <x:v>3</x:v>
      </x:c>
      <x:c r="N117" s="122" t="n">
        <x:v>2</x:v>
      </x:c>
      <x:c r="O117" s="123" t="n">
        <x:f>ROUND(G117/5*$X$2+H117/5*$X$3+I117/5*$X$4+J117/5*$X$5+K117/5*$X$6+L117/5*$X$7+M117/5*$X$8-N117/5*$X$9,1)</x:f>
        <x:v>64</x:v>
      </x:c>
      <x:c r="P117" s="119" t="str">
        <x:f>IF(O117&gt;=$X$12,"Foundational deep pass",IF(O117&gt;=$X$13,"Major deep pass",IF(O117&gt;=$X$14,"Targeted innovation pass",IF(O117&gt;=$X$15,"Sampling pass","Reference / defer"))))</x:f>
        <x:v>Major deep pass</x:v>
      </x:c>
      <x:c r="Q117" s="120" t="str">
        <x:v>East Asian serial-media baseline</x:v>
      </x:c>
      <x:c r="R117" s="120" t="str">
        <x:v>Often contributes progression, reincarnation, guild, spirit, and system-fiction innovations; verify translations and source layers.</x:v>
      </x:c>
      <x:c r="S117" s="120" t="str">
        <x:v>Heuristic baseline — editorial review required</x:v>
      </x:c>
      <x:c r="T117" s="120" t="str">
        <x:v>https://en.wikipedia.org/wiki/Chainsaw_Man</x:v>
      </x:c>
      <x:c r="U117" s="121" t="n">
        <x:v>46236</x:v>
      </x:c>
    </x:row>
    <x:row r="118" ht="46" customHeight="1">
      <x:c r="A118" s="119" t="n">
        <x:v>112</x:v>
      </x:c>
      <x:c r="B118" s="119" t="str">
        <x:v>SRC-203</x:v>
      </x:c>
      <x:c r="C118" s="120" t="str">
        <x:v>Demon Slayer: Kimetsu no Yaiba</x:v>
      </x:c>
      <x:c r="D118" s="120" t="str">
        <x:v>Manga / Anime</x:v>
      </x:c>
      <x:c r="E118" s="120" t="str">
        <x:v>Japan</x:v>
      </x:c>
      <x:c r="F118" s="119" t="n">
        <x:f>COUNTIF('Seed Catalogue'!$C$2:$C$452,B118)</x:f>
        <x:v>0</x:v>
      </x:c>
      <x:c r="G118" s="122" t="n">
        <x:v>4</x:v>
      </x:c>
      <x:c r="H118" s="122" t="n">
        <x:v>3</x:v>
      </x:c>
      <x:c r="I118" s="122" t="n">
        <x:v>3</x:v>
      </x:c>
      <x:c r="J118" s="122" t="n">
        <x:v>4</x:v>
      </x:c>
      <x:c r="K118" s="122" t="n">
        <x:v>4</x:v>
      </x:c>
      <x:c r="L118" s="122" t="n">
        <x:v>4</x:v>
      </x:c>
      <x:c r="M118" s="122" t="n">
        <x:v>3</x:v>
      </x:c>
      <x:c r="N118" s="122" t="n">
        <x:v>2</x:v>
      </x:c>
      <x:c r="O118" s="123" t="n">
        <x:f>ROUND(G118/5*$X$2+H118/5*$X$3+I118/5*$X$4+J118/5*$X$5+K118/5*$X$6+L118/5*$X$7+M118/5*$X$8-N118/5*$X$9,1)</x:f>
        <x:v>64</x:v>
      </x:c>
      <x:c r="P118" s="119" t="str">
        <x:f>IF(O118&gt;=$X$12,"Foundational deep pass",IF(O118&gt;=$X$13,"Major deep pass",IF(O118&gt;=$X$14,"Targeted innovation pass",IF(O118&gt;=$X$15,"Sampling pass","Reference / defer"))))</x:f>
        <x:v>Major deep pass</x:v>
      </x:c>
      <x:c r="Q118" s="120" t="str">
        <x:v>East Asian serial-media baseline</x:v>
      </x:c>
      <x:c r="R118" s="120" t="str">
        <x:v>Often contributes progression, reincarnation, guild, spirit, and system-fiction innovations; verify translations and source layers.</x:v>
      </x:c>
      <x:c r="S118" s="120" t="str">
        <x:v>Heuristic baseline — editorial review required</x:v>
      </x:c>
      <x:c r="T118" s="120" t="str">
        <x:v>https://en.wikipedia.org/wiki/Demon_Slayer:_Kimetsu_no_Yaiba</x:v>
      </x:c>
      <x:c r="U118" s="121" t="n">
        <x:v>46236</x:v>
      </x:c>
    </x:row>
    <x:row r="119" ht="46" customHeight="1">
      <x:c r="A119" s="119" t="n">
        <x:v>113</x:v>
      </x:c>
      <x:c r="B119" s="119" t="str">
        <x:v>SRC-222</x:v>
      </x:c>
      <x:c r="C119" s="120" t="str">
        <x:v>Dorohedoro</x:v>
      </x:c>
      <x:c r="D119" s="120" t="str">
        <x:v>Manga / Anime</x:v>
      </x:c>
      <x:c r="E119" s="120" t="str">
        <x:v>Japan</x:v>
      </x:c>
      <x:c r="F119" s="119" t="n">
        <x:f>COUNTIF('Seed Catalogue'!$C$2:$C$452,B119)</x:f>
        <x:v>0</x:v>
      </x:c>
      <x:c r="G119" s="122" t="n">
        <x:v>4</x:v>
      </x:c>
      <x:c r="H119" s="122" t="n">
        <x:v>3</x:v>
      </x:c>
      <x:c r="I119" s="122" t="n">
        <x:v>3</x:v>
      </x:c>
      <x:c r="J119" s="122" t="n">
        <x:v>4</x:v>
      </x:c>
      <x:c r="K119" s="122" t="n">
        <x:v>4</x:v>
      </x:c>
      <x:c r="L119" s="122" t="n">
        <x:v>4</x:v>
      </x:c>
      <x:c r="M119" s="122" t="n">
        <x:v>3</x:v>
      </x:c>
      <x:c r="N119" s="122" t="n">
        <x:v>2</x:v>
      </x:c>
      <x:c r="O119" s="123" t="n">
        <x:f>ROUND(G119/5*$X$2+H119/5*$X$3+I119/5*$X$4+J119/5*$X$5+K119/5*$X$6+L119/5*$X$7+M119/5*$X$8-N119/5*$X$9,1)</x:f>
        <x:v>64</x:v>
      </x:c>
      <x:c r="P119" s="119" t="str">
        <x:f>IF(O119&gt;=$X$12,"Foundational deep pass",IF(O119&gt;=$X$13,"Major deep pass",IF(O119&gt;=$X$14,"Targeted innovation pass",IF(O119&gt;=$X$15,"Sampling pass","Reference / defer"))))</x:f>
        <x:v>Major deep pass</x:v>
      </x:c>
      <x:c r="Q119" s="120" t="str">
        <x:v>East Asian serial-media baseline</x:v>
      </x:c>
      <x:c r="R119" s="120" t="str">
        <x:v>Often contributes progression, reincarnation, guild, spirit, and system-fiction innovations; verify translations and source layers.</x:v>
      </x:c>
      <x:c r="S119" s="120" t="str">
        <x:v>Heuristic baseline — editorial review required</x:v>
      </x:c>
      <x:c r="T119" s="120" t="str">
        <x:v>https://en.wikipedia.org/wiki/Dorohedoro</x:v>
      </x:c>
      <x:c r="U119" s="121" t="n">
        <x:v>46236</x:v>
      </x:c>
    </x:row>
    <x:row r="120" ht="46" customHeight="1">
      <x:c r="A120" s="119" t="n">
        <x:v>114</x:v>
      </x:c>
      <x:c r="B120" s="119" t="str">
        <x:v>SRC-232</x:v>
      </x:c>
      <x:c r="C120" s="120" t="str">
        <x:v>Dragon Ball</x:v>
      </x:c>
      <x:c r="D120" s="120" t="str">
        <x:v>Manga / Anime</x:v>
      </x:c>
      <x:c r="E120" s="120" t="str">
        <x:v>Japan</x:v>
      </x:c>
      <x:c r="F120" s="119" t="n">
        <x:f>COUNTIF('Seed Catalogue'!$C$2:$C$452,B120)</x:f>
        <x:v>0</x:v>
      </x:c>
      <x:c r="G120" s="122" t="n">
        <x:v>4</x:v>
      </x:c>
      <x:c r="H120" s="122" t="n">
        <x:v>3</x:v>
      </x:c>
      <x:c r="I120" s="122" t="n">
        <x:v>3</x:v>
      </x:c>
      <x:c r="J120" s="122" t="n">
        <x:v>4</x:v>
      </x:c>
      <x:c r="K120" s="122" t="n">
        <x:v>4</x:v>
      </x:c>
      <x:c r="L120" s="122" t="n">
        <x:v>4</x:v>
      </x:c>
      <x:c r="M120" s="122" t="n">
        <x:v>3</x:v>
      </x:c>
      <x:c r="N120" s="122" t="n">
        <x:v>2</x:v>
      </x:c>
      <x:c r="O120" s="123" t="n">
        <x:f>ROUND(G120/5*$X$2+H120/5*$X$3+I120/5*$X$4+J120/5*$X$5+K120/5*$X$6+L120/5*$X$7+M120/5*$X$8-N120/5*$X$9,1)</x:f>
        <x:v>64</x:v>
      </x:c>
      <x:c r="P120" s="119" t="str">
        <x:f>IF(O120&gt;=$X$12,"Foundational deep pass",IF(O120&gt;=$X$13,"Major deep pass",IF(O120&gt;=$X$14,"Targeted innovation pass",IF(O120&gt;=$X$15,"Sampling pass","Reference / defer"))))</x:f>
        <x:v>Major deep pass</x:v>
      </x:c>
      <x:c r="Q120" s="120" t="str">
        <x:v>East Asian serial-media baseline</x:v>
      </x:c>
      <x:c r="R120" s="120" t="str">
        <x:v>Often contributes progression, reincarnation, guild, spirit, and system-fiction innovations; verify translations and source layers.</x:v>
      </x:c>
      <x:c r="S120" s="120" t="str">
        <x:v>Heuristic baseline — editorial review required</x:v>
      </x:c>
      <x:c r="T120" s="120" t="str">
        <x:v>https://en.wikipedia.org/wiki/Dragon_Ball</x:v>
      </x:c>
      <x:c r="U120" s="121" t="n">
        <x:v>46236</x:v>
      </x:c>
    </x:row>
    <x:row r="121" ht="46" customHeight="1">
      <x:c r="A121" s="119" t="n">
        <x:v>115</x:v>
      </x:c>
      <x:c r="B121" s="119" t="str">
        <x:v>SRC-227</x:v>
      </x:c>
      <x:c r="C121" s="120" t="str">
        <x:v>Fairy Tail</x:v>
      </x:c>
      <x:c r="D121" s="120" t="str">
        <x:v>Manga / Anime</x:v>
      </x:c>
      <x:c r="E121" s="120" t="str">
        <x:v>Japan</x:v>
      </x:c>
      <x:c r="F121" s="119" t="n">
        <x:f>COUNTIF('Seed Catalogue'!$C$2:$C$452,B121)</x:f>
        <x:v>0</x:v>
      </x:c>
      <x:c r="G121" s="122" t="n">
        <x:v>4</x:v>
      </x:c>
      <x:c r="H121" s="122" t="n">
        <x:v>3</x:v>
      </x:c>
      <x:c r="I121" s="122" t="n">
        <x:v>3</x:v>
      </x:c>
      <x:c r="J121" s="122" t="n">
        <x:v>4</x:v>
      </x:c>
      <x:c r="K121" s="122" t="n">
        <x:v>4</x:v>
      </x:c>
      <x:c r="L121" s="122" t="n">
        <x:v>4</x:v>
      </x:c>
      <x:c r="M121" s="122" t="n">
        <x:v>3</x:v>
      </x:c>
      <x:c r="N121" s="122" t="n">
        <x:v>2</x:v>
      </x:c>
      <x:c r="O121" s="123" t="n">
        <x:f>ROUND(G121/5*$X$2+H121/5*$X$3+I121/5*$X$4+J121/5*$X$5+K121/5*$X$6+L121/5*$X$7+M121/5*$X$8-N121/5*$X$9,1)</x:f>
        <x:v>64</x:v>
      </x:c>
      <x:c r="P121" s="119" t="str">
        <x:f>IF(O121&gt;=$X$12,"Foundational deep pass",IF(O121&gt;=$X$13,"Major deep pass",IF(O121&gt;=$X$14,"Targeted innovation pass",IF(O121&gt;=$X$15,"Sampling pass","Reference / defer"))))</x:f>
        <x:v>Major deep pass</x:v>
      </x:c>
      <x:c r="Q121" s="120" t="str">
        <x:v>East Asian serial-media baseline</x:v>
      </x:c>
      <x:c r="R121" s="120" t="str">
        <x:v>Often contributes progression, reincarnation, guild, spirit, and system-fiction innovations; verify translations and source layers.</x:v>
      </x:c>
      <x:c r="S121" s="120" t="str">
        <x:v>Heuristic baseline — editorial review required</x:v>
      </x:c>
      <x:c r="T121" s="120" t="str">
        <x:v>https://en.wikipedia.org/wiki/Fairy_Tail</x:v>
      </x:c>
      <x:c r="U121" s="121" t="n">
        <x:v>46236</x:v>
      </x:c>
    </x:row>
    <x:row r="122" ht="46" customHeight="1">
      <x:c r="A122" s="119" t="n">
        <x:v>116</x:v>
      </x:c>
      <x:c r="B122" s="119" t="str">
        <x:v>SRC-218</x:v>
      </x:c>
      <x:c r="C122" s="120" t="str">
        <x:v>Goblin Slayer</x:v>
      </x:c>
      <x:c r="D122" s="120" t="str">
        <x:v>Light Novel / Manga / Anime</x:v>
      </x:c>
      <x:c r="E122" s="120" t="str">
        <x:v>Japan</x:v>
      </x:c>
      <x:c r="F122" s="119" t="n">
        <x:f>COUNTIF('Seed Catalogue'!$C$2:$C$452,B122)</x:f>
        <x:v>0</x:v>
      </x:c>
      <x:c r="G122" s="122" t="n">
        <x:v>4</x:v>
      </x:c>
      <x:c r="H122" s="122" t="n">
        <x:v>3</x:v>
      </x:c>
      <x:c r="I122" s="122" t="n">
        <x:v>3</x:v>
      </x:c>
      <x:c r="J122" s="122" t="n">
        <x:v>4</x:v>
      </x:c>
      <x:c r="K122" s="122" t="n">
        <x:v>4</x:v>
      </x:c>
      <x:c r="L122" s="122" t="n">
        <x:v>4</x:v>
      </x:c>
      <x:c r="M122" s="122" t="n">
        <x:v>3</x:v>
      </x:c>
      <x:c r="N122" s="122" t="n">
        <x:v>2</x:v>
      </x:c>
      <x:c r="O122" s="123" t="n">
        <x:f>ROUND(G122/5*$X$2+H122/5*$X$3+I122/5*$X$4+J122/5*$X$5+K122/5*$X$6+L122/5*$X$7+M122/5*$X$8-N122/5*$X$9,1)</x:f>
        <x:v>64</x:v>
      </x:c>
      <x:c r="P122" s="119" t="str">
        <x:f>IF(O122&gt;=$X$12,"Foundational deep pass",IF(O122&gt;=$X$13,"Major deep pass",IF(O122&gt;=$X$14,"Targeted innovation pass",IF(O122&gt;=$X$15,"Sampling pass","Reference / defer"))))</x:f>
        <x:v>Major deep pass</x:v>
      </x:c>
      <x:c r="Q122" s="120" t="str">
        <x:v>East Asian serial-media baseline</x:v>
      </x:c>
      <x:c r="R122" s="120" t="str">
        <x:v>Often contributes progression, reincarnation, guild, spirit, and system-fiction innovations; verify translations and source layers.</x:v>
      </x:c>
      <x:c r="S122" s="120" t="str">
        <x:v>Heuristic baseline — editorial review required</x:v>
      </x:c>
      <x:c r="T122" s="120" t="str">
        <x:v>https://en.wikipedia.org/wiki/Goblin_Slayer</x:v>
      </x:c>
      <x:c r="U122" s="121" t="n">
        <x:v>46236</x:v>
      </x:c>
    </x:row>
    <x:row r="123" ht="46" customHeight="1">
      <x:c r="A123" s="119" t="n">
        <x:v>117</x:v>
      </x:c>
      <x:c r="B123" s="119" t="str">
        <x:v>SRC-217</x:v>
      </x:c>
      <x:c r="C123" s="120" t="str">
        <x:v>Grimgar of Fantasy and Ash</x:v>
      </x:c>
      <x:c r="D123" s="120" t="str">
        <x:v>Light Novel / Anime</x:v>
      </x:c>
      <x:c r="E123" s="120" t="str">
        <x:v>Japan</x:v>
      </x:c>
      <x:c r="F123" s="119" t="n">
        <x:f>COUNTIF('Seed Catalogue'!$C$2:$C$452,B123)</x:f>
        <x:v>0</x:v>
      </x:c>
      <x:c r="G123" s="122" t="n">
        <x:v>4</x:v>
      </x:c>
      <x:c r="H123" s="122" t="n">
        <x:v>3</x:v>
      </x:c>
      <x:c r="I123" s="122" t="n">
        <x:v>3</x:v>
      </x:c>
      <x:c r="J123" s="122" t="n">
        <x:v>4</x:v>
      </x:c>
      <x:c r="K123" s="122" t="n">
        <x:v>4</x:v>
      </x:c>
      <x:c r="L123" s="122" t="n">
        <x:v>4</x:v>
      </x:c>
      <x:c r="M123" s="122" t="n">
        <x:v>3</x:v>
      </x:c>
      <x:c r="N123" s="122" t="n">
        <x:v>2</x:v>
      </x:c>
      <x:c r="O123" s="123" t="n">
        <x:f>ROUND(G123/5*$X$2+H123/5*$X$3+I123/5*$X$4+J123/5*$X$5+K123/5*$X$6+L123/5*$X$7+M123/5*$X$8-N123/5*$X$9,1)</x:f>
        <x:v>64</x:v>
      </x:c>
      <x:c r="P123" s="119" t="str">
        <x:f>IF(O123&gt;=$X$12,"Foundational deep pass",IF(O123&gt;=$X$13,"Major deep pass",IF(O123&gt;=$X$14,"Targeted innovation pass",IF(O123&gt;=$X$15,"Sampling pass","Reference / defer"))))</x:f>
        <x:v>Major deep pass</x:v>
      </x:c>
      <x:c r="Q123" s="120" t="str">
        <x:v>East Asian serial-media baseline</x:v>
      </x:c>
      <x:c r="R123" s="120" t="str">
        <x:v>Often contributes progression, reincarnation, guild, spirit, and system-fiction innovations; verify translations and source layers.</x:v>
      </x:c>
      <x:c r="S123" s="120" t="str">
        <x:v>Heuristic baseline — editorial review required</x:v>
      </x:c>
      <x:c r="T123" s="120" t="str">
        <x:v>https://en.wikipedia.org/wiki/Grimgar_of_Fantasy_and_Ash</x:v>
      </x:c>
      <x:c r="U123" s="121" t="n">
        <x:v>46236</x:v>
      </x:c>
    </x:row>
    <x:row r="124" ht="46" customHeight="1">
      <x:c r="A124" s="119" t="n">
        <x:v>118</x:v>
      </x:c>
      <x:c r="B124" s="119" t="str">
        <x:v>SRC-073</x:v>
      </x:c>
      <x:c r="C124" s="120" t="str">
        <x:v>Guin Saga</x:v>
      </x:c>
      <x:c r="D124" s="120" t="str">
        <x:v>Literature / Light Novel</x:v>
      </x:c>
      <x:c r="E124" s="120" t="str">
        <x:v>Japan</x:v>
      </x:c>
      <x:c r="F124" s="119" t="n">
        <x:f>COUNTIF('Seed Catalogue'!$C$2:$C$452,B124)</x:f>
        <x:v>0</x:v>
      </x:c>
      <x:c r="G124" s="122" t="n">
        <x:v>4</x:v>
      </x:c>
      <x:c r="H124" s="122" t="n">
        <x:v>3</x:v>
      </x:c>
      <x:c r="I124" s="122" t="n">
        <x:v>3</x:v>
      </x:c>
      <x:c r="J124" s="122" t="n">
        <x:v>4</x:v>
      </x:c>
      <x:c r="K124" s="122" t="n">
        <x:v>4</x:v>
      </x:c>
      <x:c r="L124" s="122" t="n">
        <x:v>4</x:v>
      </x:c>
      <x:c r="M124" s="122" t="n">
        <x:v>3</x:v>
      </x:c>
      <x:c r="N124" s="122" t="n">
        <x:v>2</x:v>
      </x:c>
      <x:c r="O124" s="123" t="n">
        <x:f>ROUND(G124/5*$X$2+H124/5*$X$3+I124/5*$X$4+J124/5*$X$5+K124/5*$X$6+L124/5*$X$7+M124/5*$X$8-N124/5*$X$9,1)</x:f>
        <x:v>64</x:v>
      </x:c>
      <x:c r="P124" s="119" t="str">
        <x:f>IF(O124&gt;=$X$12,"Foundational deep pass",IF(O124&gt;=$X$13,"Major deep pass",IF(O124&gt;=$X$14,"Targeted innovation pass",IF(O124&gt;=$X$15,"Sampling pass","Reference / defer"))))</x:f>
        <x:v>Major deep pass</x:v>
      </x:c>
      <x:c r="Q124" s="120" t="str">
        <x:v>East Asian serial-media baseline</x:v>
      </x:c>
      <x:c r="R124" s="120" t="str">
        <x:v>Often contributes progression, reincarnation, guild, spirit, and system-fiction innovations; verify translations and source layers.</x:v>
      </x:c>
      <x:c r="S124" s="120" t="str">
        <x:v>Heuristic baseline — editorial review required</x:v>
      </x:c>
      <x:c r="T124" s="120" t="str">
        <x:v>https://en.wikipedia.org/wiki/Guin_Saga</x:v>
      </x:c>
      <x:c r="U124" s="121" t="n">
        <x:v>46236</x:v>
      </x:c>
    </x:row>
    <x:row r="125" ht="46" customHeight="1">
      <x:c r="A125" s="119" t="n">
        <x:v>119</x:v>
      </x:c>
      <x:c r="B125" s="119" t="str">
        <x:v>SRC-241</x:v>
      </x:c>
      <x:c r="C125" s="120" t="str">
        <x:v>Heaven Official's Blessing</x:v>
      </x:c>
      <x:c r="D125" s="120" t="str">
        <x:v>Web Novel / Donghua</x:v>
      </x:c>
      <x:c r="E125" s="120" t="str">
        <x:v>China</x:v>
      </x:c>
      <x:c r="F125" s="119" t="n">
        <x:f>COUNTIF('Seed Catalogue'!$C$2:$C$452,B125)</x:f>
        <x:v>0</x:v>
      </x:c>
      <x:c r="G125" s="122" t="n">
        <x:v>4</x:v>
      </x:c>
      <x:c r="H125" s="122" t="n">
        <x:v>3</x:v>
      </x:c>
      <x:c r="I125" s="122" t="n">
        <x:v>3</x:v>
      </x:c>
      <x:c r="J125" s="122" t="n">
        <x:v>4</x:v>
      </x:c>
      <x:c r="K125" s="122" t="n">
        <x:v>4</x:v>
      </x:c>
      <x:c r="L125" s="122" t="n">
        <x:v>4</x:v>
      </x:c>
      <x:c r="M125" s="122" t="n">
        <x:v>3</x:v>
      </x:c>
      <x:c r="N125" s="122" t="n">
        <x:v>2</x:v>
      </x:c>
      <x:c r="O125" s="123" t="n">
        <x:f>ROUND(G125/5*$X$2+H125/5*$X$3+I125/5*$X$4+J125/5*$X$5+K125/5*$X$6+L125/5*$X$7+M125/5*$X$8-N125/5*$X$9,1)</x:f>
        <x:v>64</x:v>
      </x:c>
      <x:c r="P125" s="119" t="str">
        <x:f>IF(O125&gt;=$X$12,"Foundational deep pass",IF(O125&gt;=$X$13,"Major deep pass",IF(O125&gt;=$X$14,"Targeted innovation pass",IF(O125&gt;=$X$15,"Sampling pass","Reference / defer"))))</x:f>
        <x:v>Major deep pass</x:v>
      </x:c>
      <x:c r="Q125" s="120" t="str">
        <x:v>East Asian serial-media baseline</x:v>
      </x:c>
      <x:c r="R125" s="120" t="str">
        <x:v>Often contributes progression, reincarnation, guild, spirit, and system-fiction innovations; verify translations and source layers.</x:v>
      </x:c>
      <x:c r="S125" s="120" t="str">
        <x:v>Heuristic baseline — editorial review required</x:v>
      </x:c>
      <x:c r="T125" s="120" t="str">
        <x:v>https://en.wikipedia.org/wiki/Heaven_Official's_Blessing</x:v>
      </x:c>
      <x:c r="U125" s="121" t="n">
        <x:v>46236</x:v>
      </x:c>
    </x:row>
    <x:row r="126" ht="46" customHeight="1">
      <x:c r="A126" s="119" t="n">
        <x:v>120</x:v>
      </x:c>
      <x:c r="B126" s="119" t="str">
        <x:v>SRC-202</x:v>
      </x:c>
      <x:c r="C126" s="120" t="str">
        <x:v>Inuyasha</x:v>
      </x:c>
      <x:c r="D126" s="120" t="str">
        <x:v>Manga / Anime</x:v>
      </x:c>
      <x:c r="E126" s="120" t="str">
        <x:v>Japan</x:v>
      </x:c>
      <x:c r="F126" s="119" t="n">
        <x:f>COUNTIF('Seed Catalogue'!$C$2:$C$452,B126)</x:f>
        <x:v>0</x:v>
      </x:c>
      <x:c r="G126" s="122" t="n">
        <x:v>4</x:v>
      </x:c>
      <x:c r="H126" s="122" t="n">
        <x:v>3</x:v>
      </x:c>
      <x:c r="I126" s="122" t="n">
        <x:v>3</x:v>
      </x:c>
      <x:c r="J126" s="122" t="n">
        <x:v>4</x:v>
      </x:c>
      <x:c r="K126" s="122" t="n">
        <x:v>4</x:v>
      </x:c>
      <x:c r="L126" s="122" t="n">
        <x:v>4</x:v>
      </x:c>
      <x:c r="M126" s="122" t="n">
        <x:v>3</x:v>
      </x:c>
      <x:c r="N126" s="122" t="n">
        <x:v>2</x:v>
      </x:c>
      <x:c r="O126" s="123" t="n">
        <x:f>ROUND(G126/5*$X$2+H126/5*$X$3+I126/5*$X$4+J126/5*$X$5+K126/5*$X$6+L126/5*$X$7+M126/5*$X$8-N126/5*$X$9,1)</x:f>
        <x:v>64</x:v>
      </x:c>
      <x:c r="P126" s="119" t="str">
        <x:f>IF(O126&gt;=$X$12,"Foundational deep pass",IF(O126&gt;=$X$13,"Major deep pass",IF(O126&gt;=$X$14,"Targeted innovation pass",IF(O126&gt;=$X$15,"Sampling pass","Reference / defer"))))</x:f>
        <x:v>Major deep pass</x:v>
      </x:c>
      <x:c r="Q126" s="120" t="str">
        <x:v>East Asian serial-media baseline</x:v>
      </x:c>
      <x:c r="R126" s="120" t="str">
        <x:v>Often contributes progression, reincarnation, guild, spirit, and system-fiction innovations; verify translations and source layers.</x:v>
      </x:c>
      <x:c r="S126" s="120" t="str">
        <x:v>Heuristic baseline — editorial review required</x:v>
      </x:c>
      <x:c r="T126" s="120" t="str">
        <x:v>https://en.wikipedia.org/wiki/Inuyasha</x:v>
      </x:c>
      <x:c r="U126" s="121" t="n">
        <x:v>46236</x:v>
      </x:c>
    </x:row>
    <x:row r="127" ht="46" customHeight="1">
      <x:c r="A127" s="119" t="n">
        <x:v>121</x:v>
      </x:c>
      <x:c r="B127" s="119" t="str">
        <x:v>SRC-233</x:v>
      </x:c>
      <x:c r="C127" s="120" t="str">
        <x:v>Jujutsu Kaisen</x:v>
      </x:c>
      <x:c r="D127" s="120" t="str">
        <x:v>Manga / Anime</x:v>
      </x:c>
      <x:c r="E127" s="120" t="str">
        <x:v>Japan</x:v>
      </x:c>
      <x:c r="F127" s="119" t="n">
        <x:f>COUNTIF('Seed Catalogue'!$C$2:$C$452,B127)</x:f>
        <x:v>0</x:v>
      </x:c>
      <x:c r="G127" s="122" t="n">
        <x:v>4</x:v>
      </x:c>
      <x:c r="H127" s="122" t="n">
        <x:v>3</x:v>
      </x:c>
      <x:c r="I127" s="122" t="n">
        <x:v>3</x:v>
      </x:c>
      <x:c r="J127" s="122" t="n">
        <x:v>4</x:v>
      </x:c>
      <x:c r="K127" s="122" t="n">
        <x:v>4</x:v>
      </x:c>
      <x:c r="L127" s="122" t="n">
        <x:v>4</x:v>
      </x:c>
      <x:c r="M127" s="122" t="n">
        <x:v>3</x:v>
      </x:c>
      <x:c r="N127" s="122" t="n">
        <x:v>2</x:v>
      </x:c>
      <x:c r="O127" s="123" t="n">
        <x:f>ROUND(G127/5*$X$2+H127/5*$X$3+I127/5*$X$4+J127/5*$X$5+K127/5*$X$6+L127/5*$X$7+M127/5*$X$8-N127/5*$X$9,1)</x:f>
        <x:v>64</x:v>
      </x:c>
      <x:c r="P127" s="119" t="str">
        <x:f>IF(O127&gt;=$X$12,"Foundational deep pass",IF(O127&gt;=$X$13,"Major deep pass",IF(O127&gt;=$X$14,"Targeted innovation pass",IF(O127&gt;=$X$15,"Sampling pass","Reference / defer"))))</x:f>
        <x:v>Major deep pass</x:v>
      </x:c>
      <x:c r="Q127" s="120" t="str">
        <x:v>East Asian serial-media baseline</x:v>
      </x:c>
      <x:c r="R127" s="120" t="str">
        <x:v>Often contributes progression, reincarnation, guild, spirit, and system-fiction innovations; verify translations and source layers.</x:v>
      </x:c>
      <x:c r="S127" s="120" t="str">
        <x:v>Heuristic baseline — editorial review required</x:v>
      </x:c>
      <x:c r="T127" s="120" t="str">
        <x:v>https://en.wikipedia.org/wiki/Jujutsu_Kaisen</x:v>
      </x:c>
      <x:c r="U127" s="121" t="n">
        <x:v>46236</x:v>
      </x:c>
    </x:row>
    <x:row r="128" ht="46" customHeight="1">
      <x:c r="A128" s="119" t="n">
        <x:v>122</x:v>
      </x:c>
      <x:c r="B128" s="119" t="str">
        <x:v>SRC-201</x:v>
      </x:c>
      <x:c r="C128" s="120" t="str">
        <x:v>Magi: The Labyrinth of Magic</x:v>
      </x:c>
      <x:c r="D128" s="120" t="str">
        <x:v>Manga / Anime</x:v>
      </x:c>
      <x:c r="E128" s="120" t="str">
        <x:v>Japan</x:v>
      </x:c>
      <x:c r="F128" s="119" t="n">
        <x:f>COUNTIF('Seed Catalogue'!$C$2:$C$452,B128)</x:f>
        <x:v>0</x:v>
      </x:c>
      <x:c r="G128" s="122" t="n">
        <x:v>4</x:v>
      </x:c>
      <x:c r="H128" s="122" t="n">
        <x:v>3</x:v>
      </x:c>
      <x:c r="I128" s="122" t="n">
        <x:v>3</x:v>
      </x:c>
      <x:c r="J128" s="122" t="n">
        <x:v>4</x:v>
      </x:c>
      <x:c r="K128" s="122" t="n">
        <x:v>4</x:v>
      </x:c>
      <x:c r="L128" s="122" t="n">
        <x:v>4</x:v>
      </x:c>
      <x:c r="M128" s="122" t="n">
        <x:v>3</x:v>
      </x:c>
      <x:c r="N128" s="122" t="n">
        <x:v>2</x:v>
      </x:c>
      <x:c r="O128" s="123" t="n">
        <x:f>ROUND(G128/5*$X$2+H128/5*$X$3+I128/5*$X$4+J128/5*$X$5+K128/5*$X$6+L128/5*$X$7+M128/5*$X$8-N128/5*$X$9,1)</x:f>
        <x:v>64</x:v>
      </x:c>
      <x:c r="P128" s="119" t="str">
        <x:f>IF(O128&gt;=$X$12,"Foundational deep pass",IF(O128&gt;=$X$13,"Major deep pass",IF(O128&gt;=$X$14,"Targeted innovation pass",IF(O128&gt;=$X$15,"Sampling pass","Reference / defer"))))</x:f>
        <x:v>Major deep pass</x:v>
      </x:c>
      <x:c r="Q128" s="120" t="str">
        <x:v>East Asian serial-media baseline</x:v>
      </x:c>
      <x:c r="R128" s="120" t="str">
        <x:v>Often contributes progression, reincarnation, guild, spirit, and system-fiction innovations; verify translations and source layers.</x:v>
      </x:c>
      <x:c r="S128" s="120" t="str">
        <x:v>Heuristic baseline — editorial review required</x:v>
      </x:c>
      <x:c r="T128" s="120" t="str">
        <x:v>https://en.wikipedia.org/wiki/Magi:_The_Labyrinth_of_Magic</x:v>
      </x:c>
      <x:c r="U128" s="121" t="n">
        <x:v>46236</x:v>
      </x:c>
    </x:row>
    <x:row r="129" ht="46" customHeight="1">
      <x:c r="A129" s="119" t="n">
        <x:v>123</x:v>
      </x:c>
      <x:c r="B129" s="119" t="str">
        <x:v>SRC-214</x:v>
      </x:c>
      <x:c r="C129" s="120" t="str">
        <x:v>Mushoku Tensei</x:v>
      </x:c>
      <x:c r="D129" s="120" t="str">
        <x:v>Web/Light Novel / Anime</x:v>
      </x:c>
      <x:c r="E129" s="120" t="str">
        <x:v>Japan</x:v>
      </x:c>
      <x:c r="F129" s="119" t="n">
        <x:f>COUNTIF('Seed Catalogue'!$C$2:$C$452,B129)</x:f>
        <x:v>0</x:v>
      </x:c>
      <x:c r="G129" s="122" t="n">
        <x:v>4</x:v>
      </x:c>
      <x:c r="H129" s="122" t="n">
        <x:v>3</x:v>
      </x:c>
      <x:c r="I129" s="122" t="n">
        <x:v>3</x:v>
      </x:c>
      <x:c r="J129" s="122" t="n">
        <x:v>4</x:v>
      </x:c>
      <x:c r="K129" s="122" t="n">
        <x:v>4</x:v>
      </x:c>
      <x:c r="L129" s="122" t="n">
        <x:v>4</x:v>
      </x:c>
      <x:c r="M129" s="122" t="n">
        <x:v>3</x:v>
      </x:c>
      <x:c r="N129" s="122" t="n">
        <x:v>2</x:v>
      </x:c>
      <x:c r="O129" s="123" t="n">
        <x:f>ROUND(G129/5*$X$2+H129/5*$X$3+I129/5*$X$4+J129/5*$X$5+K129/5*$X$6+L129/5*$X$7+M129/5*$X$8-N129/5*$X$9,1)</x:f>
        <x:v>64</x:v>
      </x:c>
      <x:c r="P129" s="119" t="str">
        <x:f>IF(O129&gt;=$X$12,"Foundational deep pass",IF(O129&gt;=$X$13,"Major deep pass",IF(O129&gt;=$X$14,"Targeted innovation pass",IF(O129&gt;=$X$15,"Sampling pass","Reference / defer"))))</x:f>
        <x:v>Major deep pass</x:v>
      </x:c>
      <x:c r="Q129" s="120" t="str">
        <x:v>East Asian serial-media baseline</x:v>
      </x:c>
      <x:c r="R129" s="120" t="str">
        <x:v>Often contributes progression, reincarnation, guild, spirit, and system-fiction innovations; verify translations and source layers.</x:v>
      </x:c>
      <x:c r="S129" s="120" t="str">
        <x:v>Heuristic baseline — editorial review required</x:v>
      </x:c>
      <x:c r="T129" s="120" t="str">
        <x:v>https://en.wikipedia.org/wiki/Mushoku_Tensei</x:v>
      </x:c>
      <x:c r="U129" s="121" t="n">
        <x:v>46236</x:v>
      </x:c>
    </x:row>
    <x:row r="130" ht="46" customHeight="1">
      <x:c r="A130" s="119" t="n">
        <x:v>124</x:v>
      </x:c>
      <x:c r="B130" s="119" t="str">
        <x:v>SRC-204</x:v>
      </x:c>
      <x:c r="C130" s="120" t="str">
        <x:v>Naruto</x:v>
      </x:c>
      <x:c r="D130" s="120" t="str">
        <x:v>Manga / Anime</x:v>
      </x:c>
      <x:c r="E130" s="120" t="str">
        <x:v>Japan</x:v>
      </x:c>
      <x:c r="F130" s="119" t="n">
        <x:f>COUNTIF('Seed Catalogue'!$C$2:$C$452,B130)</x:f>
        <x:v>0</x:v>
      </x:c>
      <x:c r="G130" s="122" t="n">
        <x:v>4</x:v>
      </x:c>
      <x:c r="H130" s="122" t="n">
        <x:v>3</x:v>
      </x:c>
      <x:c r="I130" s="122" t="n">
        <x:v>3</x:v>
      </x:c>
      <x:c r="J130" s="122" t="n">
        <x:v>4</x:v>
      </x:c>
      <x:c r="K130" s="122" t="n">
        <x:v>4</x:v>
      </x:c>
      <x:c r="L130" s="122" t="n">
        <x:v>4</x:v>
      </x:c>
      <x:c r="M130" s="122" t="n">
        <x:v>3</x:v>
      </x:c>
      <x:c r="N130" s="122" t="n">
        <x:v>2</x:v>
      </x:c>
      <x:c r="O130" s="123" t="n">
        <x:f>ROUND(G130/5*$X$2+H130/5*$X$3+I130/5*$X$4+J130/5*$X$5+K130/5*$X$6+L130/5*$X$7+M130/5*$X$8-N130/5*$X$9,1)</x:f>
        <x:v>64</x:v>
      </x:c>
      <x:c r="P130" s="119" t="str">
        <x:f>IF(O130&gt;=$X$12,"Foundational deep pass",IF(O130&gt;=$X$13,"Major deep pass",IF(O130&gt;=$X$14,"Targeted innovation pass",IF(O130&gt;=$X$15,"Sampling pass","Reference / defer"))))</x:f>
        <x:v>Major deep pass</x:v>
      </x:c>
      <x:c r="Q130" s="120" t="str">
        <x:v>East Asian serial-media baseline</x:v>
      </x:c>
      <x:c r="R130" s="120" t="str">
        <x:v>Often contributes progression, reincarnation, guild, spirit, and system-fiction innovations; verify translations and source layers.</x:v>
      </x:c>
      <x:c r="S130" s="120" t="str">
        <x:v>Heuristic baseline — editorial review required</x:v>
      </x:c>
      <x:c r="T130" s="120" t="str">
        <x:v>https://en.wikipedia.org/wiki/Naruto</x:v>
      </x:c>
      <x:c r="U130" s="121" t="n">
        <x:v>46236</x:v>
      </x:c>
    </x:row>
    <x:row r="131" ht="46" customHeight="1">
      <x:c r="A131" s="119" t="n">
        <x:v>125</x:v>
      </x:c>
      <x:c r="B131" s="119" t="str">
        <x:v>SRC-206</x:v>
      </x:c>
      <x:c r="C131" s="120" t="str">
        <x:v>One Piece</x:v>
      </x:c>
      <x:c r="D131" s="120" t="str">
        <x:v>Manga / Anime</x:v>
      </x:c>
      <x:c r="E131" s="120" t="str">
        <x:v>Japan</x:v>
      </x:c>
      <x:c r="F131" s="119" t="n">
        <x:f>COUNTIF('Seed Catalogue'!$C$2:$C$452,B131)</x:f>
        <x:v>0</x:v>
      </x:c>
      <x:c r="G131" s="122" t="n">
        <x:v>4</x:v>
      </x:c>
      <x:c r="H131" s="122" t="n">
        <x:v>3</x:v>
      </x:c>
      <x:c r="I131" s="122" t="n">
        <x:v>3</x:v>
      </x:c>
      <x:c r="J131" s="122" t="n">
        <x:v>4</x:v>
      </x:c>
      <x:c r="K131" s="122" t="n">
        <x:v>4</x:v>
      </x:c>
      <x:c r="L131" s="122" t="n">
        <x:v>4</x:v>
      </x:c>
      <x:c r="M131" s="122" t="n">
        <x:v>3</x:v>
      </x:c>
      <x:c r="N131" s="122" t="n">
        <x:v>2</x:v>
      </x:c>
      <x:c r="O131" s="123" t="n">
        <x:f>ROUND(G131/5*$X$2+H131/5*$X$3+I131/5*$X$4+J131/5*$X$5+K131/5*$X$6+L131/5*$X$7+M131/5*$X$8-N131/5*$X$9,1)</x:f>
        <x:v>64</x:v>
      </x:c>
      <x:c r="P131" s="119" t="str">
        <x:f>IF(O131&gt;=$X$12,"Foundational deep pass",IF(O131&gt;=$X$13,"Major deep pass",IF(O131&gt;=$X$14,"Targeted innovation pass",IF(O131&gt;=$X$15,"Sampling pass","Reference / defer"))))</x:f>
        <x:v>Major deep pass</x:v>
      </x:c>
      <x:c r="Q131" s="120" t="str">
        <x:v>East Asian serial-media baseline</x:v>
      </x:c>
      <x:c r="R131" s="120" t="str">
        <x:v>Often contributes progression, reincarnation, guild, spirit, and system-fiction innovations; verify translations and source layers.</x:v>
      </x:c>
      <x:c r="S131" s="120" t="str">
        <x:v>Heuristic baseline — editorial review required</x:v>
      </x:c>
      <x:c r="T131" s="120" t="str">
        <x:v>https://en.wikipedia.org/wiki/One_Piece</x:v>
      </x:c>
      <x:c r="U131" s="121" t="n">
        <x:v>46236</x:v>
      </x:c>
    </x:row>
    <x:row r="132" ht="46" customHeight="1">
      <x:c r="A132" s="119" t="n">
        <x:v>126</x:v>
      </x:c>
      <x:c r="B132" s="119" t="str">
        <x:v>SRC-220</x:v>
      </x:c>
      <x:c r="C132" s="120" t="str">
        <x:v>Ranking of Kings</x:v>
      </x:c>
      <x:c r="D132" s="120" t="str">
        <x:v>Manga / Anime</x:v>
      </x:c>
      <x:c r="E132" s="120" t="str">
        <x:v>Japan</x:v>
      </x:c>
      <x:c r="F132" s="119" t="n">
        <x:f>COUNTIF('Seed Catalogue'!$C$2:$C$452,B132)</x:f>
        <x:v>0</x:v>
      </x:c>
      <x:c r="G132" s="122" t="n">
        <x:v>4</x:v>
      </x:c>
      <x:c r="H132" s="122" t="n">
        <x:v>3</x:v>
      </x:c>
      <x:c r="I132" s="122" t="n">
        <x:v>3</x:v>
      </x:c>
      <x:c r="J132" s="122" t="n">
        <x:v>4</x:v>
      </x:c>
      <x:c r="K132" s="122" t="n">
        <x:v>4</x:v>
      </x:c>
      <x:c r="L132" s="122" t="n">
        <x:v>4</x:v>
      </x:c>
      <x:c r="M132" s="122" t="n">
        <x:v>3</x:v>
      </x:c>
      <x:c r="N132" s="122" t="n">
        <x:v>2</x:v>
      </x:c>
      <x:c r="O132" s="123" t="n">
        <x:f>ROUND(G132/5*$X$2+H132/5*$X$3+I132/5*$X$4+J132/5*$X$5+K132/5*$X$6+L132/5*$X$7+M132/5*$X$8-N132/5*$X$9,1)</x:f>
        <x:v>64</x:v>
      </x:c>
      <x:c r="P132" s="119" t="str">
        <x:f>IF(O132&gt;=$X$12,"Foundational deep pass",IF(O132&gt;=$X$13,"Major deep pass",IF(O132&gt;=$X$14,"Targeted innovation pass",IF(O132&gt;=$X$15,"Sampling pass","Reference / defer"))))</x:f>
        <x:v>Major deep pass</x:v>
      </x:c>
      <x:c r="Q132" s="120" t="str">
        <x:v>East Asian serial-media baseline</x:v>
      </x:c>
      <x:c r="R132" s="120" t="str">
        <x:v>Often contributes progression, reincarnation, guild, spirit, and system-fiction innovations; verify translations and source layers.</x:v>
      </x:c>
      <x:c r="S132" s="120" t="str">
        <x:v>Heuristic baseline — editorial review required</x:v>
      </x:c>
      <x:c r="T132" s="120" t="str">
        <x:v>https://en.wikipedia.org/wiki/Ranking_of_Kings</x:v>
      </x:c>
      <x:c r="U132" s="121" t="n">
        <x:v>46236</x:v>
      </x:c>
    </x:row>
    <x:row r="133" ht="46" customHeight="1">
      <x:c r="A133" s="119" t="n">
        <x:v>127</x:v>
      </x:c>
      <x:c r="B133" s="119" t="str">
        <x:v>SRC-076</x:v>
      </x:c>
      <x:c r="C133" s="120" t="str">
        <x:v>Slayers</x:v>
      </x:c>
      <x:c r="D133" s="120" t="str">
        <x:v>Light Novel / Anime</x:v>
      </x:c>
      <x:c r="E133" s="120" t="str">
        <x:v>Japan</x:v>
      </x:c>
      <x:c r="F133" s="119" t="n">
        <x:f>COUNTIF('Seed Catalogue'!$C$2:$C$452,B133)</x:f>
        <x:v>0</x:v>
      </x:c>
      <x:c r="G133" s="122" t="n">
        <x:v>4</x:v>
      </x:c>
      <x:c r="H133" s="122" t="n">
        <x:v>3</x:v>
      </x:c>
      <x:c r="I133" s="122" t="n">
        <x:v>3</x:v>
      </x:c>
      <x:c r="J133" s="122" t="n">
        <x:v>4</x:v>
      </x:c>
      <x:c r="K133" s="122" t="n">
        <x:v>4</x:v>
      </x:c>
      <x:c r="L133" s="122" t="n">
        <x:v>4</x:v>
      </x:c>
      <x:c r="M133" s="122" t="n">
        <x:v>3</x:v>
      </x:c>
      <x:c r="N133" s="122" t="n">
        <x:v>2</x:v>
      </x:c>
      <x:c r="O133" s="123" t="n">
        <x:f>ROUND(G133/5*$X$2+H133/5*$X$3+I133/5*$X$4+J133/5*$X$5+K133/5*$X$6+L133/5*$X$7+M133/5*$X$8-N133/5*$X$9,1)</x:f>
        <x:v>64</x:v>
      </x:c>
      <x:c r="P133" s="119" t="str">
        <x:f>IF(O133&gt;=$X$12,"Foundational deep pass",IF(O133&gt;=$X$13,"Major deep pass",IF(O133&gt;=$X$14,"Targeted innovation pass",IF(O133&gt;=$X$15,"Sampling pass","Reference / defer"))))</x:f>
        <x:v>Major deep pass</x:v>
      </x:c>
      <x:c r="Q133" s="120" t="str">
        <x:v>East Asian serial-media baseline</x:v>
      </x:c>
      <x:c r="R133" s="120" t="str">
        <x:v>Often contributes progression, reincarnation, guild, spirit, and system-fiction innovations; verify translations and source layers.</x:v>
      </x:c>
      <x:c r="S133" s="120" t="str">
        <x:v>Heuristic baseline — editorial review required</x:v>
      </x:c>
      <x:c r="T133" s="120" t="str">
        <x:v>https://en.wikipedia.org/wiki/Slayers</x:v>
      </x:c>
      <x:c r="U133" s="121" t="n">
        <x:v>46236</x:v>
      </x:c>
    </x:row>
    <x:row r="134" ht="46" customHeight="1">
      <x:c r="A134" s="119" t="n">
        <x:v>128</x:v>
      </x:c>
      <x:c r="B134" s="119" t="str">
        <x:v>SRC-245</x:v>
      </x:c>
      <x:c r="C134" s="120" t="str">
        <x:v>So I'm a Spider, So What?</x:v>
      </x:c>
      <x:c r="D134" s="120" t="str">
        <x:v>Light Novel / Anime</x:v>
      </x:c>
      <x:c r="E134" s="120" t="str">
        <x:v>Japan</x:v>
      </x:c>
      <x:c r="F134" s="119" t="n">
        <x:f>COUNTIF('Seed Catalogue'!$C$2:$C$452,B134)</x:f>
        <x:v>0</x:v>
      </x:c>
      <x:c r="G134" s="122" t="n">
        <x:v>4</x:v>
      </x:c>
      <x:c r="H134" s="122" t="n">
        <x:v>3</x:v>
      </x:c>
      <x:c r="I134" s="122" t="n">
        <x:v>3</x:v>
      </x:c>
      <x:c r="J134" s="122" t="n">
        <x:v>4</x:v>
      </x:c>
      <x:c r="K134" s="122" t="n">
        <x:v>4</x:v>
      </x:c>
      <x:c r="L134" s="122" t="n">
        <x:v>4</x:v>
      </x:c>
      <x:c r="M134" s="122" t="n">
        <x:v>3</x:v>
      </x:c>
      <x:c r="N134" s="122" t="n">
        <x:v>2</x:v>
      </x:c>
      <x:c r="O134" s="123" t="n">
        <x:f>ROUND(G134/5*$X$2+H134/5*$X$3+I134/5*$X$4+J134/5*$X$5+K134/5*$X$6+L134/5*$X$7+M134/5*$X$8-N134/5*$X$9,1)</x:f>
        <x:v>64</x:v>
      </x:c>
      <x:c r="P134" s="119" t="str">
        <x:f>IF(O134&gt;=$X$12,"Foundational deep pass",IF(O134&gt;=$X$13,"Major deep pass",IF(O134&gt;=$X$14,"Targeted innovation pass",IF(O134&gt;=$X$15,"Sampling pass","Reference / defer"))))</x:f>
        <x:v>Major deep pass</x:v>
      </x:c>
      <x:c r="Q134" s="120" t="str">
        <x:v>East Asian serial-media baseline</x:v>
      </x:c>
      <x:c r="R134" s="120" t="str">
        <x:v>Often contributes progression, reincarnation, guild, spirit, and system-fiction innovations; verify translations and source layers.</x:v>
      </x:c>
      <x:c r="S134" s="120" t="str">
        <x:v>Heuristic baseline — editorial review required</x:v>
      </x:c>
      <x:c r="T134" s="120" t="str">
        <x:v>https://en.wikipedia.org/wiki/So_I'm_a_Spider,_So_What%3F</x:v>
      </x:c>
      <x:c r="U134" s="121" t="n">
        <x:v>46236</x:v>
      </x:c>
    </x:row>
    <x:row r="135" ht="46" customHeight="1">
      <x:c r="A135" s="119" t="n">
        <x:v>129</x:v>
      </x:c>
      <x:c r="B135" s="119" t="str">
        <x:v>SRC-216</x:v>
      </x:c>
      <x:c r="C135" s="120" t="str">
        <x:v>Sword Art Online</x:v>
      </x:c>
      <x:c r="D135" s="120" t="str">
        <x:v>Light Novel / Anime</x:v>
      </x:c>
      <x:c r="E135" s="120" t="str">
        <x:v>Japan</x:v>
      </x:c>
      <x:c r="F135" s="119" t="n">
        <x:f>COUNTIF('Seed Catalogue'!$C$2:$C$452,B135)</x:f>
        <x:v>0</x:v>
      </x:c>
      <x:c r="G135" s="122" t="n">
        <x:v>4</x:v>
      </x:c>
      <x:c r="H135" s="122" t="n">
        <x:v>3</x:v>
      </x:c>
      <x:c r="I135" s="122" t="n">
        <x:v>3</x:v>
      </x:c>
      <x:c r="J135" s="122" t="n">
        <x:v>4</x:v>
      </x:c>
      <x:c r="K135" s="122" t="n">
        <x:v>4</x:v>
      </x:c>
      <x:c r="L135" s="122" t="n">
        <x:v>4</x:v>
      </x:c>
      <x:c r="M135" s="122" t="n">
        <x:v>3</x:v>
      </x:c>
      <x:c r="N135" s="122" t="n">
        <x:v>2</x:v>
      </x:c>
      <x:c r="O135" s="123" t="n">
        <x:f>ROUND(G135/5*$X$2+H135/5*$X$3+I135/5*$X$4+J135/5*$X$5+K135/5*$X$6+L135/5*$X$7+M135/5*$X$8-N135/5*$X$9,1)</x:f>
        <x:v>64</x:v>
      </x:c>
      <x:c r="P135" s="119" t="str">
        <x:f>IF(O135&gt;=$X$12,"Foundational deep pass",IF(O135&gt;=$X$13,"Major deep pass",IF(O135&gt;=$X$14,"Targeted innovation pass",IF(O135&gt;=$X$15,"Sampling pass","Reference / defer"))))</x:f>
        <x:v>Major deep pass</x:v>
      </x:c>
      <x:c r="Q135" s="120" t="str">
        <x:v>East Asian serial-media baseline</x:v>
      </x:c>
      <x:c r="R135" s="120" t="str">
        <x:v>Often contributes progression, reincarnation, guild, spirit, and system-fiction innovations; verify translations and source layers.</x:v>
      </x:c>
      <x:c r="S135" s="120" t="str">
        <x:v>Heuristic baseline — editorial review required</x:v>
      </x:c>
      <x:c r="T135" s="120" t="str">
        <x:v>https://en.wikipedia.org/wiki/Sword_Art_Online</x:v>
      </x:c>
      <x:c r="U135" s="121" t="n">
        <x:v>46236</x:v>
      </x:c>
    </x:row>
    <x:row r="136" ht="46" customHeight="1">
      <x:c r="A136" s="119" t="n">
        <x:v>130</x:v>
      </x:c>
      <x:c r="B136" s="119" t="str">
        <x:v>SRC-224</x:v>
      </x:c>
      <x:c r="C136" s="120" t="str">
        <x:v>The Faraway Paladin</x:v>
      </x:c>
      <x:c r="D136" s="120" t="str">
        <x:v>Light Novel / Anime</x:v>
      </x:c>
      <x:c r="E136" s="120" t="str">
        <x:v>Japan</x:v>
      </x:c>
      <x:c r="F136" s="119" t="n">
        <x:f>COUNTIF('Seed Catalogue'!$C$2:$C$452,B136)</x:f>
        <x:v>0</x:v>
      </x:c>
      <x:c r="G136" s="122" t="n">
        <x:v>4</x:v>
      </x:c>
      <x:c r="H136" s="122" t="n">
        <x:v>3</x:v>
      </x:c>
      <x:c r="I136" s="122" t="n">
        <x:v>3</x:v>
      </x:c>
      <x:c r="J136" s="122" t="n">
        <x:v>4</x:v>
      </x:c>
      <x:c r="K136" s="122" t="n">
        <x:v>4</x:v>
      </x:c>
      <x:c r="L136" s="122" t="n">
        <x:v>4</x:v>
      </x:c>
      <x:c r="M136" s="122" t="n">
        <x:v>3</x:v>
      </x:c>
      <x:c r="N136" s="122" t="n">
        <x:v>2</x:v>
      </x:c>
      <x:c r="O136" s="123" t="n">
        <x:f>ROUND(G136/5*$X$2+H136/5*$X$3+I136/5*$X$4+J136/5*$X$5+K136/5*$X$6+L136/5*$X$7+M136/5*$X$8-N136/5*$X$9,1)</x:f>
        <x:v>64</x:v>
      </x:c>
      <x:c r="P136" s="119" t="str">
        <x:f>IF(O136&gt;=$X$12,"Foundational deep pass",IF(O136&gt;=$X$13,"Major deep pass",IF(O136&gt;=$X$14,"Targeted innovation pass",IF(O136&gt;=$X$15,"Sampling pass","Reference / defer"))))</x:f>
        <x:v>Major deep pass</x:v>
      </x:c>
      <x:c r="Q136" s="120" t="str">
        <x:v>East Asian serial-media baseline</x:v>
      </x:c>
      <x:c r="R136" s="120" t="str">
        <x:v>Often contributes progression, reincarnation, guild, spirit, and system-fiction innovations; verify translations and source layers.</x:v>
      </x:c>
      <x:c r="S136" s="120" t="str">
        <x:v>Heuristic baseline — editorial review required</x:v>
      </x:c>
      <x:c r="T136" s="120" t="str">
        <x:v>https://en.wikipedia.org/wiki/The_Faraway_Paladin</x:v>
      </x:c>
      <x:c r="U136" s="121" t="n">
        <x:v>46236</x:v>
      </x:c>
    </x:row>
    <x:row r="137" ht="46" customHeight="1">
      <x:c r="A137" s="119" t="n">
        <x:v>131</x:v>
      </x:c>
      <x:c r="B137" s="119" t="str">
        <x:v>SRC-239</x:v>
      </x:c>
      <x:c r="C137" s="120" t="str">
        <x:v>The King's Avatar</x:v>
      </x:c>
      <x:c r="D137" s="120" t="str">
        <x:v>Web Novel / Animation</x:v>
      </x:c>
      <x:c r="E137" s="120" t="str">
        <x:v>China</x:v>
      </x:c>
      <x:c r="F137" s="119" t="n">
        <x:f>COUNTIF('Seed Catalogue'!$C$2:$C$452,B137)</x:f>
        <x:v>0</x:v>
      </x:c>
      <x:c r="G137" s="122" t="n">
        <x:v>4</x:v>
      </x:c>
      <x:c r="H137" s="122" t="n">
        <x:v>3</x:v>
      </x:c>
      <x:c r="I137" s="122" t="n">
        <x:v>3</x:v>
      </x:c>
      <x:c r="J137" s="122" t="n">
        <x:v>4</x:v>
      </x:c>
      <x:c r="K137" s="122" t="n">
        <x:v>4</x:v>
      </x:c>
      <x:c r="L137" s="122" t="n">
        <x:v>4</x:v>
      </x:c>
      <x:c r="M137" s="122" t="n">
        <x:v>3</x:v>
      </x:c>
      <x:c r="N137" s="122" t="n">
        <x:v>2</x:v>
      </x:c>
      <x:c r="O137" s="123" t="n">
        <x:f>ROUND(G137/5*$X$2+H137/5*$X$3+I137/5*$X$4+J137/5*$X$5+K137/5*$X$6+L137/5*$X$7+M137/5*$X$8-N137/5*$X$9,1)</x:f>
        <x:v>64</x:v>
      </x:c>
      <x:c r="P137" s="119" t="str">
        <x:f>IF(O137&gt;=$X$12,"Foundational deep pass",IF(O137&gt;=$X$13,"Major deep pass",IF(O137&gt;=$X$14,"Targeted innovation pass",IF(O137&gt;=$X$15,"Sampling pass","Reference / defer"))))</x:f>
        <x:v>Major deep pass</x:v>
      </x:c>
      <x:c r="Q137" s="120" t="str">
        <x:v>East Asian serial-media baseline</x:v>
      </x:c>
      <x:c r="R137" s="120" t="str">
        <x:v>Often contributes progression, reincarnation, guild, spirit, and system-fiction innovations; verify translations and source layers.</x:v>
      </x:c>
      <x:c r="S137" s="120" t="str">
        <x:v>Heuristic baseline — editorial review required</x:v>
      </x:c>
      <x:c r="T137" s="120" t="str">
        <x:v>https://en.wikipedia.org/wiki/The_King's_Avatar</x:v>
      </x:c>
      <x:c r="U137" s="121" t="n">
        <x:v>46236</x:v>
      </x:c>
    </x:row>
    <x:row r="138" ht="46" customHeight="1">
      <x:c r="A138" s="119" t="n">
        <x:v>132</x:v>
      </x:c>
      <x:c r="B138" s="119" t="str">
        <x:v>SRC-213</x:v>
      </x:c>
      <x:c r="C138" s="120" t="str">
        <x:v>The Rising of the Shield Hero</x:v>
      </x:c>
      <x:c r="D138" s="120" t="str">
        <x:v>Web/Light Novel / Anime</x:v>
      </x:c>
      <x:c r="E138" s="120" t="str">
        <x:v>Japan</x:v>
      </x:c>
      <x:c r="F138" s="119" t="n">
        <x:f>COUNTIF('Seed Catalogue'!$C$2:$C$452,B138)</x:f>
        <x:v>0</x:v>
      </x:c>
      <x:c r="G138" s="122" t="n">
        <x:v>4</x:v>
      </x:c>
      <x:c r="H138" s="122" t="n">
        <x:v>3</x:v>
      </x:c>
      <x:c r="I138" s="122" t="n">
        <x:v>3</x:v>
      </x:c>
      <x:c r="J138" s="122" t="n">
        <x:v>4</x:v>
      </x:c>
      <x:c r="K138" s="122" t="n">
        <x:v>4</x:v>
      </x:c>
      <x:c r="L138" s="122" t="n">
        <x:v>4</x:v>
      </x:c>
      <x:c r="M138" s="122" t="n">
        <x:v>3</x:v>
      </x:c>
      <x:c r="N138" s="122" t="n">
        <x:v>2</x:v>
      </x:c>
      <x:c r="O138" s="123" t="n">
        <x:f>ROUND(G138/5*$X$2+H138/5*$X$3+I138/5*$X$4+J138/5*$X$5+K138/5*$X$6+L138/5*$X$7+M138/5*$X$8-N138/5*$X$9,1)</x:f>
        <x:v>64</x:v>
      </x:c>
      <x:c r="P138" s="119" t="str">
        <x:f>IF(O138&gt;=$X$12,"Foundational deep pass",IF(O138&gt;=$X$13,"Major deep pass",IF(O138&gt;=$X$14,"Targeted innovation pass",IF(O138&gt;=$X$15,"Sampling pass","Reference / defer"))))</x:f>
        <x:v>Major deep pass</x:v>
      </x:c>
      <x:c r="Q138" s="120" t="str">
        <x:v>East Asian serial-media baseline</x:v>
      </x:c>
      <x:c r="R138" s="120" t="str">
        <x:v>Often contributes progression, reincarnation, guild, spirit, and system-fiction innovations; verify translations and source layers.</x:v>
      </x:c>
      <x:c r="S138" s="120" t="str">
        <x:v>Heuristic baseline — editorial review required</x:v>
      </x:c>
      <x:c r="T138" s="120" t="str">
        <x:v>https://en.wikipedia.org/wiki/The_Rising_of_the_Shield_Hero</x:v>
      </x:c>
      <x:c r="U138" s="121" t="n">
        <x:v>46236</x:v>
      </x:c>
    </x:row>
    <x:row r="139" ht="46" customHeight="1">
      <x:c r="A139" s="119" t="n">
        <x:v>133</x:v>
      </x:c>
      <x:c r="B139" s="119" t="str">
        <x:v>SRC-225</x:v>
      </x:c>
      <x:c r="C139" s="120" t="str">
        <x:v>The Seven Deadly Sins</x:v>
      </x:c>
      <x:c r="D139" s="120" t="str">
        <x:v>Manga / Anime</x:v>
      </x:c>
      <x:c r="E139" s="120" t="str">
        <x:v>Japan</x:v>
      </x:c>
      <x:c r="F139" s="119" t="n">
        <x:f>COUNTIF('Seed Catalogue'!$C$2:$C$452,B139)</x:f>
        <x:v>0</x:v>
      </x:c>
      <x:c r="G139" s="122" t="n">
        <x:v>4</x:v>
      </x:c>
      <x:c r="H139" s="122" t="n">
        <x:v>3</x:v>
      </x:c>
      <x:c r="I139" s="122" t="n">
        <x:v>3</x:v>
      </x:c>
      <x:c r="J139" s="122" t="n">
        <x:v>4</x:v>
      </x:c>
      <x:c r="K139" s="122" t="n">
        <x:v>4</x:v>
      </x:c>
      <x:c r="L139" s="122" t="n">
        <x:v>4</x:v>
      </x:c>
      <x:c r="M139" s="122" t="n">
        <x:v>3</x:v>
      </x:c>
      <x:c r="N139" s="122" t="n">
        <x:v>2</x:v>
      </x:c>
      <x:c r="O139" s="123" t="n">
        <x:f>ROUND(G139/5*$X$2+H139/5*$X$3+I139/5*$X$4+J139/5*$X$5+K139/5*$X$6+L139/5*$X$7+M139/5*$X$8-N139/5*$X$9,1)</x:f>
        <x:v>64</x:v>
      </x:c>
      <x:c r="P139" s="119" t="str">
        <x:f>IF(O139&gt;=$X$12,"Foundational deep pass",IF(O139&gt;=$X$13,"Major deep pass",IF(O139&gt;=$X$14,"Targeted innovation pass",IF(O139&gt;=$X$15,"Sampling pass","Reference / defer"))))</x:f>
        <x:v>Major deep pass</x:v>
      </x:c>
      <x:c r="Q139" s="120" t="str">
        <x:v>East Asian serial-media baseline</x:v>
      </x:c>
      <x:c r="R139" s="120" t="str">
        <x:v>Often contributes progression, reincarnation, guild, spirit, and system-fiction innovations; verify translations and source layers.</x:v>
      </x:c>
      <x:c r="S139" s="120" t="str">
        <x:v>Heuristic baseline — editorial review required</x:v>
      </x:c>
      <x:c r="T139" s="120" t="str">
        <x:v>https://en.wikipedia.org/wiki/The_Seven_Deadly_Sins</x:v>
      </x:c>
      <x:c r="U139" s="121" t="n">
        <x:v>46236</x:v>
      </x:c>
    </x:row>
    <x:row r="140" ht="46" customHeight="1">
      <x:c r="A140" s="119" t="n">
        <x:v>134</x:v>
      </x:c>
      <x:c r="B140" s="119" t="str">
        <x:v>SRC-228</x:v>
      </x:c>
      <x:c r="C140" s="120" t="str">
        <x:v>The Vision of Escaflowne</x:v>
      </x:c>
      <x:c r="D140" s="120" t="str">
        <x:v>Anime / Manga</x:v>
      </x:c>
      <x:c r="E140" s="120" t="str">
        <x:v>Japan</x:v>
      </x:c>
      <x:c r="F140" s="119" t="n">
        <x:f>COUNTIF('Seed Catalogue'!$C$2:$C$452,B140)</x:f>
        <x:v>0</x:v>
      </x:c>
      <x:c r="G140" s="122" t="n">
        <x:v>4</x:v>
      </x:c>
      <x:c r="H140" s="122" t="n">
        <x:v>3</x:v>
      </x:c>
      <x:c r="I140" s="122" t="n">
        <x:v>3</x:v>
      </x:c>
      <x:c r="J140" s="122" t="n">
        <x:v>4</x:v>
      </x:c>
      <x:c r="K140" s="122" t="n">
        <x:v>4</x:v>
      </x:c>
      <x:c r="L140" s="122" t="n">
        <x:v>4</x:v>
      </x:c>
      <x:c r="M140" s="122" t="n">
        <x:v>3</x:v>
      </x:c>
      <x:c r="N140" s="122" t="n">
        <x:v>2</x:v>
      </x:c>
      <x:c r="O140" s="123" t="n">
        <x:f>ROUND(G140/5*$X$2+H140/5*$X$3+I140/5*$X$4+J140/5*$X$5+K140/5*$X$6+L140/5*$X$7+M140/5*$X$8-N140/5*$X$9,1)</x:f>
        <x:v>64</x:v>
      </x:c>
      <x:c r="P140" s="119" t="str">
        <x:f>IF(O140&gt;=$X$12,"Foundational deep pass",IF(O140&gt;=$X$13,"Major deep pass",IF(O140&gt;=$X$14,"Targeted innovation pass",IF(O140&gt;=$X$15,"Sampling pass","Reference / defer"))))</x:f>
        <x:v>Major deep pass</x:v>
      </x:c>
      <x:c r="Q140" s="120" t="str">
        <x:v>East Asian serial-media baseline</x:v>
      </x:c>
      <x:c r="R140" s="120" t="str">
        <x:v>Often contributes progression, reincarnation, guild, spirit, and system-fiction innovations; verify translations and source layers.</x:v>
      </x:c>
      <x:c r="S140" s="120" t="str">
        <x:v>Heuristic baseline — editorial review required</x:v>
      </x:c>
      <x:c r="T140" s="120" t="str">
        <x:v>https://en.wikipedia.org/wiki/The_Vision_of_Escaflowne</x:v>
      </x:c>
      <x:c r="U140" s="121" t="n">
        <x:v>46236</x:v>
      </x:c>
    </x:row>
    <x:row r="141" ht="46" customHeight="1">
      <x:c r="A141" s="119" t="n">
        <x:v>135</x:v>
      </x:c>
      <x:c r="B141" s="119" t="str">
        <x:v>SRC-237</x:v>
      </x:c>
      <x:c r="C141" s="120" t="str">
        <x:v>Tower of God</x:v>
      </x:c>
      <x:c r="D141" s="120" t="str">
        <x:v>Webtoon / Anime</x:v>
      </x:c>
      <x:c r="E141" s="120" t="str">
        <x:v>South Korea</x:v>
      </x:c>
      <x:c r="F141" s="119" t="n">
        <x:f>COUNTIF('Seed Catalogue'!$C$2:$C$452,B141)</x:f>
        <x:v>0</x:v>
      </x:c>
      <x:c r="G141" s="122" t="n">
        <x:v>4</x:v>
      </x:c>
      <x:c r="H141" s="122" t="n">
        <x:v>3</x:v>
      </x:c>
      <x:c r="I141" s="122" t="n">
        <x:v>3</x:v>
      </x:c>
      <x:c r="J141" s="122" t="n">
        <x:v>4</x:v>
      </x:c>
      <x:c r="K141" s="122" t="n">
        <x:v>4</x:v>
      </x:c>
      <x:c r="L141" s="122" t="n">
        <x:v>4</x:v>
      </x:c>
      <x:c r="M141" s="122" t="n">
        <x:v>3</x:v>
      </x:c>
      <x:c r="N141" s="122" t="n">
        <x:v>2</x:v>
      </x:c>
      <x:c r="O141" s="123" t="n">
        <x:f>ROUND(G141/5*$X$2+H141/5*$X$3+I141/5*$X$4+J141/5*$X$5+K141/5*$X$6+L141/5*$X$7+M141/5*$X$8-N141/5*$X$9,1)</x:f>
        <x:v>64</x:v>
      </x:c>
      <x:c r="P141" s="119" t="str">
        <x:f>IF(O141&gt;=$X$12,"Foundational deep pass",IF(O141&gt;=$X$13,"Major deep pass",IF(O141&gt;=$X$14,"Targeted innovation pass",IF(O141&gt;=$X$15,"Sampling pass","Reference / defer"))))</x:f>
        <x:v>Major deep pass</x:v>
      </x:c>
      <x:c r="Q141" s="120" t="str">
        <x:v>East Asian serial-media baseline</x:v>
      </x:c>
      <x:c r="R141" s="120" t="str">
        <x:v>Often contributes progression, reincarnation, guild, spirit, and system-fiction innovations; verify translations and source layers.</x:v>
      </x:c>
      <x:c r="S141" s="120" t="str">
        <x:v>Heuristic baseline — editorial review required</x:v>
      </x:c>
      <x:c r="T141" s="120" t="str">
        <x:v>https://en.wikipedia.org/wiki/Tower_of_God</x:v>
      </x:c>
      <x:c r="U141" s="121" t="n">
        <x:v>46236</x:v>
      </x:c>
    </x:row>
    <x:row r="142" ht="46" customHeight="1">
      <x:c r="A142" s="119" t="n">
        <x:v>136</x:v>
      </x:c>
      <x:c r="B142" s="119" t="str">
        <x:v>SRC-208</x:v>
      </x:c>
      <x:c r="C142" s="120" t="str">
        <x:v>Yu Yu Hakusho</x:v>
      </x:c>
      <x:c r="D142" s="120" t="str">
        <x:v>Manga / Anime</x:v>
      </x:c>
      <x:c r="E142" s="120" t="str">
        <x:v>Japan</x:v>
      </x:c>
      <x:c r="F142" s="119" t="n">
        <x:f>COUNTIF('Seed Catalogue'!$C$2:$C$452,B142)</x:f>
        <x:v>0</x:v>
      </x:c>
      <x:c r="G142" s="122" t="n">
        <x:v>4</x:v>
      </x:c>
      <x:c r="H142" s="122" t="n">
        <x:v>3</x:v>
      </x:c>
      <x:c r="I142" s="122" t="n">
        <x:v>3</x:v>
      </x:c>
      <x:c r="J142" s="122" t="n">
        <x:v>4</x:v>
      </x:c>
      <x:c r="K142" s="122" t="n">
        <x:v>4</x:v>
      </x:c>
      <x:c r="L142" s="122" t="n">
        <x:v>4</x:v>
      </x:c>
      <x:c r="M142" s="122" t="n">
        <x:v>3</x:v>
      </x:c>
      <x:c r="N142" s="122" t="n">
        <x:v>2</x:v>
      </x:c>
      <x:c r="O142" s="123" t="n">
        <x:f>ROUND(G142/5*$X$2+H142/5*$X$3+I142/5*$X$4+J142/5*$X$5+K142/5*$X$6+L142/5*$X$7+M142/5*$X$8-N142/5*$X$9,1)</x:f>
        <x:v>64</x:v>
      </x:c>
      <x:c r="P142" s="119" t="str">
        <x:f>IF(O142&gt;=$X$12,"Foundational deep pass",IF(O142&gt;=$X$13,"Major deep pass",IF(O142&gt;=$X$14,"Targeted innovation pass",IF(O142&gt;=$X$15,"Sampling pass","Reference / defer"))))</x:f>
        <x:v>Major deep pass</x:v>
      </x:c>
      <x:c r="Q142" s="120" t="str">
        <x:v>East Asian serial-media baseline</x:v>
      </x:c>
      <x:c r="R142" s="120" t="str">
        <x:v>Often contributes progression, reincarnation, guild, spirit, and system-fiction innovations; verify translations and source layers.</x:v>
      </x:c>
      <x:c r="S142" s="120" t="str">
        <x:v>Heuristic baseline — editorial review required</x:v>
      </x:c>
      <x:c r="T142" s="120" t="str">
        <x:v>https://en.wikipedia.org/wiki/Yu_Yu_Hakusho</x:v>
      </x:c>
      <x:c r="U142" s="121" t="n">
        <x:v>46236</x:v>
      </x:c>
    </x:row>
    <x:row r="143" ht="46" customHeight="1">
      <x:c r="A143" s="119" t="n">
        <x:v>137</x:v>
      </x:c>
      <x:c r="B143" s="119" t="str">
        <x:v>SRC-077</x:v>
      </x:c>
      <x:c r="C143" s="120" t="str">
        <x:v>A Record of a Mortal's Journey to Immortality</x:v>
      </x:c>
      <x:c r="D143" s="120" t="str">
        <x:v>Web Novel</x:v>
      </x:c>
      <x:c r="E143" s="120" t="str">
        <x:v>China / xianxia</x:v>
      </x:c>
      <x:c r="F143" s="119" t="n">
        <x:f>COUNTIF('Seed Catalogue'!$C$2:$C$452,B143)</x:f>
        <x:v>9</x:v>
      </x:c>
      <x:c r="G143" s="122" t="n">
        <x:v>4</x:v>
      </x:c>
      <x:c r="H143" s="122" t="n">
        <x:v>3</x:v>
      </x:c>
      <x:c r="I143" s="122" t="n">
        <x:v>3</x:v>
      </x:c>
      <x:c r="J143" s="122" t="n">
        <x:v>5</x:v>
      </x:c>
      <x:c r="K143" s="122" t="n">
        <x:v>4</x:v>
      </x:c>
      <x:c r="L143" s="122" t="n">
        <x:v>4</x:v>
      </x:c>
      <x:c r="M143" s="122" t="n">
        <x:v>3</x:v>
      </x:c>
      <x:c r="N143" s="122" t="n">
        <x:v>3</x:v>
      </x:c>
      <x:c r="O143" s="123" t="n">
        <x:f>ROUND(G143/5*$X$2+H143/5*$X$3+I143/5*$X$4+J143/5*$X$5+K143/5*$X$6+L143/5*$X$7+M143/5*$X$8-N143/5*$X$9,1)</x:f>
        <x:v>63</x:v>
      </x:c>
      <x:c r="P143" s="119" t="str">
        <x:f>IF(O143&gt;=$X$12,"Foundational deep pass",IF(O143&gt;=$X$13,"Major deep pass",IF(O143&gt;=$X$14,"Targeted innovation pass",IF(O143&gt;=$X$15,"Sampling pass","Reference / defer"))))</x:f>
        <x:v>Major deep pass</x:v>
      </x:c>
      <x:c r="Q143" s="120" t="str">
        <x:v>East Asian serial-media baseline</x:v>
      </x:c>
      <x:c r="R143" s="120" t="str">
        <x:v>Often contributes progression, reincarnation, guild, spirit, and system-fiction innovations; verify translations and source layers.</x:v>
      </x:c>
      <x:c r="S143" s="120" t="str">
        <x:v>Heuristic baseline — editorial review required</x:v>
      </x:c>
      <x:c r="T143" s="120" t="str">
        <x:v>https://en.wikipedia.org/wiki/A_Record_of_a_Mortal's_Journey_to_Immortality</x:v>
      </x:c>
      <x:c r="U143" s="121" t="n">
        <x:v>46236</x:v>
      </x:c>
    </x:row>
    <x:row r="144" ht="46" customHeight="1">
      <x:c r="A144" s="119" t="n">
        <x:v>138</x:v>
      </x:c>
      <x:c r="B144" s="119" t="str">
        <x:v>SRC-197</x:v>
      </x:c>
      <x:c r="C144" s="120" t="str">
        <x:v>Delicious in Dungeon</x:v>
      </x:c>
      <x:c r="D144" s="120" t="str">
        <x:v>Manga / Anime</x:v>
      </x:c>
      <x:c r="E144" s="120" t="str">
        <x:v>Japan</x:v>
      </x:c>
      <x:c r="F144" s="119" t="n">
        <x:f>COUNTIF('Seed Catalogue'!$C$2:$C$452,B144)</x:f>
        <x:v>10</x:v>
      </x:c>
      <x:c r="G144" s="122" t="n">
        <x:v>4</x:v>
      </x:c>
      <x:c r="H144" s="122" t="n">
        <x:v>3</x:v>
      </x:c>
      <x:c r="I144" s="122" t="n">
        <x:v>3</x:v>
      </x:c>
      <x:c r="J144" s="122" t="n">
        <x:v>5</x:v>
      </x:c>
      <x:c r="K144" s="122" t="n">
        <x:v>4</x:v>
      </x:c>
      <x:c r="L144" s="122" t="n">
        <x:v>4</x:v>
      </x:c>
      <x:c r="M144" s="122" t="n">
        <x:v>3</x:v>
      </x:c>
      <x:c r="N144" s="122" t="n">
        <x:v>3</x:v>
      </x:c>
      <x:c r="O144" s="123" t="n">
        <x:f>ROUND(G144/5*$X$2+H144/5*$X$3+I144/5*$X$4+J144/5*$X$5+K144/5*$X$6+L144/5*$X$7+M144/5*$X$8-N144/5*$X$9,1)</x:f>
        <x:v>63</x:v>
      </x:c>
      <x:c r="P144" s="119" t="str">
        <x:f>IF(O144&gt;=$X$12,"Foundational deep pass",IF(O144&gt;=$X$13,"Major deep pass",IF(O144&gt;=$X$14,"Targeted innovation pass",IF(O144&gt;=$X$15,"Sampling pass","Reference / defer"))))</x:f>
        <x:v>Major deep pass</x:v>
      </x:c>
      <x:c r="Q144" s="120" t="str">
        <x:v>East Asian serial-media baseline</x:v>
      </x:c>
      <x:c r="R144" s="120" t="str">
        <x:v>Often contributes progression, reincarnation, guild, spirit, and system-fiction innovations; verify translations and source layers.</x:v>
      </x:c>
      <x:c r="S144" s="120" t="str">
        <x:v>Heuristic baseline — editorial review required</x:v>
      </x:c>
      <x:c r="T144" s="120" t="str">
        <x:v>https://en.wikipedia.org/wiki/Delicious_in_Dungeon</x:v>
      </x:c>
      <x:c r="U144" s="121" t="n">
        <x:v>46236</x:v>
      </x:c>
    </x:row>
    <x:row r="145" ht="46" customHeight="1">
      <x:c r="A145" s="119" t="n">
        <x:v>139</x:v>
      </x:c>
      <x:c r="B145" s="119" t="str">
        <x:v>SRC-196</x:v>
      </x:c>
      <x:c r="C145" s="120" t="str">
        <x:v>Frieren: Beyond Journey's End</x:v>
      </x:c>
      <x:c r="D145" s="120" t="str">
        <x:v>Manga / Anime</x:v>
      </x:c>
      <x:c r="E145" s="120" t="str">
        <x:v>Japan</x:v>
      </x:c>
      <x:c r="F145" s="119" t="n">
        <x:f>COUNTIF('Seed Catalogue'!$C$2:$C$452,B145)</x:f>
        <x:v>9</x:v>
      </x:c>
      <x:c r="G145" s="122" t="n">
        <x:v>4</x:v>
      </x:c>
      <x:c r="H145" s="122" t="n">
        <x:v>3</x:v>
      </x:c>
      <x:c r="I145" s="122" t="n">
        <x:v>3</x:v>
      </x:c>
      <x:c r="J145" s="122" t="n">
        <x:v>5</x:v>
      </x:c>
      <x:c r="K145" s="122" t="n">
        <x:v>4</x:v>
      </x:c>
      <x:c r="L145" s="122" t="n">
        <x:v>4</x:v>
      </x:c>
      <x:c r="M145" s="122" t="n">
        <x:v>3</x:v>
      </x:c>
      <x:c r="N145" s="122" t="n">
        <x:v>3</x:v>
      </x:c>
      <x:c r="O145" s="123" t="n">
        <x:f>ROUND(G145/5*$X$2+H145/5*$X$3+I145/5*$X$4+J145/5*$X$5+K145/5*$X$6+L145/5*$X$7+M145/5*$X$8-N145/5*$X$9,1)</x:f>
        <x:v>63</x:v>
      </x:c>
      <x:c r="P145" s="119" t="str">
        <x:f>IF(O145&gt;=$X$12,"Foundational deep pass",IF(O145&gt;=$X$13,"Major deep pass",IF(O145&gt;=$X$14,"Targeted innovation pass",IF(O145&gt;=$X$15,"Sampling pass","Reference / defer"))))</x:f>
        <x:v>Major deep pass</x:v>
      </x:c>
      <x:c r="Q145" s="120" t="str">
        <x:v>East Asian serial-media baseline</x:v>
      </x:c>
      <x:c r="R145" s="120" t="str">
        <x:v>Often contributes progression, reincarnation, guild, spirit, and system-fiction innovations; verify translations and source layers.</x:v>
      </x:c>
      <x:c r="S145" s="120" t="str">
        <x:v>Heuristic baseline — editorial review required</x:v>
      </x:c>
      <x:c r="T145" s="120" t="str">
        <x:v>https://en.wikipedia.org/wiki/Frieren:_Beyond_Journey's_End</x:v>
      </x:c>
      <x:c r="U145" s="121" t="n">
        <x:v>46236</x:v>
      </x:c>
    </x:row>
    <x:row r="146" ht="46" customHeight="1">
      <x:c r="A146" s="119" t="n">
        <x:v>140</x:v>
      </x:c>
      <x:c r="B146" s="119" t="str">
        <x:v>SRC-129</x:v>
      </x:c>
      <x:c r="C146" s="120" t="str">
        <x:v>Final Fantasy</x:v>
      </x:c>
      <x:c r="D146" s="120" t="str">
        <x:v>Video Game / JRPG Franchise</x:v>
      </x:c>
      <x:c r="E146" s="120" t="str">
        <x:v>Japan</x:v>
      </x:c>
      <x:c r="F146" s="119" t="n">
        <x:f>COUNTIF('Seed Catalogue'!$C$2:$C$452,B146)</x:f>
        <x:v>29</x:v>
      </x:c>
      <x:c r="G146" s="122" t="n">
        <x:v>4</x:v>
      </x:c>
      <x:c r="H146" s="122" t="n">
        <x:v>5</x:v>
      </x:c>
      <x:c r="I146" s="122" t="n">
        <x:v>2</x:v>
      </x:c>
      <x:c r="J146" s="122" t="n">
        <x:v>5</x:v>
      </x:c>
      <x:c r="K146" s="122" t="n">
        <x:v>4</x:v>
      </x:c>
      <x:c r="L146" s="122" t="n">
        <x:v>5</x:v>
      </x:c>
      <x:c r="M146" s="122" t="n">
        <x:v>4</x:v>
      </x:c>
      <x:c r="N146" s="122" t="n">
        <x:v>5</x:v>
      </x:c>
      <x:c r="O146" s="123" t="n">
        <x:f>ROUND(G146/5*$X$2+H146/5*$X$3+I146/5*$X$4+J146/5*$X$5+K146/5*$X$6+L146/5*$X$7+M146/5*$X$8-N146/5*$X$9,1)</x:f>
        <x:v>62</x:v>
      </x:c>
      <x:c r="P146" s="119" t="str">
        <x:f>IF(O146&gt;=$X$12,"Foundational deep pass",IF(O146&gt;=$X$13,"Major deep pass",IF(O146&gt;=$X$14,"Targeted innovation pass",IF(O146&gt;=$X$15,"Sampling pass","Reference / defer"))))</x:f>
        <x:v>Major deep pass</x:v>
      </x:c>
      <x:c r="Q146" s="120" t="str">
        <x:v>Final Fantasy redundancy override</x:v>
      </x:c>
      <x:c r="R146" s="120" t="str">
        <x:v>High influence and job-system value, but recurring jobs are already well represented; use title-by-title divergence.</x:v>
      </x:c>
      <x:c r="S146" s="120" t="str">
        <x:v>Editorial override — review required</x:v>
      </x:c>
      <x:c r="T146" s="120" t="str">
        <x:v>https://en.wikipedia.org/wiki/Final_Fantasy</x:v>
      </x:c>
      <x:c r="U146" s="121" t="n">
        <x:v>46236</x:v>
      </x:c>
    </x:row>
    <x:row r="147" ht="46" customHeight="1">
      <x:c r="A147" s="119" t="n">
        <x:v>141</x:v>
      </x:c>
      <x:c r="B147" s="119" t="str">
        <x:v>SRC-104</x:v>
      </x:c>
      <x:c r="C147" s="120" t="str">
        <x:v>Ars Magica</x:v>
      </x:c>
      <x:c r="D147" s="120" t="str">
        <x:v>Tabletop RPG</x:v>
      </x:c>
      <x:c r="E147" s="120" t="str">
        <x:v>United States</x:v>
      </x:c>
      <x:c r="F147" s="119" t="n">
        <x:f>COUNTIF('Seed Catalogue'!$C$2:$C$452,B147)</x:f>
        <x:v>0</x:v>
      </x:c>
      <x:c r="G147" s="122" t="n">
        <x:v>3</x:v>
      </x:c>
      <x:c r="H147" s="122" t="n">
        <x:v>5</x:v>
      </x:c>
      <x:c r="I147" s="122" t="n">
        <x:v>2</x:v>
      </x:c>
      <x:c r="J147" s="122" t="n">
        <x:v>5</x:v>
      </x:c>
      <x:c r="K147" s="122" t="n">
        <x:v>4</x:v>
      </x:c>
      <x:c r="L147" s="122" t="n">
        <x:v>4</x:v>
      </x:c>
      <x:c r="M147" s="122" t="n">
        <x:v>5</x:v>
      </x:c>
      <x:c r="N147" s="122" t="n">
        <x:v>4</x:v>
      </x:c>
      <x:c r="O147" s="123" t="n">
        <x:f>ROUND(G147/5*$X$2+H147/5*$X$3+I147/5*$X$4+J147/5*$X$5+K147/5*$X$6+L147/5*$X$7+M147/5*$X$8-N147/5*$X$9,1)</x:f>
        <x:v>61</x:v>
      </x:c>
      <x:c r="P147" s="119" t="str">
        <x:f>IF(O147&gt;=$X$12,"Foundational deep pass",IF(O147&gt;=$X$13,"Major deep pass",IF(O147&gt;=$X$14,"Targeted innovation pass",IF(O147&gt;=$X$15,"Sampling pass","Reference / defer"))))</x:f>
        <x:v>Major deep pass</x:v>
      </x:c>
      <x:c r="Q147" s="120" t="str">
        <x:v>Rules-system baseline</x:v>
      </x:c>
      <x:c r="R147" s="120" t="str">
        <x:v>Broad taxonomy and strong documentation, but substantial overlap with already captured race/class conventions.</x:v>
      </x:c>
      <x:c r="S147" s="120" t="str">
        <x:v>Heuristic baseline — editorial review required</x:v>
      </x:c>
      <x:c r="T147" s="120" t="str">
        <x:v>https://en.wikipedia.org/wiki/Ars_Magica</x:v>
      </x:c>
      <x:c r="U147" s="121" t="n">
        <x:v>46236</x:v>
      </x:c>
    </x:row>
    <x:row r="148" ht="46" customHeight="1">
      <x:c r="A148" s="119" t="n">
        <x:v>142</x:v>
      </x:c>
      <x:c r="B148" s="119" t="str">
        <x:v>SRC-094</x:v>
      </x:c>
      <x:c r="C148" s="120" t="str">
        <x:v>Dark Sun</x:v>
      </x:c>
      <x:c r="D148" s="120" t="str">
        <x:v>Tabletop RPG Setting</x:v>
      </x:c>
      <x:c r="E148" s="120" t="str">
        <x:v>United States</x:v>
      </x:c>
      <x:c r="F148" s="119" t="n">
        <x:f>COUNTIF('Seed Catalogue'!$C$2:$C$452,B148)</x:f>
        <x:v>0</x:v>
      </x:c>
      <x:c r="G148" s="122" t="n">
        <x:v>3</x:v>
      </x:c>
      <x:c r="H148" s="122" t="n">
        <x:v>5</x:v>
      </x:c>
      <x:c r="I148" s="122" t="n">
        <x:v>2</x:v>
      </x:c>
      <x:c r="J148" s="122" t="n">
        <x:v>5</x:v>
      </x:c>
      <x:c r="K148" s="122" t="n">
        <x:v>4</x:v>
      </x:c>
      <x:c r="L148" s="122" t="n">
        <x:v>4</x:v>
      </x:c>
      <x:c r="M148" s="122" t="n">
        <x:v>5</x:v>
      </x:c>
      <x:c r="N148" s="122" t="n">
        <x:v>4</x:v>
      </x:c>
      <x:c r="O148" s="123" t="n">
        <x:f>ROUND(G148/5*$X$2+H148/5*$X$3+I148/5*$X$4+J148/5*$X$5+K148/5*$X$6+L148/5*$X$7+M148/5*$X$8-N148/5*$X$9,1)</x:f>
        <x:v>61</x:v>
      </x:c>
      <x:c r="P148" s="119" t="str">
        <x:f>IF(O148&gt;=$X$12,"Foundational deep pass",IF(O148&gt;=$X$13,"Major deep pass",IF(O148&gt;=$X$14,"Targeted innovation pass",IF(O148&gt;=$X$15,"Sampling pass","Reference / defer"))))</x:f>
        <x:v>Major deep pass</x:v>
      </x:c>
      <x:c r="Q148" s="120" t="str">
        <x:v>Rules-system baseline</x:v>
      </x:c>
      <x:c r="R148" s="120" t="str">
        <x:v>Broad taxonomy and strong documentation, but substantial overlap with already captured race/class conventions.</x:v>
      </x:c>
      <x:c r="S148" s="120" t="str">
        <x:v>Heuristic baseline — editorial review required</x:v>
      </x:c>
      <x:c r="T148" s="120" t="str">
        <x:v>https://en.wikipedia.org/wiki/Dark_Sun</x:v>
      </x:c>
      <x:c r="U148" s="121" t="n">
        <x:v>46236</x:v>
      </x:c>
    </x:row>
    <x:row r="149" ht="46" customHeight="1">
      <x:c r="A149" s="119" t="n">
        <x:v>143</x:v>
      </x:c>
      <x:c r="B149" s="119" t="str">
        <x:v>SRC-092</x:v>
      </x:c>
      <x:c r="C149" s="120" t="str">
        <x:v>Dragonlance</x:v>
      </x:c>
      <x:c r="D149" s="120" t="str">
        <x:v>Tabletop RPG / Literature Setting</x:v>
      </x:c>
      <x:c r="E149" s="120" t="str">
        <x:v>United States</x:v>
      </x:c>
      <x:c r="F149" s="119" t="n">
        <x:f>COUNTIF('Seed Catalogue'!$C$2:$C$452,B149)</x:f>
        <x:v>0</x:v>
      </x:c>
      <x:c r="G149" s="122" t="n">
        <x:v>3</x:v>
      </x:c>
      <x:c r="H149" s="122" t="n">
        <x:v>5</x:v>
      </x:c>
      <x:c r="I149" s="122" t="n">
        <x:v>2</x:v>
      </x:c>
      <x:c r="J149" s="122" t="n">
        <x:v>5</x:v>
      </x:c>
      <x:c r="K149" s="122" t="n">
        <x:v>4</x:v>
      </x:c>
      <x:c r="L149" s="122" t="n">
        <x:v>4</x:v>
      </x:c>
      <x:c r="M149" s="122" t="n">
        <x:v>5</x:v>
      </x:c>
      <x:c r="N149" s="122" t="n">
        <x:v>4</x:v>
      </x:c>
      <x:c r="O149" s="123" t="n">
        <x:f>ROUND(G149/5*$X$2+H149/5*$X$3+I149/5*$X$4+J149/5*$X$5+K149/5*$X$6+L149/5*$X$7+M149/5*$X$8-N149/5*$X$9,1)</x:f>
        <x:v>61</x:v>
      </x:c>
      <x:c r="P149" s="119" t="str">
        <x:f>IF(O149&gt;=$X$12,"Foundational deep pass",IF(O149&gt;=$X$13,"Major deep pass",IF(O149&gt;=$X$14,"Targeted innovation pass",IF(O149&gt;=$X$15,"Sampling pass","Reference / defer"))))</x:f>
        <x:v>Major deep pass</x:v>
      </x:c>
      <x:c r="Q149" s="120" t="str">
        <x:v>Rules-system baseline</x:v>
      </x:c>
      <x:c r="R149" s="120" t="str">
        <x:v>Broad taxonomy and strong documentation, but substantial overlap with already captured race/class conventions.</x:v>
      </x:c>
      <x:c r="S149" s="120" t="str">
        <x:v>Heuristic baseline — editorial review required</x:v>
      </x:c>
      <x:c r="T149" s="120" t="str">
        <x:v>https://en.wikipedia.org/wiki/Dragonlance</x:v>
      </x:c>
      <x:c r="U149" s="121" t="n">
        <x:v>46236</x:v>
      </x:c>
    </x:row>
    <x:row r="150" ht="46" customHeight="1">
      <x:c r="A150" s="119" t="n">
        <x:v>144</x:v>
      </x:c>
      <x:c r="B150" s="119" t="str">
        <x:v>SRC-089</x:v>
      </x:c>
      <x:c r="C150" s="120" t="str">
        <x:v>Dungeons &amp; Dragons</x:v>
      </x:c>
      <x:c r="D150" s="120" t="str">
        <x:v>Tabletop RPG</x:v>
      </x:c>
      <x:c r="E150" s="120" t="str">
        <x:v>United States</x:v>
      </x:c>
      <x:c r="F150" s="119" t="n">
        <x:f>COUNTIF('Seed Catalogue'!$C$2:$C$452,B150)</x:f>
        <x:v>25</x:v>
      </x:c>
      <x:c r="G150" s="122" t="n">
        <x:v>3</x:v>
      </x:c>
      <x:c r="H150" s="122" t="n">
        <x:v>5</x:v>
      </x:c>
      <x:c r="I150" s="122" t="n">
        <x:v>2</x:v>
      </x:c>
      <x:c r="J150" s="122" t="n">
        <x:v>5</x:v>
      </x:c>
      <x:c r="K150" s="122" t="n">
        <x:v>5</x:v>
      </x:c>
      <x:c r="L150" s="122" t="n">
        <x:v>5</x:v>
      </x:c>
      <x:c r="M150" s="122" t="n">
        <x:v>5</x:v>
      </x:c>
      <x:c r="N150" s="122" t="n">
        <x:v>5</x:v>
      </x:c>
      <x:c r="O150" s="123" t="n">
        <x:f>ROUND(G150/5*$X$2+H150/5*$X$3+I150/5*$X$4+J150/5*$X$5+K150/5*$X$6+L150/5*$X$7+M150/5*$X$8-N150/5*$X$9,1)</x:f>
        <x:v>61</x:v>
      </x:c>
      <x:c r="P150" s="119" t="str">
        <x:f>IF(O150&gt;=$X$12,"Foundational deep pass",IF(O150&gt;=$X$13,"Major deep pass",IF(O150&gt;=$X$14,"Targeted innovation pass",IF(O150&gt;=$X$15,"Sampling pass","Reference / defer"))))</x:f>
        <x:v>Major deep pass</x:v>
      </x:c>
      <x:c r="Q150" s="120" t="str">
        <x:v>D&amp;D redundancy override</x:v>
      </x:c>
      <x:c r="R150" s="120" t="str">
        <x:v>Indispensable mechanical influence and documentation, but conventional class/ancestry space is already densely represented.</x:v>
      </x:c>
      <x:c r="S150" s="120" t="str">
        <x:v>Editorial override — review required</x:v>
      </x:c>
      <x:c r="T150" s="120" t="str">
        <x:v>https://www.dndbeyond.com/sources/dnd/br-2024/character-classes</x:v>
      </x:c>
      <x:c r="U150" s="121" t="n">
        <x:v>46236</x:v>
      </x:c>
    </x:row>
    <x:row r="151" ht="46" customHeight="1">
      <x:c r="A151" s="119" t="n">
        <x:v>145</x:v>
      </x:c>
      <x:c r="B151" s="119" t="str">
        <x:v>SRC-093</x:v>
      </x:c>
      <x:c r="C151" s="120" t="str">
        <x:v>Eberron</x:v>
      </x:c>
      <x:c r="D151" s="120" t="str">
        <x:v>Tabletop RPG Setting</x:v>
      </x:c>
      <x:c r="E151" s="120" t="str">
        <x:v>United States</x:v>
      </x:c>
      <x:c r="F151" s="119" t="n">
        <x:f>COUNTIF('Seed Catalogue'!$C$2:$C$452,B151)</x:f>
        <x:v>0</x:v>
      </x:c>
      <x:c r="G151" s="122" t="n">
        <x:v>3</x:v>
      </x:c>
      <x:c r="H151" s="122" t="n">
        <x:v>5</x:v>
      </x:c>
      <x:c r="I151" s="122" t="n">
        <x:v>2</x:v>
      </x:c>
      <x:c r="J151" s="122" t="n">
        <x:v>5</x:v>
      </x:c>
      <x:c r="K151" s="122" t="n">
        <x:v>4</x:v>
      </x:c>
      <x:c r="L151" s="122" t="n">
        <x:v>4</x:v>
      </x:c>
      <x:c r="M151" s="122" t="n">
        <x:v>5</x:v>
      </x:c>
      <x:c r="N151" s="122" t="n">
        <x:v>4</x:v>
      </x:c>
      <x:c r="O151" s="123" t="n">
        <x:f>ROUND(G151/5*$X$2+H151/5*$X$3+I151/5*$X$4+J151/5*$X$5+K151/5*$X$6+L151/5*$X$7+M151/5*$X$8-N151/5*$X$9,1)</x:f>
        <x:v>61</x:v>
      </x:c>
      <x:c r="P151" s="119" t="str">
        <x:f>IF(O151&gt;=$X$12,"Foundational deep pass",IF(O151&gt;=$X$13,"Major deep pass",IF(O151&gt;=$X$14,"Targeted innovation pass",IF(O151&gt;=$X$15,"Sampling pass","Reference / defer"))))</x:f>
        <x:v>Major deep pass</x:v>
      </x:c>
      <x:c r="Q151" s="120" t="str">
        <x:v>Rules-system baseline</x:v>
      </x:c>
      <x:c r="R151" s="120" t="str">
        <x:v>Broad taxonomy and strong documentation, but substantial overlap with already captured race/class conventions.</x:v>
      </x:c>
      <x:c r="S151" s="120" t="str">
        <x:v>Heuristic baseline — editorial review required</x:v>
      </x:c>
      <x:c r="T151" s="120" t="str">
        <x:v>https://en.wikipedia.org/wiki/Eberron</x:v>
      </x:c>
      <x:c r="U151" s="121" t="n">
        <x:v>46236</x:v>
      </x:c>
    </x:row>
    <x:row r="152" ht="46" customHeight="1">
      <x:c r="A152" s="119" t="n">
        <x:v>146</x:v>
      </x:c>
      <x:c r="B152" s="119" t="str">
        <x:v>SRC-105</x:v>
      </x:c>
      <x:c r="C152" s="120" t="str">
        <x:v>Exalted</x:v>
      </x:c>
      <x:c r="D152" s="120" t="str">
        <x:v>Tabletop RPG</x:v>
      </x:c>
      <x:c r="E152" s="120" t="str">
        <x:v>United States</x:v>
      </x:c>
      <x:c r="F152" s="119" t="n">
        <x:f>COUNTIF('Seed Catalogue'!$C$2:$C$452,B152)</x:f>
        <x:v>0</x:v>
      </x:c>
      <x:c r="G152" s="122" t="n">
        <x:v>3</x:v>
      </x:c>
      <x:c r="H152" s="122" t="n">
        <x:v>5</x:v>
      </x:c>
      <x:c r="I152" s="122" t="n">
        <x:v>2</x:v>
      </x:c>
      <x:c r="J152" s="122" t="n">
        <x:v>5</x:v>
      </x:c>
      <x:c r="K152" s="122" t="n">
        <x:v>4</x:v>
      </x:c>
      <x:c r="L152" s="122" t="n">
        <x:v>4</x:v>
      </x:c>
      <x:c r="M152" s="122" t="n">
        <x:v>5</x:v>
      </x:c>
      <x:c r="N152" s="122" t="n">
        <x:v>4</x:v>
      </x:c>
      <x:c r="O152" s="123" t="n">
        <x:f>ROUND(G152/5*$X$2+H152/5*$X$3+I152/5*$X$4+J152/5*$X$5+K152/5*$X$6+L152/5*$X$7+M152/5*$X$8-N152/5*$X$9,1)</x:f>
        <x:v>61</x:v>
      </x:c>
      <x:c r="P152" s="119" t="str">
        <x:f>IF(O152&gt;=$X$12,"Foundational deep pass",IF(O152&gt;=$X$13,"Major deep pass",IF(O152&gt;=$X$14,"Targeted innovation pass",IF(O152&gt;=$X$15,"Sampling pass","Reference / defer"))))</x:f>
        <x:v>Major deep pass</x:v>
      </x:c>
      <x:c r="Q152" s="120" t="str">
        <x:v>Rules-system baseline</x:v>
      </x:c>
      <x:c r="R152" s="120" t="str">
        <x:v>Broad taxonomy and strong documentation, but substantial overlap with already captured race/class conventions.</x:v>
      </x:c>
      <x:c r="S152" s="120" t="str">
        <x:v>Heuristic baseline — editorial review required</x:v>
      </x:c>
      <x:c r="T152" s="120" t="str">
        <x:v>https://en.wikipedia.org/wiki/Exalted</x:v>
      </x:c>
      <x:c r="U152" s="121" t="n">
        <x:v>46236</x:v>
      </x:c>
    </x:row>
    <x:row r="153" ht="46" customHeight="1">
      <x:c r="A153" s="119" t="n">
        <x:v>147</x:v>
      </x:c>
      <x:c r="B153" s="119" t="str">
        <x:v>SRC-090</x:v>
      </x:c>
      <x:c r="C153" s="120" t="str">
        <x:v>Forgotten Realms</x:v>
      </x:c>
      <x:c r="D153" s="120" t="str">
        <x:v>Tabletop RPG Setting</x:v>
      </x:c>
      <x:c r="E153" s="120" t="str">
        <x:v>United States</x:v>
      </x:c>
      <x:c r="F153" s="119" t="n">
        <x:f>COUNTIF('Seed Catalogue'!$C$2:$C$452,B153)</x:f>
        <x:v>0</x:v>
      </x:c>
      <x:c r="G153" s="122" t="n">
        <x:v>3</x:v>
      </x:c>
      <x:c r="H153" s="122" t="n">
        <x:v>5</x:v>
      </x:c>
      <x:c r="I153" s="122" t="n">
        <x:v>2</x:v>
      </x:c>
      <x:c r="J153" s="122" t="n">
        <x:v>5</x:v>
      </x:c>
      <x:c r="K153" s="122" t="n">
        <x:v>4</x:v>
      </x:c>
      <x:c r="L153" s="122" t="n">
        <x:v>4</x:v>
      </x:c>
      <x:c r="M153" s="122" t="n">
        <x:v>5</x:v>
      </x:c>
      <x:c r="N153" s="122" t="n">
        <x:v>4</x:v>
      </x:c>
      <x:c r="O153" s="123" t="n">
        <x:f>ROUND(G153/5*$X$2+H153/5*$X$3+I153/5*$X$4+J153/5*$X$5+K153/5*$X$6+L153/5*$X$7+M153/5*$X$8-N153/5*$X$9,1)</x:f>
        <x:v>61</x:v>
      </x:c>
      <x:c r="P153" s="119" t="str">
        <x:f>IF(O153&gt;=$X$12,"Foundational deep pass",IF(O153&gt;=$X$13,"Major deep pass",IF(O153&gt;=$X$14,"Targeted innovation pass",IF(O153&gt;=$X$15,"Sampling pass","Reference / defer"))))</x:f>
        <x:v>Major deep pass</x:v>
      </x:c>
      <x:c r="Q153" s="120" t="str">
        <x:v>Rules-system baseline</x:v>
      </x:c>
      <x:c r="R153" s="120" t="str">
        <x:v>Broad taxonomy and strong documentation, but substantial overlap with already captured race/class conventions.</x:v>
      </x:c>
      <x:c r="S153" s="120" t="str">
        <x:v>Heuristic baseline — editorial review required</x:v>
      </x:c>
      <x:c r="T153" s="120" t="str">
        <x:v>https://en.wikipedia.org/wiki/Forgotten_Realms</x:v>
      </x:c>
      <x:c r="U153" s="121" t="n">
        <x:v>46236</x:v>
      </x:c>
    </x:row>
    <x:row r="154" ht="46" customHeight="1">
      <x:c r="A154" s="119" t="n">
        <x:v>148</x:v>
      </x:c>
      <x:c r="B154" s="119" t="str">
        <x:v>SRC-110</x:v>
      </x:c>
      <x:c r="C154" s="120" t="str">
        <x:v>Legend of the Five Rings</x:v>
      </x:c>
      <x:c r="D154" s="120" t="str">
        <x:v>Tabletop RPG / Card Game Setting</x:v>
      </x:c>
      <x:c r="E154" s="120" t="str">
        <x:v>United States / Japanese-inspired fantasy</x:v>
      </x:c>
      <x:c r="F154" s="119" t="n">
        <x:f>COUNTIF('Seed Catalogue'!$C$2:$C$452,B154)</x:f>
        <x:v>0</x:v>
      </x:c>
      <x:c r="G154" s="122" t="n">
        <x:v>3</x:v>
      </x:c>
      <x:c r="H154" s="122" t="n">
        <x:v>5</x:v>
      </x:c>
      <x:c r="I154" s="122" t="n">
        <x:v>2</x:v>
      </x:c>
      <x:c r="J154" s="122" t="n">
        <x:v>5</x:v>
      </x:c>
      <x:c r="K154" s="122" t="n">
        <x:v>4</x:v>
      </x:c>
      <x:c r="L154" s="122" t="n">
        <x:v>4</x:v>
      </x:c>
      <x:c r="M154" s="122" t="n">
        <x:v>5</x:v>
      </x:c>
      <x:c r="N154" s="122" t="n">
        <x:v>4</x:v>
      </x:c>
      <x:c r="O154" s="123" t="n">
        <x:f>ROUND(G154/5*$X$2+H154/5*$X$3+I154/5*$X$4+J154/5*$X$5+K154/5*$X$6+L154/5*$X$7+M154/5*$X$8-N154/5*$X$9,1)</x:f>
        <x:v>61</x:v>
      </x:c>
      <x:c r="P154" s="119" t="str">
        <x:f>IF(O154&gt;=$X$12,"Foundational deep pass",IF(O154&gt;=$X$13,"Major deep pass",IF(O154&gt;=$X$14,"Targeted innovation pass",IF(O154&gt;=$X$15,"Sampling pass","Reference / defer"))))</x:f>
        <x:v>Major deep pass</x:v>
      </x:c>
      <x:c r="Q154" s="120" t="str">
        <x:v>Rules-system baseline</x:v>
      </x:c>
      <x:c r="R154" s="120" t="str">
        <x:v>Broad taxonomy and strong documentation, but substantial overlap with already captured race/class conventions.</x:v>
      </x:c>
      <x:c r="S154" s="120" t="str">
        <x:v>Heuristic baseline — editorial review required</x:v>
      </x:c>
      <x:c r="T154" s="120" t="str">
        <x:v>https://en.wikipedia.org/wiki/Legend_of_the_Five_Rings</x:v>
      </x:c>
      <x:c r="U154" s="121" t="n">
        <x:v>46236</x:v>
      </x:c>
    </x:row>
    <x:row r="155" ht="46" customHeight="1">
      <x:c r="A155" s="119" t="n">
        <x:v>149</x:v>
      </x:c>
      <x:c r="B155" s="119" t="str">
        <x:v>SRC-118</x:v>
      </x:c>
      <x:c r="C155" s="120" t="str">
        <x:v>Magic: The Gathering</x:v>
      </x:c>
      <x:c r="D155" s="120" t="str">
        <x:v>Trading Card Game / Shared Setting</x:v>
      </x:c>
      <x:c r="E155" s="120" t="str">
        <x:v>United States</x:v>
      </x:c>
      <x:c r="F155" s="119" t="n">
        <x:f>COUNTIF('Seed Catalogue'!$C$2:$C$452,B155)</x:f>
        <x:v>0</x:v>
      </x:c>
      <x:c r="G155" s="122" t="n">
        <x:v>3</x:v>
      </x:c>
      <x:c r="H155" s="122" t="n">
        <x:v>5</x:v>
      </x:c>
      <x:c r="I155" s="122" t="n">
        <x:v>2</x:v>
      </x:c>
      <x:c r="J155" s="122" t="n">
        <x:v>5</x:v>
      </x:c>
      <x:c r="K155" s="122" t="n">
        <x:v>4</x:v>
      </x:c>
      <x:c r="L155" s="122" t="n">
        <x:v>4</x:v>
      </x:c>
      <x:c r="M155" s="122" t="n">
        <x:v>5</x:v>
      </x:c>
      <x:c r="N155" s="122" t="n">
        <x:v>4</x:v>
      </x:c>
      <x:c r="O155" s="123" t="n">
        <x:f>ROUND(G155/5*$X$2+H155/5*$X$3+I155/5*$X$4+J155/5*$X$5+K155/5*$X$6+L155/5*$X$7+M155/5*$X$8-N155/5*$X$9,1)</x:f>
        <x:v>61</x:v>
      </x:c>
      <x:c r="P155" s="119" t="str">
        <x:f>IF(O155&gt;=$X$12,"Foundational deep pass",IF(O155&gt;=$X$13,"Major deep pass",IF(O155&gt;=$X$14,"Targeted innovation pass",IF(O155&gt;=$X$15,"Sampling pass","Reference / defer"))))</x:f>
        <x:v>Major deep pass</x:v>
      </x:c>
      <x:c r="Q155" s="120" t="str">
        <x:v>Rules-system baseline</x:v>
      </x:c>
      <x:c r="R155" s="120" t="str">
        <x:v>Broad taxonomy and strong documentation, but substantial overlap with already captured race/class conventions.</x:v>
      </x:c>
      <x:c r="S155" s="120" t="str">
        <x:v>Heuristic baseline — editorial review required</x:v>
      </x:c>
      <x:c r="T155" s="120" t="str">
        <x:v>https://en.wikipedia.org/wiki/Magic:_The_Gathering</x:v>
      </x:c>
      <x:c r="U155" s="121" t="n">
        <x:v>46236</x:v>
      </x:c>
    </x:row>
    <x:row r="156" ht="46" customHeight="1">
      <x:c r="A156" s="119" t="n">
        <x:v>150</x:v>
      </x:c>
      <x:c r="B156" s="119" t="str">
        <x:v>SRC-098</x:v>
      </x:c>
      <x:c r="C156" s="120" t="str">
        <x:v>Pathfinder / Golarion</x:v>
      </x:c>
      <x:c r="D156" s="120" t="str">
        <x:v>Tabletop RPG / Setting</x:v>
      </x:c>
      <x:c r="E156" s="120" t="str">
        <x:v>United States</x:v>
      </x:c>
      <x:c r="F156" s="119" t="n">
        <x:f>COUNTIF('Seed Catalogue'!$C$2:$C$452,B156)</x:f>
        <x:v>0</x:v>
      </x:c>
      <x:c r="G156" s="122" t="n">
        <x:v>3</x:v>
      </x:c>
      <x:c r="H156" s="122" t="n">
        <x:v>5</x:v>
      </x:c>
      <x:c r="I156" s="122" t="n">
        <x:v>2</x:v>
      </x:c>
      <x:c r="J156" s="122" t="n">
        <x:v>5</x:v>
      </x:c>
      <x:c r="K156" s="122" t="n">
        <x:v>4</x:v>
      </x:c>
      <x:c r="L156" s="122" t="n">
        <x:v>4</x:v>
      </x:c>
      <x:c r="M156" s="122" t="n">
        <x:v>5</x:v>
      </x:c>
      <x:c r="N156" s="122" t="n">
        <x:v>4</x:v>
      </x:c>
      <x:c r="O156" s="123" t="n">
        <x:f>ROUND(G156/5*$X$2+H156/5*$X$3+I156/5*$X$4+J156/5*$X$5+K156/5*$X$6+L156/5*$X$7+M156/5*$X$8-N156/5*$X$9,1)</x:f>
        <x:v>61</x:v>
      </x:c>
      <x:c r="P156" s="119" t="str">
        <x:f>IF(O156&gt;=$X$12,"Foundational deep pass",IF(O156&gt;=$X$13,"Major deep pass",IF(O156&gt;=$X$14,"Targeted innovation pass",IF(O156&gt;=$X$15,"Sampling pass","Reference / defer"))))</x:f>
        <x:v>Major deep pass</x:v>
      </x:c>
      <x:c r="Q156" s="120" t="str">
        <x:v>Rules-system baseline</x:v>
      </x:c>
      <x:c r="R156" s="120" t="str">
        <x:v>Broad taxonomy and strong documentation, but substantial overlap with already captured race/class conventions.</x:v>
      </x:c>
      <x:c r="S156" s="120" t="str">
        <x:v>Heuristic baseline — editorial review required</x:v>
      </x:c>
      <x:c r="T156" s="120" t="str">
        <x:v>https://en.wikipedia.org/wiki/Pathfinder_%2F_Golarion</x:v>
      </x:c>
      <x:c r="U156" s="121" t="n">
        <x:v>46236</x:v>
      </x:c>
    </x:row>
    <x:row r="157" ht="46" customHeight="1">
      <x:c r="A157" s="119" t="n">
        <x:v>151</x:v>
      </x:c>
      <x:c r="B157" s="119" t="str">
        <x:v>SRC-095</x:v>
      </x:c>
      <x:c r="C157" s="120" t="str">
        <x:v>Planescape</x:v>
      </x:c>
      <x:c r="D157" s="120" t="str">
        <x:v>Tabletop RPG Setting</x:v>
      </x:c>
      <x:c r="E157" s="120" t="str">
        <x:v>United States</x:v>
      </x:c>
      <x:c r="F157" s="119" t="n">
        <x:f>COUNTIF('Seed Catalogue'!$C$2:$C$452,B157)</x:f>
        <x:v>0</x:v>
      </x:c>
      <x:c r="G157" s="122" t="n">
        <x:v>3</x:v>
      </x:c>
      <x:c r="H157" s="122" t="n">
        <x:v>5</x:v>
      </x:c>
      <x:c r="I157" s="122" t="n">
        <x:v>2</x:v>
      </x:c>
      <x:c r="J157" s="122" t="n">
        <x:v>5</x:v>
      </x:c>
      <x:c r="K157" s="122" t="n">
        <x:v>4</x:v>
      </x:c>
      <x:c r="L157" s="122" t="n">
        <x:v>4</x:v>
      </x:c>
      <x:c r="M157" s="122" t="n">
        <x:v>5</x:v>
      </x:c>
      <x:c r="N157" s="122" t="n">
        <x:v>4</x:v>
      </x:c>
      <x:c r="O157" s="123" t="n">
        <x:f>ROUND(G157/5*$X$2+H157/5*$X$3+I157/5*$X$4+J157/5*$X$5+K157/5*$X$6+L157/5*$X$7+M157/5*$X$8-N157/5*$X$9,1)</x:f>
        <x:v>61</x:v>
      </x:c>
      <x:c r="P157" s="119" t="str">
        <x:f>IF(O157&gt;=$X$12,"Foundational deep pass",IF(O157&gt;=$X$13,"Major deep pass",IF(O157&gt;=$X$14,"Targeted innovation pass",IF(O157&gt;=$X$15,"Sampling pass","Reference / defer"))))</x:f>
        <x:v>Major deep pass</x:v>
      </x:c>
      <x:c r="Q157" s="120" t="str">
        <x:v>Rules-system baseline</x:v>
      </x:c>
      <x:c r="R157" s="120" t="str">
        <x:v>Broad taxonomy and strong documentation, but substantial overlap with already captured race/class conventions.</x:v>
      </x:c>
      <x:c r="S157" s="120" t="str">
        <x:v>Heuristic baseline — editorial review required</x:v>
      </x:c>
      <x:c r="T157" s="120" t="str">
        <x:v>https://en.wikipedia.org/wiki/Planescape</x:v>
      </x:c>
      <x:c r="U157" s="121" t="n">
        <x:v>46236</x:v>
      </x:c>
    </x:row>
    <x:row r="158" ht="46" customHeight="1">
      <x:c r="A158" s="119" t="n">
        <x:v>152</x:v>
      </x:c>
      <x:c r="B158" s="119" t="str">
        <x:v>SRC-096</x:v>
      </x:c>
      <x:c r="C158" s="120" t="str">
        <x:v>Ravenloft</x:v>
      </x:c>
      <x:c r="D158" s="120" t="str">
        <x:v>Tabletop RPG Setting</x:v>
      </x:c>
      <x:c r="E158" s="120" t="str">
        <x:v>United States</x:v>
      </x:c>
      <x:c r="F158" s="119" t="n">
        <x:f>COUNTIF('Seed Catalogue'!$C$2:$C$452,B158)</x:f>
        <x:v>0</x:v>
      </x:c>
      <x:c r="G158" s="122" t="n">
        <x:v>3</x:v>
      </x:c>
      <x:c r="H158" s="122" t="n">
        <x:v>5</x:v>
      </x:c>
      <x:c r="I158" s="122" t="n">
        <x:v>2</x:v>
      </x:c>
      <x:c r="J158" s="122" t="n">
        <x:v>5</x:v>
      </x:c>
      <x:c r="K158" s="122" t="n">
        <x:v>4</x:v>
      </x:c>
      <x:c r="L158" s="122" t="n">
        <x:v>4</x:v>
      </x:c>
      <x:c r="M158" s="122" t="n">
        <x:v>5</x:v>
      </x:c>
      <x:c r="N158" s="122" t="n">
        <x:v>4</x:v>
      </x:c>
      <x:c r="O158" s="123" t="n">
        <x:f>ROUND(G158/5*$X$2+H158/5*$X$3+I158/5*$X$4+J158/5*$X$5+K158/5*$X$6+L158/5*$X$7+M158/5*$X$8-N158/5*$X$9,1)</x:f>
        <x:v>61</x:v>
      </x:c>
      <x:c r="P158" s="119" t="str">
        <x:f>IF(O158&gt;=$X$12,"Foundational deep pass",IF(O158&gt;=$X$13,"Major deep pass",IF(O158&gt;=$X$14,"Targeted innovation pass",IF(O158&gt;=$X$15,"Sampling pass","Reference / defer"))))</x:f>
        <x:v>Major deep pass</x:v>
      </x:c>
      <x:c r="Q158" s="120" t="str">
        <x:v>Rules-system baseline</x:v>
      </x:c>
      <x:c r="R158" s="120" t="str">
        <x:v>Broad taxonomy and strong documentation, but substantial overlap with already captured race/class conventions.</x:v>
      </x:c>
      <x:c r="S158" s="120" t="str">
        <x:v>Heuristic baseline — editorial review required</x:v>
      </x:c>
      <x:c r="T158" s="120" t="str">
        <x:v>https://en.wikipedia.org/wiki/Ravenloft</x:v>
      </x:c>
      <x:c r="U158" s="121" t="n">
        <x:v>46236</x:v>
      </x:c>
    </x:row>
    <x:row r="159" ht="46" customHeight="1">
      <x:c r="A159" s="119" t="n">
        <x:v>153</x:v>
      </x:c>
      <x:c r="B159" s="119" t="str">
        <x:v>SRC-099</x:v>
      </x:c>
      <x:c r="C159" s="120" t="str">
        <x:v>RuneQuest / Glorantha</x:v>
      </x:c>
      <x:c r="D159" s="120" t="str">
        <x:v>Tabletop RPG / Setting</x:v>
      </x:c>
      <x:c r="E159" s="120" t="str">
        <x:v>United States</x:v>
      </x:c>
      <x:c r="F159" s="119" t="n">
        <x:f>COUNTIF('Seed Catalogue'!$C$2:$C$452,B159)</x:f>
        <x:v>0</x:v>
      </x:c>
      <x:c r="G159" s="122" t="n">
        <x:v>3</x:v>
      </x:c>
      <x:c r="H159" s="122" t="n">
        <x:v>5</x:v>
      </x:c>
      <x:c r="I159" s="122" t="n">
        <x:v>2</x:v>
      </x:c>
      <x:c r="J159" s="122" t="n">
        <x:v>5</x:v>
      </x:c>
      <x:c r="K159" s="122" t="n">
        <x:v>4</x:v>
      </x:c>
      <x:c r="L159" s="122" t="n">
        <x:v>4</x:v>
      </x:c>
      <x:c r="M159" s="122" t="n">
        <x:v>5</x:v>
      </x:c>
      <x:c r="N159" s="122" t="n">
        <x:v>4</x:v>
      </x:c>
      <x:c r="O159" s="123" t="n">
        <x:f>ROUND(G159/5*$X$2+H159/5*$X$3+I159/5*$X$4+J159/5*$X$5+K159/5*$X$6+L159/5*$X$7+M159/5*$X$8-N159/5*$X$9,1)</x:f>
        <x:v>61</x:v>
      </x:c>
      <x:c r="P159" s="119" t="str">
        <x:f>IF(O159&gt;=$X$12,"Foundational deep pass",IF(O159&gt;=$X$13,"Major deep pass",IF(O159&gt;=$X$14,"Targeted innovation pass",IF(O159&gt;=$X$15,"Sampling pass","Reference / defer"))))</x:f>
        <x:v>Major deep pass</x:v>
      </x:c>
      <x:c r="Q159" s="120" t="str">
        <x:v>Rules-system baseline</x:v>
      </x:c>
      <x:c r="R159" s="120" t="str">
        <x:v>Broad taxonomy and strong documentation, but substantial overlap with already captured race/class conventions.</x:v>
      </x:c>
      <x:c r="S159" s="120" t="str">
        <x:v>Heuristic baseline — editorial review required</x:v>
      </x:c>
      <x:c r="T159" s="120" t="str">
        <x:v>https://en.wikipedia.org/wiki/RuneQuest_%2F_Glorantha</x:v>
      </x:c>
      <x:c r="U159" s="121" t="n">
        <x:v>46236</x:v>
      </x:c>
    </x:row>
    <x:row r="160" ht="46" customHeight="1">
      <x:c r="A160" s="119" t="n">
        <x:v>154</x:v>
      </x:c>
      <x:c r="B160" s="119" t="str">
        <x:v>SRC-243</x:v>
      </x:c>
      <x:c r="C160" s="120" t="str">
        <x:v>The Apothecary Diaries</x:v>
      </x:c>
      <x:c r="D160" s="120" t="str">
        <x:v>Light Novel / Manga / Anime</x:v>
      </x:c>
      <x:c r="E160" s="120" t="str">
        <x:v>Japan</x:v>
      </x:c>
      <x:c r="F160" s="119" t="n">
        <x:f>COUNTIF('Seed Catalogue'!$C$2:$C$452,B160)</x:f>
        <x:v>0</x:v>
      </x:c>
      <x:c r="G160" s="122" t="n">
        <x:v>4</x:v>
      </x:c>
      <x:c r="H160" s="122" t="n">
        <x:v>3</x:v>
      </x:c>
      <x:c r="I160" s="122" t="n">
        <x:v>3</x:v>
      </x:c>
      <x:c r="J160" s="122" t="n">
        <x:v>3</x:v>
      </x:c>
      <x:c r="K160" s="122" t="n">
        <x:v>4</x:v>
      </x:c>
      <x:c r="L160" s="122" t="n">
        <x:v>4</x:v>
      </x:c>
      <x:c r="M160" s="122" t="n">
        <x:v>3</x:v>
      </x:c>
      <x:c r="N160" s="122" t="n">
        <x:v>2</x:v>
      </x:c>
      <x:c r="O160" s="123" t="n">
        <x:f>ROUND(G160/5*$X$2+H160/5*$X$3+I160/5*$X$4+J160/5*$X$5+K160/5*$X$6+L160/5*$X$7+M160/5*$X$8-N160/5*$X$9,1)</x:f>
        <x:v>61</x:v>
      </x:c>
      <x:c r="P160" s="119" t="str">
        <x:f>IF(O160&gt;=$X$12,"Foundational deep pass",IF(O160&gt;=$X$13,"Major deep pass",IF(O160&gt;=$X$14,"Targeted innovation pass",IF(O160&gt;=$X$15,"Sampling pass","Reference / defer"))))</x:f>
        <x:v>Major deep pass</x:v>
      </x:c>
      <x:c r="Q160" s="120" t="str">
        <x:v>East Asian serial-media baseline</x:v>
      </x:c>
      <x:c r="R160" s="120" t="str">
        <x:v>Often contributes progression, reincarnation, guild, spirit, and system-fiction innovations; verify translations and source layers.</x:v>
      </x:c>
      <x:c r="S160" s="120" t="str">
        <x:v>Heuristic baseline — editorial review required</x:v>
      </x:c>
      <x:c r="T160" s="120" t="str">
        <x:v>https://en.wikipedia.org/wiki/The_Apothecary_Diaries</x:v>
      </x:c>
      <x:c r="U160" s="121" t="n">
        <x:v>46236</x:v>
      </x:c>
    </x:row>
    <x:row r="161" ht="46" customHeight="1">
      <x:c r="A161" s="119" t="n">
        <x:v>155</x:v>
      </x:c>
      <x:c r="B161" s="119" t="str">
        <x:v>SRC-246</x:v>
      </x:c>
      <x:c r="C161" s="120" t="str">
        <x:v>The Eminence in Shadow</x:v>
      </x:c>
      <x:c r="D161" s="120" t="str">
        <x:v>Light Novel / Anime</x:v>
      </x:c>
      <x:c r="E161" s="120" t="str">
        <x:v>Japan</x:v>
      </x:c>
      <x:c r="F161" s="119" t="n">
        <x:f>COUNTIF('Seed Catalogue'!$C$2:$C$452,B161)</x:f>
        <x:v>0</x:v>
      </x:c>
      <x:c r="G161" s="122" t="n">
        <x:v>4</x:v>
      </x:c>
      <x:c r="H161" s="122" t="n">
        <x:v>3</x:v>
      </x:c>
      <x:c r="I161" s="122" t="n">
        <x:v>3</x:v>
      </x:c>
      <x:c r="J161" s="122" t="n">
        <x:v>3</x:v>
      </x:c>
      <x:c r="K161" s="122" t="n">
        <x:v>4</x:v>
      </x:c>
      <x:c r="L161" s="122" t="n">
        <x:v>4</x:v>
      </x:c>
      <x:c r="M161" s="122" t="n">
        <x:v>3</x:v>
      </x:c>
      <x:c r="N161" s="122" t="n">
        <x:v>2</x:v>
      </x:c>
      <x:c r="O161" s="123" t="n">
        <x:f>ROUND(G161/5*$X$2+H161/5*$X$3+I161/5*$X$4+J161/5*$X$5+K161/5*$X$6+L161/5*$X$7+M161/5*$X$8-N161/5*$X$9,1)</x:f>
        <x:v>61</x:v>
      </x:c>
      <x:c r="P161" s="119" t="str">
        <x:f>IF(O161&gt;=$X$12,"Foundational deep pass",IF(O161&gt;=$X$13,"Major deep pass",IF(O161&gt;=$X$14,"Targeted innovation pass",IF(O161&gt;=$X$15,"Sampling pass","Reference / defer"))))</x:f>
        <x:v>Major deep pass</x:v>
      </x:c>
      <x:c r="Q161" s="120" t="str">
        <x:v>East Asian serial-media baseline</x:v>
      </x:c>
      <x:c r="R161" s="120" t="str">
        <x:v>Often contributes progression, reincarnation, guild, spirit, and system-fiction innovations; verify translations and source layers.</x:v>
      </x:c>
      <x:c r="S161" s="120" t="str">
        <x:v>Heuristic baseline — editorial review required</x:v>
      </x:c>
      <x:c r="T161" s="120" t="str">
        <x:v>https://en.wikipedia.org/wiki/The_Eminence_in_Shadow</x:v>
      </x:c>
      <x:c r="U161" s="121" t="n">
        <x:v>46236</x:v>
      </x:c>
    </x:row>
    <x:row r="162" ht="46" customHeight="1">
      <x:c r="A162" s="119" t="n">
        <x:v>156</x:v>
      </x:c>
      <x:c r="B162" s="119" t="str">
        <x:v>SRC-238</x:v>
      </x:c>
      <x:c r="C162" s="120" t="str">
        <x:v>The God of High School</x:v>
      </x:c>
      <x:c r="D162" s="120" t="str">
        <x:v>Webtoon / Anime</x:v>
      </x:c>
      <x:c r="E162" s="120" t="str">
        <x:v>South Korea</x:v>
      </x:c>
      <x:c r="F162" s="119" t="n">
        <x:f>COUNTIF('Seed Catalogue'!$C$2:$C$452,B162)</x:f>
        <x:v>0</x:v>
      </x:c>
      <x:c r="G162" s="122" t="n">
        <x:v>4</x:v>
      </x:c>
      <x:c r="H162" s="122" t="n">
        <x:v>3</x:v>
      </x:c>
      <x:c r="I162" s="122" t="n">
        <x:v>3</x:v>
      </x:c>
      <x:c r="J162" s="122" t="n">
        <x:v>3</x:v>
      </x:c>
      <x:c r="K162" s="122" t="n">
        <x:v>4</x:v>
      </x:c>
      <x:c r="L162" s="122" t="n">
        <x:v>4</x:v>
      </x:c>
      <x:c r="M162" s="122" t="n">
        <x:v>3</x:v>
      </x:c>
      <x:c r="N162" s="122" t="n">
        <x:v>2</x:v>
      </x:c>
      <x:c r="O162" s="123" t="n">
        <x:f>ROUND(G162/5*$X$2+H162/5*$X$3+I162/5*$X$4+J162/5*$X$5+K162/5*$X$6+L162/5*$X$7+M162/5*$X$8-N162/5*$X$9,1)</x:f>
        <x:v>61</x:v>
      </x:c>
      <x:c r="P162" s="119" t="str">
        <x:f>IF(O162&gt;=$X$12,"Foundational deep pass",IF(O162&gt;=$X$13,"Major deep pass",IF(O162&gt;=$X$14,"Targeted innovation pass",IF(O162&gt;=$X$15,"Sampling pass","Reference / defer"))))</x:f>
        <x:v>Major deep pass</x:v>
      </x:c>
      <x:c r="Q162" s="120" t="str">
        <x:v>East Asian serial-media baseline</x:v>
      </x:c>
      <x:c r="R162" s="120" t="str">
        <x:v>Often contributes progression, reincarnation, guild, spirit, and system-fiction innovations; verify translations and source layers.</x:v>
      </x:c>
      <x:c r="S162" s="120" t="str">
        <x:v>Heuristic baseline — editorial review required</x:v>
      </x:c>
      <x:c r="T162" s="120" t="str">
        <x:v>https://en.wikipedia.org/wiki/The_God_of_High_School</x:v>
      </x:c>
      <x:c r="U162" s="121" t="n">
        <x:v>46236</x:v>
      </x:c>
    </x:row>
    <x:row r="163" ht="46" customHeight="1">
      <x:c r="A163" s="119" t="n">
        <x:v>157</x:v>
      </x:c>
      <x:c r="B163" s="119" t="str">
        <x:v>SRC-102</x:v>
      </x:c>
      <x:c r="C163" s="120" t="str">
        <x:v>Warhammer Age of Sigmar</x:v>
      </x:c>
      <x:c r="D163" s="120" t="str">
        <x:v>Miniatures Wargame / Setting</x:v>
      </x:c>
      <x:c r="E163" s="120" t="str">
        <x:v>Britain</x:v>
      </x:c>
      <x:c r="F163" s="119" t="n">
        <x:f>COUNTIF('Seed Catalogue'!$C$2:$C$452,B163)</x:f>
        <x:v>0</x:v>
      </x:c>
      <x:c r="G163" s="122" t="n">
        <x:v>3</x:v>
      </x:c>
      <x:c r="H163" s="122" t="n">
        <x:v>5</x:v>
      </x:c>
      <x:c r="I163" s="122" t="n">
        <x:v>2</x:v>
      </x:c>
      <x:c r="J163" s="122" t="n">
        <x:v>5</x:v>
      </x:c>
      <x:c r="K163" s="122" t="n">
        <x:v>4</x:v>
      </x:c>
      <x:c r="L163" s="122" t="n">
        <x:v>4</x:v>
      </x:c>
      <x:c r="M163" s="122" t="n">
        <x:v>5</x:v>
      </x:c>
      <x:c r="N163" s="122" t="n">
        <x:v>4</x:v>
      </x:c>
      <x:c r="O163" s="123" t="n">
        <x:f>ROUND(G163/5*$X$2+H163/5*$X$3+I163/5*$X$4+J163/5*$X$5+K163/5*$X$6+L163/5*$X$7+M163/5*$X$8-N163/5*$X$9,1)</x:f>
        <x:v>61</x:v>
      </x:c>
      <x:c r="P163" s="119" t="str">
        <x:f>IF(O163&gt;=$X$12,"Foundational deep pass",IF(O163&gt;=$X$13,"Major deep pass",IF(O163&gt;=$X$14,"Targeted innovation pass",IF(O163&gt;=$X$15,"Sampling pass","Reference / defer"))))</x:f>
        <x:v>Major deep pass</x:v>
      </x:c>
      <x:c r="Q163" s="120" t="str">
        <x:v>Rules-system baseline</x:v>
      </x:c>
      <x:c r="R163" s="120" t="str">
        <x:v>Broad taxonomy and strong documentation, but substantial overlap with already captured race/class conventions.</x:v>
      </x:c>
      <x:c r="S163" s="120" t="str">
        <x:v>Heuristic baseline — editorial review required</x:v>
      </x:c>
      <x:c r="T163" s="120" t="str">
        <x:v>https://www.warhammer.com/en-US/explore/age-of-sigmar</x:v>
      </x:c>
      <x:c r="U163" s="121" t="n">
        <x:v>46236</x:v>
      </x:c>
    </x:row>
    <x:row r="164" ht="46" customHeight="1">
      <x:c r="A164" s="119" t="n">
        <x:v>158</x:v>
      </x:c>
      <x:c r="B164" s="119" t="str">
        <x:v>SRC-100</x:v>
      </x:c>
      <x:c r="C164" s="120" t="str">
        <x:v>Warhammer Fantasy Roleplay</x:v>
      </x:c>
      <x:c r="D164" s="120" t="str">
        <x:v>Tabletop RPG</x:v>
      </x:c>
      <x:c r="E164" s="120" t="str">
        <x:v>Britain</x:v>
      </x:c>
      <x:c r="F164" s="119" t="n">
        <x:f>COUNTIF('Seed Catalogue'!$C$2:$C$452,B164)</x:f>
        <x:v>0</x:v>
      </x:c>
      <x:c r="G164" s="122" t="n">
        <x:v>3</x:v>
      </x:c>
      <x:c r="H164" s="122" t="n">
        <x:v>5</x:v>
      </x:c>
      <x:c r="I164" s="122" t="n">
        <x:v>2</x:v>
      </x:c>
      <x:c r="J164" s="122" t="n">
        <x:v>5</x:v>
      </x:c>
      <x:c r="K164" s="122" t="n">
        <x:v>4</x:v>
      </x:c>
      <x:c r="L164" s="122" t="n">
        <x:v>4</x:v>
      </x:c>
      <x:c r="M164" s="122" t="n">
        <x:v>5</x:v>
      </x:c>
      <x:c r="N164" s="122" t="n">
        <x:v>4</x:v>
      </x:c>
      <x:c r="O164" s="123" t="n">
        <x:f>ROUND(G164/5*$X$2+H164/5*$X$3+I164/5*$X$4+J164/5*$X$5+K164/5*$X$6+L164/5*$X$7+M164/5*$X$8-N164/5*$X$9,1)</x:f>
        <x:v>61</x:v>
      </x:c>
      <x:c r="P164" s="119" t="str">
        <x:f>IF(O164&gt;=$X$12,"Foundational deep pass",IF(O164&gt;=$X$13,"Major deep pass",IF(O164&gt;=$X$14,"Targeted innovation pass",IF(O164&gt;=$X$15,"Sampling pass","Reference / defer"))))</x:f>
        <x:v>Major deep pass</x:v>
      </x:c>
      <x:c r="Q164" s="120" t="str">
        <x:v>Rules-system baseline</x:v>
      </x:c>
      <x:c r="R164" s="120" t="str">
        <x:v>Broad taxonomy and strong documentation, but substantial overlap with already captured race/class conventions.</x:v>
      </x:c>
      <x:c r="S164" s="120" t="str">
        <x:v>Heuristic baseline — editorial review required</x:v>
      </x:c>
      <x:c r="T164" s="120" t="str">
        <x:v>https://en.wikipedia.org/wiki/Warhammer_Fantasy_Roleplay</x:v>
      </x:c>
      <x:c r="U164" s="121" t="n">
        <x:v>46236</x:v>
      </x:c>
    </x:row>
    <x:row r="165" ht="46" customHeight="1">
      <x:c r="A165" s="119" t="n">
        <x:v>159</x:v>
      </x:c>
      <x:c r="B165" s="119" t="str">
        <x:v>SRC-128</x:v>
      </x:c>
      <x:c r="C165" s="120" t="str">
        <x:v>Tactics Ogre: Reborn</x:v>
      </x:c>
      <x:c r="D165" s="120" t="str">
        <x:v>Video Game / Tactical RPG</x:v>
      </x:c>
      <x:c r="E165" s="120" t="str">
        <x:v>Japan</x:v>
      </x:c>
      <x:c r="F165" s="119" t="n">
        <x:f>COUNTIF('Seed Catalogue'!$C$2:$C$452,B165)</x:f>
        <x:v>45</x:v>
      </x:c>
      <x:c r="G165" s="122" t="n">
        <x:v>4</x:v>
      </x:c>
      <x:c r="H165" s="122" t="n">
        <x:v>4</x:v>
      </x:c>
      <x:c r="I165" s="122" t="n">
        <x:v>2</x:v>
      </x:c>
      <x:c r="J165" s="122" t="n">
        <x:v>4</x:v>
      </x:c>
      <x:c r="K165" s="122" t="n">
        <x:v>4</x:v>
      </x:c>
      <x:c r="L165" s="122" t="n">
        <x:v>4</x:v>
      </x:c>
      <x:c r="M165" s="122" t="n">
        <x:v>5</x:v>
      </x:c>
      <x:c r="N165" s="122" t="n">
        <x:v>4</x:v>
      </x:c>
      <x:c r="O165" s="123" t="n">
        <x:f>ROUND(G165/5*$X$2+H165/5*$X$3+I165/5*$X$4+J165/5*$X$5+K165/5*$X$6+L165/5*$X$7+M165/5*$X$8-N165/5*$X$9,1)</x:f>
        <x:v>60</x:v>
      </x:c>
      <x:c r="P165" s="119" t="str">
        <x:f>IF(O165&gt;=$X$12,"Foundational deep pass",IF(O165&gt;=$X$13,"Major deep pass",IF(O165&gt;=$X$14,"Targeted innovation pass",IF(O165&gt;=$X$15,"Sampling pass","Reference / defer"))))</x:f>
        <x:v>Major deep pass</x:v>
      </x:c>
      <x:c r="Q165" s="120" t="str">
        <x:v>Tactics Ogre: Reborn override</x:v>
      </x:c>
      <x:c r="R165" s="120" t="str">
        <x:v>Already deeply seeded; future work should focus on source citations, version differences, and unique mechanics.</x:v>
      </x:c>
      <x:c r="S165" s="120" t="str">
        <x:v>Editorial override — review required</x:v>
      </x:c>
      <x:c r="T165" s="120" t="str">
        <x:v>https://www.square-enix-games.com/en_US/news/tactics-ogre-reborn-characters-classes</x:v>
      </x:c>
      <x:c r="U165" s="121" t="n">
        <x:v>46236</x:v>
      </x:c>
    </x:row>
    <x:row r="166" ht="46" customHeight="1">
      <x:c r="A166" s="119" t="n">
        <x:v>160</x:v>
      </x:c>
      <x:c r="B166" s="119" t="str">
        <x:v>SRC-111</x:v>
      </x:c>
      <x:c r="C166" s="120" t="str">
        <x:v>13th Age</x:v>
      </x:c>
      <x:c r="D166" s="120" t="str">
        <x:v>Tabletop RPG</x:v>
      </x:c>
      <x:c r="E166" s="120" t="str">
        <x:v>United States</x:v>
      </x:c>
      <x:c r="F166" s="119" t="n">
        <x:f>COUNTIF('Seed Catalogue'!$C$2:$C$452,B166)</x:f>
        <x:v>0</x:v>
      </x:c>
      <x:c r="G166" s="122" t="n">
        <x:v>3</x:v>
      </x:c>
      <x:c r="H166" s="122" t="n">
        <x:v>5</x:v>
      </x:c>
      <x:c r="I166" s="122" t="n">
        <x:v>2</x:v>
      </x:c>
      <x:c r="J166" s="122" t="n">
        <x:v>4</x:v>
      </x:c>
      <x:c r="K166" s="122" t="n">
        <x:v>4</x:v>
      </x:c>
      <x:c r="L166" s="122" t="n">
        <x:v>4</x:v>
      </x:c>
      <x:c r="M166" s="122" t="n">
        <x:v>5</x:v>
      </x:c>
      <x:c r="N166" s="122" t="n">
        <x:v>4</x:v>
      </x:c>
      <x:c r="O166" s="123" t="n">
        <x:f>ROUND(G166/5*$X$2+H166/5*$X$3+I166/5*$X$4+J166/5*$X$5+K166/5*$X$6+L166/5*$X$7+M166/5*$X$8-N166/5*$X$9,1)</x:f>
        <x:v>58</x:v>
      </x:c>
      <x:c r="P166" s="119" t="str">
        <x:f>IF(O166&gt;=$X$12,"Foundational deep pass",IF(O166&gt;=$X$13,"Major deep pass",IF(O166&gt;=$X$14,"Targeted innovation pass",IF(O166&gt;=$X$15,"Sampling pass","Reference / defer"))))</x:f>
        <x:v>Targeted innovation pass</x:v>
      </x:c>
      <x:c r="Q166" s="120" t="str">
        <x:v>Rules-system baseline</x:v>
      </x:c>
      <x:c r="R166" s="120" t="str">
        <x:v>Broad taxonomy and strong documentation, but substantial overlap with already captured race/class conventions.</x:v>
      </x:c>
      <x:c r="S166" s="120" t="str">
        <x:v>Heuristic baseline — editorial review required</x:v>
      </x:c>
      <x:c r="T166" s="120" t="str">
        <x:v>https://en.wikipedia.org/wiki/13th_Age</x:v>
      </x:c>
      <x:c r="U166" s="121" t="n">
        <x:v>46236</x:v>
      </x:c>
    </x:row>
    <x:row r="167" ht="46" customHeight="1">
      <x:c r="A167" s="119" t="n">
        <x:v>161</x:v>
      </x:c>
      <x:c r="B167" s="119" t="str">
        <x:v>SRC-113</x:v>
      </x:c>
      <x:c r="C167" s="120" t="str">
        <x:v>Blades in the Dark</x:v>
      </x:c>
      <x:c r="D167" s="120" t="str">
        <x:v>Tabletop RPG</x:v>
      </x:c>
      <x:c r="E167" s="120" t="str">
        <x:v>United States</x:v>
      </x:c>
      <x:c r="F167" s="119" t="n">
        <x:f>COUNTIF('Seed Catalogue'!$C$2:$C$452,B167)</x:f>
        <x:v>0</x:v>
      </x:c>
      <x:c r="G167" s="122" t="n">
        <x:v>3</x:v>
      </x:c>
      <x:c r="H167" s="122" t="n">
        <x:v>5</x:v>
      </x:c>
      <x:c r="I167" s="122" t="n">
        <x:v>2</x:v>
      </x:c>
      <x:c r="J167" s="122" t="n">
        <x:v>4</x:v>
      </x:c>
      <x:c r="K167" s="122" t="n">
        <x:v>4</x:v>
      </x:c>
      <x:c r="L167" s="122" t="n">
        <x:v>4</x:v>
      </x:c>
      <x:c r="M167" s="122" t="n">
        <x:v>5</x:v>
      </x:c>
      <x:c r="N167" s="122" t="n">
        <x:v>4</x:v>
      </x:c>
      <x:c r="O167" s="123" t="n">
        <x:f>ROUND(G167/5*$X$2+H167/5*$X$3+I167/5*$X$4+J167/5*$X$5+K167/5*$X$6+L167/5*$X$7+M167/5*$X$8-N167/5*$X$9,1)</x:f>
        <x:v>58</x:v>
      </x:c>
      <x:c r="P167" s="119" t="str">
        <x:f>IF(O167&gt;=$X$12,"Foundational deep pass",IF(O167&gt;=$X$13,"Major deep pass",IF(O167&gt;=$X$14,"Targeted innovation pass",IF(O167&gt;=$X$15,"Sampling pass","Reference / defer"))))</x:f>
        <x:v>Targeted innovation pass</x:v>
      </x:c>
      <x:c r="Q167" s="120" t="str">
        <x:v>Rules-system baseline</x:v>
      </x:c>
      <x:c r="R167" s="120" t="str">
        <x:v>Broad taxonomy and strong documentation, but substantial overlap with already captured race/class conventions.</x:v>
      </x:c>
      <x:c r="S167" s="120" t="str">
        <x:v>Heuristic baseline — editorial review required</x:v>
      </x:c>
      <x:c r="T167" s="120" t="str">
        <x:v>https://en.wikipedia.org/wiki/Blades_in_the_Dark</x:v>
      </x:c>
      <x:c r="U167" s="121" t="n">
        <x:v>46236</x:v>
      </x:c>
    </x:row>
    <x:row r="168" ht="46" customHeight="1">
      <x:c r="A168" s="119" t="n">
        <x:v>162</x:v>
      </x:c>
      <x:c r="B168" s="119" t="str">
        <x:v>SRC-114</x:v>
      </x:c>
      <x:c r="C168" s="120" t="str">
        <x:v>Burning Wheel</x:v>
      </x:c>
      <x:c r="D168" s="120" t="str">
        <x:v>Tabletop RPG</x:v>
      </x:c>
      <x:c r="E168" s="120" t="str">
        <x:v>United States</x:v>
      </x:c>
      <x:c r="F168" s="119" t="n">
        <x:f>COUNTIF('Seed Catalogue'!$C$2:$C$452,B168)</x:f>
        <x:v>0</x:v>
      </x:c>
      <x:c r="G168" s="122" t="n">
        <x:v>3</x:v>
      </x:c>
      <x:c r="H168" s="122" t="n">
        <x:v>5</x:v>
      </x:c>
      <x:c r="I168" s="122" t="n">
        <x:v>2</x:v>
      </x:c>
      <x:c r="J168" s="122" t="n">
        <x:v>4</x:v>
      </x:c>
      <x:c r="K168" s="122" t="n">
        <x:v>4</x:v>
      </x:c>
      <x:c r="L168" s="122" t="n">
        <x:v>4</x:v>
      </x:c>
      <x:c r="M168" s="122" t="n">
        <x:v>5</x:v>
      </x:c>
      <x:c r="N168" s="122" t="n">
        <x:v>4</x:v>
      </x:c>
      <x:c r="O168" s="123" t="n">
        <x:f>ROUND(G168/5*$X$2+H168/5*$X$3+I168/5*$X$4+J168/5*$X$5+K168/5*$X$6+L168/5*$X$7+M168/5*$X$8-N168/5*$X$9,1)</x:f>
        <x:v>58</x:v>
      </x:c>
      <x:c r="P168" s="119" t="str">
        <x:f>IF(O168&gt;=$X$12,"Foundational deep pass",IF(O168&gt;=$X$13,"Major deep pass",IF(O168&gt;=$X$14,"Targeted innovation pass",IF(O168&gt;=$X$15,"Sampling pass","Reference / defer"))))</x:f>
        <x:v>Targeted innovation pass</x:v>
      </x:c>
      <x:c r="Q168" s="120" t="str">
        <x:v>Rules-system baseline</x:v>
      </x:c>
      <x:c r="R168" s="120" t="str">
        <x:v>Broad taxonomy and strong documentation, but substantial overlap with already captured race/class conventions.</x:v>
      </x:c>
      <x:c r="S168" s="120" t="str">
        <x:v>Heuristic baseline — editorial review required</x:v>
      </x:c>
      <x:c r="T168" s="120" t="str">
        <x:v>https://en.wikipedia.org/wiki/Burning_Wheel</x:v>
      </x:c>
      <x:c r="U168" s="121" t="n">
        <x:v>46236</x:v>
      </x:c>
    </x:row>
    <x:row r="169" ht="46" customHeight="1">
      <x:c r="A169" s="119" t="n">
        <x:v>163</x:v>
      </x:c>
      <x:c r="B169" s="119" t="str">
        <x:v>SRC-112</x:v>
      </x:c>
      <x:c r="C169" s="120" t="str">
        <x:v>Dungeon World</x:v>
      </x:c>
      <x:c r="D169" s="120" t="str">
        <x:v>Tabletop RPG</x:v>
      </x:c>
      <x:c r="E169" s="120" t="str">
        <x:v>United States</x:v>
      </x:c>
      <x:c r="F169" s="119" t="n">
        <x:f>COUNTIF('Seed Catalogue'!$C$2:$C$452,B169)</x:f>
        <x:v>0</x:v>
      </x:c>
      <x:c r="G169" s="122" t="n">
        <x:v>3</x:v>
      </x:c>
      <x:c r="H169" s="122" t="n">
        <x:v>5</x:v>
      </x:c>
      <x:c r="I169" s="122" t="n">
        <x:v>2</x:v>
      </x:c>
      <x:c r="J169" s="122" t="n">
        <x:v>4</x:v>
      </x:c>
      <x:c r="K169" s="122" t="n">
        <x:v>4</x:v>
      </x:c>
      <x:c r="L169" s="122" t="n">
        <x:v>4</x:v>
      </x:c>
      <x:c r="M169" s="122" t="n">
        <x:v>5</x:v>
      </x:c>
      <x:c r="N169" s="122" t="n">
        <x:v>4</x:v>
      </x:c>
      <x:c r="O169" s="123" t="n">
        <x:f>ROUND(G169/5*$X$2+H169/5*$X$3+I169/5*$X$4+J169/5*$X$5+K169/5*$X$6+L169/5*$X$7+M169/5*$X$8-N169/5*$X$9,1)</x:f>
        <x:v>58</x:v>
      </x:c>
      <x:c r="P169" s="119" t="str">
        <x:f>IF(O169&gt;=$X$12,"Foundational deep pass",IF(O169&gt;=$X$13,"Major deep pass",IF(O169&gt;=$X$14,"Targeted innovation pass",IF(O169&gt;=$X$15,"Sampling pass","Reference / defer"))))</x:f>
        <x:v>Targeted innovation pass</x:v>
      </x:c>
      <x:c r="Q169" s="120" t="str">
        <x:v>Rules-system baseline</x:v>
      </x:c>
      <x:c r="R169" s="120" t="str">
        <x:v>Broad taxonomy and strong documentation, but substantial overlap with already captured race/class conventions.</x:v>
      </x:c>
      <x:c r="S169" s="120" t="str">
        <x:v>Heuristic baseline — editorial review required</x:v>
      </x:c>
      <x:c r="T169" s="120" t="str">
        <x:v>https://en.wikipedia.org/wiki/Dungeon_World</x:v>
      </x:c>
      <x:c r="U169" s="121" t="n">
        <x:v>46236</x:v>
      </x:c>
    </x:row>
    <x:row r="170" ht="46" customHeight="1">
      <x:c r="A170" s="119" t="n">
        <x:v>164</x:v>
      </x:c>
      <x:c r="B170" s="119" t="str">
        <x:v>SRC-106</x:v>
      </x:c>
      <x:c r="C170" s="120" t="str">
        <x:v>Earthdawn</x:v>
      </x:c>
      <x:c r="D170" s="120" t="str">
        <x:v>Tabletop RPG</x:v>
      </x:c>
      <x:c r="E170" s="120" t="str">
        <x:v>United States</x:v>
      </x:c>
      <x:c r="F170" s="119" t="n">
        <x:f>COUNTIF('Seed Catalogue'!$C$2:$C$452,B170)</x:f>
        <x:v>0</x:v>
      </x:c>
      <x:c r="G170" s="122" t="n">
        <x:v>3</x:v>
      </x:c>
      <x:c r="H170" s="122" t="n">
        <x:v>5</x:v>
      </x:c>
      <x:c r="I170" s="122" t="n">
        <x:v>2</x:v>
      </x:c>
      <x:c r="J170" s="122" t="n">
        <x:v>4</x:v>
      </x:c>
      <x:c r="K170" s="122" t="n">
        <x:v>4</x:v>
      </x:c>
      <x:c r="L170" s="122" t="n">
        <x:v>4</x:v>
      </x:c>
      <x:c r="M170" s="122" t="n">
        <x:v>5</x:v>
      </x:c>
      <x:c r="N170" s="122" t="n">
        <x:v>4</x:v>
      </x:c>
      <x:c r="O170" s="123" t="n">
        <x:f>ROUND(G170/5*$X$2+H170/5*$X$3+I170/5*$X$4+J170/5*$X$5+K170/5*$X$6+L170/5*$X$7+M170/5*$X$8-N170/5*$X$9,1)</x:f>
        <x:v>58</x:v>
      </x:c>
      <x:c r="P170" s="119" t="str">
        <x:f>IF(O170&gt;=$X$12,"Foundational deep pass",IF(O170&gt;=$X$13,"Major deep pass",IF(O170&gt;=$X$14,"Targeted innovation pass",IF(O170&gt;=$X$15,"Sampling pass","Reference / defer"))))</x:f>
        <x:v>Targeted innovation pass</x:v>
      </x:c>
      <x:c r="Q170" s="120" t="str">
        <x:v>Rules-system baseline</x:v>
      </x:c>
      <x:c r="R170" s="120" t="str">
        <x:v>Broad taxonomy and strong documentation, but substantial overlap with already captured race/class conventions.</x:v>
      </x:c>
      <x:c r="S170" s="120" t="str">
        <x:v>Heuristic baseline — editorial review required</x:v>
      </x:c>
      <x:c r="T170" s="120" t="str">
        <x:v>https://en.wikipedia.org/wiki/Earthdawn</x:v>
      </x:c>
      <x:c r="U170" s="121" t="n">
        <x:v>46236</x:v>
      </x:c>
    </x:row>
    <x:row r="171" ht="46" customHeight="1">
      <x:c r="A171" s="119" t="n">
        <x:v>165</x:v>
      </x:c>
      <x:c r="B171" s="119" t="str">
        <x:v>SRC-117</x:v>
      </x:c>
      <x:c r="C171" s="120" t="str">
        <x:v>Fabula Ultima</x:v>
      </x:c>
      <x:c r="D171" s="120" t="str">
        <x:v>Tabletop RPG</x:v>
      </x:c>
      <x:c r="E171" s="120" t="str">
        <x:v>Italy / JRPG-inspired</x:v>
      </x:c>
      <x:c r="F171" s="119" t="n">
        <x:f>COUNTIF('Seed Catalogue'!$C$2:$C$452,B171)</x:f>
        <x:v>0</x:v>
      </x:c>
      <x:c r="G171" s="122" t="n">
        <x:v>3</x:v>
      </x:c>
      <x:c r="H171" s="122" t="n">
        <x:v>5</x:v>
      </x:c>
      <x:c r="I171" s="122" t="n">
        <x:v>2</x:v>
      </x:c>
      <x:c r="J171" s="122" t="n">
        <x:v>4</x:v>
      </x:c>
      <x:c r="K171" s="122" t="n">
        <x:v>4</x:v>
      </x:c>
      <x:c r="L171" s="122" t="n">
        <x:v>4</x:v>
      </x:c>
      <x:c r="M171" s="122" t="n">
        <x:v>5</x:v>
      </x:c>
      <x:c r="N171" s="122" t="n">
        <x:v>4</x:v>
      </x:c>
      <x:c r="O171" s="123" t="n">
        <x:f>ROUND(G171/5*$X$2+H171/5*$X$3+I171/5*$X$4+J171/5*$X$5+K171/5*$X$6+L171/5*$X$7+M171/5*$X$8-N171/5*$X$9,1)</x:f>
        <x:v>58</x:v>
      </x:c>
      <x:c r="P171" s="119" t="str">
        <x:f>IF(O171&gt;=$X$12,"Foundational deep pass",IF(O171&gt;=$X$13,"Major deep pass",IF(O171&gt;=$X$14,"Targeted innovation pass",IF(O171&gt;=$X$15,"Sampling pass","Reference / defer"))))</x:f>
        <x:v>Targeted innovation pass</x:v>
      </x:c>
      <x:c r="Q171" s="120" t="str">
        <x:v>Rules-system baseline</x:v>
      </x:c>
      <x:c r="R171" s="120" t="str">
        <x:v>Broad taxonomy and strong documentation, but substantial overlap with already captured race/class conventions.</x:v>
      </x:c>
      <x:c r="S171" s="120" t="str">
        <x:v>Heuristic baseline — editorial review required</x:v>
      </x:c>
      <x:c r="T171" s="120" t="str">
        <x:v>https://en.wikipedia.org/wiki/Fabula_Ultima</x:v>
      </x:c>
      <x:c r="U171" s="121" t="n">
        <x:v>46236</x:v>
      </x:c>
    </x:row>
    <x:row r="172" ht="46" customHeight="1">
      <x:c r="A172" s="119" t="n">
        <x:v>166</x:v>
      </x:c>
      <x:c r="B172" s="119" t="str">
        <x:v>SRC-116</x:v>
      </x:c>
      <x:c r="C172" s="120" t="str">
        <x:v>Forbidden Lands</x:v>
      </x:c>
      <x:c r="D172" s="120" t="str">
        <x:v>Tabletop RPG</x:v>
      </x:c>
      <x:c r="E172" s="120" t="str">
        <x:v>Sweden</x:v>
      </x:c>
      <x:c r="F172" s="119" t="n">
        <x:f>COUNTIF('Seed Catalogue'!$C$2:$C$452,B172)</x:f>
        <x:v>0</x:v>
      </x:c>
      <x:c r="G172" s="122" t="n">
        <x:v>3</x:v>
      </x:c>
      <x:c r="H172" s="122" t="n">
        <x:v>5</x:v>
      </x:c>
      <x:c r="I172" s="122" t="n">
        <x:v>2</x:v>
      </x:c>
      <x:c r="J172" s="122" t="n">
        <x:v>4</x:v>
      </x:c>
      <x:c r="K172" s="122" t="n">
        <x:v>4</x:v>
      </x:c>
      <x:c r="L172" s="122" t="n">
        <x:v>4</x:v>
      </x:c>
      <x:c r="M172" s="122" t="n">
        <x:v>5</x:v>
      </x:c>
      <x:c r="N172" s="122" t="n">
        <x:v>4</x:v>
      </x:c>
      <x:c r="O172" s="123" t="n">
        <x:f>ROUND(G172/5*$X$2+H172/5*$X$3+I172/5*$X$4+J172/5*$X$5+K172/5*$X$6+L172/5*$X$7+M172/5*$X$8-N172/5*$X$9,1)</x:f>
        <x:v>58</x:v>
      </x:c>
      <x:c r="P172" s="119" t="str">
        <x:f>IF(O172&gt;=$X$12,"Foundational deep pass",IF(O172&gt;=$X$13,"Major deep pass",IF(O172&gt;=$X$14,"Targeted innovation pass",IF(O172&gt;=$X$15,"Sampling pass","Reference / defer"))))</x:f>
        <x:v>Targeted innovation pass</x:v>
      </x:c>
      <x:c r="Q172" s="120" t="str">
        <x:v>Rules-system baseline</x:v>
      </x:c>
      <x:c r="R172" s="120" t="str">
        <x:v>Broad taxonomy and strong documentation, but substantial overlap with already captured race/class conventions.</x:v>
      </x:c>
      <x:c r="S172" s="120" t="str">
        <x:v>Heuristic baseline — editorial review required</x:v>
      </x:c>
      <x:c r="T172" s="120" t="str">
        <x:v>https://en.wikipedia.org/wiki/Forbidden_Lands</x:v>
      </x:c>
      <x:c r="U172" s="121" t="n">
        <x:v>46236</x:v>
      </x:c>
    </x:row>
    <x:row r="173" ht="46" customHeight="1">
      <x:c r="A173" s="119" t="n">
        <x:v>167</x:v>
      </x:c>
      <x:c r="B173" s="119" t="str">
        <x:v>SRC-091</x:v>
      </x:c>
      <x:c r="C173" s="120" t="str">
        <x:v>Greyhawk</x:v>
      </x:c>
      <x:c r="D173" s="120" t="str">
        <x:v>Tabletop RPG Setting</x:v>
      </x:c>
      <x:c r="E173" s="120" t="str">
        <x:v>United States</x:v>
      </x:c>
      <x:c r="F173" s="119" t="n">
        <x:f>COUNTIF('Seed Catalogue'!$C$2:$C$452,B173)</x:f>
        <x:v>0</x:v>
      </x:c>
      <x:c r="G173" s="122" t="n">
        <x:v>3</x:v>
      </x:c>
      <x:c r="H173" s="122" t="n">
        <x:v>5</x:v>
      </x:c>
      <x:c r="I173" s="122" t="n">
        <x:v>2</x:v>
      </x:c>
      <x:c r="J173" s="122" t="n">
        <x:v>4</x:v>
      </x:c>
      <x:c r="K173" s="122" t="n">
        <x:v>4</x:v>
      </x:c>
      <x:c r="L173" s="122" t="n">
        <x:v>4</x:v>
      </x:c>
      <x:c r="M173" s="122" t="n">
        <x:v>5</x:v>
      </x:c>
      <x:c r="N173" s="122" t="n">
        <x:v>4</x:v>
      </x:c>
      <x:c r="O173" s="123" t="n">
        <x:f>ROUND(G173/5*$X$2+H173/5*$X$3+I173/5*$X$4+J173/5*$X$5+K173/5*$X$6+L173/5*$X$7+M173/5*$X$8-N173/5*$X$9,1)</x:f>
        <x:v>58</x:v>
      </x:c>
      <x:c r="P173" s="119" t="str">
        <x:f>IF(O173&gt;=$X$12,"Foundational deep pass",IF(O173&gt;=$X$13,"Major deep pass",IF(O173&gt;=$X$14,"Targeted innovation pass",IF(O173&gt;=$X$15,"Sampling pass","Reference / defer"))))</x:f>
        <x:v>Targeted innovation pass</x:v>
      </x:c>
      <x:c r="Q173" s="120" t="str">
        <x:v>Rules-system baseline</x:v>
      </x:c>
      <x:c r="R173" s="120" t="str">
        <x:v>Broad taxonomy and strong documentation, but substantial overlap with already captured race/class conventions.</x:v>
      </x:c>
      <x:c r="S173" s="120" t="str">
        <x:v>Heuristic baseline — editorial review required</x:v>
      </x:c>
      <x:c r="T173" s="120" t="str">
        <x:v>https://en.wikipedia.org/wiki/Greyhawk</x:v>
      </x:c>
      <x:c r="U173" s="121" t="n">
        <x:v>46236</x:v>
      </x:c>
    </x:row>
    <x:row r="174" ht="46" customHeight="1">
      <x:c r="A174" s="119" t="n">
        <x:v>168</x:v>
      </x:c>
      <x:c r="B174" s="119" t="str">
        <x:v>SRC-107</x:v>
      </x:c>
      <x:c r="C174" s="120" t="str">
        <x:v>Shadowrun</x:v>
      </x:c>
      <x:c r="D174" s="120" t="str">
        <x:v>Tabletop RPG / Science Fantasy</x:v>
      </x:c>
      <x:c r="E174" s="120" t="str">
        <x:v>United States</x:v>
      </x:c>
      <x:c r="F174" s="119" t="n">
        <x:f>COUNTIF('Seed Catalogue'!$C$2:$C$452,B174)</x:f>
        <x:v>0</x:v>
      </x:c>
      <x:c r="G174" s="122" t="n">
        <x:v>3</x:v>
      </x:c>
      <x:c r="H174" s="122" t="n">
        <x:v>5</x:v>
      </x:c>
      <x:c r="I174" s="122" t="n">
        <x:v>2</x:v>
      </x:c>
      <x:c r="J174" s="122" t="n">
        <x:v>4</x:v>
      </x:c>
      <x:c r="K174" s="122" t="n">
        <x:v>4</x:v>
      </x:c>
      <x:c r="L174" s="122" t="n">
        <x:v>4</x:v>
      </x:c>
      <x:c r="M174" s="122" t="n">
        <x:v>5</x:v>
      </x:c>
      <x:c r="N174" s="122" t="n">
        <x:v>4</x:v>
      </x:c>
      <x:c r="O174" s="123" t="n">
        <x:f>ROUND(G174/5*$X$2+H174/5*$X$3+I174/5*$X$4+J174/5*$X$5+K174/5*$X$6+L174/5*$X$7+M174/5*$X$8-N174/5*$X$9,1)</x:f>
        <x:v>58</x:v>
      </x:c>
      <x:c r="P174" s="119" t="str">
        <x:f>IF(O174&gt;=$X$12,"Foundational deep pass",IF(O174&gt;=$X$13,"Major deep pass",IF(O174&gt;=$X$14,"Targeted innovation pass",IF(O174&gt;=$X$15,"Sampling pass","Reference / defer"))))</x:f>
        <x:v>Targeted innovation pass</x:v>
      </x:c>
      <x:c r="Q174" s="120" t="str">
        <x:v>Rules-system baseline</x:v>
      </x:c>
      <x:c r="R174" s="120" t="str">
        <x:v>Broad taxonomy and strong documentation, but substantial overlap with already captured race/class conventions.</x:v>
      </x:c>
      <x:c r="S174" s="120" t="str">
        <x:v>Heuristic baseline — editorial review required</x:v>
      </x:c>
      <x:c r="T174" s="120" t="str">
        <x:v>https://en.wikipedia.org/wiki/Shadowrun</x:v>
      </x:c>
      <x:c r="U174" s="121" t="n">
        <x:v>46236</x:v>
      </x:c>
    </x:row>
    <x:row r="175" ht="46" customHeight="1">
      <x:c r="A175" s="119" t="n">
        <x:v>169</x:v>
      </x:c>
      <x:c r="B175" s="119" t="str">
        <x:v>SRC-097</x:v>
      </x:c>
      <x:c r="C175" s="120" t="str">
        <x:v>Spelljammer</x:v>
      </x:c>
      <x:c r="D175" s="120" t="str">
        <x:v>Tabletop RPG Setting</x:v>
      </x:c>
      <x:c r="E175" s="120" t="str">
        <x:v>United States</x:v>
      </x:c>
      <x:c r="F175" s="119" t="n">
        <x:f>COUNTIF('Seed Catalogue'!$C$2:$C$452,B175)</x:f>
        <x:v>0</x:v>
      </x:c>
      <x:c r="G175" s="122" t="n">
        <x:v>3</x:v>
      </x:c>
      <x:c r="H175" s="122" t="n">
        <x:v>5</x:v>
      </x:c>
      <x:c r="I175" s="122" t="n">
        <x:v>2</x:v>
      </x:c>
      <x:c r="J175" s="122" t="n">
        <x:v>4</x:v>
      </x:c>
      <x:c r="K175" s="122" t="n">
        <x:v>4</x:v>
      </x:c>
      <x:c r="L175" s="122" t="n">
        <x:v>4</x:v>
      </x:c>
      <x:c r="M175" s="122" t="n">
        <x:v>5</x:v>
      </x:c>
      <x:c r="N175" s="122" t="n">
        <x:v>4</x:v>
      </x:c>
      <x:c r="O175" s="123" t="n">
        <x:f>ROUND(G175/5*$X$2+H175/5*$X$3+I175/5*$X$4+J175/5*$X$5+K175/5*$X$6+L175/5*$X$7+M175/5*$X$8-N175/5*$X$9,1)</x:f>
        <x:v>58</x:v>
      </x:c>
      <x:c r="P175" s="119" t="str">
        <x:f>IF(O175&gt;=$X$12,"Foundational deep pass",IF(O175&gt;=$X$13,"Major deep pass",IF(O175&gt;=$X$14,"Targeted innovation pass",IF(O175&gt;=$X$15,"Sampling pass","Reference / defer"))))</x:f>
        <x:v>Targeted innovation pass</x:v>
      </x:c>
      <x:c r="Q175" s="120" t="str">
        <x:v>Rules-system baseline</x:v>
      </x:c>
      <x:c r="R175" s="120" t="str">
        <x:v>Broad taxonomy and strong documentation, but substantial overlap with already captured race/class conventions.</x:v>
      </x:c>
      <x:c r="S175" s="120" t="str">
        <x:v>Heuristic baseline — editorial review required</x:v>
      </x:c>
      <x:c r="T175" s="120" t="str">
        <x:v>https://en.wikipedia.org/wiki/Spelljammer</x:v>
      </x:c>
      <x:c r="U175" s="121" t="n">
        <x:v>46236</x:v>
      </x:c>
    </x:row>
    <x:row r="176" ht="46" customHeight="1">
      <x:c r="A176" s="119" t="n">
        <x:v>170</x:v>
      </x:c>
      <x:c r="B176" s="119" t="str">
        <x:v>SRC-115</x:v>
      </x:c>
      <x:c r="C176" s="120" t="str">
        <x:v>Symbaroum</x:v>
      </x:c>
      <x:c r="D176" s="120" t="str">
        <x:v>Tabletop RPG</x:v>
      </x:c>
      <x:c r="E176" s="120" t="str">
        <x:v>Sweden</x:v>
      </x:c>
      <x:c r="F176" s="119" t="n">
        <x:f>COUNTIF('Seed Catalogue'!$C$2:$C$452,B176)</x:f>
        <x:v>0</x:v>
      </x:c>
      <x:c r="G176" s="122" t="n">
        <x:v>3</x:v>
      </x:c>
      <x:c r="H176" s="122" t="n">
        <x:v>5</x:v>
      </x:c>
      <x:c r="I176" s="122" t="n">
        <x:v>2</x:v>
      </x:c>
      <x:c r="J176" s="122" t="n">
        <x:v>4</x:v>
      </x:c>
      <x:c r="K176" s="122" t="n">
        <x:v>4</x:v>
      </x:c>
      <x:c r="L176" s="122" t="n">
        <x:v>4</x:v>
      </x:c>
      <x:c r="M176" s="122" t="n">
        <x:v>5</x:v>
      </x:c>
      <x:c r="N176" s="122" t="n">
        <x:v>4</x:v>
      </x:c>
      <x:c r="O176" s="123" t="n">
        <x:f>ROUND(G176/5*$X$2+H176/5*$X$3+I176/5*$X$4+J176/5*$X$5+K176/5*$X$6+L176/5*$X$7+M176/5*$X$8-N176/5*$X$9,1)</x:f>
        <x:v>58</x:v>
      </x:c>
      <x:c r="P176" s="119" t="str">
        <x:f>IF(O176&gt;=$X$12,"Foundational deep pass",IF(O176&gt;=$X$13,"Major deep pass",IF(O176&gt;=$X$14,"Targeted innovation pass",IF(O176&gt;=$X$15,"Sampling pass","Reference / defer"))))</x:f>
        <x:v>Targeted innovation pass</x:v>
      </x:c>
      <x:c r="Q176" s="120" t="str">
        <x:v>Rules-system baseline</x:v>
      </x:c>
      <x:c r="R176" s="120" t="str">
        <x:v>Broad taxonomy and strong documentation, but substantial overlap with already captured race/class conventions.</x:v>
      </x:c>
      <x:c r="S176" s="120" t="str">
        <x:v>Heuristic baseline — editorial review required</x:v>
      </x:c>
      <x:c r="T176" s="120" t="str">
        <x:v>https://en.wikipedia.org/wiki/Symbaroum</x:v>
      </x:c>
      <x:c r="U176" s="121" t="n">
        <x:v>46236</x:v>
      </x:c>
    </x:row>
    <x:row r="177" ht="46" customHeight="1">
      <x:c r="A177" s="119" t="n">
        <x:v>171</x:v>
      </x:c>
      <x:c r="B177" s="119" t="str">
        <x:v>SRC-127</x:v>
      </x:c>
      <x:c r="C177" s="120" t="str">
        <x:v>Tactics Ogre / Ogre Battle</x:v>
      </x:c>
      <x:c r="D177" s="120" t="str">
        <x:v>Video Game / Tactical RPG</x:v>
      </x:c>
      <x:c r="E177" s="120" t="str">
        <x:v>Japan</x:v>
      </x:c>
      <x:c r="F177" s="119" t="n">
        <x:f>COUNTIF('Seed Catalogue'!$C$2:$C$452,B177)</x:f>
        <x:v>0</x:v>
      </x:c>
      <x:c r="G177" s="122" t="n">
        <x:v>4</x:v>
      </x:c>
      <x:c r="H177" s="122" t="n">
        <x:v>4</x:v>
      </x:c>
      <x:c r="I177" s="122" t="n">
        <x:v>2</x:v>
      </x:c>
      <x:c r="J177" s="122" t="n">
        <x:v>4</x:v>
      </x:c>
      <x:c r="K177" s="122" t="n">
        <x:v>4</x:v>
      </x:c>
      <x:c r="L177" s="122" t="n">
        <x:v>4</x:v>
      </x:c>
      <x:c r="M177" s="122" t="n">
        <x:v>4</x:v>
      </x:c>
      <x:c r="N177" s="122" t="n">
        <x:v>4</x:v>
      </x:c>
      <x:c r="O177" s="123" t="n">
        <x:f>ROUND(G177/5*$X$2+H177/5*$X$3+I177/5*$X$4+J177/5*$X$5+K177/5*$X$6+L177/5*$X$7+M177/5*$X$8-N177/5*$X$9,1)</x:f>
        <x:v>58</x:v>
      </x:c>
      <x:c r="P177" s="119" t="str">
        <x:f>IF(O177&gt;=$X$12,"Foundational deep pass",IF(O177&gt;=$X$13,"Major deep pass",IF(O177&gt;=$X$14,"Targeted innovation pass",IF(O177&gt;=$X$15,"Sampling pass","Reference / defer"))))</x:f>
        <x:v>Targeted innovation pass</x:v>
      </x:c>
      <x:c r="Q177" s="120" t="str">
        <x:v>Tactics Ogre franchise override</x:v>
      </x:c>
      <x:c r="R177" s="120" t="str">
        <x:v>Prioritize distinctive jobs, political institutions, transformation, and tactical mechanics rather than repeated martial jobs.</x:v>
      </x:c>
      <x:c r="S177" s="120" t="str">
        <x:v>Editorial override — review required</x:v>
      </x:c>
      <x:c r="T177" s="120" t="str">
        <x:v>https://www.square-enix-games.com/en_US/games/tactics-ogre-reborn</x:v>
      </x:c>
      <x:c r="U177" s="121" t="n">
        <x:v>46236</x:v>
      </x:c>
    </x:row>
    <x:row r="178" ht="46" customHeight="1">
      <x:c r="A178" s="119" t="n">
        <x:v>172</x:v>
      </x:c>
      <x:c r="B178" s="119" t="str">
        <x:v>SRC-109</x:v>
      </x:c>
      <x:c r="C178" s="120" t="str">
        <x:v>The Dark Eye</x:v>
      </x:c>
      <x:c r="D178" s="120" t="str">
        <x:v>Tabletop RPG</x:v>
      </x:c>
      <x:c r="E178" s="120" t="str">
        <x:v>Germany</x:v>
      </x:c>
      <x:c r="F178" s="119" t="n">
        <x:f>COUNTIF('Seed Catalogue'!$C$2:$C$452,B178)</x:f>
        <x:v>0</x:v>
      </x:c>
      <x:c r="G178" s="122" t="n">
        <x:v>3</x:v>
      </x:c>
      <x:c r="H178" s="122" t="n">
        <x:v>5</x:v>
      </x:c>
      <x:c r="I178" s="122" t="n">
        <x:v>2</x:v>
      </x:c>
      <x:c r="J178" s="122" t="n">
        <x:v>4</x:v>
      </x:c>
      <x:c r="K178" s="122" t="n">
        <x:v>4</x:v>
      </x:c>
      <x:c r="L178" s="122" t="n">
        <x:v>4</x:v>
      </x:c>
      <x:c r="M178" s="122" t="n">
        <x:v>5</x:v>
      </x:c>
      <x:c r="N178" s="122" t="n">
        <x:v>4</x:v>
      </x:c>
      <x:c r="O178" s="123" t="n">
        <x:f>ROUND(G178/5*$X$2+H178/5*$X$3+I178/5*$X$4+J178/5*$X$5+K178/5*$X$6+L178/5*$X$7+M178/5*$X$8-N178/5*$X$9,1)</x:f>
        <x:v>58</x:v>
      </x:c>
      <x:c r="P178" s="119" t="str">
        <x:f>IF(O178&gt;=$X$12,"Foundational deep pass",IF(O178&gt;=$X$13,"Major deep pass",IF(O178&gt;=$X$14,"Targeted innovation pass",IF(O178&gt;=$X$15,"Sampling pass","Reference / defer"))))</x:f>
        <x:v>Targeted innovation pass</x:v>
      </x:c>
      <x:c r="Q178" s="120" t="str">
        <x:v>Rules-system baseline</x:v>
      </x:c>
      <x:c r="R178" s="120" t="str">
        <x:v>Broad taxonomy and strong documentation, but substantial overlap with already captured race/class conventions.</x:v>
      </x:c>
      <x:c r="S178" s="120" t="str">
        <x:v>Heuristic baseline — editorial review required</x:v>
      </x:c>
      <x:c r="T178" s="120" t="str">
        <x:v>https://en.wikipedia.org/wiki/The_Dark_Eye</x:v>
      </x:c>
      <x:c r="U178" s="121" t="n">
        <x:v>46236</x:v>
      </x:c>
    </x:row>
    <x:row r="179" ht="46" customHeight="1">
      <x:c r="A179" s="119" t="n">
        <x:v>173</x:v>
      </x:c>
      <x:c r="B179" s="119" t="str">
        <x:v>SRC-103</x:v>
      </x:c>
      <x:c r="C179" s="120" t="str">
        <x:v>The One Ring</x:v>
      </x:c>
      <x:c r="D179" s="120" t="str">
        <x:v>Tabletop RPG</x:v>
      </x:c>
      <x:c r="E179" s="120" t="str">
        <x:v>Europe</x:v>
      </x:c>
      <x:c r="F179" s="119" t="n">
        <x:f>COUNTIF('Seed Catalogue'!$C$2:$C$452,B179)</x:f>
        <x:v>0</x:v>
      </x:c>
      <x:c r="G179" s="122" t="n">
        <x:v>3</x:v>
      </x:c>
      <x:c r="H179" s="122" t="n">
        <x:v>5</x:v>
      </x:c>
      <x:c r="I179" s="122" t="n">
        <x:v>2</x:v>
      </x:c>
      <x:c r="J179" s="122" t="n">
        <x:v>4</x:v>
      </x:c>
      <x:c r="K179" s="122" t="n">
        <x:v>4</x:v>
      </x:c>
      <x:c r="L179" s="122" t="n">
        <x:v>4</x:v>
      </x:c>
      <x:c r="M179" s="122" t="n">
        <x:v>5</x:v>
      </x:c>
      <x:c r="N179" s="122" t="n">
        <x:v>4</x:v>
      </x:c>
      <x:c r="O179" s="123" t="n">
        <x:f>ROUND(G179/5*$X$2+H179/5*$X$3+I179/5*$X$4+J179/5*$X$5+K179/5*$X$6+L179/5*$X$7+M179/5*$X$8-N179/5*$X$9,1)</x:f>
        <x:v>58</x:v>
      </x:c>
      <x:c r="P179" s="119" t="str">
        <x:f>IF(O179&gt;=$X$12,"Foundational deep pass",IF(O179&gt;=$X$13,"Major deep pass",IF(O179&gt;=$X$14,"Targeted innovation pass",IF(O179&gt;=$X$15,"Sampling pass","Reference / defer"))))</x:f>
        <x:v>Targeted innovation pass</x:v>
      </x:c>
      <x:c r="Q179" s="120" t="str">
        <x:v>Rules-system baseline</x:v>
      </x:c>
      <x:c r="R179" s="120" t="str">
        <x:v>Broad taxonomy and strong documentation, but substantial overlap with already captured race/class conventions.</x:v>
      </x:c>
      <x:c r="S179" s="120" t="str">
        <x:v>Heuristic baseline — editorial review required</x:v>
      </x:c>
      <x:c r="T179" s="120" t="str">
        <x:v>https://en.wikipedia.org/wiki/The_One_Ring</x:v>
      </x:c>
      <x:c r="U179" s="121" t="n">
        <x:v>46236</x:v>
      </x:c>
    </x:row>
    <x:row r="180" ht="46" customHeight="1">
      <x:c r="A180" s="119" t="n">
        <x:v>174</x:v>
      </x:c>
      <x:c r="B180" s="119" t="str">
        <x:v>SRC-108</x:v>
      </x:c>
      <x:c r="C180" s="120" t="str">
        <x:v>World of Darkness</x:v>
      </x:c>
      <x:c r="D180" s="120" t="str">
        <x:v>Tabletop RPG / Shared Setting</x:v>
      </x:c>
      <x:c r="E180" s="120" t="str">
        <x:v>United States</x:v>
      </x:c>
      <x:c r="F180" s="119" t="n">
        <x:f>COUNTIF('Seed Catalogue'!$C$2:$C$452,B180)</x:f>
        <x:v>0</x:v>
      </x:c>
      <x:c r="G180" s="122" t="n">
        <x:v>3</x:v>
      </x:c>
      <x:c r="H180" s="122" t="n">
        <x:v>5</x:v>
      </x:c>
      <x:c r="I180" s="122" t="n">
        <x:v>2</x:v>
      </x:c>
      <x:c r="J180" s="122" t="n">
        <x:v>4</x:v>
      </x:c>
      <x:c r="K180" s="122" t="n">
        <x:v>4</x:v>
      </x:c>
      <x:c r="L180" s="122" t="n">
        <x:v>4</x:v>
      </x:c>
      <x:c r="M180" s="122" t="n">
        <x:v>5</x:v>
      </x:c>
      <x:c r="N180" s="122" t="n">
        <x:v>4</x:v>
      </x:c>
      <x:c r="O180" s="123" t="n">
        <x:f>ROUND(G180/5*$X$2+H180/5*$X$3+I180/5*$X$4+J180/5*$X$5+K180/5*$X$6+L180/5*$X$7+M180/5*$X$8-N180/5*$X$9,1)</x:f>
        <x:v>58</x:v>
      </x:c>
      <x:c r="P180" s="119" t="str">
        <x:f>IF(O180&gt;=$X$12,"Foundational deep pass",IF(O180&gt;=$X$13,"Major deep pass",IF(O180&gt;=$X$14,"Targeted innovation pass",IF(O180&gt;=$X$15,"Sampling pass","Reference / defer"))))</x:f>
        <x:v>Targeted innovation pass</x:v>
      </x:c>
      <x:c r="Q180" s="120" t="str">
        <x:v>Rules-system baseline</x:v>
      </x:c>
      <x:c r="R180" s="120" t="str">
        <x:v>Broad taxonomy and strong documentation, but substantial overlap with already captured race/class conventions.</x:v>
      </x:c>
      <x:c r="S180" s="120" t="str">
        <x:v>Heuristic baseline — editorial review required</x:v>
      </x:c>
      <x:c r="T180" s="120" t="str">
        <x:v>https://en.wikipedia.org/wiki/World_of_Darkness</x:v>
      </x:c>
      <x:c r="U180" s="121" t="n">
        <x:v>46236</x:v>
      </x:c>
    </x:row>
    <x:row r="181" ht="46" customHeight="1">
      <x:c r="A181" s="119" t="n">
        <x:v>175</x:v>
      </x:c>
      <x:c r="B181" s="119" t="str">
        <x:v>SRC-263</x:v>
      </x:c>
      <x:c r="C181" s="120" t="str">
        <x:v>Arcane</x:v>
      </x:c>
      <x:c r="D181" s="120" t="str">
        <x:v>Animated Television</x:v>
      </x:c>
      <x:c r="E181" s="120" t="str">
        <x:v>United States / France</x:v>
      </x:c>
      <x:c r="F181" s="119" t="n">
        <x:f>COUNTIF('Seed Catalogue'!$C$2:$C$452,B181)</x:f>
        <x:v>0</x:v>
      </x:c>
      <x:c r="G181" s="122" t="n">
        <x:v>3</x:v>
      </x:c>
      <x:c r="H181" s="122" t="n">
        <x:v>3</x:v>
      </x:c>
      <x:c r="I181" s="122" t="n">
        <x:v>2</x:v>
      </x:c>
      <x:c r="J181" s="122" t="n">
        <x:v>5</x:v>
      </x:c>
      <x:c r="K181" s="122" t="n">
        <x:v>3</x:v>
      </x:c>
      <x:c r="L181" s="122" t="n">
        <x:v>5</x:v>
      </x:c>
      <x:c r="M181" s="122" t="n">
        <x:v>4</x:v>
      </x:c>
      <x:c r="N181" s="122" t="n">
        <x:v>3</x:v>
      </x:c>
      <x:c r="O181" s="123" t="n">
        <x:f>ROUND(G181/5*$X$2+H181/5*$X$3+I181/5*$X$4+J181/5*$X$5+K181/5*$X$6+L181/5*$X$7+M181/5*$X$8-N181/5*$X$9,1)</x:f>
        <x:v>57</x:v>
      </x:c>
      <x:c r="P181" s="119" t="str">
        <x:f>IF(O181&gt;=$X$12,"Foundational deep pass",IF(O181&gt;=$X$13,"Major deep pass",IF(O181&gt;=$X$14,"Targeted innovation pass",IF(O181&gt;=$X$15,"Sampling pass","Reference / defer"))))</x:f>
        <x:v>Targeted innovation pass</x:v>
      </x:c>
      <x:c r="Q181" s="120" t="str">
        <x:v>Screen-media baseline</x:v>
      </x:c>
      <x:c r="R181" s="120" t="str">
        <x:v>Best value lies in adaptation divergence, iconography, and screen-first worldbuilding.</x:v>
      </x:c>
      <x:c r="S181" s="120" t="str">
        <x:v>Heuristic baseline — editorial review required</x:v>
      </x:c>
      <x:c r="T181" s="120" t="str">
        <x:v>https://en.wikipedia.org/wiki/Arcane</x:v>
      </x:c>
      <x:c r="U181" s="121" t="n">
        <x:v>46236</x:v>
      </x:c>
    </x:row>
    <x:row r="182" ht="46" customHeight="1">
      <x:c r="A182" s="119" t="n">
        <x:v>176</x:v>
      </x:c>
      <x:c r="B182" s="119" t="str">
        <x:v>SRC-257</x:v>
      </x:c>
      <x:c r="C182" s="120" t="str">
        <x:v>Avatar: The Last Airbender</x:v>
      </x:c>
      <x:c r="D182" s="120" t="str">
        <x:v>Animated Television</x:v>
      </x:c>
      <x:c r="E182" s="120" t="str">
        <x:v>United States</x:v>
      </x:c>
      <x:c r="F182" s="119" t="n">
        <x:f>COUNTIF('Seed Catalogue'!$C$2:$C$452,B182)</x:f>
        <x:v>0</x:v>
      </x:c>
      <x:c r="G182" s="122" t="n">
        <x:v>3</x:v>
      </x:c>
      <x:c r="H182" s="122" t="n">
        <x:v>3</x:v>
      </x:c>
      <x:c r="I182" s="122" t="n">
        <x:v>2</x:v>
      </x:c>
      <x:c r="J182" s="122" t="n">
        <x:v>5</x:v>
      </x:c>
      <x:c r="K182" s="122" t="n">
        <x:v>3</x:v>
      </x:c>
      <x:c r="L182" s="122" t="n">
        <x:v>5</x:v>
      </x:c>
      <x:c r="M182" s="122" t="n">
        <x:v>4</x:v>
      </x:c>
      <x:c r="N182" s="122" t="n">
        <x:v>3</x:v>
      </x:c>
      <x:c r="O182" s="123" t="n">
        <x:f>ROUND(G182/5*$X$2+H182/5*$X$3+I182/5*$X$4+J182/5*$X$5+K182/5*$X$6+L182/5*$X$7+M182/5*$X$8-N182/5*$X$9,1)</x:f>
        <x:v>57</x:v>
      </x:c>
      <x:c r="P182" s="119" t="str">
        <x:f>IF(O182&gt;=$X$12,"Foundational deep pass",IF(O182&gt;=$X$13,"Major deep pass",IF(O182&gt;=$X$14,"Targeted innovation pass",IF(O182&gt;=$X$15,"Sampling pass","Reference / defer"))))</x:f>
        <x:v>Targeted innovation pass</x:v>
      </x:c>
      <x:c r="Q182" s="120" t="str">
        <x:v>Screen-media baseline</x:v>
      </x:c>
      <x:c r="R182" s="120" t="str">
        <x:v>Best value lies in adaptation divergence, iconography, and screen-first worldbuilding.</x:v>
      </x:c>
      <x:c r="S182" s="120" t="str">
        <x:v>Heuristic baseline — editorial review required</x:v>
      </x:c>
      <x:c r="T182" s="120" t="str">
        <x:v>https://en.wikipedia.org/wiki/Avatar:_The_Last_Airbender</x:v>
      </x:c>
      <x:c r="U182" s="121" t="n">
        <x:v>46236</x:v>
      </x:c>
    </x:row>
    <x:row r="183" ht="46" customHeight="1">
      <x:c r="A183" s="119" t="n">
        <x:v>177</x:v>
      </x:c>
      <x:c r="B183" s="119" t="str">
        <x:v>SRC-264</x:v>
      </x:c>
      <x:c r="C183" s="120" t="str">
        <x:v>Game of Thrones</x:v>
      </x:c>
      <x:c r="D183" s="120" t="str">
        <x:v>Television</x:v>
      </x:c>
      <x:c r="E183" s="120" t="str">
        <x:v>United States</x:v>
      </x:c>
      <x:c r="F183" s="119" t="n">
        <x:f>COUNTIF('Seed Catalogue'!$C$2:$C$452,B183)</x:f>
        <x:v>0</x:v>
      </x:c>
      <x:c r="G183" s="122" t="n">
        <x:v>3</x:v>
      </x:c>
      <x:c r="H183" s="122" t="n">
        <x:v>3</x:v>
      </x:c>
      <x:c r="I183" s="122" t="n">
        <x:v>2</x:v>
      </x:c>
      <x:c r="J183" s="122" t="n">
        <x:v>5</x:v>
      </x:c>
      <x:c r="K183" s="122" t="n">
        <x:v>3</x:v>
      </x:c>
      <x:c r="L183" s="122" t="n">
        <x:v>5</x:v>
      </x:c>
      <x:c r="M183" s="122" t="n">
        <x:v>4</x:v>
      </x:c>
      <x:c r="N183" s="122" t="n">
        <x:v>3</x:v>
      </x:c>
      <x:c r="O183" s="123" t="n">
        <x:f>ROUND(G183/5*$X$2+H183/5*$X$3+I183/5*$X$4+J183/5*$X$5+K183/5*$X$6+L183/5*$X$7+M183/5*$X$8-N183/5*$X$9,1)</x:f>
        <x:v>57</x:v>
      </x:c>
      <x:c r="P183" s="119" t="str">
        <x:f>IF(O183&gt;=$X$12,"Foundational deep pass",IF(O183&gt;=$X$13,"Major deep pass",IF(O183&gt;=$X$14,"Targeted innovation pass",IF(O183&gt;=$X$15,"Sampling pass","Reference / defer"))))</x:f>
        <x:v>Targeted innovation pass</x:v>
      </x:c>
      <x:c r="Q183" s="120" t="str">
        <x:v>Screen-media baseline</x:v>
      </x:c>
      <x:c r="R183" s="120" t="str">
        <x:v>Best value lies in adaptation divergence, iconography, and screen-first worldbuilding.</x:v>
      </x:c>
      <x:c r="S183" s="120" t="str">
        <x:v>Heuristic baseline — editorial review required</x:v>
      </x:c>
      <x:c r="T183" s="120" t="str">
        <x:v>https://en.wikipedia.org/wiki/Game_of_Thrones</x:v>
      </x:c>
      <x:c r="U183" s="121" t="n">
        <x:v>46236</x:v>
      </x:c>
    </x:row>
    <x:row r="184" ht="46" customHeight="1">
      <x:c r="A184" s="119" t="n">
        <x:v>178</x:v>
      </x:c>
      <x:c r="B184" s="119" t="str">
        <x:v>SRC-256</x:v>
      </x:c>
      <x:c r="C184" s="120" t="str">
        <x:v>Pan's Labyrinth</x:v>
      </x:c>
      <x:c r="D184" s="120" t="str">
        <x:v>Film</x:v>
      </x:c>
      <x:c r="E184" s="120" t="str">
        <x:v>Spain / Mexico</x:v>
      </x:c>
      <x:c r="F184" s="119" t="n">
        <x:f>COUNTIF('Seed Catalogue'!$C$2:$C$452,B184)</x:f>
        <x:v>0</x:v>
      </x:c>
      <x:c r="G184" s="122" t="n">
        <x:v>3</x:v>
      </x:c>
      <x:c r="H184" s="122" t="n">
        <x:v>3</x:v>
      </x:c>
      <x:c r="I184" s="122" t="n">
        <x:v>2</x:v>
      </x:c>
      <x:c r="J184" s="122" t="n">
        <x:v>5</x:v>
      </x:c>
      <x:c r="K184" s="122" t="n">
        <x:v>3</x:v>
      </x:c>
      <x:c r="L184" s="122" t="n">
        <x:v>5</x:v>
      </x:c>
      <x:c r="M184" s="122" t="n">
        <x:v>4</x:v>
      </x:c>
      <x:c r="N184" s="122" t="n">
        <x:v>3</x:v>
      </x:c>
      <x:c r="O184" s="123" t="n">
        <x:f>ROUND(G184/5*$X$2+H184/5*$X$3+I184/5*$X$4+J184/5*$X$5+K184/5*$X$6+L184/5*$X$7+M184/5*$X$8-N184/5*$X$9,1)</x:f>
        <x:v>57</x:v>
      </x:c>
      <x:c r="P184" s="119" t="str">
        <x:f>IF(O184&gt;=$X$12,"Foundational deep pass",IF(O184&gt;=$X$13,"Major deep pass",IF(O184&gt;=$X$14,"Targeted innovation pass",IF(O184&gt;=$X$15,"Sampling pass","Reference / defer"))))</x:f>
        <x:v>Targeted innovation pass</x:v>
      </x:c>
      <x:c r="Q184" s="120" t="str">
        <x:v>Screen-media baseline</x:v>
      </x:c>
      <x:c r="R184" s="120" t="str">
        <x:v>Best value lies in adaptation divergence, iconography, and screen-first worldbuilding.</x:v>
      </x:c>
      <x:c r="S184" s="120" t="str">
        <x:v>Heuristic baseline — editorial review required</x:v>
      </x:c>
      <x:c r="T184" s="120" t="str">
        <x:v>https://en.wikipedia.org/wiki/Pan's_Labyrinth</x:v>
      </x:c>
      <x:c r="U184" s="121" t="n">
        <x:v>46236</x:v>
      </x:c>
    </x:row>
    <x:row r="185" ht="46" customHeight="1">
      <x:c r="A185" s="119" t="n">
        <x:v>179</x:v>
      </x:c>
      <x:c r="B185" s="119" t="str">
        <x:v>SRC-229</x:v>
      </x:c>
      <x:c r="C185" s="120" t="str">
        <x:v>Princess Mononoke</x:v>
      </x:c>
      <x:c r="D185" s="120" t="str">
        <x:v>Animated Film</x:v>
      </x:c>
      <x:c r="E185" s="120" t="str">
        <x:v>Japan</x:v>
      </x:c>
      <x:c r="F185" s="119" t="n">
        <x:f>COUNTIF('Seed Catalogue'!$C$2:$C$452,B185)</x:f>
        <x:v>0</x:v>
      </x:c>
      <x:c r="G185" s="122" t="n">
        <x:v>3</x:v>
      </x:c>
      <x:c r="H185" s="122" t="n">
        <x:v>3</x:v>
      </x:c>
      <x:c r="I185" s="122" t="n">
        <x:v>2</x:v>
      </x:c>
      <x:c r="J185" s="122" t="n">
        <x:v>5</x:v>
      </x:c>
      <x:c r="K185" s="122" t="n">
        <x:v>3</x:v>
      </x:c>
      <x:c r="L185" s="122" t="n">
        <x:v>5</x:v>
      </x:c>
      <x:c r="M185" s="122" t="n">
        <x:v>4</x:v>
      </x:c>
      <x:c r="N185" s="122" t="n">
        <x:v>3</x:v>
      </x:c>
      <x:c r="O185" s="123" t="n">
        <x:f>ROUND(G185/5*$X$2+H185/5*$X$3+I185/5*$X$4+J185/5*$X$5+K185/5*$X$6+L185/5*$X$7+M185/5*$X$8-N185/5*$X$9,1)</x:f>
        <x:v>57</x:v>
      </x:c>
      <x:c r="P185" s="119" t="str">
        <x:f>IF(O185&gt;=$X$12,"Foundational deep pass",IF(O185&gt;=$X$13,"Major deep pass",IF(O185&gt;=$X$14,"Targeted innovation pass",IF(O185&gt;=$X$15,"Sampling pass","Reference / defer"))))</x:f>
        <x:v>Targeted innovation pass</x:v>
      </x:c>
      <x:c r="Q185" s="120" t="str">
        <x:v>Screen-media baseline</x:v>
      </x:c>
      <x:c r="R185" s="120" t="str">
        <x:v>Best value lies in adaptation divergence, iconography, and screen-first worldbuilding.</x:v>
      </x:c>
      <x:c r="S185" s="120" t="str">
        <x:v>Heuristic baseline — editorial review required</x:v>
      </x:c>
      <x:c r="T185" s="120" t="str">
        <x:v>https://en.wikipedia.org/wiki/Princess_Mononoke</x:v>
      </x:c>
      <x:c r="U185" s="121" t="n">
        <x:v>46236</x:v>
      </x:c>
    </x:row>
    <x:row r="186" ht="46" customHeight="1">
      <x:c r="A186" s="119" t="n">
        <x:v>180</x:v>
      </x:c>
      <x:c r="B186" s="119" t="str">
        <x:v>SRC-231</x:v>
      </x:c>
      <x:c r="C186" s="120" t="str">
        <x:v>Spirited Away</x:v>
      </x:c>
      <x:c r="D186" s="120" t="str">
        <x:v>Animated Film</x:v>
      </x:c>
      <x:c r="E186" s="120" t="str">
        <x:v>Japan</x:v>
      </x:c>
      <x:c r="F186" s="119" t="n">
        <x:f>COUNTIF('Seed Catalogue'!$C$2:$C$452,B186)</x:f>
        <x:v>0</x:v>
      </x:c>
      <x:c r="G186" s="122" t="n">
        <x:v>3</x:v>
      </x:c>
      <x:c r="H186" s="122" t="n">
        <x:v>3</x:v>
      </x:c>
      <x:c r="I186" s="122" t="n">
        <x:v>2</x:v>
      </x:c>
      <x:c r="J186" s="122" t="n">
        <x:v>5</x:v>
      </x:c>
      <x:c r="K186" s="122" t="n">
        <x:v>3</x:v>
      </x:c>
      <x:c r="L186" s="122" t="n">
        <x:v>5</x:v>
      </x:c>
      <x:c r="M186" s="122" t="n">
        <x:v>4</x:v>
      </x:c>
      <x:c r="N186" s="122" t="n">
        <x:v>3</x:v>
      </x:c>
      <x:c r="O186" s="123" t="n">
        <x:f>ROUND(G186/5*$X$2+H186/5*$X$3+I186/5*$X$4+J186/5*$X$5+K186/5*$X$6+L186/5*$X$7+M186/5*$X$8-N186/5*$X$9,1)</x:f>
        <x:v>57</x:v>
      </x:c>
      <x:c r="P186" s="119" t="str">
        <x:f>IF(O186&gt;=$X$12,"Foundational deep pass",IF(O186&gt;=$X$13,"Major deep pass",IF(O186&gt;=$X$14,"Targeted innovation pass",IF(O186&gt;=$X$15,"Sampling pass","Reference / defer"))))</x:f>
        <x:v>Targeted innovation pass</x:v>
      </x:c>
      <x:c r="Q186" s="120" t="str">
        <x:v>Screen-media baseline</x:v>
      </x:c>
      <x:c r="R186" s="120" t="str">
        <x:v>Best value lies in adaptation divergence, iconography, and screen-first worldbuilding.</x:v>
      </x:c>
      <x:c r="S186" s="120" t="str">
        <x:v>Heuristic baseline — editorial review required</x:v>
      </x:c>
      <x:c r="T186" s="120" t="str">
        <x:v>https://en.wikipedia.org/wiki/Spirited_Away</x:v>
      </x:c>
      <x:c r="U186" s="121" t="n">
        <x:v>46236</x:v>
      </x:c>
    </x:row>
    <x:row r="187" ht="46" customHeight="1">
      <x:c r="A187" s="119" t="n">
        <x:v>181</x:v>
      </x:c>
      <x:c r="B187" s="119" t="str">
        <x:v>SRC-247</x:v>
      </x:c>
      <x:c r="C187" s="120" t="str">
        <x:v>The Dark Crystal</x:v>
      </x:c>
      <x:c r="D187" s="120" t="str">
        <x:v>Film / Television</x:v>
      </x:c>
      <x:c r="E187" s="120" t="str">
        <x:v>United States / Britain</x:v>
      </x:c>
      <x:c r="F187" s="119" t="n">
        <x:f>COUNTIF('Seed Catalogue'!$C$2:$C$452,B187)</x:f>
        <x:v>0</x:v>
      </x:c>
      <x:c r="G187" s="122" t="n">
        <x:v>3</x:v>
      </x:c>
      <x:c r="H187" s="122" t="n">
        <x:v>3</x:v>
      </x:c>
      <x:c r="I187" s="122" t="n">
        <x:v>2</x:v>
      </x:c>
      <x:c r="J187" s="122" t="n">
        <x:v>5</x:v>
      </x:c>
      <x:c r="K187" s="122" t="n">
        <x:v>3</x:v>
      </x:c>
      <x:c r="L187" s="122" t="n">
        <x:v>5</x:v>
      </x:c>
      <x:c r="M187" s="122" t="n">
        <x:v>4</x:v>
      </x:c>
      <x:c r="N187" s="122" t="n">
        <x:v>3</x:v>
      </x:c>
      <x:c r="O187" s="123" t="n">
        <x:f>ROUND(G187/5*$X$2+H187/5*$X$3+I187/5*$X$4+J187/5*$X$5+K187/5*$X$6+L187/5*$X$7+M187/5*$X$8-N187/5*$X$9,1)</x:f>
        <x:v>57</x:v>
      </x:c>
      <x:c r="P187" s="119" t="str">
        <x:f>IF(O187&gt;=$X$12,"Foundational deep pass",IF(O187&gt;=$X$13,"Major deep pass",IF(O187&gt;=$X$14,"Targeted innovation pass",IF(O187&gt;=$X$15,"Sampling pass","Reference / defer"))))</x:f>
        <x:v>Targeted innovation pass</x:v>
      </x:c>
      <x:c r="Q187" s="120" t="str">
        <x:v>Screen-media baseline</x:v>
      </x:c>
      <x:c r="R187" s="120" t="str">
        <x:v>Best value lies in adaptation divergence, iconography, and screen-first worldbuilding.</x:v>
      </x:c>
      <x:c r="S187" s="120" t="str">
        <x:v>Heuristic baseline — editorial review required</x:v>
      </x:c>
      <x:c r="T187" s="120" t="str">
        <x:v>https://en.wikipedia.org/wiki/The_Dark_Crystal</x:v>
      </x:c>
      <x:c r="U187" s="121" t="n">
        <x:v>46236</x:v>
      </x:c>
    </x:row>
    <x:row r="188" ht="46" customHeight="1">
      <x:c r="A188" s="119" t="n">
        <x:v>182</x:v>
      </x:c>
      <x:c r="B188" s="119" t="str">
        <x:v>SRC-276</x:v>
      </x:c>
      <x:c r="C188" s="120" t="str">
        <x:v>The Dark Crystal: Age of Resistance</x:v>
      </x:c>
      <x:c r="D188" s="120" t="str">
        <x:v>Television</x:v>
      </x:c>
      <x:c r="E188" s="120" t="str">
        <x:v>United States / Britain</x:v>
      </x:c>
      <x:c r="F188" s="119" t="n">
        <x:f>COUNTIF('Seed Catalogue'!$C$2:$C$452,B188)</x:f>
        <x:v>0</x:v>
      </x:c>
      <x:c r="G188" s="122" t="n">
        <x:v>3</x:v>
      </x:c>
      <x:c r="H188" s="122" t="n">
        <x:v>3</x:v>
      </x:c>
      <x:c r="I188" s="122" t="n">
        <x:v>2</x:v>
      </x:c>
      <x:c r="J188" s="122" t="n">
        <x:v>5</x:v>
      </x:c>
      <x:c r="K188" s="122" t="n">
        <x:v>3</x:v>
      </x:c>
      <x:c r="L188" s="122" t="n">
        <x:v>5</x:v>
      </x:c>
      <x:c r="M188" s="122" t="n">
        <x:v>4</x:v>
      </x:c>
      <x:c r="N188" s="122" t="n">
        <x:v>3</x:v>
      </x:c>
      <x:c r="O188" s="123" t="n">
        <x:f>ROUND(G188/5*$X$2+H188/5*$X$3+I188/5*$X$4+J188/5*$X$5+K188/5*$X$6+L188/5*$X$7+M188/5*$X$8-N188/5*$X$9,1)</x:f>
        <x:v>57</x:v>
      </x:c>
      <x:c r="P188" s="119" t="str">
        <x:f>IF(O188&gt;=$X$12,"Foundational deep pass",IF(O188&gt;=$X$13,"Major deep pass",IF(O188&gt;=$X$14,"Targeted innovation pass",IF(O188&gt;=$X$15,"Sampling pass","Reference / defer"))))</x:f>
        <x:v>Targeted innovation pass</x:v>
      </x:c>
      <x:c r="Q188" s="120" t="str">
        <x:v>Screen-media baseline</x:v>
      </x:c>
      <x:c r="R188" s="120" t="str">
        <x:v>Best value lies in adaptation divergence, iconography, and screen-first worldbuilding.</x:v>
      </x:c>
      <x:c r="S188" s="120" t="str">
        <x:v>Heuristic baseline — editorial review required</x:v>
      </x:c>
      <x:c r="T188" s="120" t="str">
        <x:v>https://en.wikipedia.org/wiki/The_Dark_Crystal:_Age_of_Resistance</x:v>
      </x:c>
      <x:c r="U188" s="121" t="n">
        <x:v>46236</x:v>
      </x:c>
    </x:row>
    <x:row r="189" ht="46" customHeight="1">
      <x:c r="A189" s="119" t="n">
        <x:v>183</x:v>
      </x:c>
      <x:c r="B189" s="119" t="str">
        <x:v>SRC-258</x:v>
      </x:c>
      <x:c r="C189" s="120" t="str">
        <x:v>The Dragon Prince</x:v>
      </x:c>
      <x:c r="D189" s="120" t="str">
        <x:v>Animated Television</x:v>
      </x:c>
      <x:c r="E189" s="120" t="str">
        <x:v>United States / Canada</x:v>
      </x:c>
      <x:c r="F189" s="119" t="n">
        <x:f>COUNTIF('Seed Catalogue'!$C$2:$C$452,B189)</x:f>
        <x:v>0</x:v>
      </x:c>
      <x:c r="G189" s="122" t="n">
        <x:v>3</x:v>
      </x:c>
      <x:c r="H189" s="122" t="n">
        <x:v>3</x:v>
      </x:c>
      <x:c r="I189" s="122" t="n">
        <x:v>2</x:v>
      </x:c>
      <x:c r="J189" s="122" t="n">
        <x:v>5</x:v>
      </x:c>
      <x:c r="K189" s="122" t="n">
        <x:v>3</x:v>
      </x:c>
      <x:c r="L189" s="122" t="n">
        <x:v>5</x:v>
      </x:c>
      <x:c r="M189" s="122" t="n">
        <x:v>4</x:v>
      </x:c>
      <x:c r="N189" s="122" t="n">
        <x:v>3</x:v>
      </x:c>
      <x:c r="O189" s="123" t="n">
        <x:f>ROUND(G189/5*$X$2+H189/5*$X$3+I189/5*$X$4+J189/5*$X$5+K189/5*$X$6+L189/5*$X$7+M189/5*$X$8-N189/5*$X$9,1)</x:f>
        <x:v>57</x:v>
      </x:c>
      <x:c r="P189" s="119" t="str">
        <x:f>IF(O189&gt;=$X$12,"Foundational deep pass",IF(O189&gt;=$X$13,"Major deep pass",IF(O189&gt;=$X$14,"Targeted innovation pass",IF(O189&gt;=$X$15,"Sampling pass","Reference / defer"))))</x:f>
        <x:v>Targeted innovation pass</x:v>
      </x:c>
      <x:c r="Q189" s="120" t="str">
        <x:v>Screen-media baseline</x:v>
      </x:c>
      <x:c r="R189" s="120" t="str">
        <x:v>Best value lies in adaptation divergence, iconography, and screen-first worldbuilding.</x:v>
      </x:c>
      <x:c r="S189" s="120" t="str">
        <x:v>Heuristic baseline — editorial review required</x:v>
      </x:c>
      <x:c r="T189" s="120" t="str">
        <x:v>https://en.wikipedia.org/wiki/The_Dragon_Prince</x:v>
      </x:c>
      <x:c r="U189" s="121" t="n">
        <x:v>46236</x:v>
      </x:c>
    </x:row>
    <x:row r="190" ht="46" customHeight="1">
      <x:c r="A190" s="119" t="n">
        <x:v>184</x:v>
      </x:c>
      <x:c r="B190" s="119" t="str">
        <x:v>SRC-266</x:v>
      </x:c>
      <x:c r="C190" s="120" t="str">
        <x:v>The Lord of the Rings Film Trilogy</x:v>
      </x:c>
      <x:c r="D190" s="120" t="str">
        <x:v>Film</x:v>
      </x:c>
      <x:c r="E190" s="120" t="str">
        <x:v>New Zealand / United States</x:v>
      </x:c>
      <x:c r="F190" s="119" t="n">
        <x:f>COUNTIF('Seed Catalogue'!$C$2:$C$452,B190)</x:f>
        <x:v>0</x:v>
      </x:c>
      <x:c r="G190" s="122" t="n">
        <x:v>3</x:v>
      </x:c>
      <x:c r="H190" s="122" t="n">
        <x:v>3</x:v>
      </x:c>
      <x:c r="I190" s="122" t="n">
        <x:v>2</x:v>
      </x:c>
      <x:c r="J190" s="122" t="n">
        <x:v>5</x:v>
      </x:c>
      <x:c r="K190" s="122" t="n">
        <x:v>3</x:v>
      </x:c>
      <x:c r="L190" s="122" t="n">
        <x:v>5</x:v>
      </x:c>
      <x:c r="M190" s="122" t="n">
        <x:v>4</x:v>
      </x:c>
      <x:c r="N190" s="122" t="n">
        <x:v>3</x:v>
      </x:c>
      <x:c r="O190" s="123" t="n">
        <x:f>ROUND(G190/5*$X$2+H190/5*$X$3+I190/5*$X$4+J190/5*$X$5+K190/5*$X$6+L190/5*$X$7+M190/5*$X$8-N190/5*$X$9,1)</x:f>
        <x:v>57</x:v>
      </x:c>
      <x:c r="P190" s="119" t="str">
        <x:f>IF(O190&gt;=$X$12,"Foundational deep pass",IF(O190&gt;=$X$13,"Major deep pass",IF(O190&gt;=$X$14,"Targeted innovation pass",IF(O190&gt;=$X$15,"Sampling pass","Reference / defer"))))</x:f>
        <x:v>Targeted innovation pass</x:v>
      </x:c>
      <x:c r="Q190" s="120" t="str">
        <x:v>Screen-media baseline</x:v>
      </x:c>
      <x:c r="R190" s="120" t="str">
        <x:v>Best value lies in adaptation divergence, iconography, and screen-first worldbuilding.</x:v>
      </x:c>
      <x:c r="S190" s="120" t="str">
        <x:v>Heuristic baseline — editorial review required</x:v>
      </x:c>
      <x:c r="T190" s="120" t="str">
        <x:v>https://en.wikipedia.org/wiki/The_Lord_of_the_Rings_Film_Trilogy</x:v>
      </x:c>
      <x:c r="U190" s="121" t="n">
        <x:v>46236</x:v>
      </x:c>
    </x:row>
    <x:row r="191" ht="46" customHeight="1">
      <x:c r="A191" s="119" t="n">
        <x:v>185</x:v>
      </x:c>
      <x:c r="B191" s="119" t="str">
        <x:v>SRC-101</x:v>
      </x:c>
      <x:c r="C191" s="120" t="str">
        <x:v>Warhammer: The Old World</x:v>
      </x:c>
      <x:c r="D191" s="120" t="str">
        <x:v>Miniatures Wargame / Setting</x:v>
      </x:c>
      <x:c r="E191" s="120" t="str">
        <x:v>Britain</x:v>
      </x:c>
      <x:c r="F191" s="119" t="n">
        <x:f>COUNTIF('Seed Catalogue'!$C$2:$C$452,B191)</x:f>
        <x:v>21</x:v>
      </x:c>
      <x:c r="G191" s="122" t="n">
        <x:v>3</x:v>
      </x:c>
      <x:c r="H191" s="122" t="n">
        <x:v>5</x:v>
      </x:c>
      <x:c r="I191" s="122" t="n">
        <x:v>2</x:v>
      </x:c>
      <x:c r="J191" s="122" t="n">
        <x:v>5</x:v>
      </x:c>
      <x:c r="K191" s="122" t="n">
        <x:v>4</x:v>
      </x:c>
      <x:c r="L191" s="122" t="n">
        <x:v>4</x:v>
      </x:c>
      <x:c r="M191" s="122" t="n">
        <x:v>5</x:v>
      </x:c>
      <x:c r="N191" s="122" t="n">
        <x:v>5</x:v>
      </x:c>
      <x:c r="O191" s="123" t="n">
        <x:f>ROUND(G191/5*$X$2+H191/5*$X$3+I191/5*$X$4+J191/5*$X$5+K191/5*$X$6+L191/5*$X$7+M191/5*$X$8-N191/5*$X$9,1)</x:f>
        <x:v>57</x:v>
      </x:c>
      <x:c r="P191" s="119" t="str">
        <x:f>IF(O191&gt;=$X$12,"Foundational deep pass",IF(O191&gt;=$X$13,"Major deep pass",IF(O191&gt;=$X$14,"Targeted innovation pass",IF(O191&gt;=$X$15,"Sampling pass","Reference / defer"))))</x:f>
        <x:v>Targeted innovation pass</x:v>
      </x:c>
      <x:c r="Q191" s="120" t="str">
        <x:v>Rules-system baseline</x:v>
      </x:c>
      <x:c r="R191" s="120" t="str">
        <x:v>Broad taxonomy and strong documentation, but substantial overlap with already captured race/class conventions.</x:v>
      </x:c>
      <x:c r="S191" s="120" t="str">
        <x:v>Heuristic baseline — editorial review required</x:v>
      </x:c>
      <x:c r="T191" s="120" t="str">
        <x:v>https://www.warhammer.com/en-US/explore/the-old-world</x:v>
      </x:c>
      <x:c r="U191" s="121" t="n">
        <x:v>46236</x:v>
      </x:c>
    </x:row>
    <x:row r="192" ht="46" customHeight="1">
      <x:c r="A192" s="119" t="n">
        <x:v>186</x:v>
      </x:c>
      <x:c r="B192" s="119" t="str">
        <x:v>SRC-189</x:v>
      </x:c>
      <x:c r="C192" s="120" t="str">
        <x:v>Darkest Dungeon</x:v>
      </x:c>
      <x:c r="D192" s="120" t="str">
        <x:v>Video Game / Tactical RPG / Roguelike</x:v>
      </x:c>
      <x:c r="E192" s="120" t="str">
        <x:v>Canada / Anglophone game tradition</x:v>
      </x:c>
      <x:c r="F192" s="119" t="n">
        <x:f>COUNTIF('Seed Catalogue'!$C$2:$C$452,B192)</x:f>
        <x:v>19</x:v>
      </x:c>
      <x:c r="G192" s="122" t="n">
        <x:v>4</x:v>
      </x:c>
      <x:c r="H192" s="122" t="n">
        <x:v>3</x:v>
      </x:c>
      <x:c r="I192" s="122" t="n">
        <x:v>2</x:v>
      </x:c>
      <x:c r="J192" s="122" t="n">
        <x:v>3</x:v>
      </x:c>
      <x:c r="K192" s="122" t="n">
        <x:v>4</x:v>
      </x:c>
      <x:c r="L192" s="122" t="n">
        <x:v>3</x:v>
      </x:c>
      <x:c r="M192" s="122" t="n">
        <x:v>5</x:v>
      </x:c>
      <x:c r="N192" s="122" t="n">
        <x:v>3</x:v>
      </x:c>
      <x:c r="O192" s="123" t="n">
        <x:f>ROUND(G192/5*$X$2+H192/5*$X$3+I192/5*$X$4+J192/5*$X$5+K192/5*$X$6+L192/5*$X$7+M192/5*$X$8-N192/5*$X$9,1)</x:f>
        <x:v>56</x:v>
      </x:c>
      <x:c r="P192" s="119" t="str">
        <x:f>IF(O192&gt;=$X$12,"Foundational deep pass",IF(O192&gt;=$X$13,"Major deep pass",IF(O192&gt;=$X$14,"Targeted innovation pass",IF(O192&gt;=$X$15,"Sampling pass","Reference / defer"))))</x:f>
        <x:v>Targeted innovation pass</x:v>
      </x:c>
      <x:c r="Q192" s="120" t="str">
        <x:v>Darkest Dungeon selective override</x:v>
      </x:c>
      <x:c r="R192" s="120" t="str">
        <x:v>Target stress, quirks, attrition, recovery institutions, position geometry, and inherited ruin; sample the conventional class roster.</x:v>
      </x:c>
      <x:c r="S192" s="120" t="str">
        <x:v>Editorial override — review required</x:v>
      </x:c>
      <x:c r="T192" s="120" t="str">
        <x:v>https://www.darkestdungeon.com/darkest-dungeon/about/</x:v>
      </x:c>
      <x:c r="U192" s="121" t="n">
        <x:v>46236</x:v>
      </x:c>
    </x:row>
    <x:row r="193" ht="46" customHeight="1">
      <x:c r="A193" s="119" t="n">
        <x:v>187</x:v>
      </x:c>
      <x:c r="B193" s="119" t="str">
        <x:v>SRC-191</x:v>
      </x:c>
      <x:c r="C193" s="120" t="str">
        <x:v>Arcanum: Of Steamworks and Magick Obscura</x:v>
      </x:c>
      <x:c r="D193" s="120" t="str">
        <x:v>Video Game / CRPG</x:v>
      </x:c>
      <x:c r="E193" s="120" t="str">
        <x:v>United States</x:v>
      </x:c>
      <x:c r="F193" s="119" t="n">
        <x:f>COUNTIF('Seed Catalogue'!$C$2:$C$452,B193)</x:f>
        <x:v>0</x:v>
      </x:c>
      <x:c r="G193" s="122" t="n">
        <x:v>3</x:v>
      </x:c>
      <x:c r="H193" s="122" t="n">
        <x:v>3</x:v>
      </x:c>
      <x:c r="I193" s="122" t="n">
        <x:v>2</x:v>
      </x:c>
      <x:c r="J193" s="122" t="n">
        <x:v>5</x:v>
      </x:c>
      <x:c r="K193" s="122" t="n">
        <x:v>3</x:v>
      </x:c>
      <x:c r="L193" s="122" t="n">
        <x:v>4</x:v>
      </x:c>
      <x:c r="M193" s="122" t="n">
        <x:v>4</x:v>
      </x:c>
      <x:c r="N193" s="122" t="n">
        <x:v>3</x:v>
      </x:c>
      <x:c r="O193" s="123" t="n">
        <x:f>ROUND(G193/5*$X$2+H193/5*$X$3+I193/5*$X$4+J193/5*$X$5+K193/5*$X$6+L193/5*$X$7+M193/5*$X$8-N193/5*$X$9,1)</x:f>
        <x:v>55</x:v>
      </x:c>
      <x:c r="P193" s="119" t="str">
        <x:f>IF(O193&gt;=$X$12,"Foundational deep pass",IF(O193&gt;=$X$13,"Major deep pass",IF(O193&gt;=$X$14,"Targeted innovation pass",IF(O193&gt;=$X$15,"Sampling pass","Reference / defer"))))</x:f>
        <x:v>Targeted innovation pass</x:v>
      </x:c>
      <x:c r="Q193" s="120" t="str">
        <x:v>Game-system baseline</x:v>
      </x:c>
      <x:c r="R193" s="120" t="str">
        <x:v>Prioritize distinctive mechanics, transformations, adaptation operations, and setting innovations rather than complete class repetition.</x:v>
      </x:c>
      <x:c r="S193" s="120" t="str">
        <x:v>Heuristic baseline — editorial review required</x:v>
      </x:c>
      <x:c r="T193" s="120" t="str">
        <x:v>https://en.wikipedia.org/wiki/Arcanum:_Of_Steamworks_and_Magick_Obscura</x:v>
      </x:c>
      <x:c r="U193" s="121" t="n">
        <x:v>46236</x:v>
      </x:c>
    </x:row>
    <x:row r="194" ht="46" customHeight="1">
      <x:c r="A194" s="119" t="n">
        <x:v>188</x:v>
      </x:c>
      <x:c r="B194" s="119" t="str">
        <x:v>SRC-139</x:v>
      </x:c>
      <x:c r="C194" s="120" t="str">
        <x:v>Baldur's Gate</x:v>
      </x:c>
      <x:c r="D194" s="120" t="str">
        <x:v>Video Game / CRPG Franchise</x:v>
      </x:c>
      <x:c r="E194" s="120" t="str">
        <x:v>Canada / Belgium</x:v>
      </x:c>
      <x:c r="F194" s="119" t="n">
        <x:f>COUNTIF('Seed Catalogue'!$C$2:$C$452,B194)</x:f>
        <x:v>0</x:v>
      </x:c>
      <x:c r="G194" s="122" t="n">
        <x:v>3</x:v>
      </x:c>
      <x:c r="H194" s="122" t="n">
        <x:v>3</x:v>
      </x:c>
      <x:c r="I194" s="122" t="n">
        <x:v>2</x:v>
      </x:c>
      <x:c r="J194" s="122" t="n">
        <x:v>5</x:v>
      </x:c>
      <x:c r="K194" s="122" t="n">
        <x:v>3</x:v>
      </x:c>
      <x:c r="L194" s="122" t="n">
        <x:v>4</x:v>
      </x:c>
      <x:c r="M194" s="122" t="n">
        <x:v>4</x:v>
      </x:c>
      <x:c r="N194" s="122" t="n">
        <x:v>3</x:v>
      </x:c>
      <x:c r="O194" s="123" t="n">
        <x:f>ROUND(G194/5*$X$2+H194/5*$X$3+I194/5*$X$4+J194/5*$X$5+K194/5*$X$6+L194/5*$X$7+M194/5*$X$8-N194/5*$X$9,1)</x:f>
        <x:v>55</x:v>
      </x:c>
      <x:c r="P194" s="119" t="str">
        <x:f>IF(O194&gt;=$X$12,"Foundational deep pass",IF(O194&gt;=$X$13,"Major deep pass",IF(O194&gt;=$X$14,"Targeted innovation pass",IF(O194&gt;=$X$15,"Sampling pass","Reference / defer"))))</x:f>
        <x:v>Targeted innovation pass</x:v>
      </x:c>
      <x:c r="Q194" s="120" t="str">
        <x:v>Game-system baseline</x:v>
      </x:c>
      <x:c r="R194" s="120" t="str">
        <x:v>Prioritize distinctive mechanics, transformations, adaptation operations, and setting innovations rather than complete class repetition.</x:v>
      </x:c>
      <x:c r="S194" s="120" t="str">
        <x:v>Heuristic baseline — editorial review required</x:v>
      </x:c>
      <x:c r="T194" s="120" t="str">
        <x:v>https://en.wikipedia.org/wiki/Baldur's_Gate</x:v>
      </x:c>
      <x:c r="U194" s="121" t="n">
        <x:v>46236</x:v>
      </x:c>
    </x:row>
    <x:row r="195" ht="46" customHeight="1">
      <x:c r="A195" s="119" t="n">
        <x:v>189</x:v>
      </x:c>
      <x:c r="B195" s="119" t="str">
        <x:v>SRC-178</x:v>
      </x:c>
      <x:c r="C195" s="120" t="str">
        <x:v>Bravely Default</x:v>
      </x:c>
      <x:c r="D195" s="120" t="str">
        <x:v>Video Game / JRPG Franchise</x:v>
      </x:c>
      <x:c r="E195" s="120" t="str">
        <x:v>Japan</x:v>
      </x:c>
      <x:c r="F195" s="119" t="n">
        <x:f>COUNTIF('Seed Catalogue'!$C$2:$C$452,B195)</x:f>
        <x:v>0</x:v>
      </x:c>
      <x:c r="G195" s="122" t="n">
        <x:v>3</x:v>
      </x:c>
      <x:c r="H195" s="122" t="n">
        <x:v>3</x:v>
      </x:c>
      <x:c r="I195" s="122" t="n">
        <x:v>2</x:v>
      </x:c>
      <x:c r="J195" s="122" t="n">
        <x:v>5</x:v>
      </x:c>
      <x:c r="K195" s="122" t="n">
        <x:v>3</x:v>
      </x:c>
      <x:c r="L195" s="122" t="n">
        <x:v>4</x:v>
      </x:c>
      <x:c r="M195" s="122" t="n">
        <x:v>4</x:v>
      </x:c>
      <x:c r="N195" s="122" t="n">
        <x:v>3</x:v>
      </x:c>
      <x:c r="O195" s="123" t="n">
        <x:f>ROUND(G195/5*$X$2+H195/5*$X$3+I195/5*$X$4+J195/5*$X$5+K195/5*$X$6+L195/5*$X$7+M195/5*$X$8-N195/5*$X$9,1)</x:f>
        <x:v>55</x:v>
      </x:c>
      <x:c r="P195" s="119" t="str">
        <x:f>IF(O195&gt;=$X$12,"Foundational deep pass",IF(O195&gt;=$X$13,"Major deep pass",IF(O195&gt;=$X$14,"Targeted innovation pass",IF(O195&gt;=$X$15,"Sampling pass","Reference / defer"))))</x:f>
        <x:v>Targeted innovation pass</x:v>
      </x:c>
      <x:c r="Q195" s="120" t="str">
        <x:v>Game-system baseline</x:v>
      </x:c>
      <x:c r="R195" s="120" t="str">
        <x:v>Prioritize distinctive mechanics, transformations, adaptation operations, and setting innovations rather than complete class repetition.</x:v>
      </x:c>
      <x:c r="S195" s="120" t="str">
        <x:v>Heuristic baseline — editorial review required</x:v>
      </x:c>
      <x:c r="T195" s="120" t="str">
        <x:v>https://en.wikipedia.org/wiki/Bravely_Default</x:v>
      </x:c>
      <x:c r="U195" s="121" t="n">
        <x:v>46236</x:v>
      </x:c>
    </x:row>
    <x:row r="196" ht="46" customHeight="1">
      <x:c r="A196" s="119" t="n">
        <x:v>190</x:v>
      </x:c>
      <x:c r="B196" s="119" t="str">
        <x:v>SRC-170</x:v>
      </x:c>
      <x:c r="C196" s="120" t="str">
        <x:v>Chrono Trigger / Chrono</x:v>
      </x:c>
      <x:c r="D196" s="120" t="str">
        <x:v>Video Game / JRPG</x:v>
      </x:c>
      <x:c r="E196" s="120" t="str">
        <x:v>Japan</x:v>
      </x:c>
      <x:c r="F196" s="119" t="n">
        <x:f>COUNTIF('Seed Catalogue'!$C$2:$C$452,B196)</x:f>
        <x:v>0</x:v>
      </x:c>
      <x:c r="G196" s="122" t="n">
        <x:v>3</x:v>
      </x:c>
      <x:c r="H196" s="122" t="n">
        <x:v>3</x:v>
      </x:c>
      <x:c r="I196" s="122" t="n">
        <x:v>2</x:v>
      </x:c>
      <x:c r="J196" s="122" t="n">
        <x:v>5</x:v>
      </x:c>
      <x:c r="K196" s="122" t="n">
        <x:v>3</x:v>
      </x:c>
      <x:c r="L196" s="122" t="n">
        <x:v>4</x:v>
      </x:c>
      <x:c r="M196" s="122" t="n">
        <x:v>4</x:v>
      </x:c>
      <x:c r="N196" s="122" t="n">
        <x:v>3</x:v>
      </x:c>
      <x:c r="O196" s="123" t="n">
        <x:f>ROUND(G196/5*$X$2+H196/5*$X$3+I196/5*$X$4+J196/5*$X$5+K196/5*$X$6+L196/5*$X$7+M196/5*$X$8-N196/5*$X$9,1)</x:f>
        <x:v>55</x:v>
      </x:c>
      <x:c r="P196" s="119" t="str">
        <x:f>IF(O196&gt;=$X$12,"Foundational deep pass",IF(O196&gt;=$X$13,"Major deep pass",IF(O196&gt;=$X$14,"Targeted innovation pass",IF(O196&gt;=$X$15,"Sampling pass","Reference / defer"))))</x:f>
        <x:v>Targeted innovation pass</x:v>
      </x:c>
      <x:c r="Q196" s="120" t="str">
        <x:v>Game-system baseline</x:v>
      </x:c>
      <x:c r="R196" s="120" t="str">
        <x:v>Prioritize distinctive mechanics, transformations, adaptation operations, and setting innovations rather than complete class repetition.</x:v>
      </x:c>
      <x:c r="S196" s="120" t="str">
        <x:v>Heuristic baseline — editorial review required</x:v>
      </x:c>
      <x:c r="T196" s="120" t="str">
        <x:v>https://en.wikipedia.org/wiki/Chrono_Trigger_%2F_Chrono</x:v>
      </x:c>
      <x:c r="U196" s="121" t="n">
        <x:v>46236</x:v>
      </x:c>
    </x:row>
    <x:row r="197" ht="46" customHeight="1">
      <x:c r="A197" s="119" t="n">
        <x:v>191</x:v>
      </x:c>
      <x:c r="B197" s="119" t="str">
        <x:v>SRC-148</x:v>
      </x:c>
      <x:c r="C197" s="120" t="str">
        <x:v>Dark Souls</x:v>
      </x:c>
      <x:c r="D197" s="120" t="str">
        <x:v>Video Game / Action RPG Franchise</x:v>
      </x:c>
      <x:c r="E197" s="120" t="str">
        <x:v>Japan</x:v>
      </x:c>
      <x:c r="F197" s="119" t="n">
        <x:f>COUNTIF('Seed Catalogue'!$C$2:$C$452,B197)</x:f>
        <x:v>0</x:v>
      </x:c>
      <x:c r="G197" s="122" t="n">
        <x:v>3</x:v>
      </x:c>
      <x:c r="H197" s="122" t="n">
        <x:v>3</x:v>
      </x:c>
      <x:c r="I197" s="122" t="n">
        <x:v>2</x:v>
      </x:c>
      <x:c r="J197" s="122" t="n">
        <x:v>5</x:v>
      </x:c>
      <x:c r="K197" s="122" t="n">
        <x:v>3</x:v>
      </x:c>
      <x:c r="L197" s="122" t="n">
        <x:v>4</x:v>
      </x:c>
      <x:c r="M197" s="122" t="n">
        <x:v>4</x:v>
      </x:c>
      <x:c r="N197" s="122" t="n">
        <x:v>3</x:v>
      </x:c>
      <x:c r="O197" s="123" t="n">
        <x:f>ROUND(G197/5*$X$2+H197/5*$X$3+I197/5*$X$4+J197/5*$X$5+K197/5*$X$6+L197/5*$X$7+M197/5*$X$8-N197/5*$X$9,1)</x:f>
        <x:v>55</x:v>
      </x:c>
      <x:c r="P197" s="119" t="str">
        <x:f>IF(O197&gt;=$X$12,"Foundational deep pass",IF(O197&gt;=$X$13,"Major deep pass",IF(O197&gt;=$X$14,"Targeted innovation pass",IF(O197&gt;=$X$15,"Sampling pass","Reference / defer"))))</x:f>
        <x:v>Targeted innovation pass</x:v>
      </x:c>
      <x:c r="Q197" s="120" t="str">
        <x:v>Game-system baseline</x:v>
      </x:c>
      <x:c r="R197" s="120" t="str">
        <x:v>Prioritize distinctive mechanics, transformations, adaptation operations, and setting innovations rather than complete class repetition.</x:v>
      </x:c>
      <x:c r="S197" s="120" t="str">
        <x:v>Heuristic baseline — editorial review required</x:v>
      </x:c>
      <x:c r="T197" s="120" t="str">
        <x:v>https://en.wikipedia.org/wiki/Dark_Souls</x:v>
      </x:c>
      <x:c r="U197" s="121" t="n">
        <x:v>46236</x:v>
      </x:c>
    </x:row>
    <x:row r="198" ht="46" customHeight="1">
      <x:c r="A198" s="119" t="n">
        <x:v>192</x:v>
      </x:c>
      <x:c r="B198" s="119" t="str">
        <x:v>SRC-137</x:v>
      </x:c>
      <x:c r="C198" s="120" t="str">
        <x:v>Diablo</x:v>
      </x:c>
      <x:c r="D198" s="120" t="str">
        <x:v>Video Game / Action RPG Franchise</x:v>
      </x:c>
      <x:c r="E198" s="120" t="str">
        <x:v>United States</x:v>
      </x:c>
      <x:c r="F198" s="119" t="n">
        <x:f>COUNTIF('Seed Catalogue'!$C$2:$C$452,B198)</x:f>
        <x:v>0</x:v>
      </x:c>
      <x:c r="G198" s="122" t="n">
        <x:v>3</x:v>
      </x:c>
      <x:c r="H198" s="122" t="n">
        <x:v>3</x:v>
      </x:c>
      <x:c r="I198" s="122" t="n">
        <x:v>2</x:v>
      </x:c>
      <x:c r="J198" s="122" t="n">
        <x:v>5</x:v>
      </x:c>
      <x:c r="K198" s="122" t="n">
        <x:v>3</x:v>
      </x:c>
      <x:c r="L198" s="122" t="n">
        <x:v>4</x:v>
      </x:c>
      <x:c r="M198" s="122" t="n">
        <x:v>4</x:v>
      </x:c>
      <x:c r="N198" s="122" t="n">
        <x:v>3</x:v>
      </x:c>
      <x:c r="O198" s="123" t="n">
        <x:f>ROUND(G198/5*$X$2+H198/5*$X$3+I198/5*$X$4+J198/5*$X$5+K198/5*$X$6+L198/5*$X$7+M198/5*$X$8-N198/5*$X$9,1)</x:f>
        <x:v>55</x:v>
      </x:c>
      <x:c r="P198" s="119" t="str">
        <x:f>IF(O198&gt;=$X$12,"Foundational deep pass",IF(O198&gt;=$X$13,"Major deep pass",IF(O198&gt;=$X$14,"Targeted innovation pass",IF(O198&gt;=$X$15,"Sampling pass","Reference / defer"))))</x:f>
        <x:v>Targeted innovation pass</x:v>
      </x:c>
      <x:c r="Q198" s="120" t="str">
        <x:v>Game-system baseline</x:v>
      </x:c>
      <x:c r="R198" s="120" t="str">
        <x:v>Prioritize distinctive mechanics, transformations, adaptation operations, and setting innovations rather than complete class repetition.</x:v>
      </x:c>
      <x:c r="S198" s="120" t="str">
        <x:v>Heuristic baseline — editorial review required</x:v>
      </x:c>
      <x:c r="T198" s="120" t="str">
        <x:v>https://en.wikipedia.org/wiki/Diablo</x:v>
      </x:c>
      <x:c r="U198" s="121" t="n">
        <x:v>46236</x:v>
      </x:c>
    </x:row>
    <x:row r="199" ht="46" customHeight="1">
      <x:c r="A199" s="119" t="n">
        <x:v>193</x:v>
      </x:c>
      <x:c r="B199" s="119" t="str">
        <x:v>SRC-143</x:v>
      </x:c>
      <x:c r="C199" s="120" t="str">
        <x:v>Divinity</x:v>
      </x:c>
      <x:c r="D199" s="120" t="str">
        <x:v>Video Game / RPG Franchise</x:v>
      </x:c>
      <x:c r="E199" s="120" t="str">
        <x:v>Belgium</x:v>
      </x:c>
      <x:c r="F199" s="119" t="n">
        <x:f>COUNTIF('Seed Catalogue'!$C$2:$C$452,B199)</x:f>
        <x:v>0</x:v>
      </x:c>
      <x:c r="G199" s="122" t="n">
        <x:v>3</x:v>
      </x:c>
      <x:c r="H199" s="122" t="n">
        <x:v>3</x:v>
      </x:c>
      <x:c r="I199" s="122" t="n">
        <x:v>2</x:v>
      </x:c>
      <x:c r="J199" s="122" t="n">
        <x:v>5</x:v>
      </x:c>
      <x:c r="K199" s="122" t="n">
        <x:v>3</x:v>
      </x:c>
      <x:c r="L199" s="122" t="n">
        <x:v>4</x:v>
      </x:c>
      <x:c r="M199" s="122" t="n">
        <x:v>4</x:v>
      </x:c>
      <x:c r="N199" s="122" t="n">
        <x:v>3</x:v>
      </x:c>
      <x:c r="O199" s="123" t="n">
        <x:f>ROUND(G199/5*$X$2+H199/5*$X$3+I199/5*$X$4+J199/5*$X$5+K199/5*$X$6+L199/5*$X$7+M199/5*$X$8-N199/5*$X$9,1)</x:f>
        <x:v>55</x:v>
      </x:c>
      <x:c r="P199" s="119" t="str">
        <x:f>IF(O199&gt;=$X$12,"Foundational deep pass",IF(O199&gt;=$X$13,"Major deep pass",IF(O199&gt;=$X$14,"Targeted innovation pass",IF(O199&gt;=$X$15,"Sampling pass","Reference / defer"))))</x:f>
        <x:v>Targeted innovation pass</x:v>
      </x:c>
      <x:c r="Q199" s="120" t="str">
        <x:v>Game-system baseline</x:v>
      </x:c>
      <x:c r="R199" s="120" t="str">
        <x:v>Prioritize distinctive mechanics, transformations, adaptation operations, and setting innovations rather than complete class repetition.</x:v>
      </x:c>
      <x:c r="S199" s="120" t="str">
        <x:v>Heuristic baseline — editorial review required</x:v>
      </x:c>
      <x:c r="T199" s="120" t="str">
        <x:v>https://en.wikipedia.org/wiki/Divinity</x:v>
      </x:c>
      <x:c r="U199" s="121" t="n">
        <x:v>46236</x:v>
      </x:c>
    </x:row>
    <x:row r="200" ht="46" customHeight="1">
      <x:c r="A200" s="119" t="n">
        <x:v>194</x:v>
      </x:c>
      <x:c r="B200" s="119" t="str">
        <x:v>SRC-138</x:v>
      </x:c>
      <x:c r="C200" s="120" t="str">
        <x:v>Dragon Age</x:v>
      </x:c>
      <x:c r="D200" s="120" t="str">
        <x:v>Video Game / RPG Franchise</x:v>
      </x:c>
      <x:c r="E200" s="120" t="str">
        <x:v>Canada</x:v>
      </x:c>
      <x:c r="F200" s="119" t="n">
        <x:f>COUNTIF('Seed Catalogue'!$C$2:$C$452,B200)</x:f>
        <x:v>0</x:v>
      </x:c>
      <x:c r="G200" s="122" t="n">
        <x:v>3</x:v>
      </x:c>
      <x:c r="H200" s="122" t="n">
        <x:v>3</x:v>
      </x:c>
      <x:c r="I200" s="122" t="n">
        <x:v>2</x:v>
      </x:c>
      <x:c r="J200" s="122" t="n">
        <x:v>5</x:v>
      </x:c>
      <x:c r="K200" s="122" t="n">
        <x:v>3</x:v>
      </x:c>
      <x:c r="L200" s="122" t="n">
        <x:v>4</x:v>
      </x:c>
      <x:c r="M200" s="122" t="n">
        <x:v>4</x:v>
      </x:c>
      <x:c r="N200" s="122" t="n">
        <x:v>3</x:v>
      </x:c>
      <x:c r="O200" s="123" t="n">
        <x:f>ROUND(G200/5*$X$2+H200/5*$X$3+I200/5*$X$4+J200/5*$X$5+K200/5*$X$6+L200/5*$X$7+M200/5*$X$8-N200/5*$X$9,1)</x:f>
        <x:v>55</x:v>
      </x:c>
      <x:c r="P200" s="119" t="str">
        <x:f>IF(O200&gt;=$X$12,"Foundational deep pass",IF(O200&gt;=$X$13,"Major deep pass",IF(O200&gt;=$X$14,"Targeted innovation pass",IF(O200&gt;=$X$15,"Sampling pass","Reference / defer"))))</x:f>
        <x:v>Targeted innovation pass</x:v>
      </x:c>
      <x:c r="Q200" s="120" t="str">
        <x:v>Game-system baseline</x:v>
      </x:c>
      <x:c r="R200" s="120" t="str">
        <x:v>Prioritize distinctive mechanics, transformations, adaptation operations, and setting innovations rather than complete class repetition.</x:v>
      </x:c>
      <x:c r="S200" s="120" t="str">
        <x:v>Heuristic baseline — editorial review required</x:v>
      </x:c>
      <x:c r="T200" s="120" t="str">
        <x:v>https://en.wikipedia.org/wiki/Dragon_Age</x:v>
      </x:c>
      <x:c r="U200" s="121" t="n">
        <x:v>46236</x:v>
      </x:c>
    </x:row>
    <x:row r="201" ht="46" customHeight="1">
      <x:c r="A201" s="119" t="n">
        <x:v>195</x:v>
      </x:c>
      <x:c r="B201" s="119" t="str">
        <x:v>SRC-132</x:v>
      </x:c>
      <x:c r="C201" s="120" t="str">
        <x:v>Dragon Quest</x:v>
      </x:c>
      <x:c r="D201" s="120" t="str">
        <x:v>Video Game / JRPG Franchise</x:v>
      </x:c>
      <x:c r="E201" s="120" t="str">
        <x:v>Japan</x:v>
      </x:c>
      <x:c r="F201" s="119" t="n">
        <x:f>COUNTIF('Seed Catalogue'!$C$2:$C$452,B201)</x:f>
        <x:v>0</x:v>
      </x:c>
      <x:c r="G201" s="122" t="n">
        <x:v>3</x:v>
      </x:c>
      <x:c r="H201" s="122" t="n">
        <x:v>3</x:v>
      </x:c>
      <x:c r="I201" s="122" t="n">
        <x:v>2</x:v>
      </x:c>
      <x:c r="J201" s="122" t="n">
        <x:v>5</x:v>
      </x:c>
      <x:c r="K201" s="122" t="n">
        <x:v>3</x:v>
      </x:c>
      <x:c r="L201" s="122" t="n">
        <x:v>4</x:v>
      </x:c>
      <x:c r="M201" s="122" t="n">
        <x:v>4</x:v>
      </x:c>
      <x:c r="N201" s="122" t="n">
        <x:v>3</x:v>
      </x:c>
      <x:c r="O201" s="123" t="n">
        <x:f>ROUND(G201/5*$X$2+H201/5*$X$3+I201/5*$X$4+J201/5*$X$5+K201/5*$X$6+L201/5*$X$7+M201/5*$X$8-N201/5*$X$9,1)</x:f>
        <x:v>55</x:v>
      </x:c>
      <x:c r="P201" s="119" t="str">
        <x:f>IF(O201&gt;=$X$12,"Foundational deep pass",IF(O201&gt;=$X$13,"Major deep pass",IF(O201&gt;=$X$14,"Targeted innovation pass",IF(O201&gt;=$X$15,"Sampling pass","Reference / defer"))))</x:f>
        <x:v>Targeted innovation pass</x:v>
      </x:c>
      <x:c r="Q201" s="120" t="str">
        <x:v>Game-system baseline</x:v>
      </x:c>
      <x:c r="R201" s="120" t="str">
        <x:v>Prioritize distinctive mechanics, transformations, adaptation operations, and setting innovations rather than complete class repetition.</x:v>
      </x:c>
      <x:c r="S201" s="120" t="str">
        <x:v>Heuristic baseline — editorial review required</x:v>
      </x:c>
      <x:c r="T201" s="120" t="str">
        <x:v>https://en.wikipedia.org/wiki/Dragon_Quest</x:v>
      </x:c>
      <x:c r="U201" s="121" t="n">
        <x:v>46236</x:v>
      </x:c>
    </x:row>
    <x:row r="202" ht="46" customHeight="1">
      <x:c r="A202" s="119" t="n">
        <x:v>196</x:v>
      </x:c>
      <x:c r="B202" s="119" t="str">
        <x:v>SRC-157</x:v>
      </x:c>
      <x:c r="C202" s="120" t="str">
        <x:v>Dragon's Dogma</x:v>
      </x:c>
      <x:c r="D202" s="120" t="str">
        <x:v>Video Game / Action RPG Franchise</x:v>
      </x:c>
      <x:c r="E202" s="120" t="str">
        <x:v>Japan</x:v>
      </x:c>
      <x:c r="F202" s="119" t="n">
        <x:f>COUNTIF('Seed Catalogue'!$C$2:$C$452,B202)</x:f>
        <x:v>0</x:v>
      </x:c>
      <x:c r="G202" s="122" t="n">
        <x:v>3</x:v>
      </x:c>
      <x:c r="H202" s="122" t="n">
        <x:v>3</x:v>
      </x:c>
      <x:c r="I202" s="122" t="n">
        <x:v>2</x:v>
      </x:c>
      <x:c r="J202" s="122" t="n">
        <x:v>5</x:v>
      </x:c>
      <x:c r="K202" s="122" t="n">
        <x:v>3</x:v>
      </x:c>
      <x:c r="L202" s="122" t="n">
        <x:v>4</x:v>
      </x:c>
      <x:c r="M202" s="122" t="n">
        <x:v>4</x:v>
      </x:c>
      <x:c r="N202" s="122" t="n">
        <x:v>3</x:v>
      </x:c>
      <x:c r="O202" s="123" t="n">
        <x:f>ROUND(G202/5*$X$2+H202/5*$X$3+I202/5*$X$4+J202/5*$X$5+K202/5*$X$6+L202/5*$X$7+M202/5*$X$8-N202/5*$X$9,1)</x:f>
        <x:v>55</x:v>
      </x:c>
      <x:c r="P202" s="119" t="str">
        <x:f>IF(O202&gt;=$X$12,"Foundational deep pass",IF(O202&gt;=$X$13,"Major deep pass",IF(O202&gt;=$X$14,"Targeted innovation pass",IF(O202&gt;=$X$15,"Sampling pass","Reference / defer"))))</x:f>
        <x:v>Targeted innovation pass</x:v>
      </x:c>
      <x:c r="Q202" s="120" t="str">
        <x:v>Game-system baseline</x:v>
      </x:c>
      <x:c r="R202" s="120" t="str">
        <x:v>Prioritize distinctive mechanics, transformations, adaptation operations, and setting innovations rather than complete class repetition.</x:v>
      </x:c>
      <x:c r="S202" s="120" t="str">
        <x:v>Heuristic baseline — editorial review required</x:v>
      </x:c>
      <x:c r="T202" s="120" t="str">
        <x:v>https://en.wikipedia.org/wiki/Dragon's_Dogma</x:v>
      </x:c>
      <x:c r="U202" s="121" t="n">
        <x:v>46236</x:v>
      </x:c>
    </x:row>
    <x:row r="203" ht="46" customHeight="1">
      <x:c r="A203" s="119" t="n">
        <x:v>197</x:v>
      </x:c>
      <x:c r="B203" s="119" t="str">
        <x:v>SRC-151</x:v>
      </x:c>
      <x:c r="C203" s="120" t="str">
        <x:v>Elden Ring</x:v>
      </x:c>
      <x:c r="D203" s="120" t="str">
        <x:v>Video Game / Action RPG</x:v>
      </x:c>
      <x:c r="E203" s="120" t="str">
        <x:v>Japan</x:v>
      </x:c>
      <x:c r="F203" s="119" t="n">
        <x:f>COUNTIF('Seed Catalogue'!$C$2:$C$452,B203)</x:f>
        <x:v>0</x:v>
      </x:c>
      <x:c r="G203" s="122" t="n">
        <x:v>3</x:v>
      </x:c>
      <x:c r="H203" s="122" t="n">
        <x:v>3</x:v>
      </x:c>
      <x:c r="I203" s="122" t="n">
        <x:v>2</x:v>
      </x:c>
      <x:c r="J203" s="122" t="n">
        <x:v>5</x:v>
      </x:c>
      <x:c r="K203" s="122" t="n">
        <x:v>3</x:v>
      </x:c>
      <x:c r="L203" s="122" t="n">
        <x:v>4</x:v>
      </x:c>
      <x:c r="M203" s="122" t="n">
        <x:v>4</x:v>
      </x:c>
      <x:c r="N203" s="122" t="n">
        <x:v>3</x:v>
      </x:c>
      <x:c r="O203" s="123" t="n">
        <x:f>ROUND(G203/5*$X$2+H203/5*$X$3+I203/5*$X$4+J203/5*$X$5+K203/5*$X$6+L203/5*$X$7+M203/5*$X$8-N203/5*$X$9,1)</x:f>
        <x:v>55</x:v>
      </x:c>
      <x:c r="P203" s="119" t="str">
        <x:f>IF(O203&gt;=$X$12,"Foundational deep pass",IF(O203&gt;=$X$13,"Major deep pass",IF(O203&gt;=$X$14,"Targeted innovation pass",IF(O203&gt;=$X$15,"Sampling pass","Reference / defer"))))</x:f>
        <x:v>Targeted innovation pass</x:v>
      </x:c>
      <x:c r="Q203" s="120" t="str">
        <x:v>Game-system baseline</x:v>
      </x:c>
      <x:c r="R203" s="120" t="str">
        <x:v>Prioritize distinctive mechanics, transformations, adaptation operations, and setting innovations rather than complete class repetition.</x:v>
      </x:c>
      <x:c r="S203" s="120" t="str">
        <x:v>Heuristic baseline — editorial review required</x:v>
      </x:c>
      <x:c r="T203" s="120" t="str">
        <x:v>https://en.wikipedia.org/wiki/Elden_Ring</x:v>
      </x:c>
      <x:c r="U203" s="121" t="n">
        <x:v>46236</x:v>
      </x:c>
    </x:row>
    <x:row r="204" ht="46" customHeight="1">
      <x:c r="A204" s="119" t="n">
        <x:v>198</x:v>
      </x:c>
      <x:c r="B204" s="119" t="str">
        <x:v>SRC-130</x:v>
      </x:c>
      <x:c r="C204" s="120" t="str">
        <x:v>Final Fantasy Tactics</x:v>
      </x:c>
      <x:c r="D204" s="120" t="str">
        <x:v>Video Game / Tactical RPG</x:v>
      </x:c>
      <x:c r="E204" s="120" t="str">
        <x:v>Japan</x:v>
      </x:c>
      <x:c r="F204" s="119" t="n">
        <x:f>COUNTIF('Seed Catalogue'!$C$2:$C$452,B204)</x:f>
        <x:v>0</x:v>
      </x:c>
      <x:c r="G204" s="122" t="n">
        <x:v>3</x:v>
      </x:c>
      <x:c r="H204" s="122" t="n">
        <x:v>3</x:v>
      </x:c>
      <x:c r="I204" s="122" t="n">
        <x:v>2</x:v>
      </x:c>
      <x:c r="J204" s="122" t="n">
        <x:v>5</x:v>
      </x:c>
      <x:c r="K204" s="122" t="n">
        <x:v>3</x:v>
      </x:c>
      <x:c r="L204" s="122" t="n">
        <x:v>4</x:v>
      </x:c>
      <x:c r="M204" s="122" t="n">
        <x:v>4</x:v>
      </x:c>
      <x:c r="N204" s="122" t="n">
        <x:v>3</x:v>
      </x:c>
      <x:c r="O204" s="123" t="n">
        <x:f>ROUND(G204/5*$X$2+H204/5*$X$3+I204/5*$X$4+J204/5*$X$5+K204/5*$X$6+L204/5*$X$7+M204/5*$X$8-N204/5*$X$9,1)</x:f>
        <x:v>55</x:v>
      </x:c>
      <x:c r="P204" s="119" t="str">
        <x:f>IF(O204&gt;=$X$12,"Foundational deep pass",IF(O204&gt;=$X$13,"Major deep pass",IF(O204&gt;=$X$14,"Targeted innovation pass",IF(O204&gt;=$X$15,"Sampling pass","Reference / defer"))))</x:f>
        <x:v>Targeted innovation pass</x:v>
      </x:c>
      <x:c r="Q204" s="120" t="str">
        <x:v>Game-system baseline</x:v>
      </x:c>
      <x:c r="R204" s="120" t="str">
        <x:v>Prioritize distinctive mechanics, transformations, adaptation operations, and setting innovations rather than complete class repetition.</x:v>
      </x:c>
      <x:c r="S204" s="120" t="str">
        <x:v>Heuristic baseline — editorial review required</x:v>
      </x:c>
      <x:c r="T204" s="120" t="str">
        <x:v>https://en.wikipedia.org/wiki/Final_Fantasy_Tactics</x:v>
      </x:c>
      <x:c r="U204" s="121" t="n">
        <x:v>46236</x:v>
      </x:c>
    </x:row>
    <x:row r="205" ht="46" customHeight="1">
      <x:c r="A205" s="119" t="n">
        <x:v>199</x:v>
      </x:c>
      <x:c r="B205" s="119" t="str">
        <x:v>SRC-133</x:v>
      </x:c>
      <x:c r="C205" s="120" t="str">
        <x:v>Fire Emblem</x:v>
      </x:c>
      <x:c r="D205" s="120" t="str">
        <x:v>Video Game / Tactical RPG Franchise</x:v>
      </x:c>
      <x:c r="E205" s="120" t="str">
        <x:v>Japan</x:v>
      </x:c>
      <x:c r="F205" s="119" t="n">
        <x:f>COUNTIF('Seed Catalogue'!$C$2:$C$452,B205)</x:f>
        <x:v>0</x:v>
      </x:c>
      <x:c r="G205" s="122" t="n">
        <x:v>3</x:v>
      </x:c>
      <x:c r="H205" s="122" t="n">
        <x:v>3</x:v>
      </x:c>
      <x:c r="I205" s="122" t="n">
        <x:v>2</x:v>
      </x:c>
      <x:c r="J205" s="122" t="n">
        <x:v>5</x:v>
      </x:c>
      <x:c r="K205" s="122" t="n">
        <x:v>3</x:v>
      </x:c>
      <x:c r="L205" s="122" t="n">
        <x:v>4</x:v>
      </x:c>
      <x:c r="M205" s="122" t="n">
        <x:v>4</x:v>
      </x:c>
      <x:c r="N205" s="122" t="n">
        <x:v>3</x:v>
      </x:c>
      <x:c r="O205" s="123" t="n">
        <x:f>ROUND(G205/5*$X$2+H205/5*$X$3+I205/5*$X$4+J205/5*$X$5+K205/5*$X$6+L205/5*$X$7+M205/5*$X$8-N205/5*$X$9,1)</x:f>
        <x:v>55</x:v>
      </x:c>
      <x:c r="P205" s="119" t="str">
        <x:f>IF(O205&gt;=$X$12,"Foundational deep pass",IF(O205&gt;=$X$13,"Major deep pass",IF(O205&gt;=$X$14,"Targeted innovation pass",IF(O205&gt;=$X$15,"Sampling pass","Reference / defer"))))</x:f>
        <x:v>Targeted innovation pass</x:v>
      </x:c>
      <x:c r="Q205" s="120" t="str">
        <x:v>Game-system baseline</x:v>
      </x:c>
      <x:c r="R205" s="120" t="str">
        <x:v>Prioritize distinctive mechanics, transformations, adaptation operations, and setting innovations rather than complete class repetition.</x:v>
      </x:c>
      <x:c r="S205" s="120" t="str">
        <x:v>Heuristic baseline — editorial review required</x:v>
      </x:c>
      <x:c r="T205" s="120" t="str">
        <x:v>https://en.wikipedia.org/wiki/Fire_Emblem</x:v>
      </x:c>
      <x:c r="U205" s="121" t="n">
        <x:v>46236</x:v>
      </x:c>
    </x:row>
    <x:row r="206" ht="46" customHeight="1">
      <x:c r="A206" s="119" t="n">
        <x:v>200</x:v>
      </x:c>
      <x:c r="B206" s="119" t="str">
        <x:v>SRC-119</x:v>
      </x:c>
      <x:c r="C206" s="120" t="str">
        <x:v>Gloomhaven</x:v>
      </x:c>
      <x:c r="D206" s="120" t="str">
        <x:v>Board Game / Tactical RPG</x:v>
      </x:c>
      <x:c r="E206" s="120" t="str">
        <x:v>United States</x:v>
      </x:c>
      <x:c r="F206" s="119" t="n">
        <x:f>COUNTIF('Seed Catalogue'!$C$2:$C$452,B206)</x:f>
        <x:v>0</x:v>
      </x:c>
      <x:c r="G206" s="122" t="n">
        <x:v>3</x:v>
      </x:c>
      <x:c r="H206" s="122" t="n">
        <x:v>3</x:v>
      </x:c>
      <x:c r="I206" s="122" t="n">
        <x:v>2</x:v>
      </x:c>
      <x:c r="J206" s="122" t="n">
        <x:v>5</x:v>
      </x:c>
      <x:c r="K206" s="122" t="n">
        <x:v>3</x:v>
      </x:c>
      <x:c r="L206" s="122" t="n">
        <x:v>4</x:v>
      </x:c>
      <x:c r="M206" s="122" t="n">
        <x:v>4</x:v>
      </x:c>
      <x:c r="N206" s="122" t="n">
        <x:v>3</x:v>
      </x:c>
      <x:c r="O206" s="123" t="n">
        <x:f>ROUND(G206/5*$X$2+H206/5*$X$3+I206/5*$X$4+J206/5*$X$5+K206/5*$X$6+L206/5*$X$7+M206/5*$X$8-N206/5*$X$9,1)</x:f>
        <x:v>55</x:v>
      </x:c>
      <x:c r="P206" s="119" t="str">
        <x:f>IF(O206&gt;=$X$12,"Foundational deep pass",IF(O206&gt;=$X$13,"Major deep pass",IF(O206&gt;=$X$14,"Targeted innovation pass",IF(O206&gt;=$X$15,"Sampling pass","Reference / defer"))))</x:f>
        <x:v>Targeted innovation pass</x:v>
      </x:c>
      <x:c r="Q206" s="120" t="str">
        <x:v>Board-game baseline</x:v>
      </x:c>
      <x:c r="R206" s="120" t="str">
        <x:v>Extract asymmetric factions and distinctive mechanics; sample conventional unit roles.</x:v>
      </x:c>
      <x:c r="S206" s="120" t="str">
        <x:v>Heuristic baseline — editorial review required</x:v>
      </x:c>
      <x:c r="T206" s="120" t="str">
        <x:v>https://en.wikipedia.org/wiki/Gloomhaven</x:v>
      </x:c>
      <x:c r="U206" s="121" t="n">
        <x:v>46236</x:v>
      </x:c>
    </x:row>
    <x:row r="207" ht="46" customHeight="1">
      <x:c r="A207" s="119" t="n">
        <x:v>201</x:v>
      </x:c>
      <x:c r="B207" s="119" t="str">
        <x:v>SRC-162</x:v>
      </x:c>
      <x:c r="C207" s="120" t="str">
        <x:v>Guild Wars</x:v>
      </x:c>
      <x:c r="D207" s="120" t="str">
        <x:v>Video Game / MMORPG Franchise</x:v>
      </x:c>
      <x:c r="E207" s="120" t="str">
        <x:v>United States</x:v>
      </x:c>
      <x:c r="F207" s="119" t="n">
        <x:f>COUNTIF('Seed Catalogue'!$C$2:$C$452,B207)</x:f>
        <x:v>0</x:v>
      </x:c>
      <x:c r="G207" s="122" t="n">
        <x:v>3</x:v>
      </x:c>
      <x:c r="H207" s="122" t="n">
        <x:v>3</x:v>
      </x:c>
      <x:c r="I207" s="122" t="n">
        <x:v>2</x:v>
      </x:c>
      <x:c r="J207" s="122" t="n">
        <x:v>5</x:v>
      </x:c>
      <x:c r="K207" s="122" t="n">
        <x:v>3</x:v>
      </x:c>
      <x:c r="L207" s="122" t="n">
        <x:v>4</x:v>
      </x:c>
      <x:c r="M207" s="122" t="n">
        <x:v>4</x:v>
      </x:c>
      <x:c r="N207" s="122" t="n">
        <x:v>3</x:v>
      </x:c>
      <x:c r="O207" s="123" t="n">
        <x:f>ROUND(G207/5*$X$2+H207/5*$X$3+I207/5*$X$4+J207/5*$X$5+K207/5*$X$6+L207/5*$X$7+M207/5*$X$8-N207/5*$X$9,1)</x:f>
        <x:v>55</x:v>
      </x:c>
      <x:c r="P207" s="119" t="str">
        <x:f>IF(O207&gt;=$X$12,"Foundational deep pass",IF(O207&gt;=$X$13,"Major deep pass",IF(O207&gt;=$X$14,"Targeted innovation pass",IF(O207&gt;=$X$15,"Sampling pass","Reference / defer"))))</x:f>
        <x:v>Targeted innovation pass</x:v>
      </x:c>
      <x:c r="Q207" s="120" t="str">
        <x:v>Game-system baseline</x:v>
      </x:c>
      <x:c r="R207" s="120" t="str">
        <x:v>Prioritize distinctive mechanics, transformations, adaptation operations, and setting innovations rather than complete class repetition.</x:v>
      </x:c>
      <x:c r="S207" s="120" t="str">
        <x:v>Heuristic baseline — editorial review required</x:v>
      </x:c>
      <x:c r="T207" s="120" t="str">
        <x:v>https://en.wikipedia.org/wiki/Guild_Wars</x:v>
      </x:c>
      <x:c r="U207" s="121" t="n">
        <x:v>46236</x:v>
      </x:c>
    </x:row>
    <x:row r="208" ht="46" customHeight="1">
      <x:c r="A208" s="119" t="n">
        <x:v>202</x:v>
      </x:c>
      <x:c r="B208" s="119" t="str">
        <x:v>SRC-156</x:v>
      </x:c>
      <x:c r="C208" s="120" t="str">
        <x:v>Heroes of Might and Magic</x:v>
      </x:c>
      <x:c r="D208" s="120" t="str">
        <x:v>Video Game / Strategy Franchise</x:v>
      </x:c>
      <x:c r="E208" s="120" t="str">
        <x:v>United States</x:v>
      </x:c>
      <x:c r="F208" s="119" t="n">
        <x:f>COUNTIF('Seed Catalogue'!$C$2:$C$452,B208)</x:f>
        <x:v>0</x:v>
      </x:c>
      <x:c r="G208" s="122" t="n">
        <x:v>3</x:v>
      </x:c>
      <x:c r="H208" s="122" t="n">
        <x:v>3</x:v>
      </x:c>
      <x:c r="I208" s="122" t="n">
        <x:v>2</x:v>
      </x:c>
      <x:c r="J208" s="122" t="n">
        <x:v>5</x:v>
      </x:c>
      <x:c r="K208" s="122" t="n">
        <x:v>3</x:v>
      </x:c>
      <x:c r="L208" s="122" t="n">
        <x:v>4</x:v>
      </x:c>
      <x:c r="M208" s="122" t="n">
        <x:v>4</x:v>
      </x:c>
      <x:c r="N208" s="122" t="n">
        <x:v>3</x:v>
      </x:c>
      <x:c r="O208" s="123" t="n">
        <x:f>ROUND(G208/5*$X$2+H208/5*$X$3+I208/5*$X$4+J208/5*$X$5+K208/5*$X$6+L208/5*$X$7+M208/5*$X$8-N208/5*$X$9,1)</x:f>
        <x:v>55</x:v>
      </x:c>
      <x:c r="P208" s="119" t="str">
        <x:f>IF(O208&gt;=$X$12,"Foundational deep pass",IF(O208&gt;=$X$13,"Major deep pass",IF(O208&gt;=$X$14,"Targeted innovation pass",IF(O208&gt;=$X$15,"Sampling pass","Reference / defer"))))</x:f>
        <x:v>Targeted innovation pass</x:v>
      </x:c>
      <x:c r="Q208" s="120" t="str">
        <x:v>Game-system baseline</x:v>
      </x:c>
      <x:c r="R208" s="120" t="str">
        <x:v>Prioritize distinctive mechanics, transformations, adaptation operations, and setting innovations rather than complete class repetition.</x:v>
      </x:c>
      <x:c r="S208" s="120" t="str">
        <x:v>Heuristic baseline — editorial review required</x:v>
      </x:c>
      <x:c r="T208" s="120" t="str">
        <x:v>https://en.wikipedia.org/wiki/Heroes_of_Might_and_Magic</x:v>
      </x:c>
      <x:c r="U208" s="121" t="n">
        <x:v>46236</x:v>
      </x:c>
    </x:row>
    <x:row r="209" ht="46" customHeight="1">
      <x:c r="A209" s="119" t="n">
        <x:v>203</x:v>
      </x:c>
      <x:c r="B209" s="119" t="str">
        <x:v>SRC-155</x:v>
      </x:c>
      <x:c r="C209" s="120" t="str">
        <x:v>Might and Magic</x:v>
      </x:c>
      <x:c r="D209" s="120" t="str">
        <x:v>Video Game / RPG Franchise</x:v>
      </x:c>
      <x:c r="E209" s="120" t="str">
        <x:v>United States</x:v>
      </x:c>
      <x:c r="F209" s="119" t="n">
        <x:f>COUNTIF('Seed Catalogue'!$C$2:$C$452,B209)</x:f>
        <x:v>0</x:v>
      </x:c>
      <x:c r="G209" s="122" t="n">
        <x:v>3</x:v>
      </x:c>
      <x:c r="H209" s="122" t="n">
        <x:v>3</x:v>
      </x:c>
      <x:c r="I209" s="122" t="n">
        <x:v>2</x:v>
      </x:c>
      <x:c r="J209" s="122" t="n">
        <x:v>5</x:v>
      </x:c>
      <x:c r="K209" s="122" t="n">
        <x:v>3</x:v>
      </x:c>
      <x:c r="L209" s="122" t="n">
        <x:v>4</x:v>
      </x:c>
      <x:c r="M209" s="122" t="n">
        <x:v>4</x:v>
      </x:c>
      <x:c r="N209" s="122" t="n">
        <x:v>3</x:v>
      </x:c>
      <x:c r="O209" s="123" t="n">
        <x:f>ROUND(G209/5*$X$2+H209/5*$X$3+I209/5*$X$4+J209/5*$X$5+K209/5*$X$6+L209/5*$X$7+M209/5*$X$8-N209/5*$X$9,1)</x:f>
        <x:v>55</x:v>
      </x:c>
      <x:c r="P209" s="119" t="str">
        <x:f>IF(O209&gt;=$X$12,"Foundational deep pass",IF(O209&gt;=$X$13,"Major deep pass",IF(O209&gt;=$X$14,"Targeted innovation pass",IF(O209&gt;=$X$15,"Sampling pass","Reference / defer"))))</x:f>
        <x:v>Targeted innovation pass</x:v>
      </x:c>
      <x:c r="Q209" s="120" t="str">
        <x:v>Game-system baseline</x:v>
      </x:c>
      <x:c r="R209" s="120" t="str">
        <x:v>Prioritize distinctive mechanics, transformations, adaptation operations, and setting innovations rather than complete class repetition.</x:v>
      </x:c>
      <x:c r="S209" s="120" t="str">
        <x:v>Heuristic baseline — editorial review required</x:v>
      </x:c>
      <x:c r="T209" s="120" t="str">
        <x:v>https://en.wikipedia.org/wiki/Might_and_Magic</x:v>
      </x:c>
      <x:c r="U209" s="121" t="n">
        <x:v>46236</x:v>
      </x:c>
    </x:row>
    <x:row r="210" ht="46" customHeight="1">
      <x:c r="A210" s="119" t="n">
        <x:v>204</x:v>
      </x:c>
      <x:c r="B210" s="119" t="str">
        <x:v>SRC-186</x:v>
      </x:c>
      <x:c r="C210" s="120" t="str">
        <x:v>Monster Hunter</x:v>
      </x:c>
      <x:c r="D210" s="120" t="str">
        <x:v>Video Game / Action RPG Franchise</x:v>
      </x:c>
      <x:c r="E210" s="120" t="str">
        <x:v>Japan</x:v>
      </x:c>
      <x:c r="F210" s="119" t="n">
        <x:f>COUNTIF('Seed Catalogue'!$C$2:$C$452,B210)</x:f>
        <x:v>0</x:v>
      </x:c>
      <x:c r="G210" s="122" t="n">
        <x:v>3</x:v>
      </x:c>
      <x:c r="H210" s="122" t="n">
        <x:v>3</x:v>
      </x:c>
      <x:c r="I210" s="122" t="n">
        <x:v>2</x:v>
      </x:c>
      <x:c r="J210" s="122" t="n">
        <x:v>5</x:v>
      </x:c>
      <x:c r="K210" s="122" t="n">
        <x:v>3</x:v>
      </x:c>
      <x:c r="L210" s="122" t="n">
        <x:v>4</x:v>
      </x:c>
      <x:c r="M210" s="122" t="n">
        <x:v>4</x:v>
      </x:c>
      <x:c r="N210" s="122" t="n">
        <x:v>3</x:v>
      </x:c>
      <x:c r="O210" s="123" t="n">
        <x:f>ROUND(G210/5*$X$2+H210/5*$X$3+I210/5*$X$4+J210/5*$X$5+K210/5*$X$6+L210/5*$X$7+M210/5*$X$8-N210/5*$X$9,1)</x:f>
        <x:v>55</x:v>
      </x:c>
      <x:c r="P210" s="119" t="str">
        <x:f>IF(O210&gt;=$X$12,"Foundational deep pass",IF(O210&gt;=$X$13,"Major deep pass",IF(O210&gt;=$X$14,"Targeted innovation pass",IF(O210&gt;=$X$15,"Sampling pass","Reference / defer"))))</x:f>
        <x:v>Targeted innovation pass</x:v>
      </x:c>
      <x:c r="Q210" s="120" t="str">
        <x:v>Game-system baseline</x:v>
      </x:c>
      <x:c r="R210" s="120" t="str">
        <x:v>Prioritize distinctive mechanics, transformations, adaptation operations, and setting innovations rather than complete class repetition.</x:v>
      </x:c>
      <x:c r="S210" s="120" t="str">
        <x:v>Heuristic baseline — editorial review required</x:v>
      </x:c>
      <x:c r="T210" s="120" t="str">
        <x:v>https://en.wikipedia.org/wiki/Monster_Hunter</x:v>
      </x:c>
      <x:c r="U210" s="121" t="n">
        <x:v>46236</x:v>
      </x:c>
    </x:row>
    <x:row r="211" ht="46" customHeight="1">
      <x:c r="A211" s="119" t="n">
        <x:v>205</x:v>
      </x:c>
      <x:c r="B211" s="119" t="str">
        <x:v>SRC-147</x:v>
      </x:c>
      <x:c r="C211" s="120" t="str">
        <x:v>Pathfinder: Wrath of the Righteous</x:v>
      </x:c>
      <x:c r="D211" s="120" t="str">
        <x:v>Video Game / CRPG</x:v>
      </x:c>
      <x:c r="E211" s="120" t="str">
        <x:v>Russia / Cyprus</x:v>
      </x:c>
      <x:c r="F211" s="119" t="n">
        <x:f>COUNTIF('Seed Catalogue'!$C$2:$C$452,B211)</x:f>
        <x:v>0</x:v>
      </x:c>
      <x:c r="G211" s="122" t="n">
        <x:v>3</x:v>
      </x:c>
      <x:c r="H211" s="122" t="n">
        <x:v>3</x:v>
      </x:c>
      <x:c r="I211" s="122" t="n">
        <x:v>2</x:v>
      </x:c>
      <x:c r="J211" s="122" t="n">
        <x:v>5</x:v>
      </x:c>
      <x:c r="K211" s="122" t="n">
        <x:v>3</x:v>
      </x:c>
      <x:c r="L211" s="122" t="n">
        <x:v>4</x:v>
      </x:c>
      <x:c r="M211" s="122" t="n">
        <x:v>4</x:v>
      </x:c>
      <x:c r="N211" s="122" t="n">
        <x:v>3</x:v>
      </x:c>
      <x:c r="O211" s="123" t="n">
        <x:f>ROUND(G211/5*$X$2+H211/5*$X$3+I211/5*$X$4+J211/5*$X$5+K211/5*$X$6+L211/5*$X$7+M211/5*$X$8-N211/5*$X$9,1)</x:f>
        <x:v>55</x:v>
      </x:c>
      <x:c r="P211" s="119" t="str">
        <x:f>IF(O211&gt;=$X$12,"Foundational deep pass",IF(O211&gt;=$X$13,"Major deep pass",IF(O211&gt;=$X$14,"Targeted innovation pass",IF(O211&gt;=$X$15,"Sampling pass","Reference / defer"))))</x:f>
        <x:v>Targeted innovation pass</x:v>
      </x:c>
      <x:c r="Q211" s="120" t="str">
        <x:v>Game-system baseline</x:v>
      </x:c>
      <x:c r="R211" s="120" t="str">
        <x:v>Prioritize distinctive mechanics, transformations, adaptation operations, and setting innovations rather than complete class repetition.</x:v>
      </x:c>
      <x:c r="S211" s="120" t="str">
        <x:v>Heuristic baseline — editorial review required</x:v>
      </x:c>
      <x:c r="T211" s="120" t="str">
        <x:v>https://en.wikipedia.org/wiki/Pathfinder:_Wrath_of_the_Righteous</x:v>
      </x:c>
      <x:c r="U211" s="121" t="n">
        <x:v>46236</x:v>
      </x:c>
    </x:row>
    <x:row r="212" ht="46" customHeight="1">
      <x:c r="A212" s="119" t="n">
        <x:v>206</x:v>
      </x:c>
      <x:c r="B212" s="119" t="str">
        <x:v>SRC-144</x:v>
      </x:c>
      <x:c r="C212" s="120" t="str">
        <x:v>Pillars of Eternity</x:v>
      </x:c>
      <x:c r="D212" s="120" t="str">
        <x:v>Video Game / CRPG</x:v>
      </x:c>
      <x:c r="E212" s="120" t="str">
        <x:v>United States</x:v>
      </x:c>
      <x:c r="F212" s="119" t="n">
        <x:f>COUNTIF('Seed Catalogue'!$C$2:$C$452,B212)</x:f>
        <x:v>0</x:v>
      </x:c>
      <x:c r="G212" s="122" t="n">
        <x:v>3</x:v>
      </x:c>
      <x:c r="H212" s="122" t="n">
        <x:v>3</x:v>
      </x:c>
      <x:c r="I212" s="122" t="n">
        <x:v>2</x:v>
      </x:c>
      <x:c r="J212" s="122" t="n">
        <x:v>5</x:v>
      </x:c>
      <x:c r="K212" s="122" t="n">
        <x:v>3</x:v>
      </x:c>
      <x:c r="L212" s="122" t="n">
        <x:v>4</x:v>
      </x:c>
      <x:c r="M212" s="122" t="n">
        <x:v>4</x:v>
      </x:c>
      <x:c r="N212" s="122" t="n">
        <x:v>3</x:v>
      </x:c>
      <x:c r="O212" s="123" t="n">
        <x:f>ROUND(G212/5*$X$2+H212/5*$X$3+I212/5*$X$4+J212/5*$X$5+K212/5*$X$6+L212/5*$X$7+M212/5*$X$8-N212/5*$X$9,1)</x:f>
        <x:v>55</x:v>
      </x:c>
      <x:c r="P212" s="119" t="str">
        <x:f>IF(O212&gt;=$X$12,"Foundational deep pass",IF(O212&gt;=$X$13,"Major deep pass",IF(O212&gt;=$X$14,"Targeted innovation pass",IF(O212&gt;=$X$15,"Sampling pass","Reference / defer"))))</x:f>
        <x:v>Targeted innovation pass</x:v>
      </x:c>
      <x:c r="Q212" s="120" t="str">
        <x:v>Game-system baseline</x:v>
      </x:c>
      <x:c r="R212" s="120" t="str">
        <x:v>Prioritize distinctive mechanics, transformations, adaptation operations, and setting innovations rather than complete class repetition.</x:v>
      </x:c>
      <x:c r="S212" s="120" t="str">
        <x:v>Heuristic baseline — editorial review required</x:v>
      </x:c>
      <x:c r="T212" s="120" t="str">
        <x:v>https://en.wikipedia.org/wiki/Pillars_of_Eternity</x:v>
      </x:c>
      <x:c r="U212" s="121" t="n">
        <x:v>46236</x:v>
      </x:c>
    </x:row>
    <x:row r="213" ht="46" customHeight="1">
      <x:c r="A213" s="119" t="n">
        <x:v>207</x:v>
      </x:c>
      <x:c r="B213" s="119" t="str">
        <x:v>SRC-141</x:v>
      </x:c>
      <x:c r="C213" s="120" t="str">
        <x:v>Planescape: Torment</x:v>
      </x:c>
      <x:c r="D213" s="120" t="str">
        <x:v>Video Game / CRPG</x:v>
      </x:c>
      <x:c r="E213" s="120" t="str">
        <x:v>United States</x:v>
      </x:c>
      <x:c r="F213" s="119" t="n">
        <x:f>COUNTIF('Seed Catalogue'!$C$2:$C$452,B213)</x:f>
        <x:v>0</x:v>
      </x:c>
      <x:c r="G213" s="122" t="n">
        <x:v>3</x:v>
      </x:c>
      <x:c r="H213" s="122" t="n">
        <x:v>3</x:v>
      </x:c>
      <x:c r="I213" s="122" t="n">
        <x:v>2</x:v>
      </x:c>
      <x:c r="J213" s="122" t="n">
        <x:v>5</x:v>
      </x:c>
      <x:c r="K213" s="122" t="n">
        <x:v>3</x:v>
      </x:c>
      <x:c r="L213" s="122" t="n">
        <x:v>4</x:v>
      </x:c>
      <x:c r="M213" s="122" t="n">
        <x:v>4</x:v>
      </x:c>
      <x:c r="N213" s="122" t="n">
        <x:v>3</x:v>
      </x:c>
      <x:c r="O213" s="123" t="n">
        <x:f>ROUND(G213/5*$X$2+H213/5*$X$3+I213/5*$X$4+J213/5*$X$5+K213/5*$X$6+L213/5*$X$7+M213/5*$X$8-N213/5*$X$9,1)</x:f>
        <x:v>55</x:v>
      </x:c>
      <x:c r="P213" s="119" t="str">
        <x:f>IF(O213&gt;=$X$12,"Foundational deep pass",IF(O213&gt;=$X$13,"Major deep pass",IF(O213&gt;=$X$14,"Targeted innovation pass",IF(O213&gt;=$X$15,"Sampling pass","Reference / defer"))))</x:f>
        <x:v>Targeted innovation pass</x:v>
      </x:c>
      <x:c r="Q213" s="120" t="str">
        <x:v>Game-system baseline</x:v>
      </x:c>
      <x:c r="R213" s="120" t="str">
        <x:v>Prioritize distinctive mechanics, transformations, adaptation operations, and setting innovations rather than complete class repetition.</x:v>
      </x:c>
      <x:c r="S213" s="120" t="str">
        <x:v>Heuristic baseline — editorial review required</x:v>
      </x:c>
      <x:c r="T213" s="120" t="str">
        <x:v>https://en.wikipedia.org/wiki/Planescape:_Torment</x:v>
      </x:c>
      <x:c r="U213" s="121" t="n">
        <x:v>46236</x:v>
      </x:c>
    </x:row>
    <x:row r="214" ht="46" customHeight="1">
      <x:c r="A214" s="119" t="n">
        <x:v>208</x:v>
      </x:c>
      <x:c r="B214" s="119" t="str">
        <x:v>SRC-176</x:v>
      </x:c>
      <x:c r="C214" s="120" t="str">
        <x:v>Shin Megami Tensei</x:v>
      </x:c>
      <x:c r="D214" s="120" t="str">
        <x:v>Video Game / RPG Franchise</x:v>
      </x:c>
      <x:c r="E214" s="120" t="str">
        <x:v>Japan</x:v>
      </x:c>
      <x:c r="F214" s="119" t="n">
        <x:f>COUNTIF('Seed Catalogue'!$C$2:$C$452,B214)</x:f>
        <x:v>0</x:v>
      </x:c>
      <x:c r="G214" s="122" t="n">
        <x:v>3</x:v>
      </x:c>
      <x:c r="H214" s="122" t="n">
        <x:v>3</x:v>
      </x:c>
      <x:c r="I214" s="122" t="n">
        <x:v>2</x:v>
      </x:c>
      <x:c r="J214" s="122" t="n">
        <x:v>5</x:v>
      </x:c>
      <x:c r="K214" s="122" t="n">
        <x:v>3</x:v>
      </x:c>
      <x:c r="L214" s="122" t="n">
        <x:v>4</x:v>
      </x:c>
      <x:c r="M214" s="122" t="n">
        <x:v>4</x:v>
      </x:c>
      <x:c r="N214" s="122" t="n">
        <x:v>3</x:v>
      </x:c>
      <x:c r="O214" s="123" t="n">
        <x:f>ROUND(G214/5*$X$2+H214/5*$X$3+I214/5*$X$4+J214/5*$X$5+K214/5*$X$6+L214/5*$X$7+M214/5*$X$8-N214/5*$X$9,1)</x:f>
        <x:v>55</x:v>
      </x:c>
      <x:c r="P214" s="119" t="str">
        <x:f>IF(O214&gt;=$X$12,"Foundational deep pass",IF(O214&gt;=$X$13,"Major deep pass",IF(O214&gt;=$X$14,"Targeted innovation pass",IF(O214&gt;=$X$15,"Sampling pass","Reference / defer"))))</x:f>
        <x:v>Targeted innovation pass</x:v>
      </x:c>
      <x:c r="Q214" s="120" t="str">
        <x:v>Game-system baseline</x:v>
      </x:c>
      <x:c r="R214" s="120" t="str">
        <x:v>Prioritize distinctive mechanics, transformations, adaptation operations, and setting innovations rather than complete class repetition.</x:v>
      </x:c>
      <x:c r="S214" s="120" t="str">
        <x:v>Heuristic baseline — editorial review required</x:v>
      </x:c>
      <x:c r="T214" s="120" t="str">
        <x:v>https://en.wikipedia.org/wiki/Shin_Megami_Tensei</x:v>
      </x:c>
      <x:c r="U214" s="121" t="n">
        <x:v>46236</x:v>
      </x:c>
    </x:row>
    <x:row r="215" ht="46" customHeight="1">
      <x:c r="A215" s="119" t="n">
        <x:v>209</x:v>
      </x:c>
      <x:c r="B215" s="119" t="str">
        <x:v>SRC-124</x:v>
      </x:c>
      <x:c r="C215" s="120" t="str">
        <x:v>Spirit Island</x:v>
      </x:c>
      <x:c r="D215" s="120" t="str">
        <x:v>Board Game</x:v>
      </x:c>
      <x:c r="E215" s="120" t="str">
        <x:v>United States</x:v>
      </x:c>
      <x:c r="F215" s="119" t="n">
        <x:f>COUNTIF('Seed Catalogue'!$C$2:$C$452,B215)</x:f>
        <x:v>0</x:v>
      </x:c>
      <x:c r="G215" s="122" t="n">
        <x:v>3</x:v>
      </x:c>
      <x:c r="H215" s="122" t="n">
        <x:v>3</x:v>
      </x:c>
      <x:c r="I215" s="122" t="n">
        <x:v>2</x:v>
      </x:c>
      <x:c r="J215" s="122" t="n">
        <x:v>5</x:v>
      </x:c>
      <x:c r="K215" s="122" t="n">
        <x:v>3</x:v>
      </x:c>
      <x:c r="L215" s="122" t="n">
        <x:v>4</x:v>
      </x:c>
      <x:c r="M215" s="122" t="n">
        <x:v>4</x:v>
      </x:c>
      <x:c r="N215" s="122" t="n">
        <x:v>3</x:v>
      </x:c>
      <x:c r="O215" s="123" t="n">
        <x:f>ROUND(G215/5*$X$2+H215/5*$X$3+I215/5*$X$4+J215/5*$X$5+K215/5*$X$6+L215/5*$X$7+M215/5*$X$8-N215/5*$X$9,1)</x:f>
        <x:v>55</x:v>
      </x:c>
      <x:c r="P215" s="119" t="str">
        <x:f>IF(O215&gt;=$X$12,"Foundational deep pass",IF(O215&gt;=$X$13,"Major deep pass",IF(O215&gt;=$X$14,"Targeted innovation pass",IF(O215&gt;=$X$15,"Sampling pass","Reference / defer"))))</x:f>
        <x:v>Targeted innovation pass</x:v>
      </x:c>
      <x:c r="Q215" s="120" t="str">
        <x:v>Board-game baseline</x:v>
      </x:c>
      <x:c r="R215" s="120" t="str">
        <x:v>Extract asymmetric factions and distinctive mechanics; sample conventional unit roles.</x:v>
      </x:c>
      <x:c r="S215" s="120" t="str">
        <x:v>Heuristic baseline — editorial review required</x:v>
      </x:c>
      <x:c r="T215" s="120" t="str">
        <x:v>https://en.wikipedia.org/wiki/Spirit_Island</x:v>
      </x:c>
      <x:c r="U215" s="121" t="n">
        <x:v>46236</x:v>
      </x:c>
    </x:row>
    <x:row r="216" ht="46" customHeight="1">
      <x:c r="A216" s="119" t="n">
        <x:v>210</x:v>
      </x:c>
      <x:c r="B216" s="119" t="str">
        <x:v>SRC-168</x:v>
      </x:c>
      <x:c r="C216" s="120" t="str">
        <x:v>Suikoden</x:v>
      </x:c>
      <x:c r="D216" s="120" t="str">
        <x:v>Video Game / JRPG Franchise</x:v>
      </x:c>
      <x:c r="E216" s="120" t="str">
        <x:v>Japan</x:v>
      </x:c>
      <x:c r="F216" s="119" t="n">
        <x:f>COUNTIF('Seed Catalogue'!$C$2:$C$452,B216)</x:f>
        <x:v>0</x:v>
      </x:c>
      <x:c r="G216" s="122" t="n">
        <x:v>3</x:v>
      </x:c>
      <x:c r="H216" s="122" t="n">
        <x:v>3</x:v>
      </x:c>
      <x:c r="I216" s="122" t="n">
        <x:v>2</x:v>
      </x:c>
      <x:c r="J216" s="122" t="n">
        <x:v>5</x:v>
      </x:c>
      <x:c r="K216" s="122" t="n">
        <x:v>3</x:v>
      </x:c>
      <x:c r="L216" s="122" t="n">
        <x:v>4</x:v>
      </x:c>
      <x:c r="M216" s="122" t="n">
        <x:v>4</x:v>
      </x:c>
      <x:c r="N216" s="122" t="n">
        <x:v>3</x:v>
      </x:c>
      <x:c r="O216" s="123" t="n">
        <x:f>ROUND(G216/5*$X$2+H216/5*$X$3+I216/5*$X$4+J216/5*$X$5+K216/5*$X$6+L216/5*$X$7+M216/5*$X$8-N216/5*$X$9,1)</x:f>
        <x:v>55</x:v>
      </x:c>
      <x:c r="P216" s="119" t="str">
        <x:f>IF(O216&gt;=$X$12,"Foundational deep pass",IF(O216&gt;=$X$13,"Major deep pass",IF(O216&gt;=$X$14,"Targeted innovation pass",IF(O216&gt;=$X$15,"Sampling pass","Reference / defer"))))</x:f>
        <x:v>Targeted innovation pass</x:v>
      </x:c>
      <x:c r="Q216" s="120" t="str">
        <x:v>Game-system baseline</x:v>
      </x:c>
      <x:c r="R216" s="120" t="str">
        <x:v>Prioritize distinctive mechanics, transformations, adaptation operations, and setting innovations rather than complete class repetition.</x:v>
      </x:c>
      <x:c r="S216" s="120" t="str">
        <x:v>Heuristic baseline — editorial review required</x:v>
      </x:c>
      <x:c r="T216" s="120" t="str">
        <x:v>https://en.wikipedia.org/wiki/Suikoden</x:v>
      </x:c>
      <x:c r="U216" s="121" t="n">
        <x:v>46236</x:v>
      </x:c>
    </x:row>
    <x:row r="217" ht="46" customHeight="1">
      <x:c r="A217" s="119" t="n">
        <x:v>211</x:v>
      </x:c>
      <x:c r="B217" s="119" t="str">
        <x:v>SRC-188</x:v>
      </x:c>
      <x:c r="C217" s="120" t="str">
        <x:v>The Banner Saga</x:v>
      </x:c>
      <x:c r="D217" s="120" t="str">
        <x:v>Video Game / Tactical RPG</x:v>
      </x:c>
      <x:c r="E217" s="120" t="str">
        <x:v>United States</x:v>
      </x:c>
      <x:c r="F217" s="119" t="n">
        <x:f>COUNTIF('Seed Catalogue'!$C$2:$C$452,B217)</x:f>
        <x:v>0</x:v>
      </x:c>
      <x:c r="G217" s="122" t="n">
        <x:v>3</x:v>
      </x:c>
      <x:c r="H217" s="122" t="n">
        <x:v>3</x:v>
      </x:c>
      <x:c r="I217" s="122" t="n">
        <x:v>2</x:v>
      </x:c>
      <x:c r="J217" s="122" t="n">
        <x:v>5</x:v>
      </x:c>
      <x:c r="K217" s="122" t="n">
        <x:v>3</x:v>
      </x:c>
      <x:c r="L217" s="122" t="n">
        <x:v>4</x:v>
      </x:c>
      <x:c r="M217" s="122" t="n">
        <x:v>4</x:v>
      </x:c>
      <x:c r="N217" s="122" t="n">
        <x:v>3</x:v>
      </x:c>
      <x:c r="O217" s="123" t="n">
        <x:f>ROUND(G217/5*$X$2+H217/5*$X$3+I217/5*$X$4+J217/5*$X$5+K217/5*$X$6+L217/5*$X$7+M217/5*$X$8-N217/5*$X$9,1)</x:f>
        <x:v>55</x:v>
      </x:c>
      <x:c r="P217" s="119" t="str">
        <x:f>IF(O217&gt;=$X$12,"Foundational deep pass",IF(O217&gt;=$X$13,"Major deep pass",IF(O217&gt;=$X$14,"Targeted innovation pass",IF(O217&gt;=$X$15,"Sampling pass","Reference / defer"))))</x:f>
        <x:v>Targeted innovation pass</x:v>
      </x:c>
      <x:c r="Q217" s="120" t="str">
        <x:v>Game-system baseline</x:v>
      </x:c>
      <x:c r="R217" s="120" t="str">
        <x:v>Prioritize distinctive mechanics, transformations, adaptation operations, and setting innovations rather than complete class repetition.</x:v>
      </x:c>
      <x:c r="S217" s="120" t="str">
        <x:v>Heuristic baseline — editorial review required</x:v>
      </x:c>
      <x:c r="T217" s="120" t="str">
        <x:v>https://en.wikipedia.org/wiki/The_Banner_Saga</x:v>
      </x:c>
      <x:c r="U217" s="121" t="n">
        <x:v>46236</x:v>
      </x:c>
    </x:row>
    <x:row r="218" ht="46" customHeight="1">
      <x:c r="A218" s="119" t="n">
        <x:v>212</x:v>
      </x:c>
      <x:c r="B218" s="119" t="str">
        <x:v>SRC-152</x:v>
      </x:c>
      <x:c r="C218" s="120" t="str">
        <x:v>The Legend of Zelda</x:v>
      </x:c>
      <x:c r="D218" s="120" t="str">
        <x:v>Video Game / Action Adventure Franchise</x:v>
      </x:c>
      <x:c r="E218" s="120" t="str">
        <x:v>Japan</x:v>
      </x:c>
      <x:c r="F218" s="119" t="n">
        <x:f>COUNTIF('Seed Catalogue'!$C$2:$C$452,B218)</x:f>
        <x:v>0</x:v>
      </x:c>
      <x:c r="G218" s="122" t="n">
        <x:v>3</x:v>
      </x:c>
      <x:c r="H218" s="122" t="n">
        <x:v>3</x:v>
      </x:c>
      <x:c r="I218" s="122" t="n">
        <x:v>2</x:v>
      </x:c>
      <x:c r="J218" s="122" t="n">
        <x:v>5</x:v>
      </x:c>
      <x:c r="K218" s="122" t="n">
        <x:v>3</x:v>
      </x:c>
      <x:c r="L218" s="122" t="n">
        <x:v>4</x:v>
      </x:c>
      <x:c r="M218" s="122" t="n">
        <x:v>4</x:v>
      </x:c>
      <x:c r="N218" s="122" t="n">
        <x:v>3</x:v>
      </x:c>
      <x:c r="O218" s="123" t="n">
        <x:f>ROUND(G218/5*$X$2+H218/5*$X$3+I218/5*$X$4+J218/5*$X$5+K218/5*$X$6+L218/5*$X$7+M218/5*$X$8-N218/5*$X$9,1)</x:f>
        <x:v>55</x:v>
      </x:c>
      <x:c r="P218" s="119" t="str">
        <x:f>IF(O218&gt;=$X$12,"Foundational deep pass",IF(O218&gt;=$X$13,"Major deep pass",IF(O218&gt;=$X$14,"Targeted innovation pass",IF(O218&gt;=$X$15,"Sampling pass","Reference / defer"))))</x:f>
        <x:v>Targeted innovation pass</x:v>
      </x:c>
      <x:c r="Q218" s="120" t="str">
        <x:v>Game-system baseline</x:v>
      </x:c>
      <x:c r="R218" s="120" t="str">
        <x:v>Prioritize distinctive mechanics, transformations, adaptation operations, and setting innovations rather than complete class repetition.</x:v>
      </x:c>
      <x:c r="S218" s="120" t="str">
        <x:v>Heuristic baseline — editorial review required</x:v>
      </x:c>
      <x:c r="T218" s="120" t="str">
        <x:v>https://en.wikipedia.org/wiki/The_Legend_of_Zelda</x:v>
      </x:c>
      <x:c r="U218" s="121" t="n">
        <x:v>46236</x:v>
      </x:c>
    </x:row>
    <x:row r="219" ht="46" customHeight="1">
      <x:c r="A219" s="119" t="n">
        <x:v>213</x:v>
      </x:c>
      <x:c r="B219" s="119" t="str">
        <x:v>SRC-161</x:v>
      </x:c>
      <x:c r="C219" s="120" t="str">
        <x:v>The Witcher Games</x:v>
      </x:c>
      <x:c r="D219" s="120" t="str">
        <x:v>Video Game / Action RPG Franchise</x:v>
      </x:c>
      <x:c r="E219" s="120" t="str">
        <x:v>Poland</x:v>
      </x:c>
      <x:c r="F219" s="119" t="n">
        <x:f>COUNTIF('Seed Catalogue'!$C$2:$C$452,B219)</x:f>
        <x:v>0</x:v>
      </x:c>
      <x:c r="G219" s="122" t="n">
        <x:v>3</x:v>
      </x:c>
      <x:c r="H219" s="122" t="n">
        <x:v>3</x:v>
      </x:c>
      <x:c r="I219" s="122" t="n">
        <x:v>2</x:v>
      </x:c>
      <x:c r="J219" s="122" t="n">
        <x:v>5</x:v>
      </x:c>
      <x:c r="K219" s="122" t="n">
        <x:v>3</x:v>
      </x:c>
      <x:c r="L219" s="122" t="n">
        <x:v>4</x:v>
      </x:c>
      <x:c r="M219" s="122" t="n">
        <x:v>4</x:v>
      </x:c>
      <x:c r="N219" s="122" t="n">
        <x:v>3</x:v>
      </x:c>
      <x:c r="O219" s="123" t="n">
        <x:f>ROUND(G219/5*$X$2+H219/5*$X$3+I219/5*$X$4+J219/5*$X$5+K219/5*$X$6+L219/5*$X$7+M219/5*$X$8-N219/5*$X$9,1)</x:f>
        <x:v>55</x:v>
      </x:c>
      <x:c r="P219" s="119" t="str">
        <x:f>IF(O219&gt;=$X$12,"Foundational deep pass",IF(O219&gt;=$X$13,"Major deep pass",IF(O219&gt;=$X$14,"Targeted innovation pass",IF(O219&gt;=$X$15,"Sampling pass","Reference / defer"))))</x:f>
        <x:v>Targeted innovation pass</x:v>
      </x:c>
      <x:c r="Q219" s="120" t="str">
        <x:v>Game-system baseline</x:v>
      </x:c>
      <x:c r="R219" s="120" t="str">
        <x:v>Prioritize distinctive mechanics, transformations, adaptation operations, and setting innovations rather than complete class repetition.</x:v>
      </x:c>
      <x:c r="S219" s="120" t="str">
        <x:v>Heuristic baseline — editorial review required</x:v>
      </x:c>
      <x:c r="T219" s="120" t="str">
        <x:v>https://www.thewitcher.com/en/classics</x:v>
      </x:c>
      <x:c r="U219" s="121" t="n">
        <x:v>46236</x:v>
      </x:c>
    </x:row>
    <x:row r="220" ht="46" customHeight="1">
      <x:c r="A220" s="119" t="n">
        <x:v>214</x:v>
      </x:c>
      <x:c r="B220" s="119" t="str">
        <x:v>SRC-153</x:v>
      </x:c>
      <x:c r="C220" s="120" t="str">
        <x:v>Ultima</x:v>
      </x:c>
      <x:c r="D220" s="120" t="str">
        <x:v>Video Game / RPG Franchise</x:v>
      </x:c>
      <x:c r="E220" s="120" t="str">
        <x:v>United States</x:v>
      </x:c>
      <x:c r="F220" s="119" t="n">
        <x:f>COUNTIF('Seed Catalogue'!$C$2:$C$452,B220)</x:f>
        <x:v>0</x:v>
      </x:c>
      <x:c r="G220" s="122" t="n">
        <x:v>3</x:v>
      </x:c>
      <x:c r="H220" s="122" t="n">
        <x:v>3</x:v>
      </x:c>
      <x:c r="I220" s="122" t="n">
        <x:v>2</x:v>
      </x:c>
      <x:c r="J220" s="122" t="n">
        <x:v>5</x:v>
      </x:c>
      <x:c r="K220" s="122" t="n">
        <x:v>3</x:v>
      </x:c>
      <x:c r="L220" s="122" t="n">
        <x:v>4</x:v>
      </x:c>
      <x:c r="M220" s="122" t="n">
        <x:v>4</x:v>
      </x:c>
      <x:c r="N220" s="122" t="n">
        <x:v>3</x:v>
      </x:c>
      <x:c r="O220" s="123" t="n">
        <x:f>ROUND(G220/5*$X$2+H220/5*$X$3+I220/5*$X$4+J220/5*$X$5+K220/5*$X$6+L220/5*$X$7+M220/5*$X$8-N220/5*$X$9,1)</x:f>
        <x:v>55</x:v>
      </x:c>
      <x:c r="P220" s="119" t="str">
        <x:f>IF(O220&gt;=$X$12,"Foundational deep pass",IF(O220&gt;=$X$13,"Major deep pass",IF(O220&gt;=$X$14,"Targeted innovation pass",IF(O220&gt;=$X$15,"Sampling pass","Reference / defer"))))</x:f>
        <x:v>Targeted innovation pass</x:v>
      </x:c>
      <x:c r="Q220" s="120" t="str">
        <x:v>Game-system baseline</x:v>
      </x:c>
      <x:c r="R220" s="120" t="str">
        <x:v>Prioritize distinctive mechanics, transformations, adaptation operations, and setting innovations rather than complete class repetition.</x:v>
      </x:c>
      <x:c r="S220" s="120" t="str">
        <x:v>Heuristic baseline — editorial review required</x:v>
      </x:c>
      <x:c r="T220" s="120" t="str">
        <x:v>https://en.wikipedia.org/wiki/Ultima</x:v>
      </x:c>
      <x:c r="U220" s="121" t="n">
        <x:v>46236</x:v>
      </x:c>
    </x:row>
    <x:row r="221" ht="46" customHeight="1">
      <x:c r="A221" s="119" t="n">
        <x:v>215</x:v>
      </x:c>
      <x:c r="B221" s="119" t="str">
        <x:v>SRC-154</x:v>
      </x:c>
      <x:c r="C221" s="120" t="str">
        <x:v>Wizardry</x:v>
      </x:c>
      <x:c r="D221" s="120" t="str">
        <x:v>Video Game / CRPG Franchise</x:v>
      </x:c>
      <x:c r="E221" s="120" t="str">
        <x:v>United States / Japan</x:v>
      </x:c>
      <x:c r="F221" s="119" t="n">
        <x:f>COUNTIF('Seed Catalogue'!$C$2:$C$452,B221)</x:f>
        <x:v>0</x:v>
      </x:c>
      <x:c r="G221" s="122" t="n">
        <x:v>3</x:v>
      </x:c>
      <x:c r="H221" s="122" t="n">
        <x:v>3</x:v>
      </x:c>
      <x:c r="I221" s="122" t="n">
        <x:v>2</x:v>
      </x:c>
      <x:c r="J221" s="122" t="n">
        <x:v>5</x:v>
      </x:c>
      <x:c r="K221" s="122" t="n">
        <x:v>3</x:v>
      </x:c>
      <x:c r="L221" s="122" t="n">
        <x:v>4</x:v>
      </x:c>
      <x:c r="M221" s="122" t="n">
        <x:v>4</x:v>
      </x:c>
      <x:c r="N221" s="122" t="n">
        <x:v>3</x:v>
      </x:c>
      <x:c r="O221" s="123" t="n">
        <x:f>ROUND(G221/5*$X$2+H221/5*$X$3+I221/5*$X$4+J221/5*$X$5+K221/5*$X$6+L221/5*$X$7+M221/5*$X$8-N221/5*$X$9,1)</x:f>
        <x:v>55</x:v>
      </x:c>
      <x:c r="P221" s="119" t="str">
        <x:f>IF(O221&gt;=$X$12,"Foundational deep pass",IF(O221&gt;=$X$13,"Major deep pass",IF(O221&gt;=$X$14,"Targeted innovation pass",IF(O221&gt;=$X$15,"Sampling pass","Reference / defer"))))</x:f>
        <x:v>Targeted innovation pass</x:v>
      </x:c>
      <x:c r="Q221" s="120" t="str">
        <x:v>Game-system baseline</x:v>
      </x:c>
      <x:c r="R221" s="120" t="str">
        <x:v>Prioritize distinctive mechanics, transformations, adaptation operations, and setting innovations rather than complete class repetition.</x:v>
      </x:c>
      <x:c r="S221" s="120" t="str">
        <x:v>Heuristic baseline — editorial review required</x:v>
      </x:c>
      <x:c r="T221" s="120" t="str">
        <x:v>https://en.wikipedia.org/wiki/Wizardry</x:v>
      </x:c>
      <x:c r="U221" s="121" t="n">
        <x:v>46236</x:v>
      </x:c>
    </x:row>
    <x:row r="222" ht="46" customHeight="1">
      <x:c r="A222" s="119" t="n">
        <x:v>216</x:v>
      </x:c>
      <x:c r="B222" s="119" t="str">
        <x:v>SRC-136</x:v>
      </x:c>
      <x:c r="C222" s="120" t="str">
        <x:v>World of Warcraft</x:v>
      </x:c>
      <x:c r="D222" s="120" t="str">
        <x:v>Video Game / MMORPG</x:v>
      </x:c>
      <x:c r="E222" s="120" t="str">
        <x:v>United States</x:v>
      </x:c>
      <x:c r="F222" s="119" t="n">
        <x:f>COUNTIF('Seed Catalogue'!$C$2:$C$452,B222)</x:f>
        <x:v>0</x:v>
      </x:c>
      <x:c r="G222" s="122" t="n">
        <x:v>3</x:v>
      </x:c>
      <x:c r="H222" s="122" t="n">
        <x:v>3</x:v>
      </x:c>
      <x:c r="I222" s="122" t="n">
        <x:v>2</x:v>
      </x:c>
      <x:c r="J222" s="122" t="n">
        <x:v>5</x:v>
      </x:c>
      <x:c r="K222" s="122" t="n">
        <x:v>3</x:v>
      </x:c>
      <x:c r="L222" s="122" t="n">
        <x:v>4</x:v>
      </x:c>
      <x:c r="M222" s="122" t="n">
        <x:v>4</x:v>
      </x:c>
      <x:c r="N222" s="122" t="n">
        <x:v>3</x:v>
      </x:c>
      <x:c r="O222" s="123" t="n">
        <x:f>ROUND(G222/5*$X$2+H222/5*$X$3+I222/5*$X$4+J222/5*$X$5+K222/5*$X$6+L222/5*$X$7+M222/5*$X$8-N222/5*$X$9,1)</x:f>
        <x:v>55</x:v>
      </x:c>
      <x:c r="P222" s="119" t="str">
        <x:f>IF(O222&gt;=$X$12,"Foundational deep pass",IF(O222&gt;=$X$13,"Major deep pass",IF(O222&gt;=$X$14,"Targeted innovation pass",IF(O222&gt;=$X$15,"Sampling pass","Reference / defer"))))</x:f>
        <x:v>Targeted innovation pass</x:v>
      </x:c>
      <x:c r="Q222" s="120" t="str">
        <x:v>Game-system baseline</x:v>
      </x:c>
      <x:c r="R222" s="120" t="str">
        <x:v>Prioritize distinctive mechanics, transformations, adaptation operations, and setting innovations rather than complete class repetition.</x:v>
      </x:c>
      <x:c r="S222" s="120" t="str">
        <x:v>Heuristic baseline — editorial review required</x:v>
      </x:c>
      <x:c r="T222" s="120" t="str">
        <x:v>https://worldofwarcraft.blizzard.com/game/races</x:v>
      </x:c>
      <x:c r="U222" s="121" t="n">
        <x:v>46236</x:v>
      </x:c>
    </x:row>
    <x:row r="223" ht="46" customHeight="1">
      <x:c r="A223" s="119" t="n">
        <x:v>217</x:v>
      </x:c>
      <x:c r="B223" s="119" t="str">
        <x:v>SRC-259</x:v>
      </x:c>
      <x:c r="C223" s="120" t="str">
        <x:v>Adventure Time</x:v>
      </x:c>
      <x:c r="D223" s="120" t="str">
        <x:v>Animated Television</x:v>
      </x:c>
      <x:c r="E223" s="120" t="str">
        <x:v>United States</x:v>
      </x:c>
      <x:c r="F223" s="119" t="n">
        <x:f>COUNTIF('Seed Catalogue'!$C$2:$C$452,B223)</x:f>
        <x:v>0</x:v>
      </x:c>
      <x:c r="G223" s="122" t="n">
        <x:v>3</x:v>
      </x:c>
      <x:c r="H223" s="122" t="n">
        <x:v>3</x:v>
      </x:c>
      <x:c r="I223" s="122" t="n">
        <x:v>2</x:v>
      </x:c>
      <x:c r="J223" s="122" t="n">
        <x:v>4</x:v>
      </x:c>
      <x:c r="K223" s="122" t="n">
        <x:v>3</x:v>
      </x:c>
      <x:c r="L223" s="122" t="n">
        <x:v>5</x:v>
      </x:c>
      <x:c r="M223" s="122" t="n">
        <x:v>4</x:v>
      </x:c>
      <x:c r="N223" s="122" t="n">
        <x:v>3</x:v>
      </x:c>
      <x:c r="O223" s="123" t="n">
        <x:f>ROUND(G223/5*$X$2+H223/5*$X$3+I223/5*$X$4+J223/5*$X$5+K223/5*$X$6+L223/5*$X$7+M223/5*$X$8-N223/5*$X$9,1)</x:f>
        <x:v>54</x:v>
      </x:c>
      <x:c r="P223" s="119" t="str">
        <x:f>IF(O223&gt;=$X$12,"Foundational deep pass",IF(O223&gt;=$X$13,"Major deep pass",IF(O223&gt;=$X$14,"Targeted innovation pass",IF(O223&gt;=$X$15,"Sampling pass","Reference / defer"))))</x:f>
        <x:v>Targeted innovation pass</x:v>
      </x:c>
      <x:c r="Q223" s="120" t="str">
        <x:v>Screen-media baseline</x:v>
      </x:c>
      <x:c r="R223" s="120" t="str">
        <x:v>Best value lies in adaptation divergence, iconography, and screen-first worldbuilding.</x:v>
      </x:c>
      <x:c r="S223" s="120" t="str">
        <x:v>Heuristic baseline — editorial review required</x:v>
      </x:c>
      <x:c r="T223" s="120" t="str">
        <x:v>https://en.wikipedia.org/wiki/Adventure_Time</x:v>
      </x:c>
      <x:c r="U223" s="121" t="n">
        <x:v>46236</x:v>
      </x:c>
    </x:row>
    <x:row r="224" ht="46" customHeight="1">
      <x:c r="A224" s="119" t="n">
        <x:v>218</x:v>
      </x:c>
      <x:c r="B224" s="119" t="str">
        <x:v>SRC-270</x:v>
      </x:c>
      <x:c r="C224" s="120" t="str">
        <x:v>Carnival Row</x:v>
      </x:c>
      <x:c r="D224" s="120" t="str">
        <x:v>Television</x:v>
      </x:c>
      <x:c r="E224" s="120" t="str">
        <x:v>United States</x:v>
      </x:c>
      <x:c r="F224" s="119" t="n">
        <x:f>COUNTIF('Seed Catalogue'!$C$2:$C$452,B224)</x:f>
        <x:v>0</x:v>
      </x:c>
      <x:c r="G224" s="122" t="n">
        <x:v>3</x:v>
      </x:c>
      <x:c r="H224" s="122" t="n">
        <x:v>3</x:v>
      </x:c>
      <x:c r="I224" s="122" t="n">
        <x:v>2</x:v>
      </x:c>
      <x:c r="J224" s="122" t="n">
        <x:v>4</x:v>
      </x:c>
      <x:c r="K224" s="122" t="n">
        <x:v>3</x:v>
      </x:c>
      <x:c r="L224" s="122" t="n">
        <x:v>5</x:v>
      </x:c>
      <x:c r="M224" s="122" t="n">
        <x:v>4</x:v>
      </x:c>
      <x:c r="N224" s="122" t="n">
        <x:v>3</x:v>
      </x:c>
      <x:c r="O224" s="123" t="n">
        <x:f>ROUND(G224/5*$X$2+H224/5*$X$3+I224/5*$X$4+J224/5*$X$5+K224/5*$X$6+L224/5*$X$7+M224/5*$X$8-N224/5*$X$9,1)</x:f>
        <x:v>54</x:v>
      </x:c>
      <x:c r="P224" s="119" t="str">
        <x:f>IF(O224&gt;=$X$12,"Foundational deep pass",IF(O224&gt;=$X$13,"Major deep pass",IF(O224&gt;=$X$14,"Targeted innovation pass",IF(O224&gt;=$X$15,"Sampling pass","Reference / defer"))))</x:f>
        <x:v>Targeted innovation pass</x:v>
      </x:c>
      <x:c r="Q224" s="120" t="str">
        <x:v>Screen-media baseline</x:v>
      </x:c>
      <x:c r="R224" s="120" t="str">
        <x:v>Best value lies in adaptation divergence, iconography, and screen-first worldbuilding.</x:v>
      </x:c>
      <x:c r="S224" s="120" t="str">
        <x:v>Heuristic baseline — editorial review required</x:v>
      </x:c>
      <x:c r="T224" s="120" t="str">
        <x:v>https://en.wikipedia.org/wiki/Carnival_Row</x:v>
      </x:c>
      <x:c r="U224" s="121" t="n">
        <x:v>46236</x:v>
      </x:c>
    </x:row>
    <x:row r="225" ht="46" customHeight="1">
      <x:c r="A225" s="119" t="n">
        <x:v>219</x:v>
      </x:c>
      <x:c r="B225" s="119" t="str">
        <x:v>SRC-262</x:v>
      </x:c>
      <x:c r="C225" s="120" t="str">
        <x:v>Castlevania Animated Universe</x:v>
      </x:c>
      <x:c r="D225" s="120" t="str">
        <x:v>Animated Television</x:v>
      </x:c>
      <x:c r="E225" s="120" t="str">
        <x:v>United States / Japan source</x:v>
      </x:c>
      <x:c r="F225" s="119" t="n">
        <x:f>COUNTIF('Seed Catalogue'!$C$2:$C$452,B225)</x:f>
        <x:v>0</x:v>
      </x:c>
      <x:c r="G225" s="122" t="n">
        <x:v>3</x:v>
      </x:c>
      <x:c r="H225" s="122" t="n">
        <x:v>3</x:v>
      </x:c>
      <x:c r="I225" s="122" t="n">
        <x:v>2</x:v>
      </x:c>
      <x:c r="J225" s="122" t="n">
        <x:v>4</x:v>
      </x:c>
      <x:c r="K225" s="122" t="n">
        <x:v>3</x:v>
      </x:c>
      <x:c r="L225" s="122" t="n">
        <x:v>5</x:v>
      </x:c>
      <x:c r="M225" s="122" t="n">
        <x:v>4</x:v>
      </x:c>
      <x:c r="N225" s="122" t="n">
        <x:v>3</x:v>
      </x:c>
      <x:c r="O225" s="123" t="n">
        <x:f>ROUND(G225/5*$X$2+H225/5*$X$3+I225/5*$X$4+J225/5*$X$5+K225/5*$X$6+L225/5*$X$7+M225/5*$X$8-N225/5*$X$9,1)</x:f>
        <x:v>54</x:v>
      </x:c>
      <x:c r="P225" s="119" t="str">
        <x:f>IF(O225&gt;=$X$12,"Foundational deep pass",IF(O225&gt;=$X$13,"Major deep pass",IF(O225&gt;=$X$14,"Targeted innovation pass",IF(O225&gt;=$X$15,"Sampling pass","Reference / defer"))))</x:f>
        <x:v>Targeted innovation pass</x:v>
      </x:c>
      <x:c r="Q225" s="120" t="str">
        <x:v>Screen-media baseline</x:v>
      </x:c>
      <x:c r="R225" s="120" t="str">
        <x:v>Best value lies in adaptation divergence, iconography, and screen-first worldbuilding.</x:v>
      </x:c>
      <x:c r="S225" s="120" t="str">
        <x:v>Heuristic baseline — editorial review required</x:v>
      </x:c>
      <x:c r="T225" s="120" t="str">
        <x:v>https://en.wikipedia.org/wiki/Castlevania_Animated_Universe</x:v>
      </x:c>
      <x:c r="U225" s="121" t="n">
        <x:v>46236</x:v>
      </x:c>
    </x:row>
    <x:row r="226" ht="46" customHeight="1">
      <x:c r="A226" s="119" t="n">
        <x:v>220</x:v>
      </x:c>
      <x:c r="B226" s="119" t="str">
        <x:v>SRC-018</x:v>
      </x:c>
      <x:c r="C226" s="120" t="str">
        <x:v>Chinese Xianxia and Cultivation Tradition</x:v>
      </x:c>
      <x:c r="D226" s="120" t="str">
        <x:v>Literary / Media Tradition</x:v>
      </x:c>
      <x:c r="E226" s="120" t="str">
        <x:v>China</x:v>
      </x:c>
      <x:c r="F226" s="119" t="n">
        <x:f>COUNTIF('Seed Catalogue'!$C$2:$C$452,B226)</x:f>
        <x:v>0</x:v>
      </x:c>
      <x:c r="G226" s="122" t="n">
        <x:v>3</x:v>
      </x:c>
      <x:c r="H226" s="122" t="n">
        <x:v>3</x:v>
      </x:c>
      <x:c r="I226" s="122" t="n">
        <x:v>3</x:v>
      </x:c>
      <x:c r="J226" s="122" t="n">
        <x:v>5</x:v>
      </x:c>
      <x:c r="K226" s="122" t="n">
        <x:v>3</x:v>
      </x:c>
      <x:c r="L226" s="122" t="n">
        <x:v>3</x:v>
      </x:c>
      <x:c r="M226" s="122" t="n">
        <x:v>3</x:v>
      </x:c>
      <x:c r="N226" s="122" t="n">
        <x:v>3</x:v>
      </x:c>
      <x:c r="O226" s="123" t="n">
        <x:f>ROUND(G226/5*$X$2+H226/5*$X$3+I226/5*$X$4+J226/5*$X$5+K226/5*$X$6+L226/5*$X$7+M226/5*$X$8-N226/5*$X$9,1)</x:f>
        <x:v>54</x:v>
      </x:c>
      <x:c r="P226" s="119" t="str">
        <x:f>IF(O226&gt;=$X$12,"Foundational deep pass",IF(O226&gt;=$X$13,"Major deep pass",IF(O226&gt;=$X$14,"Targeted innovation pass",IF(O226&gt;=$X$15,"Sampling pass","Reference / defer"))))</x:f>
        <x:v>Targeted innovation pass</x:v>
      </x:c>
      <x:c r="Q226" s="120" t="str">
        <x:v>General baseline</x:v>
      </x:c>
      <x:c r="R226" s="120" t="str">
        <x:v>Editorial review required to determine marginal archetype value.</x:v>
      </x:c>
      <x:c r="S226" s="120" t="str">
        <x:v>Heuristic baseline — editorial review required</x:v>
      </x:c>
      <x:c r="T226" s="120" t="str">
        <x:v>https://en.wikipedia.org/wiki/Chinese_Xianxia_and_Cultivation_Tradition</x:v>
      </x:c>
      <x:c r="U226" s="121" t="n">
        <x:v>46236</x:v>
      </x:c>
    </x:row>
    <x:row r="227" ht="46" customHeight="1">
      <x:c r="A227" s="119" t="n">
        <x:v>221</x:v>
      </x:c>
      <x:c r="B227" s="119" t="str">
        <x:v>SRC-253</x:v>
      </x:c>
      <x:c r="C227" s="120" t="str">
        <x:v>Conan the Barbarian Films</x:v>
      </x:c>
      <x:c r="D227" s="120" t="str">
        <x:v>Film</x:v>
      </x:c>
      <x:c r="E227" s="120" t="str">
        <x:v>United States</x:v>
      </x:c>
      <x:c r="F227" s="119" t="n">
        <x:f>COUNTIF('Seed Catalogue'!$C$2:$C$452,B227)</x:f>
        <x:v>0</x:v>
      </x:c>
      <x:c r="G227" s="122" t="n">
        <x:v>3</x:v>
      </x:c>
      <x:c r="H227" s="122" t="n">
        <x:v>3</x:v>
      </x:c>
      <x:c r="I227" s="122" t="n">
        <x:v>2</x:v>
      </x:c>
      <x:c r="J227" s="122" t="n">
        <x:v>4</x:v>
      </x:c>
      <x:c r="K227" s="122" t="n">
        <x:v>3</x:v>
      </x:c>
      <x:c r="L227" s="122" t="n">
        <x:v>5</x:v>
      </x:c>
      <x:c r="M227" s="122" t="n">
        <x:v>4</x:v>
      </x:c>
      <x:c r="N227" s="122" t="n">
        <x:v>3</x:v>
      </x:c>
      <x:c r="O227" s="123" t="n">
        <x:f>ROUND(G227/5*$X$2+H227/5*$X$3+I227/5*$X$4+J227/5*$X$5+K227/5*$X$6+L227/5*$X$7+M227/5*$X$8-N227/5*$X$9,1)</x:f>
        <x:v>54</x:v>
      </x:c>
      <x:c r="P227" s="119" t="str">
        <x:f>IF(O227&gt;=$X$12,"Foundational deep pass",IF(O227&gt;=$X$13,"Major deep pass",IF(O227&gt;=$X$14,"Targeted innovation pass",IF(O227&gt;=$X$15,"Sampling pass","Reference / defer"))))</x:f>
        <x:v>Targeted innovation pass</x:v>
      </x:c>
      <x:c r="Q227" s="120" t="str">
        <x:v>Screen-media baseline</x:v>
      </x:c>
      <x:c r="R227" s="120" t="str">
        <x:v>Best value lies in adaptation divergence, iconography, and screen-first worldbuilding.</x:v>
      </x:c>
      <x:c r="S227" s="120" t="str">
        <x:v>Heuristic baseline — editorial review required</x:v>
      </x:c>
      <x:c r="T227" s="120" t="str">
        <x:v>https://en.wikipedia.org/wiki/Conan_the_Barbarian_Films</x:v>
      </x:c>
      <x:c r="U227" s="121" t="n">
        <x:v>46236</x:v>
      </x:c>
    </x:row>
    <x:row r="228" ht="46" customHeight="1">
      <x:c r="A228" s="119" t="n">
        <x:v>222</x:v>
      </x:c>
      <x:c r="B228" s="119" t="str">
        <x:v>SRC-255</x:v>
      </x:c>
      <x:c r="C228" s="120" t="str">
        <x:v>Dragonheart</x:v>
      </x:c>
      <x:c r="D228" s="120" t="str">
        <x:v>Film Franchise</x:v>
      </x:c>
      <x:c r="E228" s="120" t="str">
        <x:v>United States</x:v>
      </x:c>
      <x:c r="F228" s="119" t="n">
        <x:f>COUNTIF('Seed Catalogue'!$C$2:$C$452,B228)</x:f>
        <x:v>0</x:v>
      </x:c>
      <x:c r="G228" s="122" t="n">
        <x:v>3</x:v>
      </x:c>
      <x:c r="H228" s="122" t="n">
        <x:v>3</x:v>
      </x:c>
      <x:c r="I228" s="122" t="n">
        <x:v>2</x:v>
      </x:c>
      <x:c r="J228" s="122" t="n">
        <x:v>4</x:v>
      </x:c>
      <x:c r="K228" s="122" t="n">
        <x:v>3</x:v>
      </x:c>
      <x:c r="L228" s="122" t="n">
        <x:v>5</x:v>
      </x:c>
      <x:c r="M228" s="122" t="n">
        <x:v>4</x:v>
      </x:c>
      <x:c r="N228" s="122" t="n">
        <x:v>3</x:v>
      </x:c>
      <x:c r="O228" s="123" t="n">
        <x:f>ROUND(G228/5*$X$2+H228/5*$X$3+I228/5*$X$4+J228/5*$X$5+K228/5*$X$6+L228/5*$X$7+M228/5*$X$8-N228/5*$X$9,1)</x:f>
        <x:v>54</x:v>
      </x:c>
      <x:c r="P228" s="119" t="str">
        <x:f>IF(O228&gt;=$X$12,"Foundational deep pass",IF(O228&gt;=$X$13,"Major deep pass",IF(O228&gt;=$X$14,"Targeted innovation pass",IF(O228&gt;=$X$15,"Sampling pass","Reference / defer"))))</x:f>
        <x:v>Targeted innovation pass</x:v>
      </x:c>
      <x:c r="Q228" s="120" t="str">
        <x:v>Screen-media baseline</x:v>
      </x:c>
      <x:c r="R228" s="120" t="str">
        <x:v>Best value lies in adaptation divergence, iconography, and screen-first worldbuilding.</x:v>
      </x:c>
      <x:c r="S228" s="120" t="str">
        <x:v>Heuristic baseline — editorial review required</x:v>
      </x:c>
      <x:c r="T228" s="120" t="str">
        <x:v>https://en.wikipedia.org/wiki/Dragonheart</x:v>
      </x:c>
      <x:c r="U228" s="121" t="n">
        <x:v>46236</x:v>
      </x:c>
    </x:row>
    <x:row r="229" ht="46" customHeight="1">
      <x:c r="A229" s="119" t="n">
        <x:v>223</x:v>
      </x:c>
      <x:c r="B229" s="119" t="str">
        <x:v>SRC-272</x:v>
      </x:c>
      <x:c r="C229" s="120" t="str">
        <x:v>Dungeons &amp; Dragons: Honor Among Thieves</x:v>
      </x:c>
      <x:c r="D229" s="120" t="str">
        <x:v>Film</x:v>
      </x:c>
      <x:c r="E229" s="120" t="str">
        <x:v>United States</x:v>
      </x:c>
      <x:c r="F229" s="119" t="n">
        <x:f>COUNTIF('Seed Catalogue'!$C$2:$C$452,B229)</x:f>
        <x:v>0</x:v>
      </x:c>
      <x:c r="G229" s="122" t="n">
        <x:v>3</x:v>
      </x:c>
      <x:c r="H229" s="122" t="n">
        <x:v>3</x:v>
      </x:c>
      <x:c r="I229" s="122" t="n">
        <x:v>2</x:v>
      </x:c>
      <x:c r="J229" s="122" t="n">
        <x:v>4</x:v>
      </x:c>
      <x:c r="K229" s="122" t="n">
        <x:v>3</x:v>
      </x:c>
      <x:c r="L229" s="122" t="n">
        <x:v>5</x:v>
      </x:c>
      <x:c r="M229" s="122" t="n">
        <x:v>4</x:v>
      </x:c>
      <x:c r="N229" s="122" t="n">
        <x:v>3</x:v>
      </x:c>
      <x:c r="O229" s="123" t="n">
        <x:f>ROUND(G229/5*$X$2+H229/5*$X$3+I229/5*$X$4+J229/5*$X$5+K229/5*$X$6+L229/5*$X$7+M229/5*$X$8-N229/5*$X$9,1)</x:f>
        <x:v>54</x:v>
      </x:c>
      <x:c r="P229" s="119" t="str">
        <x:f>IF(O229&gt;=$X$12,"Foundational deep pass",IF(O229&gt;=$X$13,"Major deep pass",IF(O229&gt;=$X$14,"Targeted innovation pass",IF(O229&gt;=$X$15,"Sampling pass","Reference / defer"))))</x:f>
        <x:v>Targeted innovation pass</x:v>
      </x:c>
      <x:c r="Q229" s="120" t="str">
        <x:v>Screen-media baseline</x:v>
      </x:c>
      <x:c r="R229" s="120" t="str">
        <x:v>Best value lies in adaptation divergence, iconography, and screen-first worldbuilding.</x:v>
      </x:c>
      <x:c r="S229" s="120" t="str">
        <x:v>Heuristic baseline — editorial review required</x:v>
      </x:c>
      <x:c r="T229" s="120" t="str">
        <x:v>https://en.wikipedia.org/wiki/Dungeons_%26_Dragons:_Honor_Among_Thieves</x:v>
      </x:c>
      <x:c r="U229" s="121" t="n">
        <x:v>46236</x:v>
      </x:c>
    </x:row>
    <x:row r="230" ht="46" customHeight="1">
      <x:c r="A230" s="119" t="n">
        <x:v>224</x:v>
      </x:c>
      <x:c r="B230" s="119" t="str">
        <x:v>SRC-254</x:v>
      </x:c>
      <x:c r="C230" s="120" t="str">
        <x:v>Excalibur</x:v>
      </x:c>
      <x:c r="D230" s="120" t="str">
        <x:v>Film</x:v>
      </x:c>
      <x:c r="E230" s="120" t="str">
        <x:v>Britain / United States</x:v>
      </x:c>
      <x:c r="F230" s="119" t="n">
        <x:f>COUNTIF('Seed Catalogue'!$C$2:$C$452,B230)</x:f>
        <x:v>0</x:v>
      </x:c>
      <x:c r="G230" s="122" t="n">
        <x:v>3</x:v>
      </x:c>
      <x:c r="H230" s="122" t="n">
        <x:v>3</x:v>
      </x:c>
      <x:c r="I230" s="122" t="n">
        <x:v>2</x:v>
      </x:c>
      <x:c r="J230" s="122" t="n">
        <x:v>4</x:v>
      </x:c>
      <x:c r="K230" s="122" t="n">
        <x:v>3</x:v>
      </x:c>
      <x:c r="L230" s="122" t="n">
        <x:v>5</x:v>
      </x:c>
      <x:c r="M230" s="122" t="n">
        <x:v>4</x:v>
      </x:c>
      <x:c r="N230" s="122" t="n">
        <x:v>3</x:v>
      </x:c>
      <x:c r="O230" s="123" t="n">
        <x:f>ROUND(G230/5*$X$2+H230/5*$X$3+I230/5*$X$4+J230/5*$X$5+K230/5*$X$6+L230/5*$X$7+M230/5*$X$8-N230/5*$X$9,1)</x:f>
        <x:v>54</x:v>
      </x:c>
      <x:c r="P230" s="119" t="str">
        <x:f>IF(O230&gt;=$X$12,"Foundational deep pass",IF(O230&gt;=$X$13,"Major deep pass",IF(O230&gt;=$X$14,"Targeted innovation pass",IF(O230&gt;=$X$15,"Sampling pass","Reference / defer"))))</x:f>
        <x:v>Targeted innovation pass</x:v>
      </x:c>
      <x:c r="Q230" s="120" t="str">
        <x:v>Screen-media baseline</x:v>
      </x:c>
      <x:c r="R230" s="120" t="str">
        <x:v>Best value lies in adaptation divergence, iconography, and screen-first worldbuilding.</x:v>
      </x:c>
      <x:c r="S230" s="120" t="str">
        <x:v>Heuristic baseline — editorial review required</x:v>
      </x:c>
      <x:c r="T230" s="120" t="str">
        <x:v>https://en.wikipedia.org/wiki/Excalibur</x:v>
      </x:c>
      <x:c r="U230" s="121" t="n">
        <x:v>46236</x:v>
      </x:c>
    </x:row>
    <x:row r="231" ht="46" customHeight="1">
      <x:c r="A231" s="119" t="n">
        <x:v>225</x:v>
      </x:c>
      <x:c r="B231" s="119" t="str">
        <x:v>SRC-265</x:v>
      </x:c>
      <x:c r="C231" s="120" t="str">
        <x:v>House of the Dragon</x:v>
      </x:c>
      <x:c r="D231" s="120" t="str">
        <x:v>Television</x:v>
      </x:c>
      <x:c r="E231" s="120" t="str">
        <x:v>United States</x:v>
      </x:c>
      <x:c r="F231" s="119" t="n">
        <x:f>COUNTIF('Seed Catalogue'!$C$2:$C$452,B231)</x:f>
        <x:v>0</x:v>
      </x:c>
      <x:c r="G231" s="122" t="n">
        <x:v>3</x:v>
      </x:c>
      <x:c r="H231" s="122" t="n">
        <x:v>3</x:v>
      </x:c>
      <x:c r="I231" s="122" t="n">
        <x:v>2</x:v>
      </x:c>
      <x:c r="J231" s="122" t="n">
        <x:v>4</x:v>
      </x:c>
      <x:c r="K231" s="122" t="n">
        <x:v>3</x:v>
      </x:c>
      <x:c r="L231" s="122" t="n">
        <x:v>5</x:v>
      </x:c>
      <x:c r="M231" s="122" t="n">
        <x:v>4</x:v>
      </x:c>
      <x:c r="N231" s="122" t="n">
        <x:v>3</x:v>
      </x:c>
      <x:c r="O231" s="123" t="n">
        <x:f>ROUND(G231/5*$X$2+H231/5*$X$3+I231/5*$X$4+J231/5*$X$5+K231/5*$X$6+L231/5*$X$7+M231/5*$X$8-N231/5*$X$9,1)</x:f>
        <x:v>54</x:v>
      </x:c>
      <x:c r="P231" s="119" t="str">
        <x:f>IF(O231&gt;=$X$12,"Foundational deep pass",IF(O231&gt;=$X$13,"Major deep pass",IF(O231&gt;=$X$14,"Targeted innovation pass",IF(O231&gt;=$X$15,"Sampling pass","Reference / defer"))))</x:f>
        <x:v>Targeted innovation pass</x:v>
      </x:c>
      <x:c r="Q231" s="120" t="str">
        <x:v>Screen-media baseline</x:v>
      </x:c>
      <x:c r="R231" s="120" t="str">
        <x:v>Best value lies in adaptation divergence, iconography, and screen-first worldbuilding.</x:v>
      </x:c>
      <x:c r="S231" s="120" t="str">
        <x:v>Heuristic baseline — editorial review required</x:v>
      </x:c>
      <x:c r="T231" s="120" t="str">
        <x:v>https://en.wikipedia.org/wiki/House_of_the_Dragon</x:v>
      </x:c>
      <x:c r="U231" s="121" t="n">
        <x:v>46236</x:v>
      </x:c>
    </x:row>
    <x:row r="232" ht="46" customHeight="1">
      <x:c r="A232" s="119" t="n">
        <x:v>226</x:v>
      </x:c>
      <x:c r="B232" s="119" t="str">
        <x:v>SRC-248</x:v>
      </x:c>
      <x:c r="C232" s="120" t="str">
        <x:v>Labyrinth</x:v>
      </x:c>
      <x:c r="D232" s="120" t="str">
        <x:v>Film</x:v>
      </x:c>
      <x:c r="E232" s="120" t="str">
        <x:v>Britain / United States</x:v>
      </x:c>
      <x:c r="F232" s="119" t="n">
        <x:f>COUNTIF('Seed Catalogue'!$C$2:$C$452,B232)</x:f>
        <x:v>0</x:v>
      </x:c>
      <x:c r="G232" s="122" t="n">
        <x:v>3</x:v>
      </x:c>
      <x:c r="H232" s="122" t="n">
        <x:v>3</x:v>
      </x:c>
      <x:c r="I232" s="122" t="n">
        <x:v>2</x:v>
      </x:c>
      <x:c r="J232" s="122" t="n">
        <x:v>4</x:v>
      </x:c>
      <x:c r="K232" s="122" t="n">
        <x:v>3</x:v>
      </x:c>
      <x:c r="L232" s="122" t="n">
        <x:v>5</x:v>
      </x:c>
      <x:c r="M232" s="122" t="n">
        <x:v>4</x:v>
      </x:c>
      <x:c r="N232" s="122" t="n">
        <x:v>3</x:v>
      </x:c>
      <x:c r="O232" s="123" t="n">
        <x:f>ROUND(G232/5*$X$2+H232/5*$X$3+I232/5*$X$4+J232/5*$X$5+K232/5*$X$6+L232/5*$X$7+M232/5*$X$8-N232/5*$X$9,1)</x:f>
        <x:v>54</x:v>
      </x:c>
      <x:c r="P232" s="119" t="str">
        <x:f>IF(O232&gt;=$X$12,"Foundational deep pass",IF(O232&gt;=$X$13,"Major deep pass",IF(O232&gt;=$X$14,"Targeted innovation pass",IF(O232&gt;=$X$15,"Sampling pass","Reference / defer"))))</x:f>
        <x:v>Targeted innovation pass</x:v>
      </x:c>
      <x:c r="Q232" s="120" t="str">
        <x:v>Screen-media baseline</x:v>
      </x:c>
      <x:c r="R232" s="120" t="str">
        <x:v>Best value lies in adaptation divergence, iconography, and screen-first worldbuilding.</x:v>
      </x:c>
      <x:c r="S232" s="120" t="str">
        <x:v>Heuristic baseline — editorial review required</x:v>
      </x:c>
      <x:c r="T232" s="120" t="str">
        <x:v>https://en.wikipedia.org/wiki/Labyrinth</x:v>
      </x:c>
      <x:c r="U232" s="121" t="n">
        <x:v>46236</x:v>
      </x:c>
    </x:row>
    <x:row r="233" ht="46" customHeight="1">
      <x:c r="A233" s="119" t="n">
        <x:v>227</x:v>
      </x:c>
      <x:c r="B233" s="119" t="str">
        <x:v>SRC-250</x:v>
      </x:c>
      <x:c r="C233" s="120" t="str">
        <x:v>Legend</x:v>
      </x:c>
      <x:c r="D233" s="120" t="str">
        <x:v>Film</x:v>
      </x:c>
      <x:c r="E233" s="120" t="str">
        <x:v>Britain / United States</x:v>
      </x:c>
      <x:c r="F233" s="119" t="n">
        <x:f>COUNTIF('Seed Catalogue'!$C$2:$C$452,B233)</x:f>
        <x:v>0</x:v>
      </x:c>
      <x:c r="G233" s="122" t="n">
        <x:v>3</x:v>
      </x:c>
      <x:c r="H233" s="122" t="n">
        <x:v>3</x:v>
      </x:c>
      <x:c r="I233" s="122" t="n">
        <x:v>2</x:v>
      </x:c>
      <x:c r="J233" s="122" t="n">
        <x:v>4</x:v>
      </x:c>
      <x:c r="K233" s="122" t="n">
        <x:v>3</x:v>
      </x:c>
      <x:c r="L233" s="122" t="n">
        <x:v>5</x:v>
      </x:c>
      <x:c r="M233" s="122" t="n">
        <x:v>4</x:v>
      </x:c>
      <x:c r="N233" s="122" t="n">
        <x:v>3</x:v>
      </x:c>
      <x:c r="O233" s="123" t="n">
        <x:f>ROUND(G233/5*$X$2+H233/5*$X$3+I233/5*$X$4+J233/5*$X$5+K233/5*$X$6+L233/5*$X$7+M233/5*$X$8-N233/5*$X$9,1)</x:f>
        <x:v>54</x:v>
      </x:c>
      <x:c r="P233" s="119" t="str">
        <x:f>IF(O233&gt;=$X$12,"Foundational deep pass",IF(O233&gt;=$X$13,"Major deep pass",IF(O233&gt;=$X$14,"Targeted innovation pass",IF(O233&gt;=$X$15,"Sampling pass","Reference / defer"))))</x:f>
        <x:v>Targeted innovation pass</x:v>
      </x:c>
      <x:c r="Q233" s="120" t="str">
        <x:v>Screen-media baseline</x:v>
      </x:c>
      <x:c r="R233" s="120" t="str">
        <x:v>Best value lies in adaptation divergence, iconography, and screen-first worldbuilding.</x:v>
      </x:c>
      <x:c r="S233" s="120" t="str">
        <x:v>Heuristic baseline — editorial review required</x:v>
      </x:c>
      <x:c r="T233" s="120" t="str">
        <x:v>https://en.wikipedia.org/wiki/Legend</x:v>
      </x:c>
      <x:c r="U233" s="121" t="n">
        <x:v>46236</x:v>
      </x:c>
    </x:row>
    <x:row r="234" ht="46" customHeight="1">
      <x:c r="A234" s="119" t="n">
        <x:v>228</x:v>
      </x:c>
      <x:c r="B234" s="119" t="str">
        <x:v>SRC-261</x:v>
      </x:c>
      <x:c r="C234" s="120" t="str">
        <x:v>She-Ra and the Princesses of Power</x:v>
      </x:c>
      <x:c r="D234" s="120" t="str">
        <x:v>Animated Television</x:v>
      </x:c>
      <x:c r="E234" s="120" t="str">
        <x:v>United States</x:v>
      </x:c>
      <x:c r="F234" s="119" t="n">
        <x:f>COUNTIF('Seed Catalogue'!$C$2:$C$452,B234)</x:f>
        <x:v>0</x:v>
      </x:c>
      <x:c r="G234" s="122" t="n">
        <x:v>3</x:v>
      </x:c>
      <x:c r="H234" s="122" t="n">
        <x:v>3</x:v>
      </x:c>
      <x:c r="I234" s="122" t="n">
        <x:v>2</x:v>
      </x:c>
      <x:c r="J234" s="122" t="n">
        <x:v>4</x:v>
      </x:c>
      <x:c r="K234" s="122" t="n">
        <x:v>3</x:v>
      </x:c>
      <x:c r="L234" s="122" t="n">
        <x:v>5</x:v>
      </x:c>
      <x:c r="M234" s="122" t="n">
        <x:v>4</x:v>
      </x:c>
      <x:c r="N234" s="122" t="n">
        <x:v>3</x:v>
      </x:c>
      <x:c r="O234" s="123" t="n">
        <x:f>ROUND(G234/5*$X$2+H234/5*$X$3+I234/5*$X$4+J234/5*$X$5+K234/5*$X$6+L234/5*$X$7+M234/5*$X$8-N234/5*$X$9,1)</x:f>
        <x:v>54</x:v>
      </x:c>
      <x:c r="P234" s="119" t="str">
        <x:f>IF(O234&gt;=$X$12,"Foundational deep pass",IF(O234&gt;=$X$13,"Major deep pass",IF(O234&gt;=$X$14,"Targeted innovation pass",IF(O234&gt;=$X$15,"Sampling pass","Reference / defer"))))</x:f>
        <x:v>Targeted innovation pass</x:v>
      </x:c>
      <x:c r="Q234" s="120" t="str">
        <x:v>Screen-media baseline</x:v>
      </x:c>
      <x:c r="R234" s="120" t="str">
        <x:v>Best value lies in adaptation divergence, iconography, and screen-first worldbuilding.</x:v>
      </x:c>
      <x:c r="S234" s="120" t="str">
        <x:v>Heuristic baseline — editorial review required</x:v>
      </x:c>
      <x:c r="T234" s="120" t="str">
        <x:v>https://en.wikipedia.org/wiki/She-Ra_and_the_Princesses_of_Power</x:v>
      </x:c>
      <x:c r="U234" s="121" t="n">
        <x:v>46236</x:v>
      </x:c>
    </x:row>
    <x:row r="235" ht="46" customHeight="1">
      <x:c r="A235" s="119" t="n">
        <x:v>229</x:v>
      </x:c>
      <x:c r="B235" s="119" t="str">
        <x:v>SRC-242</x:v>
      </x:c>
      <x:c r="C235" s="120" t="str">
        <x:v>The Legend of Hei</x:v>
      </x:c>
      <x:c r="D235" s="120" t="str">
        <x:v>Animated Film / Web Animation</x:v>
      </x:c>
      <x:c r="E235" s="120" t="str">
        <x:v>China</x:v>
      </x:c>
      <x:c r="F235" s="119" t="n">
        <x:f>COUNTIF('Seed Catalogue'!$C$2:$C$452,B235)</x:f>
        <x:v>0</x:v>
      </x:c>
      <x:c r="G235" s="122" t="n">
        <x:v>3</x:v>
      </x:c>
      <x:c r="H235" s="122" t="n">
        <x:v>3</x:v>
      </x:c>
      <x:c r="I235" s="122" t="n">
        <x:v>2</x:v>
      </x:c>
      <x:c r="J235" s="122" t="n">
        <x:v>4</x:v>
      </x:c>
      <x:c r="K235" s="122" t="n">
        <x:v>3</x:v>
      </x:c>
      <x:c r="L235" s="122" t="n">
        <x:v>5</x:v>
      </x:c>
      <x:c r="M235" s="122" t="n">
        <x:v>4</x:v>
      </x:c>
      <x:c r="N235" s="122" t="n">
        <x:v>3</x:v>
      </x:c>
      <x:c r="O235" s="123" t="n">
        <x:f>ROUND(G235/5*$X$2+H235/5*$X$3+I235/5*$X$4+J235/5*$X$5+K235/5*$X$6+L235/5*$X$7+M235/5*$X$8-N235/5*$X$9,1)</x:f>
        <x:v>54</x:v>
      </x:c>
      <x:c r="P235" s="119" t="str">
        <x:f>IF(O235&gt;=$X$12,"Foundational deep pass",IF(O235&gt;=$X$13,"Major deep pass",IF(O235&gt;=$X$14,"Targeted innovation pass",IF(O235&gt;=$X$15,"Sampling pass","Reference / defer"))))</x:f>
        <x:v>Targeted innovation pass</x:v>
      </x:c>
      <x:c r="Q235" s="120" t="str">
        <x:v>Screen-media baseline</x:v>
      </x:c>
      <x:c r="R235" s="120" t="str">
        <x:v>Best value lies in adaptation divergence, iconography, and screen-first worldbuilding.</x:v>
      </x:c>
      <x:c r="S235" s="120" t="str">
        <x:v>Heuristic baseline — editorial review required</x:v>
      </x:c>
      <x:c r="T235" s="120" t="str">
        <x:v>https://en.wikipedia.org/wiki/The_Legend_of_Hei</x:v>
      </x:c>
      <x:c r="U235" s="121" t="n">
        <x:v>46236</x:v>
      </x:c>
    </x:row>
    <x:row r="236" ht="46" customHeight="1">
      <x:c r="A236" s="119" t="n">
        <x:v>230</x:v>
      </x:c>
      <x:c r="B236" s="119" t="str">
        <x:v>SRC-271</x:v>
      </x:c>
      <x:c r="C236" s="120" t="str">
        <x:v>The Legend of Vox Machina</x:v>
      </x:c>
      <x:c r="D236" s="120" t="str">
        <x:v>Animated Television</x:v>
      </x:c>
      <x:c r="E236" s="120" t="str">
        <x:v>United States</x:v>
      </x:c>
      <x:c r="F236" s="119" t="n">
        <x:f>COUNTIF('Seed Catalogue'!$C$2:$C$452,B236)</x:f>
        <x:v>0</x:v>
      </x:c>
      <x:c r="G236" s="122" t="n">
        <x:v>3</x:v>
      </x:c>
      <x:c r="H236" s="122" t="n">
        <x:v>3</x:v>
      </x:c>
      <x:c r="I236" s="122" t="n">
        <x:v>2</x:v>
      </x:c>
      <x:c r="J236" s="122" t="n">
        <x:v>4</x:v>
      </x:c>
      <x:c r="K236" s="122" t="n">
        <x:v>3</x:v>
      </x:c>
      <x:c r="L236" s="122" t="n">
        <x:v>5</x:v>
      </x:c>
      <x:c r="M236" s="122" t="n">
        <x:v>4</x:v>
      </x:c>
      <x:c r="N236" s="122" t="n">
        <x:v>3</x:v>
      </x:c>
      <x:c r="O236" s="123" t="n">
        <x:f>ROUND(G236/5*$X$2+H236/5*$X$3+I236/5*$X$4+J236/5*$X$5+K236/5*$X$6+L236/5*$X$7+M236/5*$X$8-N236/5*$X$9,1)</x:f>
        <x:v>54</x:v>
      </x:c>
      <x:c r="P236" s="119" t="str">
        <x:f>IF(O236&gt;=$X$12,"Foundational deep pass",IF(O236&gt;=$X$13,"Major deep pass",IF(O236&gt;=$X$14,"Targeted innovation pass",IF(O236&gt;=$X$15,"Sampling pass","Reference / defer"))))</x:f>
        <x:v>Targeted innovation pass</x:v>
      </x:c>
      <x:c r="Q236" s="120" t="str">
        <x:v>Screen-media baseline</x:v>
      </x:c>
      <x:c r="R236" s="120" t="str">
        <x:v>Best value lies in adaptation divergence, iconography, and screen-first worldbuilding.</x:v>
      </x:c>
      <x:c r="S236" s="120" t="str">
        <x:v>Heuristic baseline — editorial review required</x:v>
      </x:c>
      <x:c r="T236" s="120" t="str">
        <x:v>https://en.wikipedia.org/wiki/The_Legend_of_Vox_Machina</x:v>
      </x:c>
      <x:c r="U236" s="121" t="n">
        <x:v>46236</x:v>
      </x:c>
    </x:row>
    <x:row r="237" ht="46" customHeight="1">
      <x:c r="A237" s="119" t="n">
        <x:v>231</x:v>
      </x:c>
      <x:c r="B237" s="119" t="str">
        <x:v>SRC-251</x:v>
      </x:c>
      <x:c r="C237" s="120" t="str">
        <x:v>The NeverEnding Story</x:v>
      </x:c>
      <x:c r="D237" s="120" t="str">
        <x:v>Film</x:v>
      </x:c>
      <x:c r="E237" s="120" t="str">
        <x:v>Germany / United States</x:v>
      </x:c>
      <x:c r="F237" s="119" t="n">
        <x:f>COUNTIF('Seed Catalogue'!$C$2:$C$452,B237)</x:f>
        <x:v>0</x:v>
      </x:c>
      <x:c r="G237" s="122" t="n">
        <x:v>3</x:v>
      </x:c>
      <x:c r="H237" s="122" t="n">
        <x:v>3</x:v>
      </x:c>
      <x:c r="I237" s="122" t="n">
        <x:v>2</x:v>
      </x:c>
      <x:c r="J237" s="122" t="n">
        <x:v>4</x:v>
      </x:c>
      <x:c r="K237" s="122" t="n">
        <x:v>3</x:v>
      </x:c>
      <x:c r="L237" s="122" t="n">
        <x:v>5</x:v>
      </x:c>
      <x:c r="M237" s="122" t="n">
        <x:v>4</x:v>
      </x:c>
      <x:c r="N237" s="122" t="n">
        <x:v>3</x:v>
      </x:c>
      <x:c r="O237" s="123" t="n">
        <x:f>ROUND(G237/5*$X$2+H237/5*$X$3+I237/5*$X$4+J237/5*$X$5+K237/5*$X$6+L237/5*$X$7+M237/5*$X$8-N237/5*$X$9,1)</x:f>
        <x:v>54</x:v>
      </x:c>
      <x:c r="P237" s="119" t="str">
        <x:f>IF(O237&gt;=$X$12,"Foundational deep pass",IF(O237&gt;=$X$13,"Major deep pass",IF(O237&gt;=$X$14,"Targeted innovation pass",IF(O237&gt;=$X$15,"Sampling pass","Reference / defer"))))</x:f>
        <x:v>Targeted innovation pass</x:v>
      </x:c>
      <x:c r="Q237" s="120" t="str">
        <x:v>Screen-media baseline</x:v>
      </x:c>
      <x:c r="R237" s="120" t="str">
        <x:v>Best value lies in adaptation divergence, iconography, and screen-first worldbuilding.</x:v>
      </x:c>
      <x:c r="S237" s="120" t="str">
        <x:v>Heuristic baseline — editorial review required</x:v>
      </x:c>
      <x:c r="T237" s="120" t="str">
        <x:v>https://en.wikipedia.org/wiki/The_NeverEnding_Story</x:v>
      </x:c>
      <x:c r="U237" s="121" t="n">
        <x:v>46236</x:v>
      </x:c>
    </x:row>
    <x:row r="238" ht="46" customHeight="1">
      <x:c r="A238" s="119" t="n">
        <x:v>232</x:v>
      </x:c>
      <x:c r="B238" s="119" t="str">
        <x:v>SRC-260</x:v>
      </x:c>
      <x:c r="C238" s="120" t="str">
        <x:v>The Owl House</x:v>
      </x:c>
      <x:c r="D238" s="120" t="str">
        <x:v>Animated Television</x:v>
      </x:c>
      <x:c r="E238" s="120" t="str">
        <x:v>United States</x:v>
      </x:c>
      <x:c r="F238" s="119" t="n">
        <x:f>COUNTIF('Seed Catalogue'!$C$2:$C$452,B238)</x:f>
        <x:v>0</x:v>
      </x:c>
      <x:c r="G238" s="122" t="n">
        <x:v>3</x:v>
      </x:c>
      <x:c r="H238" s="122" t="n">
        <x:v>3</x:v>
      </x:c>
      <x:c r="I238" s="122" t="n">
        <x:v>2</x:v>
      </x:c>
      <x:c r="J238" s="122" t="n">
        <x:v>4</x:v>
      </x:c>
      <x:c r="K238" s="122" t="n">
        <x:v>3</x:v>
      </x:c>
      <x:c r="L238" s="122" t="n">
        <x:v>5</x:v>
      </x:c>
      <x:c r="M238" s="122" t="n">
        <x:v>4</x:v>
      </x:c>
      <x:c r="N238" s="122" t="n">
        <x:v>3</x:v>
      </x:c>
      <x:c r="O238" s="123" t="n">
        <x:f>ROUND(G238/5*$X$2+H238/5*$X$3+I238/5*$X$4+J238/5*$X$5+K238/5*$X$6+L238/5*$X$7+M238/5*$X$8-N238/5*$X$9,1)</x:f>
        <x:v>54</x:v>
      </x:c>
      <x:c r="P238" s="119" t="str">
        <x:f>IF(O238&gt;=$X$12,"Foundational deep pass",IF(O238&gt;=$X$13,"Major deep pass",IF(O238&gt;=$X$14,"Targeted innovation pass",IF(O238&gt;=$X$15,"Sampling pass","Reference / defer"))))</x:f>
        <x:v>Targeted innovation pass</x:v>
      </x:c>
      <x:c r="Q238" s="120" t="str">
        <x:v>Screen-media baseline</x:v>
      </x:c>
      <x:c r="R238" s="120" t="str">
        <x:v>Best value lies in adaptation divergence, iconography, and screen-first worldbuilding.</x:v>
      </x:c>
      <x:c r="S238" s="120" t="str">
        <x:v>Heuristic baseline — editorial review required</x:v>
      </x:c>
      <x:c r="T238" s="120" t="str">
        <x:v>https://en.wikipedia.org/wiki/The_Owl_House</x:v>
      </x:c>
      <x:c r="U238" s="121" t="n">
        <x:v>46236</x:v>
      </x:c>
    </x:row>
    <x:row r="239" ht="46" customHeight="1">
      <x:c r="A239" s="119" t="n">
        <x:v>233</x:v>
      </x:c>
      <x:c r="B239" s="119" t="str">
        <x:v>SRC-267</x:v>
      </x:c>
      <x:c r="C239" s="120" t="str">
        <x:v>The Rings of Power</x:v>
      </x:c>
      <x:c r="D239" s="120" t="str">
        <x:v>Television</x:v>
      </x:c>
      <x:c r="E239" s="120" t="str">
        <x:v>United States / New Zealand</x:v>
      </x:c>
      <x:c r="F239" s="119" t="n">
        <x:f>COUNTIF('Seed Catalogue'!$C$2:$C$452,B239)</x:f>
        <x:v>0</x:v>
      </x:c>
      <x:c r="G239" s="122" t="n">
        <x:v>3</x:v>
      </x:c>
      <x:c r="H239" s="122" t="n">
        <x:v>3</x:v>
      </x:c>
      <x:c r="I239" s="122" t="n">
        <x:v>2</x:v>
      </x:c>
      <x:c r="J239" s="122" t="n">
        <x:v>4</x:v>
      </x:c>
      <x:c r="K239" s="122" t="n">
        <x:v>3</x:v>
      </x:c>
      <x:c r="L239" s="122" t="n">
        <x:v>5</x:v>
      </x:c>
      <x:c r="M239" s="122" t="n">
        <x:v>4</x:v>
      </x:c>
      <x:c r="N239" s="122" t="n">
        <x:v>3</x:v>
      </x:c>
      <x:c r="O239" s="123" t="n">
        <x:f>ROUND(G239/5*$X$2+H239/5*$X$3+I239/5*$X$4+J239/5*$X$5+K239/5*$X$6+L239/5*$X$7+M239/5*$X$8-N239/5*$X$9,1)</x:f>
        <x:v>54</x:v>
      </x:c>
      <x:c r="P239" s="119" t="str">
        <x:f>IF(O239&gt;=$X$12,"Foundational deep pass",IF(O239&gt;=$X$13,"Major deep pass",IF(O239&gt;=$X$14,"Targeted innovation pass",IF(O239&gt;=$X$15,"Sampling pass","Reference / defer"))))</x:f>
        <x:v>Targeted innovation pass</x:v>
      </x:c>
      <x:c r="Q239" s="120" t="str">
        <x:v>Screen-media baseline</x:v>
      </x:c>
      <x:c r="R239" s="120" t="str">
        <x:v>Best value lies in adaptation divergence, iconography, and screen-first worldbuilding.</x:v>
      </x:c>
      <x:c r="S239" s="120" t="str">
        <x:v>Heuristic baseline — editorial review required</x:v>
      </x:c>
      <x:c r="T239" s="120" t="str">
        <x:v>https://en.wikipedia.org/wiki/The_Rings_of_Power</x:v>
      </x:c>
      <x:c r="U239" s="121" t="n">
        <x:v>46236</x:v>
      </x:c>
    </x:row>
    <x:row r="240" ht="46" customHeight="1">
      <x:c r="A240" s="119" t="n">
        <x:v>234</x:v>
      </x:c>
      <x:c r="B240" s="119" t="str">
        <x:v>SRC-269</x:v>
      </x:c>
      <x:c r="C240" s="120" t="str">
        <x:v>The Wheel of Time Television Series</x:v>
      </x:c>
      <x:c r="D240" s="120" t="str">
        <x:v>Television</x:v>
      </x:c>
      <x:c r="E240" s="120" t="str">
        <x:v>United States</x:v>
      </x:c>
      <x:c r="F240" s="119" t="n">
        <x:f>COUNTIF('Seed Catalogue'!$C$2:$C$452,B240)</x:f>
        <x:v>0</x:v>
      </x:c>
      <x:c r="G240" s="122" t="n">
        <x:v>3</x:v>
      </x:c>
      <x:c r="H240" s="122" t="n">
        <x:v>3</x:v>
      </x:c>
      <x:c r="I240" s="122" t="n">
        <x:v>2</x:v>
      </x:c>
      <x:c r="J240" s="122" t="n">
        <x:v>4</x:v>
      </x:c>
      <x:c r="K240" s="122" t="n">
        <x:v>3</x:v>
      </x:c>
      <x:c r="L240" s="122" t="n">
        <x:v>5</x:v>
      </x:c>
      <x:c r="M240" s="122" t="n">
        <x:v>4</x:v>
      </x:c>
      <x:c r="N240" s="122" t="n">
        <x:v>3</x:v>
      </x:c>
      <x:c r="O240" s="123" t="n">
        <x:f>ROUND(G240/5*$X$2+H240/5*$X$3+I240/5*$X$4+J240/5*$X$5+K240/5*$X$6+L240/5*$X$7+M240/5*$X$8-N240/5*$X$9,1)</x:f>
        <x:v>54</x:v>
      </x:c>
      <x:c r="P240" s="119" t="str">
        <x:f>IF(O240&gt;=$X$12,"Foundational deep pass",IF(O240&gt;=$X$13,"Major deep pass",IF(O240&gt;=$X$14,"Targeted innovation pass",IF(O240&gt;=$X$15,"Sampling pass","Reference / defer"))))</x:f>
        <x:v>Targeted innovation pass</x:v>
      </x:c>
      <x:c r="Q240" s="120" t="str">
        <x:v>Screen-media baseline</x:v>
      </x:c>
      <x:c r="R240" s="120" t="str">
        <x:v>Best value lies in adaptation divergence, iconography, and screen-first worldbuilding.</x:v>
      </x:c>
      <x:c r="S240" s="120" t="str">
        <x:v>Heuristic baseline — editorial review required</x:v>
      </x:c>
      <x:c r="T240" s="120" t="str">
        <x:v>https://en.wikipedia.org/wiki/The_Wheel_of_Time_Television_Series</x:v>
      </x:c>
      <x:c r="U240" s="121" t="n">
        <x:v>46236</x:v>
      </x:c>
    </x:row>
    <x:row r="241" ht="46" customHeight="1">
      <x:c r="A241" s="119" t="n">
        <x:v>235</x:v>
      </x:c>
      <x:c r="B241" s="119" t="str">
        <x:v>SRC-268</x:v>
      </x:c>
      <x:c r="C241" s="120" t="str">
        <x:v>The Witcher Television Series</x:v>
      </x:c>
      <x:c r="D241" s="120" t="str">
        <x:v>Television</x:v>
      </x:c>
      <x:c r="E241" s="120" t="str">
        <x:v>United States / Poland source</x:v>
      </x:c>
      <x:c r="F241" s="119" t="n">
        <x:f>COUNTIF('Seed Catalogue'!$C$2:$C$452,B241)</x:f>
        <x:v>0</x:v>
      </x:c>
      <x:c r="G241" s="122" t="n">
        <x:v>3</x:v>
      </x:c>
      <x:c r="H241" s="122" t="n">
        <x:v>3</x:v>
      </x:c>
      <x:c r="I241" s="122" t="n">
        <x:v>2</x:v>
      </x:c>
      <x:c r="J241" s="122" t="n">
        <x:v>4</x:v>
      </x:c>
      <x:c r="K241" s="122" t="n">
        <x:v>3</x:v>
      </x:c>
      <x:c r="L241" s="122" t="n">
        <x:v>5</x:v>
      </x:c>
      <x:c r="M241" s="122" t="n">
        <x:v>4</x:v>
      </x:c>
      <x:c r="N241" s="122" t="n">
        <x:v>3</x:v>
      </x:c>
      <x:c r="O241" s="123" t="n">
        <x:f>ROUND(G241/5*$X$2+H241/5*$X$3+I241/5*$X$4+J241/5*$X$5+K241/5*$X$6+L241/5*$X$7+M241/5*$X$8-N241/5*$X$9,1)</x:f>
        <x:v>54</x:v>
      </x:c>
      <x:c r="P241" s="119" t="str">
        <x:f>IF(O241&gt;=$X$12,"Foundational deep pass",IF(O241&gt;=$X$13,"Major deep pass",IF(O241&gt;=$X$14,"Targeted innovation pass",IF(O241&gt;=$X$15,"Sampling pass","Reference / defer"))))</x:f>
        <x:v>Targeted innovation pass</x:v>
      </x:c>
      <x:c r="Q241" s="120" t="str">
        <x:v>Screen-media baseline</x:v>
      </x:c>
      <x:c r="R241" s="120" t="str">
        <x:v>Best value lies in adaptation divergence, iconography, and screen-first worldbuilding.</x:v>
      </x:c>
      <x:c r="S241" s="120" t="str">
        <x:v>Heuristic baseline — editorial review required</x:v>
      </x:c>
      <x:c r="T241" s="120" t="str">
        <x:v>https://en.wikipedia.org/wiki/The_Witcher_Television_Series</x:v>
      </x:c>
      <x:c r="U241" s="121" t="n">
        <x:v>46236</x:v>
      </x:c>
    </x:row>
    <x:row r="242" ht="46" customHeight="1">
      <x:c r="A242" s="119" t="n">
        <x:v>236</x:v>
      </x:c>
      <x:c r="B242" s="119" t="str">
        <x:v>SRC-249</x:v>
      </x:c>
      <x:c r="C242" s="120" t="str">
        <x:v>Willow</x:v>
      </x:c>
      <x:c r="D242" s="120" t="str">
        <x:v>Film / Television</x:v>
      </x:c>
      <x:c r="E242" s="120" t="str">
        <x:v>United States</x:v>
      </x:c>
      <x:c r="F242" s="119" t="n">
        <x:f>COUNTIF('Seed Catalogue'!$C$2:$C$452,B242)</x:f>
        <x:v>0</x:v>
      </x:c>
      <x:c r="G242" s="122" t="n">
        <x:v>3</x:v>
      </x:c>
      <x:c r="H242" s="122" t="n">
        <x:v>3</x:v>
      </x:c>
      <x:c r="I242" s="122" t="n">
        <x:v>2</x:v>
      </x:c>
      <x:c r="J242" s="122" t="n">
        <x:v>4</x:v>
      </x:c>
      <x:c r="K242" s="122" t="n">
        <x:v>3</x:v>
      </x:c>
      <x:c r="L242" s="122" t="n">
        <x:v>5</x:v>
      </x:c>
      <x:c r="M242" s="122" t="n">
        <x:v>4</x:v>
      </x:c>
      <x:c r="N242" s="122" t="n">
        <x:v>3</x:v>
      </x:c>
      <x:c r="O242" s="123" t="n">
        <x:f>ROUND(G242/5*$X$2+H242/5*$X$3+I242/5*$X$4+J242/5*$X$5+K242/5*$X$6+L242/5*$X$7+M242/5*$X$8-N242/5*$X$9,1)</x:f>
        <x:v>54</x:v>
      </x:c>
      <x:c r="P242" s="119" t="str">
        <x:f>IF(O242&gt;=$X$12,"Foundational deep pass",IF(O242&gt;=$X$13,"Major deep pass",IF(O242&gt;=$X$14,"Targeted innovation pass",IF(O242&gt;=$X$15,"Sampling pass","Reference / defer"))))</x:f>
        <x:v>Targeted innovation pass</x:v>
      </x:c>
      <x:c r="Q242" s="120" t="str">
        <x:v>Screen-media baseline</x:v>
      </x:c>
      <x:c r="R242" s="120" t="str">
        <x:v>Best value lies in adaptation divergence, iconography, and screen-first worldbuilding.</x:v>
      </x:c>
      <x:c r="S242" s="120" t="str">
        <x:v>Heuristic baseline — editorial review required</x:v>
      </x:c>
      <x:c r="T242" s="120" t="str">
        <x:v>https://en.wikipedia.org/wiki/Willow</x:v>
      </x:c>
      <x:c r="U242" s="121" t="n">
        <x:v>46236</x:v>
      </x:c>
    </x:row>
    <x:row r="243" ht="46" customHeight="1">
      <x:c r="A243" s="119" t="n">
        <x:v>237</x:v>
      </x:c>
      <x:c r="B243" s="119" t="str">
        <x:v>SRC-273</x:v>
      </x:c>
      <x:c r="C243" s="120" t="str">
        <x:v>Xena: Warrior Princess</x:v>
      </x:c>
      <x:c r="D243" s="120" t="str">
        <x:v>Television</x:v>
      </x:c>
      <x:c r="E243" s="120" t="str">
        <x:v>United States / New Zealand</x:v>
      </x:c>
      <x:c r="F243" s="119" t="n">
        <x:f>COUNTIF('Seed Catalogue'!$C$2:$C$452,B243)</x:f>
        <x:v>0</x:v>
      </x:c>
      <x:c r="G243" s="122" t="n">
        <x:v>3</x:v>
      </x:c>
      <x:c r="H243" s="122" t="n">
        <x:v>3</x:v>
      </x:c>
      <x:c r="I243" s="122" t="n">
        <x:v>2</x:v>
      </x:c>
      <x:c r="J243" s="122" t="n">
        <x:v>4</x:v>
      </x:c>
      <x:c r="K243" s="122" t="n">
        <x:v>3</x:v>
      </x:c>
      <x:c r="L243" s="122" t="n">
        <x:v>5</x:v>
      </x:c>
      <x:c r="M243" s="122" t="n">
        <x:v>4</x:v>
      </x:c>
      <x:c r="N243" s="122" t="n">
        <x:v>3</x:v>
      </x:c>
      <x:c r="O243" s="123" t="n">
        <x:f>ROUND(G243/5*$X$2+H243/5*$X$3+I243/5*$X$4+J243/5*$X$5+K243/5*$X$6+L243/5*$X$7+M243/5*$X$8-N243/5*$X$9,1)</x:f>
        <x:v>54</x:v>
      </x:c>
      <x:c r="P243" s="119" t="str">
        <x:f>IF(O243&gt;=$X$12,"Foundational deep pass",IF(O243&gt;=$X$13,"Major deep pass",IF(O243&gt;=$X$14,"Targeted innovation pass",IF(O243&gt;=$X$15,"Sampling pass","Reference / defer"))))</x:f>
        <x:v>Targeted innovation pass</x:v>
      </x:c>
      <x:c r="Q243" s="120" t="str">
        <x:v>Screen-media baseline</x:v>
      </x:c>
      <x:c r="R243" s="120" t="str">
        <x:v>Best value lies in adaptation divergence, iconography, and screen-first worldbuilding.</x:v>
      </x:c>
      <x:c r="S243" s="120" t="str">
        <x:v>Heuristic baseline — editorial review required</x:v>
      </x:c>
      <x:c r="T243" s="120" t="str">
        <x:v>https://en.wikipedia.org/wiki/Xena:_Warrior_Princess</x:v>
      </x:c>
      <x:c r="U243" s="121" t="n">
        <x:v>46236</x:v>
      </x:c>
    </x:row>
    <x:row r="244" ht="46" customHeight="1">
      <x:c r="A244" s="119" t="n">
        <x:v>238</x:v>
      </x:c>
      <x:c r="B244" s="119" t="str">
        <x:v>SRC-190</x:v>
      </x:c>
      <x:c r="C244" s="120" t="str">
        <x:v>Battle Brothers</x:v>
      </x:c>
      <x:c r="D244" s="120" t="str">
        <x:v>Video Game / Tactical RPG</x:v>
      </x:c>
      <x:c r="E244" s="120" t="str">
        <x:v>Germany</x:v>
      </x:c>
      <x:c r="F244" s="119" t="n">
        <x:f>COUNTIF('Seed Catalogue'!$C$2:$C$452,B244)</x:f>
        <x:v>0</x:v>
      </x:c>
      <x:c r="G244" s="122" t="n">
        <x:v>3</x:v>
      </x:c>
      <x:c r="H244" s="122" t="n">
        <x:v>3</x:v>
      </x:c>
      <x:c r="I244" s="122" t="n">
        <x:v>2</x:v>
      </x:c>
      <x:c r="J244" s="122" t="n">
        <x:v>4</x:v>
      </x:c>
      <x:c r="K244" s="122" t="n">
        <x:v>3</x:v>
      </x:c>
      <x:c r="L244" s="122" t="n">
        <x:v>4</x:v>
      </x:c>
      <x:c r="M244" s="122" t="n">
        <x:v>4</x:v>
      </x:c>
      <x:c r="N244" s="122" t="n">
        <x:v>3</x:v>
      </x:c>
      <x:c r="O244" s="123" t="n">
        <x:f>ROUND(G244/5*$X$2+H244/5*$X$3+I244/5*$X$4+J244/5*$X$5+K244/5*$X$6+L244/5*$X$7+M244/5*$X$8-N244/5*$X$9,1)</x:f>
        <x:v>52</x:v>
      </x:c>
      <x:c r="P244" s="119" t="str">
        <x:f>IF(O244&gt;=$X$12,"Foundational deep pass",IF(O244&gt;=$X$13,"Major deep pass",IF(O244&gt;=$X$14,"Targeted innovation pass",IF(O244&gt;=$X$15,"Sampling pass","Reference / defer"))))</x:f>
        <x:v>Targeted innovation pass</x:v>
      </x:c>
      <x:c r="Q244" s="120" t="str">
        <x:v>Game-system baseline</x:v>
      </x:c>
      <x:c r="R244" s="120" t="str">
        <x:v>Prioritize distinctive mechanics, transformations, adaptation operations, and setting innovations rather than complete class repetition.</x:v>
      </x:c>
      <x:c r="S244" s="120" t="str">
        <x:v>Heuristic baseline — editorial review required</x:v>
      </x:c>
      <x:c r="T244" s="120" t="str">
        <x:v>https://en.wikipedia.org/wiki/Battle_Brothers</x:v>
      </x:c>
      <x:c r="U244" s="121" t="n">
        <x:v>46236</x:v>
      </x:c>
    </x:row>
    <x:row r="245" ht="46" customHeight="1">
      <x:c r="A245" s="119" t="n">
        <x:v>239</x:v>
      </x:c>
      <x:c r="B245" s="119" t="str">
        <x:v>SRC-166</x:v>
      </x:c>
      <x:c r="C245" s="120" t="str">
        <x:v>Black Desert Online</x:v>
      </x:c>
      <x:c r="D245" s="120" t="str">
        <x:v>Video Game / MMORPG</x:v>
      </x:c>
      <x:c r="E245" s="120" t="str">
        <x:v>South Korea</x:v>
      </x:c>
      <x:c r="F245" s="119" t="n">
        <x:f>COUNTIF('Seed Catalogue'!$C$2:$C$452,B245)</x:f>
        <x:v>0</x:v>
      </x:c>
      <x:c r="G245" s="122" t="n">
        <x:v>3</x:v>
      </x:c>
      <x:c r="H245" s="122" t="n">
        <x:v>3</x:v>
      </x:c>
      <x:c r="I245" s="122" t="n">
        <x:v>2</x:v>
      </x:c>
      <x:c r="J245" s="122" t="n">
        <x:v>4</x:v>
      </x:c>
      <x:c r="K245" s="122" t="n">
        <x:v>3</x:v>
      </x:c>
      <x:c r="L245" s="122" t="n">
        <x:v>4</x:v>
      </x:c>
      <x:c r="M245" s="122" t="n">
        <x:v>4</x:v>
      </x:c>
      <x:c r="N245" s="122" t="n">
        <x:v>3</x:v>
      </x:c>
      <x:c r="O245" s="123" t="n">
        <x:f>ROUND(G245/5*$X$2+H245/5*$X$3+I245/5*$X$4+J245/5*$X$5+K245/5*$X$6+L245/5*$X$7+M245/5*$X$8-N245/5*$X$9,1)</x:f>
        <x:v>52</x:v>
      </x:c>
      <x:c r="P245" s="119" t="str">
        <x:f>IF(O245&gt;=$X$12,"Foundational deep pass",IF(O245&gt;=$X$13,"Major deep pass",IF(O245&gt;=$X$14,"Targeted innovation pass",IF(O245&gt;=$X$15,"Sampling pass","Reference / defer"))))</x:f>
        <x:v>Targeted innovation pass</x:v>
      </x:c>
      <x:c r="Q245" s="120" t="str">
        <x:v>Game-system baseline</x:v>
      </x:c>
      <x:c r="R245" s="120" t="str">
        <x:v>Prioritize distinctive mechanics, transformations, adaptation operations, and setting innovations rather than complete class repetition.</x:v>
      </x:c>
      <x:c r="S245" s="120" t="str">
        <x:v>Heuristic baseline — editorial review required</x:v>
      </x:c>
      <x:c r="T245" s="120" t="str">
        <x:v>https://en.wikipedia.org/wiki/Black_Desert_Online</x:v>
      </x:c>
      <x:c r="U245" s="121" t="n">
        <x:v>46236</x:v>
      </x:c>
    </x:row>
    <x:row r="246" ht="46" customHeight="1">
      <x:c r="A246" s="119" t="n">
        <x:v>240</x:v>
      </x:c>
      <x:c r="B246" s="119" t="str">
        <x:v>SRC-150</x:v>
      </x:c>
      <x:c r="C246" s="120" t="str">
        <x:v>Bloodborne</x:v>
      </x:c>
      <x:c r="D246" s="120" t="str">
        <x:v>Video Game / Action RPG</x:v>
      </x:c>
      <x:c r="E246" s="120" t="str">
        <x:v>Japan</x:v>
      </x:c>
      <x:c r="F246" s="119" t="n">
        <x:f>COUNTIF('Seed Catalogue'!$C$2:$C$452,B246)</x:f>
        <x:v>0</x:v>
      </x:c>
      <x:c r="G246" s="122" t="n">
        <x:v>3</x:v>
      </x:c>
      <x:c r="H246" s="122" t="n">
        <x:v>3</x:v>
      </x:c>
      <x:c r="I246" s="122" t="n">
        <x:v>2</x:v>
      </x:c>
      <x:c r="J246" s="122" t="n">
        <x:v>4</x:v>
      </x:c>
      <x:c r="K246" s="122" t="n">
        <x:v>3</x:v>
      </x:c>
      <x:c r="L246" s="122" t="n">
        <x:v>4</x:v>
      </x:c>
      <x:c r="M246" s="122" t="n">
        <x:v>4</x:v>
      </x:c>
      <x:c r="N246" s="122" t="n">
        <x:v>3</x:v>
      </x:c>
      <x:c r="O246" s="123" t="n">
        <x:f>ROUND(G246/5*$X$2+H246/5*$X$3+I246/5*$X$4+J246/5*$X$5+K246/5*$X$6+L246/5*$X$7+M246/5*$X$8-N246/5*$X$9,1)</x:f>
        <x:v>52</x:v>
      </x:c>
      <x:c r="P246" s="119" t="str">
        <x:f>IF(O246&gt;=$X$12,"Foundational deep pass",IF(O246&gt;=$X$13,"Major deep pass",IF(O246&gt;=$X$14,"Targeted innovation pass",IF(O246&gt;=$X$15,"Sampling pass","Reference / defer"))))</x:f>
        <x:v>Targeted innovation pass</x:v>
      </x:c>
      <x:c r="Q246" s="120" t="str">
        <x:v>Game-system baseline</x:v>
      </x:c>
      <x:c r="R246" s="120" t="str">
        <x:v>Prioritize distinctive mechanics, transformations, adaptation operations, and setting innovations rather than complete class repetition.</x:v>
      </x:c>
      <x:c r="S246" s="120" t="str">
        <x:v>Heuristic baseline — editorial review required</x:v>
      </x:c>
      <x:c r="T246" s="120" t="str">
        <x:v>https://en.wikipedia.org/wiki/Bloodborne</x:v>
      </x:c>
      <x:c r="U246" s="121" t="n">
        <x:v>46236</x:v>
      </x:c>
    </x:row>
    <x:row r="247" ht="46" customHeight="1">
      <x:c r="A247" s="119" t="n">
        <x:v>241</x:v>
      </x:c>
      <x:c r="B247" s="119" t="str">
        <x:v>SRC-173</x:v>
      </x:c>
      <x:c r="C247" s="120" t="str">
        <x:v>Breath of Fire</x:v>
      </x:c>
      <x:c r="D247" s="120" t="str">
        <x:v>Video Game / JRPG Franchise</x:v>
      </x:c>
      <x:c r="E247" s="120" t="str">
        <x:v>Japan</x:v>
      </x:c>
      <x:c r="F247" s="119" t="n">
        <x:f>COUNTIF('Seed Catalogue'!$C$2:$C$452,B247)</x:f>
        <x:v>0</x:v>
      </x:c>
      <x:c r="G247" s="122" t="n">
        <x:v>3</x:v>
      </x:c>
      <x:c r="H247" s="122" t="n">
        <x:v>3</x:v>
      </x:c>
      <x:c r="I247" s="122" t="n">
        <x:v>2</x:v>
      </x:c>
      <x:c r="J247" s="122" t="n">
        <x:v>4</x:v>
      </x:c>
      <x:c r="K247" s="122" t="n">
        <x:v>3</x:v>
      </x:c>
      <x:c r="L247" s="122" t="n">
        <x:v>4</x:v>
      </x:c>
      <x:c r="M247" s="122" t="n">
        <x:v>4</x:v>
      </x:c>
      <x:c r="N247" s="122" t="n">
        <x:v>3</x:v>
      </x:c>
      <x:c r="O247" s="123" t="n">
        <x:f>ROUND(G247/5*$X$2+H247/5*$X$3+I247/5*$X$4+J247/5*$X$5+K247/5*$X$6+L247/5*$X$7+M247/5*$X$8-N247/5*$X$9,1)</x:f>
        <x:v>52</x:v>
      </x:c>
      <x:c r="P247" s="119" t="str">
        <x:f>IF(O247&gt;=$X$12,"Foundational deep pass",IF(O247&gt;=$X$13,"Major deep pass",IF(O247&gt;=$X$14,"Targeted innovation pass",IF(O247&gt;=$X$15,"Sampling pass","Reference / defer"))))</x:f>
        <x:v>Targeted innovation pass</x:v>
      </x:c>
      <x:c r="Q247" s="120" t="str">
        <x:v>Game-system baseline</x:v>
      </x:c>
      <x:c r="R247" s="120" t="str">
        <x:v>Prioritize distinctive mechanics, transformations, adaptation operations, and setting innovations rather than complete class repetition.</x:v>
      </x:c>
      <x:c r="S247" s="120" t="str">
        <x:v>Heuristic baseline — editorial review required</x:v>
      </x:c>
      <x:c r="T247" s="120" t="str">
        <x:v>https://en.wikipedia.org/wiki/Breath_of_Fire</x:v>
      </x:c>
      <x:c r="U247" s="121" t="n">
        <x:v>46236</x:v>
      </x:c>
    </x:row>
    <x:row r="248" ht="46" customHeight="1">
      <x:c r="A248" s="119" t="n">
        <x:v>242</x:v>
      </x:c>
      <x:c r="B248" s="119" t="str">
        <x:v>SRC-149</x:v>
      </x:c>
      <x:c r="C248" s="120" t="str">
        <x:v>Demon's Souls</x:v>
      </x:c>
      <x:c r="D248" s="120" t="str">
        <x:v>Video Game / Action RPG</x:v>
      </x:c>
      <x:c r="E248" s="120" t="str">
        <x:v>Japan</x:v>
      </x:c>
      <x:c r="F248" s="119" t="n">
        <x:f>COUNTIF('Seed Catalogue'!$C$2:$C$452,B248)</x:f>
        <x:v>0</x:v>
      </x:c>
      <x:c r="G248" s="122" t="n">
        <x:v>3</x:v>
      </x:c>
      <x:c r="H248" s="122" t="n">
        <x:v>3</x:v>
      </x:c>
      <x:c r="I248" s="122" t="n">
        <x:v>2</x:v>
      </x:c>
      <x:c r="J248" s="122" t="n">
        <x:v>4</x:v>
      </x:c>
      <x:c r="K248" s="122" t="n">
        <x:v>3</x:v>
      </x:c>
      <x:c r="L248" s="122" t="n">
        <x:v>4</x:v>
      </x:c>
      <x:c r="M248" s="122" t="n">
        <x:v>4</x:v>
      </x:c>
      <x:c r="N248" s="122" t="n">
        <x:v>3</x:v>
      </x:c>
      <x:c r="O248" s="123" t="n">
        <x:f>ROUND(G248/5*$X$2+H248/5*$X$3+I248/5*$X$4+J248/5*$X$5+K248/5*$X$6+L248/5*$X$7+M248/5*$X$8-N248/5*$X$9,1)</x:f>
        <x:v>52</x:v>
      </x:c>
      <x:c r="P248" s="119" t="str">
        <x:f>IF(O248&gt;=$X$12,"Foundational deep pass",IF(O248&gt;=$X$13,"Major deep pass",IF(O248&gt;=$X$14,"Targeted innovation pass",IF(O248&gt;=$X$15,"Sampling pass","Reference / defer"))))</x:f>
        <x:v>Targeted innovation pass</x:v>
      </x:c>
      <x:c r="Q248" s="120" t="str">
        <x:v>Game-system baseline</x:v>
      </x:c>
      <x:c r="R248" s="120" t="str">
        <x:v>Prioritize distinctive mechanics, transformations, adaptation operations, and setting innovations rather than complete class repetition.</x:v>
      </x:c>
      <x:c r="S248" s="120" t="str">
        <x:v>Heuristic baseline — editorial review required</x:v>
      </x:c>
      <x:c r="T248" s="120" t="str">
        <x:v>https://en.wikipedia.org/wiki/Demon's_Souls</x:v>
      </x:c>
      <x:c r="U248" s="121" t="n">
        <x:v>46236</x:v>
      </x:c>
    </x:row>
    <x:row r="249" ht="46" customHeight="1">
      <x:c r="A249" s="119" t="n">
        <x:v>243</x:v>
      </x:c>
      <x:c r="B249" s="119" t="str">
        <x:v>SRC-120</x:v>
      </x:c>
      <x:c r="C249" s="120" t="str">
        <x:v>Descent: Journeys in the Dark</x:v>
      </x:c>
      <x:c r="D249" s="120" t="str">
        <x:v>Board Game / Dungeon Crawl</x:v>
      </x:c>
      <x:c r="E249" s="120" t="str">
        <x:v>United States</x:v>
      </x:c>
      <x:c r="F249" s="119" t="n">
        <x:f>COUNTIF('Seed Catalogue'!$C$2:$C$452,B249)</x:f>
        <x:v>0</x:v>
      </x:c>
      <x:c r="G249" s="122" t="n">
        <x:v>3</x:v>
      </x:c>
      <x:c r="H249" s="122" t="n">
        <x:v>3</x:v>
      </x:c>
      <x:c r="I249" s="122" t="n">
        <x:v>2</x:v>
      </x:c>
      <x:c r="J249" s="122" t="n">
        <x:v>4</x:v>
      </x:c>
      <x:c r="K249" s="122" t="n">
        <x:v>3</x:v>
      </x:c>
      <x:c r="L249" s="122" t="n">
        <x:v>4</x:v>
      </x:c>
      <x:c r="M249" s="122" t="n">
        <x:v>4</x:v>
      </x:c>
      <x:c r="N249" s="122" t="n">
        <x:v>3</x:v>
      </x:c>
      <x:c r="O249" s="123" t="n">
        <x:f>ROUND(G249/5*$X$2+H249/5*$X$3+I249/5*$X$4+J249/5*$X$5+K249/5*$X$6+L249/5*$X$7+M249/5*$X$8-N249/5*$X$9,1)</x:f>
        <x:v>52</x:v>
      </x:c>
      <x:c r="P249" s="119" t="str">
        <x:f>IF(O249&gt;=$X$12,"Foundational deep pass",IF(O249&gt;=$X$13,"Major deep pass",IF(O249&gt;=$X$14,"Targeted innovation pass",IF(O249&gt;=$X$15,"Sampling pass","Reference / defer"))))</x:f>
        <x:v>Targeted innovation pass</x:v>
      </x:c>
      <x:c r="Q249" s="120" t="str">
        <x:v>Board-game baseline</x:v>
      </x:c>
      <x:c r="R249" s="120" t="str">
        <x:v>Extract asymmetric factions and distinctive mechanics; sample conventional unit roles.</x:v>
      </x:c>
      <x:c r="S249" s="120" t="str">
        <x:v>Heuristic baseline — editorial review required</x:v>
      </x:c>
      <x:c r="T249" s="120" t="str">
        <x:v>https://en.wikipedia.org/wiki/Descent:_Journeys_in_the_Dark</x:v>
      </x:c>
      <x:c r="U249" s="121" t="n">
        <x:v>46236</x:v>
      </x:c>
    </x:row>
    <x:row r="250" ht="46" customHeight="1">
      <x:c r="A250" s="119" t="n">
        <x:v>244</x:v>
      </x:c>
      <x:c r="B250" s="119" t="str">
        <x:v>SRC-169</x:v>
      </x:c>
      <x:c r="C250" s="120" t="str">
        <x:v>Disgaea</x:v>
      </x:c>
      <x:c r="D250" s="120" t="str">
        <x:v>Video Game / Tactical RPG Franchise</x:v>
      </x:c>
      <x:c r="E250" s="120" t="str">
        <x:v>Japan</x:v>
      </x:c>
      <x:c r="F250" s="119" t="n">
        <x:f>COUNTIF('Seed Catalogue'!$C$2:$C$452,B250)</x:f>
        <x:v>0</x:v>
      </x:c>
      <x:c r="G250" s="122" t="n">
        <x:v>3</x:v>
      </x:c>
      <x:c r="H250" s="122" t="n">
        <x:v>3</x:v>
      </x:c>
      <x:c r="I250" s="122" t="n">
        <x:v>2</x:v>
      </x:c>
      <x:c r="J250" s="122" t="n">
        <x:v>4</x:v>
      </x:c>
      <x:c r="K250" s="122" t="n">
        <x:v>3</x:v>
      </x:c>
      <x:c r="L250" s="122" t="n">
        <x:v>4</x:v>
      </x:c>
      <x:c r="M250" s="122" t="n">
        <x:v>4</x:v>
      </x:c>
      <x:c r="N250" s="122" t="n">
        <x:v>3</x:v>
      </x:c>
      <x:c r="O250" s="123" t="n">
        <x:f>ROUND(G250/5*$X$2+H250/5*$X$3+I250/5*$X$4+J250/5*$X$5+K250/5*$X$6+L250/5*$X$7+M250/5*$X$8-N250/5*$X$9,1)</x:f>
        <x:v>52</x:v>
      </x:c>
      <x:c r="P250" s="119" t="str">
        <x:f>IF(O250&gt;=$X$12,"Foundational deep pass",IF(O250&gt;=$X$13,"Major deep pass",IF(O250&gt;=$X$14,"Targeted innovation pass",IF(O250&gt;=$X$15,"Sampling pass","Reference / defer"))))</x:f>
        <x:v>Targeted innovation pass</x:v>
      </x:c>
      <x:c r="Q250" s="120" t="str">
        <x:v>Game-system baseline</x:v>
      </x:c>
      <x:c r="R250" s="120" t="str">
        <x:v>Prioritize distinctive mechanics, transformations, adaptation operations, and setting innovations rather than complete class repetition.</x:v>
      </x:c>
      <x:c r="S250" s="120" t="str">
        <x:v>Heuristic baseline — editorial review required</x:v>
      </x:c>
      <x:c r="T250" s="120" t="str">
        <x:v>https://en.wikipedia.org/wiki/Disgaea</x:v>
      </x:c>
      <x:c r="U250" s="121" t="n">
        <x:v>46236</x:v>
      </x:c>
    </x:row>
    <x:row r="251" ht="46" customHeight="1">
      <x:c r="A251" s="119" t="n">
        <x:v>245</x:v>
      </x:c>
      <x:c r="B251" s="119" t="str">
        <x:v>SRC-177</x:v>
      </x:c>
      <x:c r="C251" s="120" t="str">
        <x:v>Etrian Odyssey</x:v>
      </x:c>
      <x:c r="D251" s="120" t="str">
        <x:v>Video Game / Dungeon RPG Franchise</x:v>
      </x:c>
      <x:c r="E251" s="120" t="str">
        <x:v>Japan</x:v>
      </x:c>
      <x:c r="F251" s="119" t="n">
        <x:f>COUNTIF('Seed Catalogue'!$C$2:$C$452,B251)</x:f>
        <x:v>0</x:v>
      </x:c>
      <x:c r="G251" s="122" t="n">
        <x:v>3</x:v>
      </x:c>
      <x:c r="H251" s="122" t="n">
        <x:v>3</x:v>
      </x:c>
      <x:c r="I251" s="122" t="n">
        <x:v>2</x:v>
      </x:c>
      <x:c r="J251" s="122" t="n">
        <x:v>4</x:v>
      </x:c>
      <x:c r="K251" s="122" t="n">
        <x:v>3</x:v>
      </x:c>
      <x:c r="L251" s="122" t="n">
        <x:v>4</x:v>
      </x:c>
      <x:c r="M251" s="122" t="n">
        <x:v>4</x:v>
      </x:c>
      <x:c r="N251" s="122" t="n">
        <x:v>3</x:v>
      </x:c>
      <x:c r="O251" s="123" t="n">
        <x:f>ROUND(G251/5*$X$2+H251/5*$X$3+I251/5*$X$4+J251/5*$X$5+K251/5*$X$6+L251/5*$X$7+M251/5*$X$8-N251/5*$X$9,1)</x:f>
        <x:v>52</x:v>
      </x:c>
      <x:c r="P251" s="119" t="str">
        <x:f>IF(O251&gt;=$X$12,"Foundational deep pass",IF(O251&gt;=$X$13,"Major deep pass",IF(O251&gt;=$X$14,"Targeted innovation pass",IF(O251&gt;=$X$15,"Sampling pass","Reference / defer"))))</x:f>
        <x:v>Targeted innovation pass</x:v>
      </x:c>
      <x:c r="Q251" s="120" t="str">
        <x:v>Game-system baseline</x:v>
      </x:c>
      <x:c r="R251" s="120" t="str">
        <x:v>Prioritize distinctive mechanics, transformations, adaptation operations, and setting innovations rather than complete class repetition.</x:v>
      </x:c>
      <x:c r="S251" s="120" t="str">
        <x:v>Heuristic baseline — editorial review required</x:v>
      </x:c>
      <x:c r="T251" s="120" t="str">
        <x:v>https://en.wikipedia.org/wiki/Etrian_Odyssey</x:v>
      </x:c>
      <x:c r="U251" s="121" t="n">
        <x:v>46236</x:v>
      </x:c>
    </x:row>
    <x:row r="252" ht="46" customHeight="1">
      <x:c r="A252" s="119" t="n">
        <x:v>246</x:v>
      </x:c>
      <x:c r="B252" s="119" t="str">
        <x:v>SRC-163</x:v>
      </x:c>
      <x:c r="C252" s="120" t="str">
        <x:v>EverQuest</x:v>
      </x:c>
      <x:c r="D252" s="120" t="str">
        <x:v>Video Game / MMORPG Franchise</x:v>
      </x:c>
      <x:c r="E252" s="120" t="str">
        <x:v>United States</x:v>
      </x:c>
      <x:c r="F252" s="119" t="n">
        <x:f>COUNTIF('Seed Catalogue'!$C$2:$C$452,B252)</x:f>
        <x:v>0</x:v>
      </x:c>
      <x:c r="G252" s="122" t="n">
        <x:v>3</x:v>
      </x:c>
      <x:c r="H252" s="122" t="n">
        <x:v>3</x:v>
      </x:c>
      <x:c r="I252" s="122" t="n">
        <x:v>2</x:v>
      </x:c>
      <x:c r="J252" s="122" t="n">
        <x:v>4</x:v>
      </x:c>
      <x:c r="K252" s="122" t="n">
        <x:v>3</x:v>
      </x:c>
      <x:c r="L252" s="122" t="n">
        <x:v>4</x:v>
      </x:c>
      <x:c r="M252" s="122" t="n">
        <x:v>4</x:v>
      </x:c>
      <x:c r="N252" s="122" t="n">
        <x:v>3</x:v>
      </x:c>
      <x:c r="O252" s="123" t="n">
        <x:f>ROUND(G252/5*$X$2+H252/5*$X$3+I252/5*$X$4+J252/5*$X$5+K252/5*$X$6+L252/5*$X$7+M252/5*$X$8-N252/5*$X$9,1)</x:f>
        <x:v>52</x:v>
      </x:c>
      <x:c r="P252" s="119" t="str">
        <x:f>IF(O252&gt;=$X$12,"Foundational deep pass",IF(O252&gt;=$X$13,"Major deep pass",IF(O252&gt;=$X$14,"Targeted innovation pass",IF(O252&gt;=$X$15,"Sampling pass","Reference / defer"))))</x:f>
        <x:v>Targeted innovation pass</x:v>
      </x:c>
      <x:c r="Q252" s="120" t="str">
        <x:v>Game-system baseline</x:v>
      </x:c>
      <x:c r="R252" s="120" t="str">
        <x:v>Prioritize distinctive mechanics, transformations, adaptation operations, and setting innovations rather than complete class repetition.</x:v>
      </x:c>
      <x:c r="S252" s="120" t="str">
        <x:v>Heuristic baseline — editorial review required</x:v>
      </x:c>
      <x:c r="T252" s="120" t="str">
        <x:v>https://en.wikipedia.org/wiki/EverQuest</x:v>
      </x:c>
      <x:c r="U252" s="121" t="n">
        <x:v>46236</x:v>
      </x:c>
    </x:row>
    <x:row r="253" ht="46" customHeight="1">
      <x:c r="A253" s="119" t="n">
        <x:v>247</x:v>
      </x:c>
      <x:c r="B253" s="119" t="str">
        <x:v>SRC-158</x:v>
      </x:c>
      <x:c r="C253" s="120" t="str">
        <x:v>Fable</x:v>
      </x:c>
      <x:c r="D253" s="120" t="str">
        <x:v>Video Game / Action RPG Franchise</x:v>
      </x:c>
      <x:c r="E253" s="120" t="str">
        <x:v>Britain</x:v>
      </x:c>
      <x:c r="F253" s="119" t="n">
        <x:f>COUNTIF('Seed Catalogue'!$C$2:$C$452,B253)</x:f>
        <x:v>0</x:v>
      </x:c>
      <x:c r="G253" s="122" t="n">
        <x:v>3</x:v>
      </x:c>
      <x:c r="H253" s="122" t="n">
        <x:v>3</x:v>
      </x:c>
      <x:c r="I253" s="122" t="n">
        <x:v>2</x:v>
      </x:c>
      <x:c r="J253" s="122" t="n">
        <x:v>4</x:v>
      </x:c>
      <x:c r="K253" s="122" t="n">
        <x:v>3</x:v>
      </x:c>
      <x:c r="L253" s="122" t="n">
        <x:v>4</x:v>
      </x:c>
      <x:c r="M253" s="122" t="n">
        <x:v>4</x:v>
      </x:c>
      <x:c r="N253" s="122" t="n">
        <x:v>3</x:v>
      </x:c>
      <x:c r="O253" s="123" t="n">
        <x:f>ROUND(G253/5*$X$2+H253/5*$X$3+I253/5*$X$4+J253/5*$X$5+K253/5*$X$6+L253/5*$X$7+M253/5*$X$8-N253/5*$X$9,1)</x:f>
        <x:v>52</x:v>
      </x:c>
      <x:c r="P253" s="119" t="str">
        <x:f>IF(O253&gt;=$X$12,"Foundational deep pass",IF(O253&gt;=$X$13,"Major deep pass",IF(O253&gt;=$X$14,"Targeted innovation pass",IF(O253&gt;=$X$15,"Sampling pass","Reference / defer"))))</x:f>
        <x:v>Targeted innovation pass</x:v>
      </x:c>
      <x:c r="Q253" s="120" t="str">
        <x:v>Game-system baseline</x:v>
      </x:c>
      <x:c r="R253" s="120" t="str">
        <x:v>Prioritize distinctive mechanics, transformations, adaptation operations, and setting innovations rather than complete class repetition.</x:v>
      </x:c>
      <x:c r="S253" s="120" t="str">
        <x:v>Heuristic baseline — editorial review required</x:v>
      </x:c>
      <x:c r="T253" s="120" t="str">
        <x:v>https://en.wikipedia.org/wiki/Fable</x:v>
      </x:c>
      <x:c r="U253" s="121" t="n">
        <x:v>46236</x:v>
      </x:c>
    </x:row>
    <x:row r="254" ht="46" customHeight="1">
      <x:c r="A254" s="119" t="n">
        <x:v>248</x:v>
      </x:c>
      <x:c r="B254" s="119" t="str">
        <x:v>SRC-172</x:v>
      </x:c>
      <x:c r="C254" s="120" t="str">
        <x:v>Golden Sun</x:v>
      </x:c>
      <x:c r="D254" s="120" t="str">
        <x:v>Video Game / JRPG Franchise</x:v>
      </x:c>
      <x:c r="E254" s="120" t="str">
        <x:v>Japan</x:v>
      </x:c>
      <x:c r="F254" s="119" t="n">
        <x:f>COUNTIF('Seed Catalogue'!$C$2:$C$452,B254)</x:f>
        <x:v>0</x:v>
      </x:c>
      <x:c r="G254" s="122" t="n">
        <x:v>3</x:v>
      </x:c>
      <x:c r="H254" s="122" t="n">
        <x:v>3</x:v>
      </x:c>
      <x:c r="I254" s="122" t="n">
        <x:v>2</x:v>
      </x:c>
      <x:c r="J254" s="122" t="n">
        <x:v>4</x:v>
      </x:c>
      <x:c r="K254" s="122" t="n">
        <x:v>3</x:v>
      </x:c>
      <x:c r="L254" s="122" t="n">
        <x:v>4</x:v>
      </x:c>
      <x:c r="M254" s="122" t="n">
        <x:v>4</x:v>
      </x:c>
      <x:c r="N254" s="122" t="n">
        <x:v>3</x:v>
      </x:c>
      <x:c r="O254" s="123" t="n">
        <x:f>ROUND(G254/5*$X$2+H254/5*$X$3+I254/5*$X$4+J254/5*$X$5+K254/5*$X$6+L254/5*$X$7+M254/5*$X$8-N254/5*$X$9,1)</x:f>
        <x:v>52</x:v>
      </x:c>
      <x:c r="P254" s="119" t="str">
        <x:f>IF(O254&gt;=$X$12,"Foundational deep pass",IF(O254&gt;=$X$13,"Major deep pass",IF(O254&gt;=$X$14,"Targeted innovation pass",IF(O254&gt;=$X$15,"Sampling pass","Reference / defer"))))</x:f>
        <x:v>Targeted innovation pass</x:v>
      </x:c>
      <x:c r="Q254" s="120" t="str">
        <x:v>Game-system baseline</x:v>
      </x:c>
      <x:c r="R254" s="120" t="str">
        <x:v>Prioritize distinctive mechanics, transformations, adaptation operations, and setting innovations rather than complete class repetition.</x:v>
      </x:c>
      <x:c r="S254" s="120" t="str">
        <x:v>Heuristic baseline — editorial review required</x:v>
      </x:c>
      <x:c r="T254" s="120" t="str">
        <x:v>https://en.wikipedia.org/wiki/Golden_Sun</x:v>
      </x:c>
      <x:c r="U254" s="121" t="n">
        <x:v>46236</x:v>
      </x:c>
    </x:row>
    <x:row r="255" ht="46" customHeight="1">
      <x:c r="A255" s="119" t="n">
        <x:v>249</x:v>
      </x:c>
      <x:c r="B255" s="119" t="str">
        <x:v>SRC-159</x:v>
      </x:c>
      <x:c r="C255" s="120" t="str">
        <x:v>Gothic</x:v>
      </x:c>
      <x:c r="D255" s="120" t="str">
        <x:v>Video Game / Action RPG Franchise</x:v>
      </x:c>
      <x:c r="E255" s="120" t="str">
        <x:v>Germany</x:v>
      </x:c>
      <x:c r="F255" s="119" t="n">
        <x:f>COUNTIF('Seed Catalogue'!$C$2:$C$452,B255)</x:f>
        <x:v>0</x:v>
      </x:c>
      <x:c r="G255" s="122" t="n">
        <x:v>3</x:v>
      </x:c>
      <x:c r="H255" s="122" t="n">
        <x:v>3</x:v>
      </x:c>
      <x:c r="I255" s="122" t="n">
        <x:v>2</x:v>
      </x:c>
      <x:c r="J255" s="122" t="n">
        <x:v>4</x:v>
      </x:c>
      <x:c r="K255" s="122" t="n">
        <x:v>3</x:v>
      </x:c>
      <x:c r="L255" s="122" t="n">
        <x:v>4</x:v>
      </x:c>
      <x:c r="M255" s="122" t="n">
        <x:v>4</x:v>
      </x:c>
      <x:c r="N255" s="122" t="n">
        <x:v>3</x:v>
      </x:c>
      <x:c r="O255" s="123" t="n">
        <x:f>ROUND(G255/5*$X$2+H255/5*$X$3+I255/5*$X$4+J255/5*$X$5+K255/5*$X$6+L255/5*$X$7+M255/5*$X$8-N255/5*$X$9,1)</x:f>
        <x:v>52</x:v>
      </x:c>
      <x:c r="P255" s="119" t="str">
        <x:f>IF(O255&gt;=$X$12,"Foundational deep pass",IF(O255&gt;=$X$13,"Major deep pass",IF(O255&gt;=$X$14,"Targeted innovation pass",IF(O255&gt;=$X$15,"Sampling pass","Reference / defer"))))</x:f>
        <x:v>Targeted innovation pass</x:v>
      </x:c>
      <x:c r="Q255" s="120" t="str">
        <x:v>Game-system baseline</x:v>
      </x:c>
      <x:c r="R255" s="120" t="str">
        <x:v>Prioritize distinctive mechanics, transformations, adaptation operations, and setting innovations rather than complete class repetition.</x:v>
      </x:c>
      <x:c r="S255" s="120" t="str">
        <x:v>Heuristic baseline — editorial review required</x:v>
      </x:c>
      <x:c r="T255" s="120" t="str">
        <x:v>https://en.wikipedia.org/wiki/Gothic</x:v>
      </x:c>
      <x:c r="U255" s="121" t="n">
        <x:v>46236</x:v>
      </x:c>
    </x:row>
    <x:row r="256" ht="46" customHeight="1">
      <x:c r="A256" s="119" t="n">
        <x:v>250</x:v>
      </x:c>
      <x:c r="B256" s="119" t="str">
        <x:v>SRC-193</x:v>
      </x:c>
      <x:c r="C256" s="120" t="str">
        <x:v>Hades</x:v>
      </x:c>
      <x:c r="D256" s="120" t="str">
        <x:v>Video Game / Action Roguelike</x:v>
      </x:c>
      <x:c r="E256" s="120" t="str">
        <x:v>United States</x:v>
      </x:c>
      <x:c r="F256" s="119" t="n">
        <x:f>COUNTIF('Seed Catalogue'!$C$2:$C$452,B256)</x:f>
        <x:v>0</x:v>
      </x:c>
      <x:c r="G256" s="122" t="n">
        <x:v>3</x:v>
      </x:c>
      <x:c r="H256" s="122" t="n">
        <x:v>3</x:v>
      </x:c>
      <x:c r="I256" s="122" t="n">
        <x:v>2</x:v>
      </x:c>
      <x:c r="J256" s="122" t="n">
        <x:v>4</x:v>
      </x:c>
      <x:c r="K256" s="122" t="n">
        <x:v>3</x:v>
      </x:c>
      <x:c r="L256" s="122" t="n">
        <x:v>4</x:v>
      </x:c>
      <x:c r="M256" s="122" t="n">
        <x:v>4</x:v>
      </x:c>
      <x:c r="N256" s="122" t="n">
        <x:v>3</x:v>
      </x:c>
      <x:c r="O256" s="123" t="n">
        <x:f>ROUND(G256/5*$X$2+H256/5*$X$3+I256/5*$X$4+J256/5*$X$5+K256/5*$X$6+L256/5*$X$7+M256/5*$X$8-N256/5*$X$9,1)</x:f>
        <x:v>52</x:v>
      </x:c>
      <x:c r="P256" s="119" t="str">
        <x:f>IF(O256&gt;=$X$12,"Foundational deep pass",IF(O256&gt;=$X$13,"Major deep pass",IF(O256&gt;=$X$14,"Targeted innovation pass",IF(O256&gt;=$X$15,"Sampling pass","Reference / defer"))))</x:f>
        <x:v>Targeted innovation pass</x:v>
      </x:c>
      <x:c r="Q256" s="120" t="str">
        <x:v>Game-system baseline</x:v>
      </x:c>
      <x:c r="R256" s="120" t="str">
        <x:v>Prioritize distinctive mechanics, transformations, adaptation operations, and setting innovations rather than complete class repetition.</x:v>
      </x:c>
      <x:c r="S256" s="120" t="str">
        <x:v>Heuristic baseline — editorial review required</x:v>
      </x:c>
      <x:c r="T256" s="120" t="str">
        <x:v>https://en.wikipedia.org/wiki/Hades</x:v>
      </x:c>
      <x:c r="U256" s="121" t="n">
        <x:v>46236</x:v>
      </x:c>
    </x:row>
    <x:row r="257" ht="46" customHeight="1">
      <x:c r="A257" s="119" t="n">
        <x:v>251</x:v>
      </x:c>
      <x:c r="B257" s="119" t="str">
        <x:v>SRC-121</x:v>
      </x:c>
      <x:c r="C257" s="120" t="str">
        <x:v>HeroQuest</x:v>
      </x:c>
      <x:c r="D257" s="120" t="str">
        <x:v>Board Game / Dungeon Crawl</x:v>
      </x:c>
      <x:c r="E257" s="120" t="str">
        <x:v>Britain / United States</x:v>
      </x:c>
      <x:c r="F257" s="119" t="n">
        <x:f>COUNTIF('Seed Catalogue'!$C$2:$C$452,B257)</x:f>
        <x:v>0</x:v>
      </x:c>
      <x:c r="G257" s="122" t="n">
        <x:v>3</x:v>
      </x:c>
      <x:c r="H257" s="122" t="n">
        <x:v>3</x:v>
      </x:c>
      <x:c r="I257" s="122" t="n">
        <x:v>2</x:v>
      </x:c>
      <x:c r="J257" s="122" t="n">
        <x:v>4</x:v>
      </x:c>
      <x:c r="K257" s="122" t="n">
        <x:v>3</x:v>
      </x:c>
      <x:c r="L257" s="122" t="n">
        <x:v>4</x:v>
      </x:c>
      <x:c r="M257" s="122" t="n">
        <x:v>4</x:v>
      </x:c>
      <x:c r="N257" s="122" t="n">
        <x:v>3</x:v>
      </x:c>
      <x:c r="O257" s="123" t="n">
        <x:f>ROUND(G257/5*$X$2+H257/5*$X$3+I257/5*$X$4+J257/5*$X$5+K257/5*$X$6+L257/5*$X$7+M257/5*$X$8-N257/5*$X$9,1)</x:f>
        <x:v>52</x:v>
      </x:c>
      <x:c r="P257" s="119" t="str">
        <x:f>IF(O257&gt;=$X$12,"Foundational deep pass",IF(O257&gt;=$X$13,"Major deep pass",IF(O257&gt;=$X$14,"Targeted innovation pass",IF(O257&gt;=$X$15,"Sampling pass","Reference / defer"))))</x:f>
        <x:v>Targeted innovation pass</x:v>
      </x:c>
      <x:c r="Q257" s="120" t="str">
        <x:v>Board-game baseline</x:v>
      </x:c>
      <x:c r="R257" s="120" t="str">
        <x:v>Extract asymmetric factions and distinctive mechanics; sample conventional unit roles.</x:v>
      </x:c>
      <x:c r="S257" s="120" t="str">
        <x:v>Heuristic baseline — editorial review required</x:v>
      </x:c>
      <x:c r="T257" s="120" t="str">
        <x:v>https://en.wikipedia.org/wiki/HeroQuest</x:v>
      </x:c>
      <x:c r="U257" s="121" t="n">
        <x:v>46236</x:v>
      </x:c>
    </x:row>
    <x:row r="258" ht="46" customHeight="1">
      <x:c r="A258" s="119" t="n">
        <x:v>252</x:v>
      </x:c>
      <x:c r="B258" s="119" t="str">
        <x:v>SRC-194</x:v>
      </x:c>
      <x:c r="C258" s="120" t="str">
        <x:v>Hollow Knight</x:v>
      </x:c>
      <x:c r="D258" s="120" t="str">
        <x:v>Video Game / Metroidvania</x:v>
      </x:c>
      <x:c r="E258" s="120" t="str">
        <x:v>Australia</x:v>
      </x:c>
      <x:c r="F258" s="119" t="n">
        <x:f>COUNTIF('Seed Catalogue'!$C$2:$C$452,B258)</x:f>
        <x:v>0</x:v>
      </x:c>
      <x:c r="G258" s="122" t="n">
        <x:v>3</x:v>
      </x:c>
      <x:c r="H258" s="122" t="n">
        <x:v>3</x:v>
      </x:c>
      <x:c r="I258" s="122" t="n">
        <x:v>2</x:v>
      </x:c>
      <x:c r="J258" s="122" t="n">
        <x:v>4</x:v>
      </x:c>
      <x:c r="K258" s="122" t="n">
        <x:v>3</x:v>
      </x:c>
      <x:c r="L258" s="122" t="n">
        <x:v>4</x:v>
      </x:c>
      <x:c r="M258" s="122" t="n">
        <x:v>4</x:v>
      </x:c>
      <x:c r="N258" s="122" t="n">
        <x:v>3</x:v>
      </x:c>
      <x:c r="O258" s="123" t="n">
        <x:f>ROUND(G258/5*$X$2+H258/5*$X$3+I258/5*$X$4+J258/5*$X$5+K258/5*$X$6+L258/5*$X$7+M258/5*$X$8-N258/5*$X$9,1)</x:f>
        <x:v>52</x:v>
      </x:c>
      <x:c r="P258" s="119" t="str">
        <x:f>IF(O258&gt;=$X$12,"Foundational deep pass",IF(O258&gt;=$X$13,"Major deep pass",IF(O258&gt;=$X$14,"Targeted innovation pass",IF(O258&gt;=$X$15,"Sampling pass","Reference / defer"))))</x:f>
        <x:v>Targeted innovation pass</x:v>
      </x:c>
      <x:c r="Q258" s="120" t="str">
        <x:v>Game-system baseline</x:v>
      </x:c>
      <x:c r="R258" s="120" t="str">
        <x:v>Prioritize distinctive mechanics, transformations, adaptation operations, and setting innovations rather than complete class repetition.</x:v>
      </x:c>
      <x:c r="S258" s="120" t="str">
        <x:v>Heuristic baseline — editorial review required</x:v>
      </x:c>
      <x:c r="T258" s="120" t="str">
        <x:v>https://en.wikipedia.org/wiki/Hollow_Knight</x:v>
      </x:c>
      <x:c r="U258" s="121" t="n">
        <x:v>46236</x:v>
      </x:c>
    </x:row>
    <x:row r="259" ht="46" customHeight="1">
      <x:c r="A259" s="119" t="n">
        <x:v>253</x:v>
      </x:c>
      <x:c r="B259" s="119" t="str">
        <x:v>SRC-140</x:v>
      </x:c>
      <x:c r="C259" s="120" t="str">
        <x:v>Icewind Dale</x:v>
      </x:c>
      <x:c r="D259" s="120" t="str">
        <x:v>Video Game / CRPG</x:v>
      </x:c>
      <x:c r="E259" s="120" t="str">
        <x:v>United States</x:v>
      </x:c>
      <x:c r="F259" s="119" t="n">
        <x:f>COUNTIF('Seed Catalogue'!$C$2:$C$452,B259)</x:f>
        <x:v>0</x:v>
      </x:c>
      <x:c r="G259" s="122" t="n">
        <x:v>3</x:v>
      </x:c>
      <x:c r="H259" s="122" t="n">
        <x:v>3</x:v>
      </x:c>
      <x:c r="I259" s="122" t="n">
        <x:v>2</x:v>
      </x:c>
      <x:c r="J259" s="122" t="n">
        <x:v>4</x:v>
      </x:c>
      <x:c r="K259" s="122" t="n">
        <x:v>3</x:v>
      </x:c>
      <x:c r="L259" s="122" t="n">
        <x:v>4</x:v>
      </x:c>
      <x:c r="M259" s="122" t="n">
        <x:v>4</x:v>
      </x:c>
      <x:c r="N259" s="122" t="n">
        <x:v>3</x:v>
      </x:c>
      <x:c r="O259" s="123" t="n">
        <x:f>ROUND(G259/5*$X$2+H259/5*$X$3+I259/5*$X$4+J259/5*$X$5+K259/5*$X$6+L259/5*$X$7+M259/5*$X$8-N259/5*$X$9,1)</x:f>
        <x:v>52</x:v>
      </x:c>
      <x:c r="P259" s="119" t="str">
        <x:f>IF(O259&gt;=$X$12,"Foundational deep pass",IF(O259&gt;=$X$13,"Major deep pass",IF(O259&gt;=$X$14,"Targeted innovation pass",IF(O259&gt;=$X$15,"Sampling pass","Reference / defer"))))</x:f>
        <x:v>Targeted innovation pass</x:v>
      </x:c>
      <x:c r="Q259" s="120" t="str">
        <x:v>Game-system baseline</x:v>
      </x:c>
      <x:c r="R259" s="120" t="str">
        <x:v>Prioritize distinctive mechanics, transformations, adaptation operations, and setting innovations rather than complete class repetition.</x:v>
      </x:c>
      <x:c r="S259" s="120" t="str">
        <x:v>Heuristic baseline — editorial review required</x:v>
      </x:c>
      <x:c r="T259" s="120" t="str">
        <x:v>https://en.wikipedia.org/wiki/Icewind_Dale</x:v>
      </x:c>
      <x:c r="U259" s="121" t="n">
        <x:v>46236</x:v>
      </x:c>
    </x:row>
    <x:row r="260" ht="46" customHeight="1">
      <x:c r="A260" s="119" t="n">
        <x:v>254</x:v>
      </x:c>
      <x:c r="B260" s="119" t="str">
        <x:v>SRC-165</x:v>
      </x:c>
      <x:c r="C260" s="120" t="str">
        <x:v>Lineage</x:v>
      </x:c>
      <x:c r="D260" s="120" t="str">
        <x:v>Video Game / MMORPG Franchise</x:v>
      </x:c>
      <x:c r="E260" s="120" t="str">
        <x:v>South Korea</x:v>
      </x:c>
      <x:c r="F260" s="119" t="n">
        <x:f>COUNTIF('Seed Catalogue'!$C$2:$C$452,B260)</x:f>
        <x:v>0</x:v>
      </x:c>
      <x:c r="G260" s="122" t="n">
        <x:v>3</x:v>
      </x:c>
      <x:c r="H260" s="122" t="n">
        <x:v>3</x:v>
      </x:c>
      <x:c r="I260" s="122" t="n">
        <x:v>2</x:v>
      </x:c>
      <x:c r="J260" s="122" t="n">
        <x:v>4</x:v>
      </x:c>
      <x:c r="K260" s="122" t="n">
        <x:v>3</x:v>
      </x:c>
      <x:c r="L260" s="122" t="n">
        <x:v>4</x:v>
      </x:c>
      <x:c r="M260" s="122" t="n">
        <x:v>4</x:v>
      </x:c>
      <x:c r="N260" s="122" t="n">
        <x:v>3</x:v>
      </x:c>
      <x:c r="O260" s="123" t="n">
        <x:f>ROUND(G260/5*$X$2+H260/5*$X$3+I260/5*$X$4+J260/5*$X$5+K260/5*$X$6+L260/5*$X$7+M260/5*$X$8-N260/5*$X$9,1)</x:f>
        <x:v>52</x:v>
      </x:c>
      <x:c r="P260" s="119" t="str">
        <x:f>IF(O260&gt;=$X$12,"Foundational deep pass",IF(O260&gt;=$X$13,"Major deep pass",IF(O260&gt;=$X$14,"Targeted innovation pass",IF(O260&gt;=$X$15,"Sampling pass","Reference / defer"))))</x:f>
        <x:v>Targeted innovation pass</x:v>
      </x:c>
      <x:c r="Q260" s="120" t="str">
        <x:v>Game-system baseline</x:v>
      </x:c>
      <x:c r="R260" s="120" t="str">
        <x:v>Prioritize distinctive mechanics, transformations, adaptation operations, and setting innovations rather than complete class repetition.</x:v>
      </x:c>
      <x:c r="S260" s="120" t="str">
        <x:v>Heuristic baseline — editorial review required</x:v>
      </x:c>
      <x:c r="T260" s="120" t="str">
        <x:v>https://en.wikipedia.org/wiki/Lineage</x:v>
      </x:c>
      <x:c r="U260" s="121" t="n">
        <x:v>46236</x:v>
      </x:c>
    </x:row>
    <x:row r="261" ht="46" customHeight="1">
      <x:c r="A261" s="119" t="n">
        <x:v>255</x:v>
      </x:c>
      <x:c r="B261" s="119" t="str">
        <x:v>SRC-167</x:v>
      </x:c>
      <x:c r="C261" s="120" t="str">
        <x:v>Lost Ark</x:v>
      </x:c>
      <x:c r="D261" s="120" t="str">
        <x:v>Video Game / MMORPG / Action RPG</x:v>
      </x:c>
      <x:c r="E261" s="120" t="str">
        <x:v>South Korea</x:v>
      </x:c>
      <x:c r="F261" s="119" t="n">
        <x:f>COUNTIF('Seed Catalogue'!$C$2:$C$452,B261)</x:f>
        <x:v>0</x:v>
      </x:c>
      <x:c r="G261" s="122" t="n">
        <x:v>3</x:v>
      </x:c>
      <x:c r="H261" s="122" t="n">
        <x:v>3</x:v>
      </x:c>
      <x:c r="I261" s="122" t="n">
        <x:v>2</x:v>
      </x:c>
      <x:c r="J261" s="122" t="n">
        <x:v>4</x:v>
      </x:c>
      <x:c r="K261" s="122" t="n">
        <x:v>3</x:v>
      </x:c>
      <x:c r="L261" s="122" t="n">
        <x:v>4</x:v>
      </x:c>
      <x:c r="M261" s="122" t="n">
        <x:v>4</x:v>
      </x:c>
      <x:c r="N261" s="122" t="n">
        <x:v>3</x:v>
      </x:c>
      <x:c r="O261" s="123" t="n">
        <x:f>ROUND(G261/5*$X$2+H261/5*$X$3+I261/5*$X$4+J261/5*$X$5+K261/5*$X$6+L261/5*$X$7+M261/5*$X$8-N261/5*$X$9,1)</x:f>
        <x:v>52</x:v>
      </x:c>
      <x:c r="P261" s="119" t="str">
        <x:f>IF(O261&gt;=$X$12,"Foundational deep pass",IF(O261&gt;=$X$13,"Major deep pass",IF(O261&gt;=$X$14,"Targeted innovation pass",IF(O261&gt;=$X$15,"Sampling pass","Reference / defer"))))</x:f>
        <x:v>Targeted innovation pass</x:v>
      </x:c>
      <x:c r="Q261" s="120" t="str">
        <x:v>Game-system baseline</x:v>
      </x:c>
      <x:c r="R261" s="120" t="str">
        <x:v>Prioritize distinctive mechanics, transformations, adaptation operations, and setting innovations rather than complete class repetition.</x:v>
      </x:c>
      <x:c r="S261" s="120" t="str">
        <x:v>Heuristic baseline — editorial review required</x:v>
      </x:c>
      <x:c r="T261" s="120" t="str">
        <x:v>https://en.wikipedia.org/wiki/Lost_Ark</x:v>
      </x:c>
      <x:c r="U261" s="121" t="n">
        <x:v>46236</x:v>
      </x:c>
    </x:row>
    <x:row r="262" ht="46" customHeight="1">
      <x:c r="A262" s="119" t="n">
        <x:v>256</x:v>
      </x:c>
      <x:c r="B262" s="119" t="str">
        <x:v>SRC-123</x:v>
      </x:c>
      <x:c r="C262" s="120" t="str">
        <x:v>Mage Knight</x:v>
      </x:c>
      <x:c r="D262" s="120" t="str">
        <x:v>Board Game</x:v>
      </x:c>
      <x:c r="E262" s="120" t="str">
        <x:v>Czech Republic / United States</x:v>
      </x:c>
      <x:c r="F262" s="119" t="n">
        <x:f>COUNTIF('Seed Catalogue'!$C$2:$C$452,B262)</x:f>
        <x:v>0</x:v>
      </x:c>
      <x:c r="G262" s="122" t="n">
        <x:v>3</x:v>
      </x:c>
      <x:c r="H262" s="122" t="n">
        <x:v>3</x:v>
      </x:c>
      <x:c r="I262" s="122" t="n">
        <x:v>2</x:v>
      </x:c>
      <x:c r="J262" s="122" t="n">
        <x:v>4</x:v>
      </x:c>
      <x:c r="K262" s="122" t="n">
        <x:v>3</x:v>
      </x:c>
      <x:c r="L262" s="122" t="n">
        <x:v>4</x:v>
      </x:c>
      <x:c r="M262" s="122" t="n">
        <x:v>4</x:v>
      </x:c>
      <x:c r="N262" s="122" t="n">
        <x:v>3</x:v>
      </x:c>
      <x:c r="O262" s="123" t="n">
        <x:f>ROUND(G262/5*$X$2+H262/5*$X$3+I262/5*$X$4+J262/5*$X$5+K262/5*$X$6+L262/5*$X$7+M262/5*$X$8-N262/5*$X$9,1)</x:f>
        <x:v>52</x:v>
      </x:c>
      <x:c r="P262" s="119" t="str">
        <x:f>IF(O262&gt;=$X$12,"Foundational deep pass",IF(O262&gt;=$X$13,"Major deep pass",IF(O262&gt;=$X$14,"Targeted innovation pass",IF(O262&gt;=$X$15,"Sampling pass","Reference / defer"))))</x:f>
        <x:v>Targeted innovation pass</x:v>
      </x:c>
      <x:c r="Q262" s="120" t="str">
        <x:v>Board-game baseline</x:v>
      </x:c>
      <x:c r="R262" s="120" t="str">
        <x:v>Extract asymmetric factions and distinctive mechanics; sample conventional unit roles.</x:v>
      </x:c>
      <x:c r="S262" s="120" t="str">
        <x:v>Heuristic baseline — editorial review required</x:v>
      </x:c>
      <x:c r="T262" s="120" t="str">
        <x:v>https://en.wikipedia.org/wiki/Mage_Knight</x:v>
      </x:c>
      <x:c r="U262" s="121" t="n">
        <x:v>46236</x:v>
      </x:c>
    </x:row>
    <x:row r="263" ht="46" customHeight="1">
      <x:c r="A263" s="119" t="n">
        <x:v>257</x:v>
      </x:c>
      <x:c r="B263" s="119" t="str">
        <x:v>SRC-184</x:v>
      </x:c>
      <x:c r="C263" s="120" t="str">
        <x:v>Mana Series</x:v>
      </x:c>
      <x:c r="D263" s="120" t="str">
        <x:v>Video Game / Action RPG Franchise</x:v>
      </x:c>
      <x:c r="E263" s="120" t="str">
        <x:v>Japan</x:v>
      </x:c>
      <x:c r="F263" s="119" t="n">
        <x:f>COUNTIF('Seed Catalogue'!$C$2:$C$452,B263)</x:f>
        <x:v>0</x:v>
      </x:c>
      <x:c r="G263" s="122" t="n">
        <x:v>3</x:v>
      </x:c>
      <x:c r="H263" s="122" t="n">
        <x:v>3</x:v>
      </x:c>
      <x:c r="I263" s="122" t="n">
        <x:v>2</x:v>
      </x:c>
      <x:c r="J263" s="122" t="n">
        <x:v>4</x:v>
      </x:c>
      <x:c r="K263" s="122" t="n">
        <x:v>3</x:v>
      </x:c>
      <x:c r="L263" s="122" t="n">
        <x:v>4</x:v>
      </x:c>
      <x:c r="M263" s="122" t="n">
        <x:v>4</x:v>
      </x:c>
      <x:c r="N263" s="122" t="n">
        <x:v>3</x:v>
      </x:c>
      <x:c r="O263" s="123" t="n">
        <x:f>ROUND(G263/5*$X$2+H263/5*$X$3+I263/5*$X$4+J263/5*$X$5+K263/5*$X$6+L263/5*$X$7+M263/5*$X$8-N263/5*$X$9,1)</x:f>
        <x:v>52</x:v>
      </x:c>
      <x:c r="P263" s="119" t="str">
        <x:f>IF(O263&gt;=$X$12,"Foundational deep pass",IF(O263&gt;=$X$13,"Major deep pass",IF(O263&gt;=$X$14,"Targeted innovation pass",IF(O263&gt;=$X$15,"Sampling pass","Reference / defer"))))</x:f>
        <x:v>Targeted innovation pass</x:v>
      </x:c>
      <x:c r="Q263" s="120" t="str">
        <x:v>Game-system baseline</x:v>
      </x:c>
      <x:c r="R263" s="120" t="str">
        <x:v>Prioritize distinctive mechanics, transformations, adaptation operations, and setting innovations rather than complete class repetition.</x:v>
      </x:c>
      <x:c r="S263" s="120" t="str">
        <x:v>Heuristic baseline — editorial review required</x:v>
      </x:c>
      <x:c r="T263" s="120" t="str">
        <x:v>https://en.wikipedia.org/wiki/Mana_Series</x:v>
      </x:c>
      <x:c r="U263" s="121" t="n">
        <x:v>46236</x:v>
      </x:c>
    </x:row>
    <x:row r="264" ht="46" customHeight="1">
      <x:c r="A264" s="119" t="n">
        <x:v>258</x:v>
      </x:c>
      <x:c r="B264" s="119" t="str">
        <x:v>SRC-142</x:v>
      </x:c>
      <x:c r="C264" s="120" t="str">
        <x:v>Neverwinter Nights</x:v>
      </x:c>
      <x:c r="D264" s="120" t="str">
        <x:v>Video Game / CRPG</x:v>
      </x:c>
      <x:c r="E264" s="120" t="str">
        <x:v>Canada</x:v>
      </x:c>
      <x:c r="F264" s="119" t="n">
        <x:f>COUNTIF('Seed Catalogue'!$C$2:$C$452,B264)</x:f>
        <x:v>0</x:v>
      </x:c>
      <x:c r="G264" s="122" t="n">
        <x:v>3</x:v>
      </x:c>
      <x:c r="H264" s="122" t="n">
        <x:v>3</x:v>
      </x:c>
      <x:c r="I264" s="122" t="n">
        <x:v>2</x:v>
      </x:c>
      <x:c r="J264" s="122" t="n">
        <x:v>4</x:v>
      </x:c>
      <x:c r="K264" s="122" t="n">
        <x:v>3</x:v>
      </x:c>
      <x:c r="L264" s="122" t="n">
        <x:v>4</x:v>
      </x:c>
      <x:c r="M264" s="122" t="n">
        <x:v>4</x:v>
      </x:c>
      <x:c r="N264" s="122" t="n">
        <x:v>3</x:v>
      </x:c>
      <x:c r="O264" s="123" t="n">
        <x:f>ROUND(G264/5*$X$2+H264/5*$X$3+I264/5*$X$4+J264/5*$X$5+K264/5*$X$6+L264/5*$X$7+M264/5*$X$8-N264/5*$X$9,1)</x:f>
        <x:v>52</x:v>
      </x:c>
      <x:c r="P264" s="119" t="str">
        <x:f>IF(O264&gt;=$X$12,"Foundational deep pass",IF(O264&gt;=$X$13,"Major deep pass",IF(O264&gt;=$X$14,"Targeted innovation pass",IF(O264&gt;=$X$15,"Sampling pass","Reference / defer"))))</x:f>
        <x:v>Targeted innovation pass</x:v>
      </x:c>
      <x:c r="Q264" s="120" t="str">
        <x:v>Game-system baseline</x:v>
      </x:c>
      <x:c r="R264" s="120" t="str">
        <x:v>Prioritize distinctive mechanics, transformations, adaptation operations, and setting innovations rather than complete class repetition.</x:v>
      </x:c>
      <x:c r="S264" s="120" t="str">
        <x:v>Heuristic baseline — editorial review required</x:v>
      </x:c>
      <x:c r="T264" s="120" t="str">
        <x:v>https://en.wikipedia.org/wiki/Neverwinter_Nights</x:v>
      </x:c>
      <x:c r="U264" s="121" t="n">
        <x:v>46236</x:v>
      </x:c>
    </x:row>
    <x:row r="265" ht="46" customHeight="1">
      <x:c r="A265" s="119" t="n">
        <x:v>259</x:v>
      </x:c>
      <x:c r="B265" s="119" t="str">
        <x:v>SRC-185</x:v>
      </x:c>
      <x:c r="C265" s="120" t="str">
        <x:v>Ni no Kuni</x:v>
      </x:c>
      <x:c r="D265" s="120" t="str">
        <x:v>Video Game / JRPG Franchise</x:v>
      </x:c>
      <x:c r="E265" s="120" t="str">
        <x:v>Japan</x:v>
      </x:c>
      <x:c r="F265" s="119" t="n">
        <x:f>COUNTIF('Seed Catalogue'!$C$2:$C$452,B265)</x:f>
        <x:v>0</x:v>
      </x:c>
      <x:c r="G265" s="122" t="n">
        <x:v>3</x:v>
      </x:c>
      <x:c r="H265" s="122" t="n">
        <x:v>3</x:v>
      </x:c>
      <x:c r="I265" s="122" t="n">
        <x:v>2</x:v>
      </x:c>
      <x:c r="J265" s="122" t="n">
        <x:v>4</x:v>
      </x:c>
      <x:c r="K265" s="122" t="n">
        <x:v>3</x:v>
      </x:c>
      <x:c r="L265" s="122" t="n">
        <x:v>4</x:v>
      </x:c>
      <x:c r="M265" s="122" t="n">
        <x:v>4</x:v>
      </x:c>
      <x:c r="N265" s="122" t="n">
        <x:v>3</x:v>
      </x:c>
      <x:c r="O265" s="123" t="n">
        <x:f>ROUND(G265/5*$X$2+H265/5*$X$3+I265/5*$X$4+J265/5*$X$5+K265/5*$X$6+L265/5*$X$7+M265/5*$X$8-N265/5*$X$9,1)</x:f>
        <x:v>52</x:v>
      </x:c>
      <x:c r="P265" s="119" t="str">
        <x:f>IF(O265&gt;=$X$12,"Foundational deep pass",IF(O265&gt;=$X$13,"Major deep pass",IF(O265&gt;=$X$14,"Targeted innovation pass",IF(O265&gt;=$X$15,"Sampling pass","Reference / defer"))))</x:f>
        <x:v>Targeted innovation pass</x:v>
      </x:c>
      <x:c r="Q265" s="120" t="str">
        <x:v>Game-system baseline</x:v>
      </x:c>
      <x:c r="R265" s="120" t="str">
        <x:v>Prioritize distinctive mechanics, transformations, adaptation operations, and setting innovations rather than complete class repetition.</x:v>
      </x:c>
      <x:c r="S265" s="120" t="str">
        <x:v>Heuristic baseline — editorial review required</x:v>
      </x:c>
      <x:c r="T265" s="120" t="str">
        <x:v>https://en.wikipedia.org/wiki/Ni_no_Kuni</x:v>
      </x:c>
      <x:c r="U265" s="121" t="n">
        <x:v>46236</x:v>
      </x:c>
    </x:row>
    <x:row r="266" ht="46" customHeight="1">
      <x:c r="A266" s="119" t="n">
        <x:v>260</x:v>
      </x:c>
      <x:c r="B266" s="119" t="str">
        <x:v>SRC-179</x:v>
      </x:c>
      <x:c r="C266" s="120" t="str">
        <x:v>Octopath Traveler</x:v>
      </x:c>
      <x:c r="D266" s="120" t="str">
        <x:v>Video Game / JRPG Franchise</x:v>
      </x:c>
      <x:c r="E266" s="120" t="str">
        <x:v>Japan</x:v>
      </x:c>
      <x:c r="F266" s="119" t="n">
        <x:f>COUNTIF('Seed Catalogue'!$C$2:$C$452,B266)</x:f>
        <x:v>0</x:v>
      </x:c>
      <x:c r="G266" s="122" t="n">
        <x:v>3</x:v>
      </x:c>
      <x:c r="H266" s="122" t="n">
        <x:v>3</x:v>
      </x:c>
      <x:c r="I266" s="122" t="n">
        <x:v>2</x:v>
      </x:c>
      <x:c r="J266" s="122" t="n">
        <x:v>4</x:v>
      </x:c>
      <x:c r="K266" s="122" t="n">
        <x:v>3</x:v>
      </x:c>
      <x:c r="L266" s="122" t="n">
        <x:v>4</x:v>
      </x:c>
      <x:c r="M266" s="122" t="n">
        <x:v>4</x:v>
      </x:c>
      <x:c r="N266" s="122" t="n">
        <x:v>3</x:v>
      </x:c>
      <x:c r="O266" s="123" t="n">
        <x:f>ROUND(G266/5*$X$2+H266/5*$X$3+I266/5*$X$4+J266/5*$X$5+K266/5*$X$6+L266/5*$X$7+M266/5*$X$8-N266/5*$X$9,1)</x:f>
        <x:v>52</x:v>
      </x:c>
      <x:c r="P266" s="119" t="str">
        <x:f>IF(O266&gt;=$X$12,"Foundational deep pass",IF(O266&gt;=$X$13,"Major deep pass",IF(O266&gt;=$X$14,"Targeted innovation pass",IF(O266&gt;=$X$15,"Sampling pass","Reference / defer"))))</x:f>
        <x:v>Targeted innovation pass</x:v>
      </x:c>
      <x:c r="Q266" s="120" t="str">
        <x:v>Game-system baseline</x:v>
      </x:c>
      <x:c r="R266" s="120" t="str">
        <x:v>Prioritize distinctive mechanics, transformations, adaptation operations, and setting innovations rather than complete class repetition.</x:v>
      </x:c>
      <x:c r="S266" s="120" t="str">
        <x:v>Heuristic baseline — editorial review required</x:v>
      </x:c>
      <x:c r="T266" s="120" t="str">
        <x:v>https://en.wikipedia.org/wiki/Octopath_Traveler</x:v>
      </x:c>
      <x:c r="U266" s="121" t="n">
        <x:v>46236</x:v>
      </x:c>
    </x:row>
    <x:row r="267" ht="46" customHeight="1">
      <x:c r="A267" s="119" t="n">
        <x:v>261</x:v>
      </x:c>
      <x:c r="B267" s="119" t="str">
        <x:v>SRC-146</x:v>
      </x:c>
      <x:c r="C267" s="120" t="str">
        <x:v>Pathfinder: Kingmaker</x:v>
      </x:c>
      <x:c r="D267" s="120" t="str">
        <x:v>Video Game / CRPG</x:v>
      </x:c>
      <x:c r="E267" s="120" t="str">
        <x:v>Russia / Cyprus</x:v>
      </x:c>
      <x:c r="F267" s="119" t="n">
        <x:f>COUNTIF('Seed Catalogue'!$C$2:$C$452,B267)</x:f>
        <x:v>0</x:v>
      </x:c>
      <x:c r="G267" s="122" t="n">
        <x:v>3</x:v>
      </x:c>
      <x:c r="H267" s="122" t="n">
        <x:v>3</x:v>
      </x:c>
      <x:c r="I267" s="122" t="n">
        <x:v>2</x:v>
      </x:c>
      <x:c r="J267" s="122" t="n">
        <x:v>4</x:v>
      </x:c>
      <x:c r="K267" s="122" t="n">
        <x:v>3</x:v>
      </x:c>
      <x:c r="L267" s="122" t="n">
        <x:v>4</x:v>
      </x:c>
      <x:c r="M267" s="122" t="n">
        <x:v>4</x:v>
      </x:c>
      <x:c r="N267" s="122" t="n">
        <x:v>3</x:v>
      </x:c>
      <x:c r="O267" s="123" t="n">
        <x:f>ROUND(G267/5*$X$2+H267/5*$X$3+I267/5*$X$4+J267/5*$X$5+K267/5*$X$6+L267/5*$X$7+M267/5*$X$8-N267/5*$X$9,1)</x:f>
        <x:v>52</x:v>
      </x:c>
      <x:c r="P267" s="119" t="str">
        <x:f>IF(O267&gt;=$X$12,"Foundational deep pass",IF(O267&gt;=$X$13,"Major deep pass",IF(O267&gt;=$X$14,"Targeted innovation pass",IF(O267&gt;=$X$15,"Sampling pass","Reference / defer"))))</x:f>
        <x:v>Targeted innovation pass</x:v>
      </x:c>
      <x:c r="Q267" s="120" t="str">
        <x:v>Game-system baseline</x:v>
      </x:c>
      <x:c r="R267" s="120" t="str">
        <x:v>Prioritize distinctive mechanics, transformations, adaptation operations, and setting innovations rather than complete class repetition.</x:v>
      </x:c>
      <x:c r="S267" s="120" t="str">
        <x:v>Heuristic baseline — editorial review required</x:v>
      </x:c>
      <x:c r="T267" s="120" t="str">
        <x:v>https://en.wikipedia.org/wiki/Pathfinder:_Kingmaker</x:v>
      </x:c>
      <x:c r="U267" s="121" t="n">
        <x:v>46236</x:v>
      </x:c>
    </x:row>
    <x:row r="268" ht="46" customHeight="1">
      <x:c r="A268" s="119" t="n">
        <x:v>262</x:v>
      </x:c>
      <x:c r="B268" s="119" t="str">
        <x:v>SRC-164</x:v>
      </x:c>
      <x:c r="C268" s="120" t="str">
        <x:v>RuneScape</x:v>
      </x:c>
      <x:c r="D268" s="120" t="str">
        <x:v>Video Game / MMORPG</x:v>
      </x:c>
      <x:c r="E268" s="120" t="str">
        <x:v>Britain</x:v>
      </x:c>
      <x:c r="F268" s="119" t="n">
        <x:f>COUNTIF('Seed Catalogue'!$C$2:$C$452,B268)</x:f>
        <x:v>0</x:v>
      </x:c>
      <x:c r="G268" s="122" t="n">
        <x:v>3</x:v>
      </x:c>
      <x:c r="H268" s="122" t="n">
        <x:v>3</x:v>
      </x:c>
      <x:c r="I268" s="122" t="n">
        <x:v>2</x:v>
      </x:c>
      <x:c r="J268" s="122" t="n">
        <x:v>4</x:v>
      </x:c>
      <x:c r="K268" s="122" t="n">
        <x:v>3</x:v>
      </x:c>
      <x:c r="L268" s="122" t="n">
        <x:v>4</x:v>
      </x:c>
      <x:c r="M268" s="122" t="n">
        <x:v>4</x:v>
      </x:c>
      <x:c r="N268" s="122" t="n">
        <x:v>3</x:v>
      </x:c>
      <x:c r="O268" s="123" t="n">
        <x:f>ROUND(G268/5*$X$2+H268/5*$X$3+I268/5*$X$4+J268/5*$X$5+K268/5*$X$6+L268/5*$X$7+M268/5*$X$8-N268/5*$X$9,1)</x:f>
        <x:v>52</x:v>
      </x:c>
      <x:c r="P268" s="119" t="str">
        <x:f>IF(O268&gt;=$X$12,"Foundational deep pass",IF(O268&gt;=$X$13,"Major deep pass",IF(O268&gt;=$X$14,"Targeted innovation pass",IF(O268&gt;=$X$15,"Sampling pass","Reference / defer"))))</x:f>
        <x:v>Targeted innovation pass</x:v>
      </x:c>
      <x:c r="Q268" s="120" t="str">
        <x:v>Game-system baseline</x:v>
      </x:c>
      <x:c r="R268" s="120" t="str">
        <x:v>Prioritize distinctive mechanics, transformations, adaptation operations, and setting innovations rather than complete class repetition.</x:v>
      </x:c>
      <x:c r="S268" s="120" t="str">
        <x:v>Heuristic baseline — editorial review required</x:v>
      </x:c>
      <x:c r="T268" s="120" t="str">
        <x:v>https://en.wikipedia.org/wiki/RuneScape</x:v>
      </x:c>
      <x:c r="U268" s="121" t="n">
        <x:v>46236</x:v>
      </x:c>
    </x:row>
    <x:row r="269" ht="46" customHeight="1">
      <x:c r="A269" s="119" t="n">
        <x:v>263</x:v>
      </x:c>
      <x:c r="B269" s="119" t="str">
        <x:v>SRC-183</x:v>
      </x:c>
      <x:c r="C269" s="120" t="str">
        <x:v>SaGa</x:v>
      </x:c>
      <x:c r="D269" s="120" t="str">
        <x:v>Video Game / JRPG Franchise</x:v>
      </x:c>
      <x:c r="E269" s="120" t="str">
        <x:v>Japan</x:v>
      </x:c>
      <x:c r="F269" s="119" t="n">
        <x:f>COUNTIF('Seed Catalogue'!$C$2:$C$452,B269)</x:f>
        <x:v>0</x:v>
      </x:c>
      <x:c r="G269" s="122" t="n">
        <x:v>3</x:v>
      </x:c>
      <x:c r="H269" s="122" t="n">
        <x:v>3</x:v>
      </x:c>
      <x:c r="I269" s="122" t="n">
        <x:v>2</x:v>
      </x:c>
      <x:c r="J269" s="122" t="n">
        <x:v>4</x:v>
      </x:c>
      <x:c r="K269" s="122" t="n">
        <x:v>3</x:v>
      </x:c>
      <x:c r="L269" s="122" t="n">
        <x:v>4</x:v>
      </x:c>
      <x:c r="M269" s="122" t="n">
        <x:v>4</x:v>
      </x:c>
      <x:c r="N269" s="122" t="n">
        <x:v>3</x:v>
      </x:c>
      <x:c r="O269" s="123" t="n">
        <x:f>ROUND(G269/5*$X$2+H269/5*$X$3+I269/5*$X$4+J269/5*$X$5+K269/5*$X$6+L269/5*$X$7+M269/5*$X$8-N269/5*$X$9,1)</x:f>
        <x:v>52</x:v>
      </x:c>
      <x:c r="P269" s="119" t="str">
        <x:f>IF(O269&gt;=$X$12,"Foundational deep pass",IF(O269&gt;=$X$13,"Major deep pass",IF(O269&gt;=$X$14,"Targeted innovation pass",IF(O269&gt;=$X$15,"Sampling pass","Reference / defer"))))</x:f>
        <x:v>Targeted innovation pass</x:v>
      </x:c>
      <x:c r="Q269" s="120" t="str">
        <x:v>Game-system baseline</x:v>
      </x:c>
      <x:c r="R269" s="120" t="str">
        <x:v>Prioritize distinctive mechanics, transformations, adaptation operations, and setting innovations rather than complete class repetition.</x:v>
      </x:c>
      <x:c r="S269" s="120" t="str">
        <x:v>Heuristic baseline — editorial review required</x:v>
      </x:c>
      <x:c r="T269" s="120" t="str">
        <x:v>https://en.wikipedia.org/wiki/SaGa</x:v>
      </x:c>
      <x:c r="U269" s="121" t="n">
        <x:v>46236</x:v>
      </x:c>
    </x:row>
    <x:row r="270" ht="46" customHeight="1">
      <x:c r="A270" s="119" t="n">
        <x:v>264</x:v>
      </x:c>
      <x:c r="B270" s="119" t="str">
        <x:v>SRC-192</x:v>
      </x:c>
      <x:c r="C270" s="120" t="str">
        <x:v>Shadowrun Returns Trilogy</x:v>
      </x:c>
      <x:c r="D270" s="120" t="str">
        <x:v>Video Game / Tactical CRPG</x:v>
      </x:c>
      <x:c r="E270" s="120" t="str">
        <x:v>United States</x:v>
      </x:c>
      <x:c r="F270" s="119" t="n">
        <x:f>COUNTIF('Seed Catalogue'!$C$2:$C$452,B270)</x:f>
        <x:v>0</x:v>
      </x:c>
      <x:c r="G270" s="122" t="n">
        <x:v>3</x:v>
      </x:c>
      <x:c r="H270" s="122" t="n">
        <x:v>3</x:v>
      </x:c>
      <x:c r="I270" s="122" t="n">
        <x:v>2</x:v>
      </x:c>
      <x:c r="J270" s="122" t="n">
        <x:v>4</x:v>
      </x:c>
      <x:c r="K270" s="122" t="n">
        <x:v>3</x:v>
      </x:c>
      <x:c r="L270" s="122" t="n">
        <x:v>4</x:v>
      </x:c>
      <x:c r="M270" s="122" t="n">
        <x:v>4</x:v>
      </x:c>
      <x:c r="N270" s="122" t="n">
        <x:v>3</x:v>
      </x:c>
      <x:c r="O270" s="123" t="n">
        <x:f>ROUND(G270/5*$X$2+H270/5*$X$3+I270/5*$X$4+J270/5*$X$5+K270/5*$X$6+L270/5*$X$7+M270/5*$X$8-N270/5*$X$9,1)</x:f>
        <x:v>52</x:v>
      </x:c>
      <x:c r="P270" s="119" t="str">
        <x:f>IF(O270&gt;=$X$12,"Foundational deep pass",IF(O270&gt;=$X$13,"Major deep pass",IF(O270&gt;=$X$14,"Targeted innovation pass",IF(O270&gt;=$X$15,"Sampling pass","Reference / defer"))))</x:f>
        <x:v>Targeted innovation pass</x:v>
      </x:c>
      <x:c r="Q270" s="120" t="str">
        <x:v>Game-system baseline</x:v>
      </x:c>
      <x:c r="R270" s="120" t="str">
        <x:v>Prioritize distinctive mechanics, transformations, adaptation operations, and setting innovations rather than complete class repetition.</x:v>
      </x:c>
      <x:c r="S270" s="120" t="str">
        <x:v>Heuristic baseline — editorial review required</x:v>
      </x:c>
      <x:c r="T270" s="120" t="str">
        <x:v>https://en.wikipedia.org/wiki/Shadowrun_Returns_Trilogy</x:v>
      </x:c>
      <x:c r="U270" s="121" t="n">
        <x:v>46236</x:v>
      </x:c>
    </x:row>
    <x:row r="271" ht="46" customHeight="1">
      <x:c r="A271" s="119" t="n">
        <x:v>265</x:v>
      </x:c>
      <x:c r="B271" s="119" t="str">
        <x:v>SRC-125</x:v>
      </x:c>
      <x:c r="C271" s="120" t="str">
        <x:v>Small World</x:v>
      </x:c>
      <x:c r="D271" s="120" t="str">
        <x:v>Board Game</x:v>
      </x:c>
      <x:c r="E271" s="120" t="str">
        <x:v>Belgium / France</x:v>
      </x:c>
      <x:c r="F271" s="119" t="n">
        <x:f>COUNTIF('Seed Catalogue'!$C$2:$C$452,B271)</x:f>
        <x:v>0</x:v>
      </x:c>
      <x:c r="G271" s="122" t="n">
        <x:v>3</x:v>
      </x:c>
      <x:c r="H271" s="122" t="n">
        <x:v>3</x:v>
      </x:c>
      <x:c r="I271" s="122" t="n">
        <x:v>2</x:v>
      </x:c>
      <x:c r="J271" s="122" t="n">
        <x:v>4</x:v>
      </x:c>
      <x:c r="K271" s="122" t="n">
        <x:v>3</x:v>
      </x:c>
      <x:c r="L271" s="122" t="n">
        <x:v>4</x:v>
      </x:c>
      <x:c r="M271" s="122" t="n">
        <x:v>4</x:v>
      </x:c>
      <x:c r="N271" s="122" t="n">
        <x:v>3</x:v>
      </x:c>
      <x:c r="O271" s="123" t="n">
        <x:f>ROUND(G271/5*$X$2+H271/5*$X$3+I271/5*$X$4+J271/5*$X$5+K271/5*$X$6+L271/5*$X$7+M271/5*$X$8-N271/5*$X$9,1)</x:f>
        <x:v>52</x:v>
      </x:c>
      <x:c r="P271" s="119" t="str">
        <x:f>IF(O271&gt;=$X$12,"Foundational deep pass",IF(O271&gt;=$X$13,"Major deep pass",IF(O271&gt;=$X$14,"Targeted innovation pass",IF(O271&gt;=$X$15,"Sampling pass","Reference / defer"))))</x:f>
        <x:v>Targeted innovation pass</x:v>
      </x:c>
      <x:c r="Q271" s="120" t="str">
        <x:v>Board-game baseline</x:v>
      </x:c>
      <x:c r="R271" s="120" t="str">
        <x:v>Extract asymmetric factions and distinctive mechanics; sample conventional unit roles.</x:v>
      </x:c>
      <x:c r="S271" s="120" t="str">
        <x:v>Heuristic baseline — editorial review required</x:v>
      </x:c>
      <x:c r="T271" s="120" t="str">
        <x:v>https://en.wikipedia.org/wiki/Small_World</x:v>
      </x:c>
      <x:c r="U271" s="121" t="n">
        <x:v>46236</x:v>
      </x:c>
    </x:row>
    <x:row r="272" ht="46" customHeight="1">
      <x:c r="A272" s="119" t="n">
        <x:v>266</x:v>
      </x:c>
      <x:c r="B272" s="119" t="str">
        <x:v>SRC-174</x:v>
      </x:c>
      <x:c r="C272" s="120" t="str">
        <x:v>Tales Series</x:v>
      </x:c>
      <x:c r="D272" s="120" t="str">
        <x:v>Video Game / Action JRPG Franchise</x:v>
      </x:c>
      <x:c r="E272" s="120" t="str">
        <x:v>Japan</x:v>
      </x:c>
      <x:c r="F272" s="119" t="n">
        <x:f>COUNTIF('Seed Catalogue'!$C$2:$C$452,B272)</x:f>
        <x:v>0</x:v>
      </x:c>
      <x:c r="G272" s="122" t="n">
        <x:v>3</x:v>
      </x:c>
      <x:c r="H272" s="122" t="n">
        <x:v>3</x:v>
      </x:c>
      <x:c r="I272" s="122" t="n">
        <x:v>2</x:v>
      </x:c>
      <x:c r="J272" s="122" t="n">
        <x:v>4</x:v>
      </x:c>
      <x:c r="K272" s="122" t="n">
        <x:v>3</x:v>
      </x:c>
      <x:c r="L272" s="122" t="n">
        <x:v>4</x:v>
      </x:c>
      <x:c r="M272" s="122" t="n">
        <x:v>4</x:v>
      </x:c>
      <x:c r="N272" s="122" t="n">
        <x:v>3</x:v>
      </x:c>
      <x:c r="O272" s="123" t="n">
        <x:f>ROUND(G272/5*$X$2+H272/5*$X$3+I272/5*$X$4+J272/5*$X$5+K272/5*$X$6+L272/5*$X$7+M272/5*$X$8-N272/5*$X$9,1)</x:f>
        <x:v>52</x:v>
      </x:c>
      <x:c r="P272" s="119" t="str">
        <x:f>IF(O272&gt;=$X$12,"Foundational deep pass",IF(O272&gt;=$X$13,"Major deep pass",IF(O272&gt;=$X$14,"Targeted innovation pass",IF(O272&gt;=$X$15,"Sampling pass","Reference / defer"))))</x:f>
        <x:v>Targeted innovation pass</x:v>
      </x:c>
      <x:c r="Q272" s="120" t="str">
        <x:v>Game-system baseline</x:v>
      </x:c>
      <x:c r="R272" s="120" t="str">
        <x:v>Prioritize distinctive mechanics, transformations, adaptation operations, and setting innovations rather than complete class repetition.</x:v>
      </x:c>
      <x:c r="S272" s="120" t="str">
        <x:v>Heuristic baseline — editorial review required</x:v>
      </x:c>
      <x:c r="T272" s="120" t="str">
        <x:v>https://en.wikipedia.org/wiki/Tales_Series</x:v>
      </x:c>
      <x:c r="U272" s="121" t="n">
        <x:v>46236</x:v>
      </x:c>
    </x:row>
    <x:row r="273" ht="46" customHeight="1">
      <x:c r="A273" s="119" t="n">
        <x:v>267</x:v>
      </x:c>
      <x:c r="B273" s="119" t="str">
        <x:v>SRC-122</x:v>
      </x:c>
      <x:c r="C273" s="120" t="str">
        <x:v>Talisman</x:v>
      </x:c>
      <x:c r="D273" s="120" t="str">
        <x:v>Board Game</x:v>
      </x:c>
      <x:c r="E273" s="120" t="str">
        <x:v>Britain</x:v>
      </x:c>
      <x:c r="F273" s="119" t="n">
        <x:f>COUNTIF('Seed Catalogue'!$C$2:$C$452,B273)</x:f>
        <x:v>0</x:v>
      </x:c>
      <x:c r="G273" s="122" t="n">
        <x:v>3</x:v>
      </x:c>
      <x:c r="H273" s="122" t="n">
        <x:v>3</x:v>
      </x:c>
      <x:c r="I273" s="122" t="n">
        <x:v>2</x:v>
      </x:c>
      <x:c r="J273" s="122" t="n">
        <x:v>4</x:v>
      </x:c>
      <x:c r="K273" s="122" t="n">
        <x:v>3</x:v>
      </x:c>
      <x:c r="L273" s="122" t="n">
        <x:v>4</x:v>
      </x:c>
      <x:c r="M273" s="122" t="n">
        <x:v>4</x:v>
      </x:c>
      <x:c r="N273" s="122" t="n">
        <x:v>3</x:v>
      </x:c>
      <x:c r="O273" s="123" t="n">
        <x:f>ROUND(G273/5*$X$2+H273/5*$X$3+I273/5*$X$4+J273/5*$X$5+K273/5*$X$6+L273/5*$X$7+M273/5*$X$8-N273/5*$X$9,1)</x:f>
        <x:v>52</x:v>
      </x:c>
      <x:c r="P273" s="119" t="str">
        <x:f>IF(O273&gt;=$X$12,"Foundational deep pass",IF(O273&gt;=$X$13,"Major deep pass",IF(O273&gt;=$X$14,"Targeted innovation pass",IF(O273&gt;=$X$15,"Sampling pass","Reference / defer"))))</x:f>
        <x:v>Targeted innovation pass</x:v>
      </x:c>
      <x:c r="Q273" s="120" t="str">
        <x:v>Board-game baseline</x:v>
      </x:c>
      <x:c r="R273" s="120" t="str">
        <x:v>Extract asymmetric factions and distinctive mechanics; sample conventional unit roles.</x:v>
      </x:c>
      <x:c r="S273" s="120" t="str">
        <x:v>Heuristic baseline — editorial review required</x:v>
      </x:c>
      <x:c r="T273" s="120" t="str">
        <x:v>https://en.wikipedia.org/wiki/Talisman</x:v>
      </x:c>
      <x:c r="U273" s="121" t="n">
        <x:v>46236</x:v>
      </x:c>
    </x:row>
    <x:row r="274" ht="46" customHeight="1">
      <x:c r="A274" s="119" t="n">
        <x:v>268</x:v>
      </x:c>
      <x:c r="B274" s="119" t="str">
        <x:v>SRC-180</x:v>
      </x:c>
      <x:c r="C274" s="120" t="str">
        <x:v>Triangle Strategy</x:v>
      </x:c>
      <x:c r="D274" s="120" t="str">
        <x:v>Video Game / Tactical RPG</x:v>
      </x:c>
      <x:c r="E274" s="120" t="str">
        <x:v>Japan</x:v>
      </x:c>
      <x:c r="F274" s="119" t="n">
        <x:f>COUNTIF('Seed Catalogue'!$C$2:$C$452,B274)</x:f>
        <x:v>0</x:v>
      </x:c>
      <x:c r="G274" s="122" t="n">
        <x:v>3</x:v>
      </x:c>
      <x:c r="H274" s="122" t="n">
        <x:v>3</x:v>
      </x:c>
      <x:c r="I274" s="122" t="n">
        <x:v>2</x:v>
      </x:c>
      <x:c r="J274" s="122" t="n">
        <x:v>4</x:v>
      </x:c>
      <x:c r="K274" s="122" t="n">
        <x:v>3</x:v>
      </x:c>
      <x:c r="L274" s="122" t="n">
        <x:v>4</x:v>
      </x:c>
      <x:c r="M274" s="122" t="n">
        <x:v>4</x:v>
      </x:c>
      <x:c r="N274" s="122" t="n">
        <x:v>3</x:v>
      </x:c>
      <x:c r="O274" s="123" t="n">
        <x:f>ROUND(G274/5*$X$2+H274/5*$X$3+I274/5*$X$4+J274/5*$X$5+K274/5*$X$6+L274/5*$X$7+M274/5*$X$8-N274/5*$X$9,1)</x:f>
        <x:v>52</x:v>
      </x:c>
      <x:c r="P274" s="119" t="str">
        <x:f>IF(O274&gt;=$X$12,"Foundational deep pass",IF(O274&gt;=$X$13,"Major deep pass",IF(O274&gt;=$X$14,"Targeted innovation pass",IF(O274&gt;=$X$15,"Sampling pass","Reference / defer"))))</x:f>
        <x:v>Targeted innovation pass</x:v>
      </x:c>
      <x:c r="Q274" s="120" t="str">
        <x:v>Game-system baseline</x:v>
      </x:c>
      <x:c r="R274" s="120" t="str">
        <x:v>Prioritize distinctive mechanics, transformations, adaptation operations, and setting innovations rather than complete class repetition.</x:v>
      </x:c>
      <x:c r="S274" s="120" t="str">
        <x:v>Heuristic baseline — editorial review required</x:v>
      </x:c>
      <x:c r="T274" s="120" t="str">
        <x:v>https://en.wikipedia.org/wiki/Triangle_Strategy</x:v>
      </x:c>
      <x:c r="U274" s="121" t="n">
        <x:v>46236</x:v>
      </x:c>
    </x:row>
    <x:row r="275" ht="46" customHeight="1">
      <x:c r="A275" s="119" t="n">
        <x:v>269</x:v>
      </x:c>
      <x:c r="B275" s="119" t="str">
        <x:v>SRC-145</x:v>
      </x:c>
      <x:c r="C275" s="120" t="str">
        <x:v>Tyranny</x:v>
      </x:c>
      <x:c r="D275" s="120" t="str">
        <x:v>Video Game / CRPG</x:v>
      </x:c>
      <x:c r="E275" s="120" t="str">
        <x:v>United States</x:v>
      </x:c>
      <x:c r="F275" s="119" t="n">
        <x:f>COUNTIF('Seed Catalogue'!$C$2:$C$452,B275)</x:f>
        <x:v>0</x:v>
      </x:c>
      <x:c r="G275" s="122" t="n">
        <x:v>3</x:v>
      </x:c>
      <x:c r="H275" s="122" t="n">
        <x:v>3</x:v>
      </x:c>
      <x:c r="I275" s="122" t="n">
        <x:v>2</x:v>
      </x:c>
      <x:c r="J275" s="122" t="n">
        <x:v>4</x:v>
      </x:c>
      <x:c r="K275" s="122" t="n">
        <x:v>3</x:v>
      </x:c>
      <x:c r="L275" s="122" t="n">
        <x:v>4</x:v>
      </x:c>
      <x:c r="M275" s="122" t="n">
        <x:v>4</x:v>
      </x:c>
      <x:c r="N275" s="122" t="n">
        <x:v>3</x:v>
      </x:c>
      <x:c r="O275" s="123" t="n">
        <x:f>ROUND(G275/5*$X$2+H275/5*$X$3+I275/5*$X$4+J275/5*$X$5+K275/5*$X$6+L275/5*$X$7+M275/5*$X$8-N275/5*$X$9,1)</x:f>
        <x:v>52</x:v>
      </x:c>
      <x:c r="P275" s="119" t="str">
        <x:f>IF(O275&gt;=$X$12,"Foundational deep pass",IF(O275&gt;=$X$13,"Major deep pass",IF(O275&gt;=$X$14,"Targeted innovation pass",IF(O275&gt;=$X$15,"Sampling pass","Reference / defer"))))</x:f>
        <x:v>Targeted innovation pass</x:v>
      </x:c>
      <x:c r="Q275" s="120" t="str">
        <x:v>Game-system baseline</x:v>
      </x:c>
      <x:c r="R275" s="120" t="str">
        <x:v>Prioritize distinctive mechanics, transformations, adaptation operations, and setting innovations rather than complete class repetition.</x:v>
      </x:c>
      <x:c r="S275" s="120" t="str">
        <x:v>Heuristic baseline — editorial review required</x:v>
      </x:c>
      <x:c r="T275" s="120" t="str">
        <x:v>https://en.wikipedia.org/wiki/Tyranny</x:v>
      </x:c>
      <x:c r="U275" s="121" t="n">
        <x:v>46236</x:v>
      </x:c>
    </x:row>
    <x:row r="276" ht="46" customHeight="1">
      <x:c r="A276" s="119" t="n">
        <x:v>270</x:v>
      </x:c>
      <x:c r="B276" s="119" t="str">
        <x:v>SRC-181</x:v>
      </x:c>
      <x:c r="C276" s="120" t="str">
        <x:v>Unicorn Overlord</x:v>
      </x:c>
      <x:c r="D276" s="120" t="str">
        <x:v>Video Game / Tactical RPG</x:v>
      </x:c>
      <x:c r="E276" s="120" t="str">
        <x:v>Japan</x:v>
      </x:c>
      <x:c r="F276" s="119" t="n">
        <x:f>COUNTIF('Seed Catalogue'!$C$2:$C$452,B276)</x:f>
        <x:v>0</x:v>
      </x:c>
      <x:c r="G276" s="122" t="n">
        <x:v>3</x:v>
      </x:c>
      <x:c r="H276" s="122" t="n">
        <x:v>3</x:v>
      </x:c>
      <x:c r="I276" s="122" t="n">
        <x:v>2</x:v>
      </x:c>
      <x:c r="J276" s="122" t="n">
        <x:v>4</x:v>
      </x:c>
      <x:c r="K276" s="122" t="n">
        <x:v>3</x:v>
      </x:c>
      <x:c r="L276" s="122" t="n">
        <x:v>4</x:v>
      </x:c>
      <x:c r="M276" s="122" t="n">
        <x:v>4</x:v>
      </x:c>
      <x:c r="N276" s="122" t="n">
        <x:v>3</x:v>
      </x:c>
      <x:c r="O276" s="123" t="n">
        <x:f>ROUND(G276/5*$X$2+H276/5*$X$3+I276/5*$X$4+J276/5*$X$5+K276/5*$X$6+L276/5*$X$7+M276/5*$X$8-N276/5*$X$9,1)</x:f>
        <x:v>52</x:v>
      </x:c>
      <x:c r="P276" s="119" t="str">
        <x:f>IF(O276&gt;=$X$12,"Foundational deep pass",IF(O276&gt;=$X$13,"Major deep pass",IF(O276&gt;=$X$14,"Targeted innovation pass",IF(O276&gt;=$X$15,"Sampling pass","Reference / defer"))))</x:f>
        <x:v>Targeted innovation pass</x:v>
      </x:c>
      <x:c r="Q276" s="120" t="str">
        <x:v>Game-system baseline</x:v>
      </x:c>
      <x:c r="R276" s="120" t="str">
        <x:v>Prioritize distinctive mechanics, transformations, adaptation operations, and setting innovations rather than complete class repetition.</x:v>
      </x:c>
      <x:c r="S276" s="120" t="str">
        <x:v>Heuristic baseline — editorial review required</x:v>
      </x:c>
      <x:c r="T276" s="120" t="str">
        <x:v>https://en.wikipedia.org/wiki/Unicorn_Overlord</x:v>
      </x:c>
      <x:c r="U276" s="121" t="n">
        <x:v>46236</x:v>
      </x:c>
    </x:row>
    <x:row r="277" ht="46" customHeight="1">
      <x:c r="A277" s="119" t="n">
        <x:v>271</x:v>
      </x:c>
      <x:c r="B277" s="119" t="str">
        <x:v>SRC-182</x:v>
      </x:c>
      <x:c r="C277" s="120" t="str">
        <x:v>Vagrant Story</x:v>
      </x:c>
      <x:c r="D277" s="120" t="str">
        <x:v>Video Game / Action RPG</x:v>
      </x:c>
      <x:c r="E277" s="120" t="str">
        <x:v>Japan</x:v>
      </x:c>
      <x:c r="F277" s="119" t="n">
        <x:f>COUNTIF('Seed Catalogue'!$C$2:$C$452,B277)</x:f>
        <x:v>0</x:v>
      </x:c>
      <x:c r="G277" s="122" t="n">
        <x:v>3</x:v>
      </x:c>
      <x:c r="H277" s="122" t="n">
        <x:v>3</x:v>
      </x:c>
      <x:c r="I277" s="122" t="n">
        <x:v>2</x:v>
      </x:c>
      <x:c r="J277" s="122" t="n">
        <x:v>4</x:v>
      </x:c>
      <x:c r="K277" s="122" t="n">
        <x:v>3</x:v>
      </x:c>
      <x:c r="L277" s="122" t="n">
        <x:v>4</x:v>
      </x:c>
      <x:c r="M277" s="122" t="n">
        <x:v>4</x:v>
      </x:c>
      <x:c r="N277" s="122" t="n">
        <x:v>3</x:v>
      </x:c>
      <x:c r="O277" s="123" t="n">
        <x:f>ROUND(G277/5*$X$2+H277/5*$X$3+I277/5*$X$4+J277/5*$X$5+K277/5*$X$6+L277/5*$X$7+M277/5*$X$8-N277/5*$X$9,1)</x:f>
        <x:v>52</x:v>
      </x:c>
      <x:c r="P277" s="119" t="str">
        <x:f>IF(O277&gt;=$X$12,"Foundational deep pass",IF(O277&gt;=$X$13,"Major deep pass",IF(O277&gt;=$X$14,"Targeted innovation pass",IF(O277&gt;=$X$15,"Sampling pass","Reference / defer"))))</x:f>
        <x:v>Targeted innovation pass</x:v>
      </x:c>
      <x:c r="Q277" s="120" t="str">
        <x:v>Game-system baseline</x:v>
      </x:c>
      <x:c r="R277" s="120" t="str">
        <x:v>Prioritize distinctive mechanics, transformations, adaptation operations, and setting innovations rather than complete class repetition.</x:v>
      </x:c>
      <x:c r="S277" s="120" t="str">
        <x:v>Heuristic baseline — editorial review required</x:v>
      </x:c>
      <x:c r="T277" s="120" t="str">
        <x:v>https://en.wikipedia.org/wiki/Vagrant_Story</x:v>
      </x:c>
      <x:c r="U277" s="121" t="n">
        <x:v>46236</x:v>
      </x:c>
    </x:row>
    <x:row r="278" ht="46" customHeight="1">
      <x:c r="A278" s="119" t="n">
        <x:v>272</x:v>
      </x:c>
      <x:c r="B278" s="119" t="str">
        <x:v>SRC-171</x:v>
      </x:c>
      <x:c r="C278" s="120" t="str">
        <x:v>Xenoblade Chronicles</x:v>
      </x:c>
      <x:c r="D278" s="120" t="str">
        <x:v>Video Game / JRPG Franchise</x:v>
      </x:c>
      <x:c r="E278" s="120" t="str">
        <x:v>Japan</x:v>
      </x:c>
      <x:c r="F278" s="119" t="n">
        <x:f>COUNTIF('Seed Catalogue'!$C$2:$C$452,B278)</x:f>
        <x:v>0</x:v>
      </x:c>
      <x:c r="G278" s="122" t="n">
        <x:v>3</x:v>
      </x:c>
      <x:c r="H278" s="122" t="n">
        <x:v>3</x:v>
      </x:c>
      <x:c r="I278" s="122" t="n">
        <x:v>2</x:v>
      </x:c>
      <x:c r="J278" s="122" t="n">
        <x:v>4</x:v>
      </x:c>
      <x:c r="K278" s="122" t="n">
        <x:v>3</x:v>
      </x:c>
      <x:c r="L278" s="122" t="n">
        <x:v>4</x:v>
      </x:c>
      <x:c r="M278" s="122" t="n">
        <x:v>4</x:v>
      </x:c>
      <x:c r="N278" s="122" t="n">
        <x:v>3</x:v>
      </x:c>
      <x:c r="O278" s="123" t="n">
        <x:f>ROUND(G278/5*$X$2+H278/5*$X$3+I278/5*$X$4+J278/5*$X$5+K278/5*$X$6+L278/5*$X$7+M278/5*$X$8-N278/5*$X$9,1)</x:f>
        <x:v>52</x:v>
      </x:c>
      <x:c r="P278" s="119" t="str">
        <x:f>IF(O278&gt;=$X$12,"Foundational deep pass",IF(O278&gt;=$X$13,"Major deep pass",IF(O278&gt;=$X$14,"Targeted innovation pass",IF(O278&gt;=$X$15,"Sampling pass","Reference / defer"))))</x:f>
        <x:v>Targeted innovation pass</x:v>
      </x:c>
      <x:c r="Q278" s="120" t="str">
        <x:v>Game-system baseline</x:v>
      </x:c>
      <x:c r="R278" s="120" t="str">
        <x:v>Prioritize distinctive mechanics, transformations, adaptation operations, and setting innovations rather than complete class repetition.</x:v>
      </x:c>
      <x:c r="S278" s="120" t="str">
        <x:v>Heuristic baseline — editorial review required</x:v>
      </x:c>
      <x:c r="T278" s="120" t="str">
        <x:v>https://en.wikipedia.org/wiki/Xenoblade_Chronicles</x:v>
      </x:c>
      <x:c r="U278" s="121" t="n">
        <x:v>46236</x:v>
      </x:c>
    </x:row>
    <x:row r="279" ht="46" customHeight="1">
      <x:c r="A279" s="119" t="n">
        <x:v>273</x:v>
      </x:c>
      <x:c r="B279" s="119" t="str">
        <x:v>SRC-175</x:v>
      </x:c>
      <x:c r="C279" s="120" t="str">
        <x:v>Ys</x:v>
      </x:c>
      <x:c r="D279" s="120" t="str">
        <x:v>Video Game / Action RPG Franchise</x:v>
      </x:c>
      <x:c r="E279" s="120" t="str">
        <x:v>Japan</x:v>
      </x:c>
      <x:c r="F279" s="119" t="n">
        <x:f>COUNTIF('Seed Catalogue'!$C$2:$C$452,B279)</x:f>
        <x:v>0</x:v>
      </x:c>
      <x:c r="G279" s="122" t="n">
        <x:v>3</x:v>
      </x:c>
      <x:c r="H279" s="122" t="n">
        <x:v>3</x:v>
      </x:c>
      <x:c r="I279" s="122" t="n">
        <x:v>2</x:v>
      </x:c>
      <x:c r="J279" s="122" t="n">
        <x:v>4</x:v>
      </x:c>
      <x:c r="K279" s="122" t="n">
        <x:v>3</x:v>
      </x:c>
      <x:c r="L279" s="122" t="n">
        <x:v>4</x:v>
      </x:c>
      <x:c r="M279" s="122" t="n">
        <x:v>4</x:v>
      </x:c>
      <x:c r="N279" s="122" t="n">
        <x:v>3</x:v>
      </x:c>
      <x:c r="O279" s="123" t="n">
        <x:f>ROUND(G279/5*$X$2+H279/5*$X$3+I279/5*$X$4+J279/5*$X$5+K279/5*$X$6+L279/5*$X$7+M279/5*$X$8-N279/5*$X$9,1)</x:f>
        <x:v>52</x:v>
      </x:c>
      <x:c r="P279" s="119" t="str">
        <x:f>IF(O279&gt;=$X$12,"Foundational deep pass",IF(O279&gt;=$X$13,"Major deep pass",IF(O279&gt;=$X$14,"Targeted innovation pass",IF(O279&gt;=$X$15,"Sampling pass","Reference / defer"))))</x:f>
        <x:v>Targeted innovation pass</x:v>
      </x:c>
      <x:c r="Q279" s="120" t="str">
        <x:v>Game-system baseline</x:v>
      </x:c>
      <x:c r="R279" s="120" t="str">
        <x:v>Prioritize distinctive mechanics, transformations, adaptation operations, and setting innovations rather than complete class repetition.</x:v>
      </x:c>
      <x:c r="S279" s="120" t="str">
        <x:v>Heuristic baseline — editorial review required</x:v>
      </x:c>
      <x:c r="T279" s="120" t="str">
        <x:v>https://en.wikipedia.org/wiki/Ys</x:v>
      </x:c>
      <x:c r="U279" s="121" t="n">
        <x:v>46236</x:v>
      </x:c>
    </x:row>
    <x:row r="280" ht="46" customHeight="1">
      <x:c r="A280" s="119" t="n">
        <x:v>274</x:v>
      </x:c>
      <x:c r="B280" s="119" t="str">
        <x:v>SRC-131</x:v>
      </x:c>
      <x:c r="C280" s="120" t="str">
        <x:v>Final Fantasy XIV</x:v>
      </x:c>
      <x:c r="D280" s="120" t="str">
        <x:v>Video Game / MMORPG</x:v>
      </x:c>
      <x:c r="E280" s="120" t="str">
        <x:v>Japan</x:v>
      </x:c>
      <x:c r="F280" s="119" t="n">
        <x:f>COUNTIF('Seed Catalogue'!$C$2:$C$452,B280)</x:f>
        <x:v>16</x:v>
      </x:c>
      <x:c r="G280" s="122" t="n">
        <x:v>3</x:v>
      </x:c>
      <x:c r="H280" s="122" t="n">
        <x:v>3</x:v>
      </x:c>
      <x:c r="I280" s="122" t="n">
        <x:v>2</x:v>
      </x:c>
      <x:c r="J280" s="122" t="n">
        <x:v>5</x:v>
      </x:c>
      <x:c r="K280" s="122" t="n">
        <x:v>3</x:v>
      </x:c>
      <x:c r="L280" s="122" t="n">
        <x:v>4</x:v>
      </x:c>
      <x:c r="M280" s="122" t="n">
        <x:v>4</x:v>
      </x:c>
      <x:c r="N280" s="122" t="n">
        <x:v>4</x:v>
      </x:c>
      <x:c r="O280" s="123" t="n">
        <x:f>ROUND(G280/5*$X$2+H280/5*$X$3+I280/5*$X$4+J280/5*$X$5+K280/5*$X$6+L280/5*$X$7+M280/5*$X$8-N280/5*$X$9,1)</x:f>
        <x:v>51</x:v>
      </x:c>
      <x:c r="P280" s="119" t="str">
        <x:f>IF(O280&gt;=$X$12,"Foundational deep pass",IF(O280&gt;=$X$13,"Major deep pass",IF(O280&gt;=$X$14,"Targeted innovation pass",IF(O280&gt;=$X$15,"Sampling pass","Reference / defer"))))</x:f>
        <x:v>Targeted innovation pass</x:v>
      </x:c>
      <x:c r="Q280" s="120" t="str">
        <x:v>Game-system baseline</x:v>
      </x:c>
      <x:c r="R280" s="120" t="str">
        <x:v>Prioritize distinctive mechanics, transformations, adaptation operations, and setting innovations rather than complete class repetition.</x:v>
      </x:c>
      <x:c r="S280" s="120" t="str">
        <x:v>Heuristic baseline — editorial review required</x:v>
      </x:c>
      <x:c r="T280" s="120" t="str">
        <x:v>https://na.finalfantasyxiv.com/jobguide/battle/</x:v>
      </x:c>
      <x:c r="U280" s="121" t="n">
        <x:v>46236</x:v>
      </x:c>
    </x:row>
    <x:row r="281" ht="46" customHeight="1">
      <x:c r="A281" s="119" t="n">
        <x:v>275</x:v>
      </x:c>
      <x:c r="B281" s="119" t="str">
        <x:v>SRC-274</x:v>
      </x:c>
      <x:c r="C281" s="120" t="str">
        <x:v>Hercules: The Legendary Journeys</x:v>
      </x:c>
      <x:c r="D281" s="120" t="str">
        <x:v>Television</x:v>
      </x:c>
      <x:c r="E281" s="120" t="str">
        <x:v>United States / New Zealand</x:v>
      </x:c>
      <x:c r="F281" s="119" t="n">
        <x:f>COUNTIF('Seed Catalogue'!$C$2:$C$452,B281)</x:f>
        <x:v>0</x:v>
      </x:c>
      <x:c r="G281" s="122" t="n">
        <x:v>3</x:v>
      </x:c>
      <x:c r="H281" s="122" t="n">
        <x:v>3</x:v>
      </x:c>
      <x:c r="I281" s="122" t="n">
        <x:v>2</x:v>
      </x:c>
      <x:c r="J281" s="122" t="n">
        <x:v>3</x:v>
      </x:c>
      <x:c r="K281" s="122" t="n">
        <x:v>3</x:v>
      </x:c>
      <x:c r="L281" s="122" t="n">
        <x:v>5</x:v>
      </x:c>
      <x:c r="M281" s="122" t="n">
        <x:v>4</x:v>
      </x:c>
      <x:c r="N281" s="122" t="n">
        <x:v>3</x:v>
      </x:c>
      <x:c r="O281" s="123" t="n">
        <x:f>ROUND(G281/5*$X$2+H281/5*$X$3+I281/5*$X$4+J281/5*$X$5+K281/5*$X$6+L281/5*$X$7+M281/5*$X$8-N281/5*$X$9,1)</x:f>
        <x:v>51</x:v>
      </x:c>
      <x:c r="P281" s="119" t="str">
        <x:f>IF(O281&gt;=$X$12,"Foundational deep pass",IF(O281&gt;=$X$13,"Major deep pass",IF(O281&gt;=$X$14,"Targeted innovation pass",IF(O281&gt;=$X$15,"Sampling pass","Reference / defer"))))</x:f>
        <x:v>Targeted innovation pass</x:v>
      </x:c>
      <x:c r="Q281" s="120" t="str">
        <x:v>Screen-media baseline</x:v>
      </x:c>
      <x:c r="R281" s="120" t="str">
        <x:v>Best value lies in adaptation divergence, iconography, and screen-first worldbuilding.</x:v>
      </x:c>
      <x:c r="S281" s="120" t="str">
        <x:v>Heuristic baseline — editorial review required</x:v>
      </x:c>
      <x:c r="T281" s="120" t="str">
        <x:v>https://en.wikipedia.org/wiki/Hercules:_The_Legendary_Journeys</x:v>
      </x:c>
      <x:c r="U281" s="121" t="n">
        <x:v>46236</x:v>
      </x:c>
    </x:row>
    <x:row r="282" ht="46" customHeight="1">
      <x:c r="A282" s="119" t="n">
        <x:v>276</x:v>
      </x:c>
      <x:c r="B282" s="119" t="str">
        <x:v>SRC-275</x:v>
      </x:c>
      <x:c r="C282" s="120" t="str">
        <x:v>The Shannara Chronicles</x:v>
      </x:c>
      <x:c r="D282" s="120" t="str">
        <x:v>Television</x:v>
      </x:c>
      <x:c r="E282" s="120" t="str">
        <x:v>United States / New Zealand</x:v>
      </x:c>
      <x:c r="F282" s="119" t="n">
        <x:f>COUNTIF('Seed Catalogue'!$C$2:$C$452,B282)</x:f>
        <x:v>0</x:v>
      </x:c>
      <x:c r="G282" s="122" t="n">
        <x:v>3</x:v>
      </x:c>
      <x:c r="H282" s="122" t="n">
        <x:v>3</x:v>
      </x:c>
      <x:c r="I282" s="122" t="n">
        <x:v>2</x:v>
      </x:c>
      <x:c r="J282" s="122" t="n">
        <x:v>3</x:v>
      </x:c>
      <x:c r="K282" s="122" t="n">
        <x:v>3</x:v>
      </x:c>
      <x:c r="L282" s="122" t="n">
        <x:v>5</x:v>
      </x:c>
      <x:c r="M282" s="122" t="n">
        <x:v>4</x:v>
      </x:c>
      <x:c r="N282" s="122" t="n">
        <x:v>3</x:v>
      </x:c>
      <x:c r="O282" s="123" t="n">
        <x:f>ROUND(G282/5*$X$2+H282/5*$X$3+I282/5*$X$4+J282/5*$X$5+K282/5*$X$6+L282/5*$X$7+M282/5*$X$8-N282/5*$X$9,1)</x:f>
        <x:v>51</x:v>
      </x:c>
      <x:c r="P282" s="119" t="str">
        <x:f>IF(O282&gt;=$X$12,"Foundational deep pass",IF(O282&gt;=$X$13,"Major deep pass",IF(O282&gt;=$X$14,"Targeted innovation pass",IF(O282&gt;=$X$15,"Sampling pass","Reference / defer"))))</x:f>
        <x:v>Targeted innovation pass</x:v>
      </x:c>
      <x:c r="Q282" s="120" t="str">
        <x:v>Screen-media baseline</x:v>
      </x:c>
      <x:c r="R282" s="120" t="str">
        <x:v>Best value lies in adaptation divergence, iconography, and screen-first worldbuilding.</x:v>
      </x:c>
      <x:c r="S282" s="120" t="str">
        <x:v>Heuristic baseline — editorial review required</x:v>
      </x:c>
      <x:c r="T282" s="120" t="str">
        <x:v>https://en.wikipedia.org/wiki/The_Shannara_Chronicles</x:v>
      </x:c>
      <x:c r="U282" s="121" t="n">
        <x:v>46236</x:v>
      </x:c>
    </x:row>
    <x:row r="283" ht="46" customHeight="1">
      <x:c r="A283" s="119" t="n">
        <x:v>277</x:v>
      </x:c>
      <x:c r="B283" s="119" t="str">
        <x:v>SRC-187</x:v>
      </x:c>
      <x:c r="C283" s="120" t="str">
        <x:v>Pokémon</x:v>
      </x:c>
      <x:c r="D283" s="120" t="str">
        <x:v>Video Game / Media Franchise</x:v>
      </x:c>
      <x:c r="E283" s="120" t="str">
        <x:v>Japan</x:v>
      </x:c>
      <x:c r="F283" s="119" t="n">
        <x:f>COUNTIF('Seed Catalogue'!$C$2:$C$452,B283)</x:f>
        <x:v>0</x:v>
      </x:c>
      <x:c r="G283" s="122" t="n">
        <x:v>3</x:v>
      </x:c>
      <x:c r="H283" s="122" t="n">
        <x:v>3</x:v>
      </x:c>
      <x:c r="I283" s="122" t="n">
        <x:v>2</x:v>
      </x:c>
      <x:c r="J283" s="122" t="n">
        <x:v>3</x:v>
      </x:c>
      <x:c r="K283" s="122" t="n">
        <x:v>3</x:v>
      </x:c>
      <x:c r="L283" s="122" t="n">
        <x:v>4</x:v>
      </x:c>
      <x:c r="M283" s="122" t="n">
        <x:v>4</x:v>
      </x:c>
      <x:c r="N283" s="122" t="n">
        <x:v>3</x:v>
      </x:c>
      <x:c r="O283" s="123" t="n">
        <x:f>ROUND(G283/5*$X$2+H283/5*$X$3+I283/5*$X$4+J283/5*$X$5+K283/5*$X$6+L283/5*$X$7+M283/5*$X$8-N283/5*$X$9,1)</x:f>
        <x:v>49</x:v>
      </x:c>
      <x:c r="P283" s="119" t="str">
        <x:f>IF(O283&gt;=$X$12,"Foundational deep pass",IF(O283&gt;=$X$13,"Major deep pass",IF(O283&gt;=$X$14,"Targeted innovation pass",IF(O283&gt;=$X$15,"Sampling pass","Reference / defer"))))</x:f>
        <x:v>Targeted innovation pass</x:v>
      </x:c>
      <x:c r="Q283" s="120" t="str">
        <x:v>Game-system baseline</x:v>
      </x:c>
      <x:c r="R283" s="120" t="str">
        <x:v>Prioritize distinctive mechanics, transformations, adaptation operations, and setting innovations rather than complete class repetition.</x:v>
      </x:c>
      <x:c r="S283" s="120" t="str">
        <x:v>Heuristic baseline — editorial review required</x:v>
      </x:c>
      <x:c r="T283" s="120" t="str">
        <x:v>https://en.wikipedia.org/wiki/Pok%C3%A9mon</x:v>
      </x:c>
      <x:c r="U283" s="121" t="n">
        <x:v>46236</x:v>
      </x:c>
    </x:row>
    <x:row r="284" ht="46" customHeight="1">
      <x:c r="A284" s="119" t="n">
        <x:v>278</x:v>
      </x:c>
      <x:c r="B284" s="119" t="str">
        <x:v>SRC-160</x:v>
      </x:c>
      <x:c r="C284" s="120" t="str">
        <x:v>Risen</x:v>
      </x:c>
      <x:c r="D284" s="120" t="str">
        <x:v>Video Game / Action RPG Franchise</x:v>
      </x:c>
      <x:c r="E284" s="120" t="str">
        <x:v>Germany</x:v>
      </x:c>
      <x:c r="F284" s="119" t="n">
        <x:f>COUNTIF('Seed Catalogue'!$C$2:$C$452,B284)</x:f>
        <x:v>0</x:v>
      </x:c>
      <x:c r="G284" s="122" t="n">
        <x:v>3</x:v>
      </x:c>
      <x:c r="H284" s="122" t="n">
        <x:v>3</x:v>
      </x:c>
      <x:c r="I284" s="122" t="n">
        <x:v>2</x:v>
      </x:c>
      <x:c r="J284" s="122" t="n">
        <x:v>3</x:v>
      </x:c>
      <x:c r="K284" s="122" t="n">
        <x:v>3</x:v>
      </x:c>
      <x:c r="L284" s="122" t="n">
        <x:v>4</x:v>
      </x:c>
      <x:c r="M284" s="122" t="n">
        <x:v>4</x:v>
      </x:c>
      <x:c r="N284" s="122" t="n">
        <x:v>3</x:v>
      </x:c>
      <x:c r="O284" s="123" t="n">
        <x:f>ROUND(G284/5*$X$2+H284/5*$X$3+I284/5*$X$4+J284/5*$X$5+K284/5*$X$6+L284/5*$X$7+M284/5*$X$8-N284/5*$X$9,1)</x:f>
        <x:v>49</x:v>
      </x:c>
      <x:c r="P284" s="119" t="str">
        <x:f>IF(O284&gt;=$X$12,"Foundational deep pass",IF(O284&gt;=$X$13,"Major deep pass",IF(O284&gt;=$X$14,"Targeted innovation pass",IF(O284&gt;=$X$15,"Sampling pass","Reference / defer"))))</x:f>
        <x:v>Targeted innovation pass</x:v>
      </x:c>
      <x:c r="Q284" s="120" t="str">
        <x:v>Game-system baseline</x:v>
      </x:c>
      <x:c r="R284" s="120" t="str">
        <x:v>Prioritize distinctive mechanics, transformations, adaptation operations, and setting innovations rather than complete class repetition.</x:v>
      </x:c>
      <x:c r="S284" s="120" t="str">
        <x:v>Heuristic baseline — editorial review required</x:v>
      </x:c>
      <x:c r="T284" s="120" t="str">
        <x:v>https://en.wikipedia.org/wiki/Risen</x:v>
      </x:c>
      <x:c r="U284" s="121" t="n">
        <x:v>46236</x:v>
      </x:c>
    </x:row>
    <x:row r="285" ht="46" customHeight="1">
      <x:c r="A285" s="119" t="n">
        <x:v>279</x:v>
      </x:c>
      <x:c r="B285" s="119" t="str">
        <x:v>SRC-126</x:v>
      </x:c>
      <x:c r="C285" s="120" t="str">
        <x:v>Root</x:v>
      </x:c>
      <x:c r="D285" s="120" t="str">
        <x:v>Board Game</x:v>
      </x:c>
      <x:c r="E285" s="120" t="str">
        <x:v>United States</x:v>
      </x:c>
      <x:c r="F285" s="119" t="n">
        <x:f>COUNTIF('Seed Catalogue'!$C$2:$C$452,B285)</x:f>
        <x:v>0</x:v>
      </x:c>
      <x:c r="G285" s="122" t="n">
        <x:v>3</x:v>
      </x:c>
      <x:c r="H285" s="122" t="n">
        <x:v>3</x:v>
      </x:c>
      <x:c r="I285" s="122" t="n">
        <x:v>2</x:v>
      </x:c>
      <x:c r="J285" s="122" t="n">
        <x:v>3</x:v>
      </x:c>
      <x:c r="K285" s="122" t="n">
        <x:v>3</x:v>
      </x:c>
      <x:c r="L285" s="122" t="n">
        <x:v>4</x:v>
      </x:c>
      <x:c r="M285" s="122" t="n">
        <x:v>4</x:v>
      </x:c>
      <x:c r="N285" s="122" t="n">
        <x:v>3</x:v>
      </x:c>
      <x:c r="O285" s="123" t="n">
        <x:f>ROUND(G285/5*$X$2+H285/5*$X$3+I285/5*$X$4+J285/5*$X$5+K285/5*$X$6+L285/5*$X$7+M285/5*$X$8-N285/5*$X$9,1)</x:f>
        <x:v>49</x:v>
      </x:c>
      <x:c r="P285" s="119" t="str">
        <x:f>IF(O285&gt;=$X$12,"Foundational deep pass",IF(O285&gt;=$X$13,"Major deep pass",IF(O285&gt;=$X$14,"Targeted innovation pass",IF(O285&gt;=$X$15,"Sampling pass","Reference / defer"))))</x:f>
        <x:v>Targeted innovation pass</x:v>
      </x:c>
      <x:c r="Q285" s="120" t="str">
        <x:v>Board-game baseline</x:v>
      </x:c>
      <x:c r="R285" s="120" t="str">
        <x:v>Extract asymmetric factions and distinctive mechanics; sample conventional unit roles.</x:v>
      </x:c>
      <x:c r="S285" s="120" t="str">
        <x:v>Heuristic baseline — editorial review required</x:v>
      </x:c>
      <x:c r="T285" s="120" t="str">
        <x:v>https://en.wikipedia.org/wiki/Root</x:v>
      </x:c>
      <x:c r="U285" s="121" t="n">
        <x:v>46236</x:v>
      </x:c>
    </x:row>
    <x:row r="286" ht="46" customHeight="1">
      <x:c r="A286" s="119" t="n">
        <x:v>280</x:v>
      </x:c>
      <x:c r="B286" s="119" t="str">
        <x:v>SRC-134</x:v>
      </x:c>
      <x:c r="C286" s="120" t="str">
        <x:v>The Elder Scrolls</x:v>
      </x:c>
      <x:c r="D286" s="120" t="str">
        <x:v>Video Game / RPG Franchise</x:v>
      </x:c>
      <x:c r="E286" s="120" t="str">
        <x:v>United States</x:v>
      </x:c>
      <x:c r="F286" s="119" t="n">
        <x:f>COUNTIF('Seed Catalogue'!$C$2:$C$452,B286)</x:f>
        <x:v>24</x:v>
      </x:c>
      <x:c r="G286" s="122" t="n">
        <x:v>3</x:v>
      </x:c>
      <x:c r="H286" s="122" t="n">
        <x:v>3</x:v>
      </x:c>
      <x:c r="I286" s="122" t="n">
        <x:v>2</x:v>
      </x:c>
      <x:c r="J286" s="122" t="n">
        <x:v>5</x:v>
      </x:c>
      <x:c r="K286" s="122" t="n">
        <x:v>3</x:v>
      </x:c>
      <x:c r="L286" s="122" t="n">
        <x:v>4</x:v>
      </x:c>
      <x:c r="M286" s="122" t="n">
        <x:v>4</x:v>
      </x:c>
      <x:c r="N286" s="122" t="n">
        <x:v>5</x:v>
      </x:c>
      <x:c r="O286" s="123" t="n">
        <x:f>ROUND(G286/5*$X$2+H286/5*$X$3+I286/5*$X$4+J286/5*$X$5+K286/5*$X$6+L286/5*$X$7+M286/5*$X$8-N286/5*$X$9,1)</x:f>
        <x:v>47</x:v>
      </x:c>
      <x:c r="P286" s="119" t="str">
        <x:f>IF(O286&gt;=$X$12,"Foundational deep pass",IF(O286&gt;=$X$13,"Major deep pass",IF(O286&gt;=$X$14,"Targeted innovation pass",IF(O286&gt;=$X$15,"Sampling pass","Reference / defer"))))</x:f>
        <x:v>Targeted innovation pass</x:v>
      </x:c>
      <x:c r="Q286" s="120" t="str">
        <x:v>Game-system baseline</x:v>
      </x:c>
      <x:c r="R286" s="120" t="str">
        <x:v>Prioritize distinctive mechanics, transformations, adaptation operations, and setting innovations rather than complete class repetition.</x:v>
      </x:c>
      <x:c r="S286" s="120" t="str">
        <x:v>Heuristic baseline — editorial review required</x:v>
      </x:c>
      <x:c r="T286" s="120" t="str">
        <x:v>https://en.wikipedia.org/wiki/The_Elder_Scrolls</x:v>
      </x:c>
      <x:c r="U286" s="121" t="n">
        <x:v>46236</x:v>
      </x:c>
    </x:row>
    <x:row r="287" ht="46" customHeight="1">
      <x:c r="A287" s="119" t="n">
        <x:v>281</x:v>
      </x:c>
      <x:c r="B287" s="119" t="str">
        <x:v>SRC-135</x:v>
      </x:c>
      <x:c r="C287" s="120" t="str">
        <x:v>Warcraft</x:v>
      </x:c>
      <x:c r="D287" s="120" t="str">
        <x:v>Video Game / Strategy and MMORPG Franchise</x:v>
      </x:c>
      <x:c r="E287" s="120" t="str">
        <x:v>United States</x:v>
      </x:c>
      <x:c r="F287" s="119" t="n">
        <x:f>COUNTIF('Seed Catalogue'!$C$2:$C$452,B287)</x:f>
        <x:v>28</x:v>
      </x:c>
      <x:c r="G287" s="122" t="n">
        <x:v>3</x:v>
      </x:c>
      <x:c r="H287" s="122" t="n">
        <x:v>3</x:v>
      </x:c>
      <x:c r="I287" s="122" t="n">
        <x:v>2</x:v>
      </x:c>
      <x:c r="J287" s="122" t="n">
        <x:v>5</x:v>
      </x:c>
      <x:c r="K287" s="122" t="n">
        <x:v>3</x:v>
      </x:c>
      <x:c r="L287" s="122" t="n">
        <x:v>4</x:v>
      </x:c>
      <x:c r="M287" s="122" t="n">
        <x:v>4</x:v>
      </x:c>
      <x:c r="N287" s="122" t="n">
        <x:v>5</x:v>
      </x:c>
      <x:c r="O287" s="123" t="n">
        <x:f>ROUND(G287/5*$X$2+H287/5*$X$3+I287/5*$X$4+J287/5*$X$5+K287/5*$X$6+L287/5*$X$7+M287/5*$X$8-N287/5*$X$9,1)</x:f>
        <x:v>47</x:v>
      </x:c>
      <x:c r="P287" s="119" t="str">
        <x:f>IF(O287&gt;=$X$12,"Foundational deep pass",IF(O287&gt;=$X$13,"Major deep pass",IF(O287&gt;=$X$14,"Targeted innovation pass",IF(O287&gt;=$X$15,"Sampling pass","Reference / defer"))))</x:f>
        <x:v>Targeted innovation pass</x:v>
      </x:c>
      <x:c r="Q287" s="120" t="str">
        <x:v>Game-system baseline</x:v>
      </x:c>
      <x:c r="R287" s="120" t="str">
        <x:v>Prioritize distinctive mechanics, transformations, adaptation operations, and setting innovations rather than complete class repetition.</x:v>
      </x:c>
      <x:c r="S287" s="120" t="str">
        <x:v>Heuristic baseline — editorial review required</x:v>
      </x:c>
      <x:c r="T287" s="120" t="str">
        <x:v>https://worldofwarcraft.blizzard.com/game/classes</x:v>
      </x:c>
      <x:c r="U287" s="121" t="n">
        <x:v>46236</x:v>
      </x:c>
    </x:row>
  </x:sheetData>
  <x:mergeCells>
    <x:mergeCell ref="A1:U1"/>
    <x:mergeCell ref="A2:U2"/>
    <x:mergeCell ref="A3:U3"/>
    <x:mergeCell ref="W16:AD16"/>
  </x:mergeCells>
  <x:conditionalFormatting sqref="O7:O287">
    <x:cfRule type="dataBar" priority="1">
      <x:dataBar>
        <x:cfvo type="min"/>
        <x:cfvo type="max"/>
        <x:color rgb="FF5B9BD5"/>
      </x:dataBar>
      <x:extLst>
        <x:ext xmlns:x14="http://schemas.microsoft.com/office/spreadsheetml/2009/9/main" uri="{B025F937-C7B1-47D3-B67F-A62EFF666E3E}">
          <x14:id>{4128A35F-1482-7F22-8186-11F40A133BC8}</x14:id>
        </x:ext>
      </x:extLst>
    </x:cfRule>
  </x:conditionalFormatting>
  <x:conditionalFormatting sqref="G7:M287">
    <x:cfRule type="colorScale" priority="2">
      <x:colorScale>
        <x:cfvo type="min"/>
        <x:cfvo type="percentile" val="50"/>
        <x:cfvo type="max"/>
        <x:color rgb="FFFCE8E6"/>
        <x:color rgb="FFFFF2CC"/>
        <x:color rgb="FFE2F0D9"/>
      </x:colorScale>
    </x:cfRule>
  </x:conditionalFormatting>
  <x:dataValidations count="2">
    <x:dataValidation type="list" sqref="G7:M287">
      <x:formula1>"1,2,3,4,5"</x:formula1>
    </x:dataValidation>
    <x:dataValidation type="list" sqref="N7:N287">
      <x:formula1>"0,1,2,3,4,5"</x:formula1>
    </x:dataValidation>
  </x:dataValidations>
  <x:pageMargins left="0.7" right="0.7" top="0.75" bottom="0.75" header="0.3" footer="0.3"/>
  <x:drawing xmlns:r="http://schemas.openxmlformats.org/officeDocument/2006/relationships" r:id="R7dc65eaa084a4c5c"/>
  <x:tableParts count="1">
    <x:tablePart xmlns:r="http://schemas.openxmlformats.org/officeDocument/2006/relationships" r:id="R40464b3c0dcb46a6"/>
  </x:tableParts>
  <x:extLst>
    <x:ext xmlns:x14="http://schemas.microsoft.com/office/spreadsheetml/2009/9/main" xmlns:xm="http://schemas.microsoft.com/office/excel/2006/main" uri="{78C0D931-6437-407d-A8EE-F0AAD7539E65}">
      <x14:conditionalFormattings>
        <x14:conditionalFormatting>
          <x14:cfRule type="dataBar" priority="1" id="{4128A35F-1482-7F22-8186-11F40A133BC8}">
            <x14:dataBar gradient="1">
              <x14:cfvo type="min"/>
              <x14:cfvo type="max"/>
              <x14:fillColor rgb="FF5B9BD5"/>
            </x14:dataBar>
          </x14:cfRule>
          <xm:sqref>O7:O287</xm:sqref>
        </x14:conditionalFormatting>
      </x14:conditionalFormattings>
    </x:ext>
  </x:extLst>
</x:worksheet>
</file>

<file path=xl/worksheets/sheet11.xml><?xml version="1.0" encoding="utf-8"?>
<x:worksheet xmlns:x="http://schemas.openxmlformats.org/spreadsheetml/2006/main">
  <x:sheetFormatPr defaultRowHeight="15"/>
  <x:cols>
    <x:col min="1" max="1" width="11" hidden="0" customWidth="1"/>
    <x:col min="2" max="2" width="12" hidden="0" customWidth="1"/>
    <x:col min="3" max="3" width="10" hidden="0" customWidth="1"/>
    <x:col min="4" max="4" width="22" hidden="0" customWidth="1"/>
    <x:col min="5" max="5" width="18" hidden="0" customWidth="1"/>
    <x:col min="6" max="6" width="20" hidden="0" customWidth="1"/>
    <x:col min="7" max="7" width="20" hidden="0" customWidth="1"/>
    <x:col min="8" max="8" width="22" hidden="0" customWidth="1"/>
    <x:col min="9" max="9" width="24" hidden="0" customWidth="1"/>
    <x:col min="10" max="10" width="28" hidden="0" customWidth="1"/>
    <x:col min="11" max="11" width="34" hidden="0" customWidth="1"/>
    <x:col min="12" max="12" width="26" hidden="0" customWidth="1"/>
    <x:col min="13" max="13" width="32" hidden="0" customWidth="1"/>
    <x:col min="14" max="14" width="46" hidden="0" customWidth="1"/>
    <x:col min="15" max="15" width="30" hidden="0" customWidth="1"/>
    <x:col min="16" max="16" width="24" hidden="0" customWidth="1"/>
    <x:col min="17" max="17" width="34" hidden="0" customWidth="1"/>
    <x:col min="18" max="18" width="16" hidden="0" customWidth="1"/>
  </x:cols>
  <x:sheetData>
    <x:row r="1" ht="28" customHeight="1">
      <x:c r="A1" s="104" t="str">
        <x:v>Term Metadata — Language, Witness, and Sacred-Context Controls</x:v>
      </x:c>
      <x:c r="B1" s="104"/>
      <x:c r="C1" s="104"/>
      <x:c r="D1" s="104"/>
      <x:c r="E1" s="104"/>
      <x:c r="F1" s="104"/>
      <x:c r="G1" s="104"/>
      <x:c r="H1" s="104"/>
      <x:c r="I1" s="104"/>
      <x:c r="J1" s="104"/>
      <x:c r="K1" s="104"/>
      <x:c r="L1" s="104"/>
      <x:c r="M1" s="104"/>
      <x:c r="N1" s="104"/>
      <x:c r="O1" s="104"/>
      <x:c r="P1" s="104"/>
      <x:c r="Q1" s="104"/>
      <x:c r="R1" s="104"/>
    </x:row>
    <x:row r="2" ht="28" customHeight="1">
      <x:c r="A2" s="109" t="str">
        <x:v>Preserves original-language terminology, textual layers, translation variants, and culturally specific cautions for source records.</x:v>
      </x:c>
      <x:c r="B2" s="109"/>
      <x:c r="C2" s="109"/>
      <x:c r="D2" s="109"/>
      <x:c r="E2" s="109"/>
      <x:c r="F2" s="109"/>
      <x:c r="G2" s="109"/>
      <x:c r="H2" s="109"/>
      <x:c r="I2" s="109"/>
      <x:c r="J2" s="109"/>
      <x:c r="K2" s="109"/>
      <x:c r="L2" s="109"/>
      <x:c r="M2" s="109"/>
      <x:c r="N2" s="109"/>
      <x:c r="O2" s="109"/>
      <x:c r="P2" s="109"/>
      <x:c r="Q2" s="109"/>
      <x:c r="R2" s="109"/>
    </x:row>
    <x:row r="3" ht="40" customHeight="1">
      <x:c r="A3" s="114" t="str">
        <x:v>A normalized archetype is a comparison coordinate; it does not replace the term's meaning within its linguistic, ritual, literary, or living tradition.</x:v>
      </x:c>
      <x:c r="B3" s="114"/>
      <x:c r="C3" s="114"/>
      <x:c r="D3" s="114"/>
      <x:c r="E3" s="114"/>
      <x:c r="F3" s="114"/>
      <x:c r="G3" s="114"/>
      <x:c r="H3" s="114"/>
      <x:c r="I3" s="114"/>
      <x:c r="J3" s="114"/>
      <x:c r="K3" s="114"/>
      <x:c r="L3" s="114"/>
      <x:c r="M3" s="114"/>
      <x:c r="N3" s="114"/>
      <x:c r="O3" s="114"/>
      <x:c r="P3" s="114"/>
      <x:c r="Q3" s="114"/>
      <x:c r="R3" s="114"/>
    </x:row>
    <x:row r="4" ht="42" customHeight="1">
      <x:c r="A4" s="118" t="str">
        <x:v>Term_ID</x:v>
      </x:c>
      <x:c r="B4" s="118" t="str">
        <x:v>Source_Entry_ID</x:v>
      </x:c>
      <x:c r="C4" s="118" t="str">
        <x:v>Source_ID</x:v>
      </x:c>
      <x:c r="D4" s="118" t="str">
        <x:v>Canonical_Term</x:v>
      </x:c>
      <x:c r="E4" s="118" t="str">
        <x:v>Original_Language</x:v>
      </x:c>
      <x:c r="F4" s="118" t="str">
        <x:v>Original_Script</x:v>
      </x:c>
      <x:c r="G4" s="118" t="str">
        <x:v>Transliteration</x:v>
      </x:c>
      <x:c r="H4" s="118" t="str">
        <x:v>Literal_Gloss</x:v>
      </x:c>
      <x:c r="I4" s="118" t="str">
        <x:v>Period_or_Layer</x:v>
      </x:c>
      <x:c r="J4" s="118" t="str">
        <x:v>Region_or_Tradition</x:v>
      </x:c>
      <x:c r="K4" s="118" t="str">
        <x:v>Textual_Witness</x:v>
      </x:c>
      <x:c r="L4" s="118" t="str">
        <x:v>Tradition_Status</x:v>
      </x:c>
      <x:c r="M4" s="118" t="str">
        <x:v>Translation_Variants</x:v>
      </x:c>
      <x:c r="N4" s="118" t="str">
        <x:v>Sacred_Context_Caution</x:v>
      </x:c>
      <x:c r="O4" s="118" t="str">
        <x:v>Novelty_Classification</x:v>
      </x:c>
      <x:c r="P4" s="118" t="str">
        <x:v>Citation_Granularity</x:v>
      </x:c>
      <x:c r="Q4" s="118" t="str">
        <x:v>Reference_URL</x:v>
      </x:c>
      <x:c r="R4" s="118" t="str">
        <x:v>Review_Status</x:v>
      </x:c>
    </x:row>
    <x:row r="5" ht="64" customHeight="1">
      <x:c r="A5" s="119" t="str">
        <x:v>TRM-0001</x:v>
      </x:c>
      <x:c r="B5" s="119" t="str">
        <x:v>ENT-0317</x:v>
      </x:c>
      <x:c r="C5" s="119" t="str">
        <x:v>SRC-277</x:v>
      </x:c>
      <x:c r="D5" s="120" t="str">
        <x:v>deva</x:v>
      </x:c>
      <x:c r="E5" s="120" t="str">
        <x:v>Sanskrit</x:v>
      </x:c>
      <x:c r="F5" s="120" t="str">
        <x:v>देव</x:v>
      </x:c>
      <x:c r="G5" s="120" t="str">
        <x:v>deva</x:v>
      </x:c>
      <x:c r="H5" s="120" t="str">
        <x:v>shining/divine being; no single exhaustive gloss</x:v>
      </x:c>
      <x:c r="I5" s="120" t="str">
        <x:v>Epic-wide</x:v>
      </x:c>
      <x:c r="J5" s="120" t="str">
        <x:v>South Asia / Sanskrit Mahābhārata tradition</x:v>
      </x:c>
      <x:c r="K5" s="120" t="str">
        <x:v>BORI Critical Edition reference structure; Ganguli English translation reviewed at parva level</x:v>
      </x:c>
      <x:c r="L5" s="120" t="str">
        <x:v>Epic / sacred literary tradition</x:v>
      </x:c>
      <x:c r="M5" s="120" t="str">
        <x:v>god; deity; divine being</x:v>
      </x:c>
      <x:c r="N5" s="120" t="str">
        <x:v>Do not treat deva as a biological race or assume every occurrence has identical theological status.</x:v>
      </x:c>
      <x:c r="O5" s="120" t="str">
        <x:v>New subtype / source-specific refinement</x:v>
      </x:c>
      <x:c r="P5" s="120" t="str">
        <x:v>Parva-level</x:v>
      </x:c>
      <x:c r="Q5" s="120" t="str">
        <x:v>https://bori.ac.in/department/mahabharata/</x:v>
      </x:c>
      <x:c r="R5" s="120" t="str">
        <x:v>Seeded</x:v>
      </x:c>
    </x:row>
    <x:row r="6" ht="64" customHeight="1">
      <x:c r="A6" s="119" t="str">
        <x:v>TRM-0002</x:v>
      </x:c>
      <x:c r="B6" s="119" t="str">
        <x:v>ENT-0318</x:v>
      </x:c>
      <x:c r="C6" s="119" t="str">
        <x:v>SRC-277</x:v>
      </x:c>
      <x:c r="D6" s="120" t="str">
        <x:v>asura</x:v>
      </x:c>
      <x:c r="E6" s="120" t="str">
        <x:v>Sanskrit</x:v>
      </x:c>
      <x:c r="F6" s="120" t="str">
        <x:v>असुर</x:v>
      </x:c>
      <x:c r="G6" s="120" t="str">
        <x:v>asura</x:v>
      </x:c>
      <x:c r="H6" s="120" t="str">
        <x:v>source-specific divine/adversarial being; no single adequate English gloss</x:v>
      </x:c>
      <x:c r="I6" s="120" t="str">
        <x:v>Epic-wide</x:v>
      </x:c>
      <x:c r="J6" s="120" t="str">
        <x:v>South Asia / Sanskrit Mahābhārata tradition</x:v>
      </x:c>
      <x:c r="K6" s="120" t="str">
        <x:v>BORI Critical Edition reference structure; Ganguli English translation reviewed at parva level</x:v>
      </x:c>
      <x:c r="L6" s="120" t="str">
        <x:v>Epic / sacred literary tradition</x:v>
      </x:c>
      <x:c r="M6" s="120" t="str">
        <x:v>asura; anti-god; demon (often misleading)</x:v>
      </x:c>
      <x:c r="N6" s="120" t="str">
        <x:v>Avoid automatic translation as demon or devil; preserve shared divine genealogies and textual variation.</x:v>
      </x:c>
      <x:c r="O6" s="120" t="str">
        <x:v>New subtype / source-specific refinement</x:v>
      </x:c>
      <x:c r="P6" s="120" t="str">
        <x:v>Parva-level</x:v>
      </x:c>
      <x:c r="Q6" s="120" t="str">
        <x:v>https://bori.ac.in/department/mahabharata/</x:v>
      </x:c>
      <x:c r="R6" s="120" t="str">
        <x:v>Seeded</x:v>
      </x:c>
    </x:row>
    <x:row r="7" ht="64" customHeight="1">
      <x:c r="A7" s="119" t="str">
        <x:v>TRM-0003</x:v>
      </x:c>
      <x:c r="B7" s="119" t="str">
        <x:v>ENT-0319</x:v>
      </x:c>
      <x:c r="C7" s="119" t="str">
        <x:v>SRC-277</x:v>
      </x:c>
      <x:c r="D7" s="120" t="str">
        <x:v>rākṣasa</x:v>
      </x:c>
      <x:c r="E7" s="120" t="str">
        <x:v>Sanskrit</x:v>
      </x:c>
      <x:c r="F7" s="120" t="str">
        <x:v>राक्षस</x:v>
      </x:c>
      <x:c r="G7" s="120" t="str">
        <x:v>rākṣasa</x:v>
      </x:c>
      <x:c r="H7" s="120" t="str">
        <x:v>source-specific class of powerful nonhuman beings</x:v>
      </x:c>
      <x:c r="I7" s="120" t="str">
        <x:v>Epic-wide</x:v>
      </x:c>
      <x:c r="J7" s="120" t="str">
        <x:v>South Asia / Sanskrit Mahābhārata tradition</x:v>
      </x:c>
      <x:c r="K7" s="120" t="str">
        <x:v>BORI Critical Edition reference structure; Ganguli English translation reviewed at parva level</x:v>
      </x:c>
      <x:c r="L7" s="120" t="str">
        <x:v>Epic / sacred literary tradition</x:v>
      </x:c>
      <x:c r="M7" s="120" t="str">
        <x:v>rakshasa; raksasa; demon (often misleading)</x:v>
      </x:c>
      <x:c r="N7" s="120" t="str">
        <x:v>Do not homogenize rākṣasas as an evil species or detach the term from South Asian literary and religious histories.</x:v>
      </x:c>
      <x:c r="O7" s="120" t="str">
        <x:v>New subtype / source-specific refinement</x:v>
      </x:c>
      <x:c r="P7" s="120" t="str">
        <x:v>Parva-level</x:v>
      </x:c>
      <x:c r="Q7" s="120" t="str">
        <x:v>https://bori.ac.in/department/mahabharata/</x:v>
      </x:c>
      <x:c r="R7" s="120" t="str">
        <x:v>Seeded</x:v>
      </x:c>
    </x:row>
    <x:row r="8" ht="64" customHeight="1">
      <x:c r="A8" s="119" t="str">
        <x:v>TRM-0004</x:v>
      </x:c>
      <x:c r="B8" s="119" t="str">
        <x:v>ENT-0320</x:v>
      </x:c>
      <x:c r="C8" s="119" t="str">
        <x:v>SRC-277</x:v>
      </x:c>
      <x:c r="D8" s="120" t="str">
        <x:v>yakṣa</x:v>
      </x:c>
      <x:c r="E8" s="120" t="str">
        <x:v>Sanskrit</x:v>
      </x:c>
      <x:c r="F8" s="120" t="str">
        <x:v>यक्ष</x:v>
      </x:c>
      <x:c r="G8" s="120" t="str">
        <x:v>yakṣa</x:v>
      </x:c>
      <x:c r="H8" s="120" t="str">
        <x:v>source-specific nonhuman being, often linked to place, wealth, or guardianship</x:v>
      </x:c>
      <x:c r="I8" s="120" t="str">
        <x:v>Epic-wide</x:v>
      </x:c>
      <x:c r="J8" s="120" t="str">
        <x:v>South Asia / Sanskrit Mahābhārata tradition</x:v>
      </x:c>
      <x:c r="K8" s="120" t="str">
        <x:v>BORI Critical Edition reference structure; Ganguli English translation reviewed at parva level</x:v>
      </x:c>
      <x:c r="L8" s="120" t="str">
        <x:v>Epic / sacred literary tradition</x:v>
      </x:c>
      <x:c r="M8" s="120" t="str">
        <x:v>yaksha; nature spirit; tutelary being</x:v>
      </x:c>
      <x:c r="N8" s="120" t="str">
        <x:v>Generic fairy, goblin, or nature-spirit translations are only partial.</x:v>
      </x:c>
      <x:c r="O8" s="120" t="str">
        <x:v>New subtype / source-specific refinement</x:v>
      </x:c>
      <x:c r="P8" s="120" t="str">
        <x:v>Parva-level</x:v>
      </x:c>
      <x:c r="Q8" s="120" t="str">
        <x:v>https://bori.ac.in/department/mahabharata/</x:v>
      </x:c>
      <x:c r="R8" s="120" t="str">
        <x:v>Seeded</x:v>
      </x:c>
    </x:row>
    <x:row r="9" ht="64" customHeight="1">
      <x:c r="A9" s="119" t="str">
        <x:v>TRM-0005</x:v>
      </x:c>
      <x:c r="B9" s="119" t="str">
        <x:v>ENT-0321</x:v>
      </x:c>
      <x:c r="C9" s="119" t="str">
        <x:v>SRC-277</x:v>
      </x:c>
      <x:c r="D9" s="120" t="str">
        <x:v>gandharva</x:v>
      </x:c>
      <x:c r="E9" s="120" t="str">
        <x:v>Sanskrit</x:v>
      </x:c>
      <x:c r="F9" s="120" t="str">
        <x:v>गन्धर्व</x:v>
      </x:c>
      <x:c r="G9" s="120" t="str">
        <x:v>gandharva</x:v>
      </x:c>
      <x:c r="H9" s="120" t="str">
        <x:v>celestial being; no single exhaustive gloss</x:v>
      </x:c>
      <x:c r="I9" s="120" t="str">
        <x:v>Epic-wide</x:v>
      </x:c>
      <x:c r="J9" s="120" t="str">
        <x:v>South Asia / Sanskrit Mahābhārata tradition</x:v>
      </x:c>
      <x:c r="K9" s="120" t="str">
        <x:v>BORI Critical Edition reference structure; Ganguli English translation reviewed at parva level</x:v>
      </x:c>
      <x:c r="L9" s="120" t="str">
        <x:v>Epic / sacred literary tradition</x:v>
      </x:c>
      <x:c r="M9" s="120" t="str">
        <x:v>gandharva; celestial musician</x:v>
      </x:c>
      <x:c r="N9" s="120" t="str">
        <x:v>Musical association does not make gandharvas equivalent to a bard species or angelic choir.</x:v>
      </x:c>
      <x:c r="O9" s="120" t="str">
        <x:v>New subtype / source-specific refinement</x:v>
      </x:c>
      <x:c r="P9" s="120" t="str">
        <x:v>Parva-level</x:v>
      </x:c>
      <x:c r="Q9" s="120" t="str">
        <x:v>https://bori.ac.in/department/mahabharata/</x:v>
      </x:c>
      <x:c r="R9" s="120" t="str">
        <x:v>Seeded</x:v>
      </x:c>
    </x:row>
    <x:row r="10" ht="64" customHeight="1">
      <x:c r="A10" s="119" t="str">
        <x:v>TRM-0006</x:v>
      </x:c>
      <x:c r="B10" s="119" t="str">
        <x:v>ENT-0322</x:v>
      </x:c>
      <x:c r="C10" s="119" t="str">
        <x:v>SRC-277</x:v>
      </x:c>
      <x:c r="D10" s="120" t="str">
        <x:v>apsaras / apsarā</x:v>
      </x:c>
      <x:c r="E10" s="120" t="str">
        <x:v>Sanskrit</x:v>
      </x:c>
      <x:c r="F10" s="120" t="str">
        <x:v>अप्सरस् / अप्सरा</x:v>
      </x:c>
      <x:c r="G10" s="120" t="str">
        <x:v>apsaras / apsarā</x:v>
      </x:c>
      <x:c r="H10" s="120" t="str">
        <x:v>celestial female being; no single exhaustive gloss</x:v>
      </x:c>
      <x:c r="I10" s="120" t="str">
        <x:v>Epic-wide</x:v>
      </x:c>
      <x:c r="J10" s="120" t="str">
        <x:v>South Asia / Sanskrit Mahābhārata tradition</x:v>
      </x:c>
      <x:c r="K10" s="120" t="str">
        <x:v>BORI Critical Edition reference structure; Ganguli English translation reviewed at parva level</x:v>
      </x:c>
      <x:c r="L10" s="120" t="str">
        <x:v>Epic / sacred literary tradition</x:v>
      </x:c>
      <x:c r="M10" s="120" t="str">
        <x:v>apsara; celestial nymph; heavenly dancer</x:v>
      </x:c>
      <x:c r="N10" s="120" t="str">
        <x:v>Avoid reducing apsarases to seductresses, dancers, or a uniform species.</x:v>
      </x:c>
      <x:c r="O10" s="120" t="str">
        <x:v>New subtype / source-specific refinement</x:v>
      </x:c>
      <x:c r="P10" s="120" t="str">
        <x:v>Parva-level</x:v>
      </x:c>
      <x:c r="Q10" s="120" t="str">
        <x:v>https://bori.ac.in/department/mahabharata/</x:v>
      </x:c>
      <x:c r="R10" s="120" t="str">
        <x:v>Seeded</x:v>
      </x:c>
    </x:row>
    <x:row r="11" ht="64" customHeight="1">
      <x:c r="A11" s="119" t="str">
        <x:v>TRM-0007</x:v>
      </x:c>
      <x:c r="B11" s="119" t="str">
        <x:v>ENT-0323</x:v>
      </x:c>
      <x:c r="C11" s="119" t="str">
        <x:v>SRC-277</x:v>
      </x:c>
      <x:c r="D11" s="120" t="str">
        <x:v>nāga</x:v>
      </x:c>
      <x:c r="E11" s="120" t="str">
        <x:v>Sanskrit</x:v>
      </x:c>
      <x:c r="F11" s="120" t="str">
        <x:v>नाग</x:v>
      </x:c>
      <x:c r="G11" s="120" t="str">
        <x:v>nāga</x:v>
      </x:c>
      <x:c r="H11" s="120" t="str">
        <x:v>serpent; source-specific serpent being or lineage</x:v>
      </x:c>
      <x:c r="I11" s="120" t="str">
        <x:v>Epic-wide</x:v>
      </x:c>
      <x:c r="J11" s="120" t="str">
        <x:v>South Asia / Sanskrit Mahābhārata tradition</x:v>
      </x:c>
      <x:c r="K11" s="120" t="str">
        <x:v>BORI Critical Edition reference structure; Ganguli English translation reviewed at parva level</x:v>
      </x:c>
      <x:c r="L11" s="120" t="str">
        <x:v>Epic / sacred literary tradition</x:v>
      </x:c>
      <x:c r="M11" s="120" t="str">
        <x:v>naga; serpent being; serpent people</x:v>
      </x:c>
      <x:c r="N11" s="120" t="str">
        <x:v>Do not equate nāga automatically with dragon, snake monster, or reptilian humanoid.</x:v>
      </x:c>
      <x:c r="O11" s="120" t="str">
        <x:v>New subtype / source-specific refinement</x:v>
      </x:c>
      <x:c r="P11" s="120" t="str">
        <x:v>Parva-level</x:v>
      </x:c>
      <x:c r="Q11" s="120" t="str">
        <x:v>https://bori.ac.in/department/mahabharata/</x:v>
      </x:c>
      <x:c r="R11" s="120" t="str">
        <x:v>Seeded</x:v>
      </x:c>
    </x:row>
    <x:row r="12" ht="64" customHeight="1">
      <x:c r="A12" s="119" t="str">
        <x:v>TRM-0008</x:v>
      </x:c>
      <x:c r="B12" s="119" t="str">
        <x:v>ENT-0324</x:v>
      </x:c>
      <x:c r="C12" s="119" t="str">
        <x:v>SRC-277</x:v>
      </x:c>
      <x:c r="D12" s="120" t="str">
        <x:v>pitṛ</x:v>
      </x:c>
      <x:c r="E12" s="120" t="str">
        <x:v>Sanskrit</x:v>
      </x:c>
      <x:c r="F12" s="120" t="str">
        <x:v>पितृ</x:v>
      </x:c>
      <x:c r="G12" s="120" t="str">
        <x:v>pitṛ</x:v>
      </x:c>
      <x:c r="H12" s="120" t="str">
        <x:v>father/ancestor; ancestor being</x:v>
      </x:c>
      <x:c r="I12" s="120" t="str">
        <x:v>Epic-wide</x:v>
      </x:c>
      <x:c r="J12" s="120" t="str">
        <x:v>South Asia / Sanskrit Mahābhārata tradition</x:v>
      </x:c>
      <x:c r="K12" s="120" t="str">
        <x:v>BORI Critical Edition reference structure; Ganguli English translation reviewed at parva level</x:v>
      </x:c>
      <x:c r="L12" s="120" t="str">
        <x:v>Epic / sacred literary tradition</x:v>
      </x:c>
      <x:c r="M12" s="120" t="str">
        <x:v>pitri; ancestor; ancestral being</x:v>
      </x:c>
      <x:c r="N12" s="120" t="str">
        <x:v>Preserve ritual and kinship context; pitṛs are not generic ghosts or undead.</x:v>
      </x:c>
      <x:c r="O12" s="120" t="str">
        <x:v>New subtype / source-specific refinement</x:v>
      </x:c>
      <x:c r="P12" s="120" t="str">
        <x:v>Parva-level</x:v>
      </x:c>
      <x:c r="Q12" s="120" t="str">
        <x:v>https://bori.ac.in/department/mahabharata/</x:v>
      </x:c>
      <x:c r="R12" s="120" t="str">
        <x:v>Seeded</x:v>
      </x:c>
    </x:row>
    <x:row r="13" ht="64" customHeight="1">
      <x:c r="A13" s="119" t="str">
        <x:v>TRM-0009</x:v>
      </x:c>
      <x:c r="B13" s="119" t="str">
        <x:v>ENT-0326</x:v>
      </x:c>
      <x:c r="C13" s="119" t="str">
        <x:v>SRC-277</x:v>
      </x:c>
      <x:c r="D13" s="120" t="str">
        <x:v>avatāra</x:v>
      </x:c>
      <x:c r="E13" s="120" t="str">
        <x:v>Sanskrit</x:v>
      </x:c>
      <x:c r="F13" s="120" t="str">
        <x:v>अवतार</x:v>
      </x:c>
      <x:c r="G13" s="120" t="str">
        <x:v>avatāra</x:v>
      </x:c>
      <x:c r="H13" s="120" t="str">
        <x:v>descent</x:v>
      </x:c>
      <x:c r="I13" s="120" t="str">
        <x:v>Epic and later theological vocabulary</x:v>
      </x:c>
      <x:c r="J13" s="120" t="str">
        <x:v>South Asia / Sanskrit Mahābhārata tradition</x:v>
      </x:c>
      <x:c r="K13" s="120" t="str">
        <x:v>BORI Critical Edition reference structure; Ganguli English translation reviewed at parva level</x:v>
      </x:c>
      <x:c r="L13" s="120" t="str">
        <x:v>Epic / sacred literary tradition</x:v>
      </x:c>
      <x:c r="M13" s="120" t="str">
        <x:v>avatar; incarnation; divine descent</x:v>
      </x:c>
      <x:c r="N13" s="120" t="str">
        <x:v>Do not confuse avatāra with a game avatar, player body, possession, or generic shapeshifting.</x:v>
      </x:c>
      <x:c r="O13" s="120" t="str">
        <x:v>New subtype / source-specific refinement</x:v>
      </x:c>
      <x:c r="P13" s="120" t="str">
        <x:v>Parva-level</x:v>
      </x:c>
      <x:c r="Q13" s="120" t="str">
        <x:v>https://bori.ac.in/department/mahabharata/</x:v>
      </x:c>
      <x:c r="R13" s="120" t="str">
        <x:v>Seeded</x:v>
      </x:c>
    </x:row>
    <x:row r="14" ht="64" customHeight="1">
      <x:c r="A14" s="119" t="str">
        <x:v>TRM-0010</x:v>
      </x:c>
      <x:c r="B14" s="119" t="str">
        <x:v>ENT-0327</x:v>
      </x:c>
      <x:c r="C14" s="119" t="str">
        <x:v>SRC-277</x:v>
      </x:c>
      <x:c r="D14" s="120" t="str">
        <x:v>aṃśa</x:v>
      </x:c>
      <x:c r="E14" s="120" t="str">
        <x:v>Sanskrit</x:v>
      </x:c>
      <x:c r="F14" s="120" t="str">
        <x:v>अंश</x:v>
      </x:c>
      <x:c r="G14" s="120" t="str">
        <x:v>aṃśa</x:v>
      </x:c>
      <x:c r="H14" s="120" t="str">
        <x:v>portion; share; part</x:v>
      </x:c>
      <x:c r="I14" s="120" t="str">
        <x:v>Genealogical and theological passages</x:v>
      </x:c>
      <x:c r="J14" s="120" t="str">
        <x:v>South Asia / Sanskrit Mahābhārata tradition</x:v>
      </x:c>
      <x:c r="K14" s="120" t="str">
        <x:v>BORI Critical Edition reference structure; Ganguli English translation reviewed at parva level</x:v>
      </x:c>
      <x:c r="L14" s="120" t="str">
        <x:v>Epic / sacred literary tradition</x:v>
      </x:c>
      <x:c r="M14" s="120" t="str">
        <x:v>portion; aspect; partial incarnation</x:v>
      </x:c>
      <x:c r="N14" s="120" t="str">
        <x:v>The relation between part and source is not a numerical power percentage.</x:v>
      </x:c>
      <x:c r="O14" s="120" t="str">
        <x:v>New subtype / source-specific refinement</x:v>
      </x:c>
      <x:c r="P14" s="120" t="str">
        <x:v>Parva-level</x:v>
      </x:c>
      <x:c r="Q14" s="120" t="str">
        <x:v>https://bori.ac.in/department/mahabharata/</x:v>
      </x:c>
      <x:c r="R14" s="120" t="str">
        <x:v>Seeded</x:v>
      </x:c>
    </x:row>
    <x:row r="15" ht="64" customHeight="1">
      <x:c r="A15" s="119" t="str">
        <x:v>TRM-0011</x:v>
      </x:c>
      <x:c r="B15" s="119" t="str">
        <x:v>ENT-0329</x:v>
      </x:c>
      <x:c r="C15" s="119" t="str">
        <x:v>SRC-277</x:v>
      </x:c>
      <x:c r="D15" s="120" t="str">
        <x:v>ṛṣi</x:v>
      </x:c>
      <x:c r="E15" s="120" t="str">
        <x:v>Sanskrit</x:v>
      </x:c>
      <x:c r="F15" s="120" t="str">
        <x:v>ऋषि</x:v>
      </x:c>
      <x:c r="G15" s="120" t="str">
        <x:v>ṛṣi</x:v>
      </x:c>
      <x:c r="H15" s="120" t="str">
        <x:v>seer/sage; no single adequate English gloss</x:v>
      </x:c>
      <x:c r="I15" s="120" t="str">
        <x:v>Epic-wide</x:v>
      </x:c>
      <x:c r="J15" s="120" t="str">
        <x:v>South Asia / Sanskrit Mahābhārata tradition</x:v>
      </x:c>
      <x:c r="K15" s="120" t="str">
        <x:v>BORI Critical Edition reference structure; Ganguli English translation reviewed at parva level</x:v>
      </x:c>
      <x:c r="L15" s="120" t="str">
        <x:v>Epic / sacred literary tradition</x:v>
      </x:c>
      <x:c r="M15" s="120" t="str">
        <x:v>rishi; sage; seer</x:v>
      </x:c>
      <x:c r="N15" s="120" t="str">
        <x:v>Do not map automatically to wizard, druid, priest, or hermit.</x:v>
      </x:c>
      <x:c r="O15" s="120" t="str">
        <x:v>New subtype / source-specific refinement</x:v>
      </x:c>
      <x:c r="P15" s="120" t="str">
        <x:v>Parva-level</x:v>
      </x:c>
      <x:c r="Q15" s="120" t="str">
        <x:v>https://bori.ac.in/department/mahabharata/</x:v>
      </x:c>
      <x:c r="R15" s="120" t="str">
        <x:v>Seeded</x:v>
      </x:c>
    </x:row>
    <x:row r="16" ht="64" customHeight="1">
      <x:c r="A16" s="119" t="str">
        <x:v>TRM-0012</x:v>
      </x:c>
      <x:c r="B16" s="119" t="str">
        <x:v>ENT-0330</x:v>
      </x:c>
      <x:c r="C16" s="119" t="str">
        <x:v>SRC-277</x:v>
      </x:c>
      <x:c r="D16" s="120" t="str">
        <x:v>brahmarṣi</x:v>
      </x:c>
      <x:c r="E16" s="120" t="str">
        <x:v>Sanskrit</x:v>
      </x:c>
      <x:c r="F16" s="120" t="str">
        <x:v>ब्रह्मर्षि</x:v>
      </x:c>
      <x:c r="G16" s="120" t="str">
        <x:v>brahmarṣi</x:v>
      </x:c>
      <x:c r="H16" s="120" t="str">
        <x:v>brahman-sage / exalted sage, context-dependent</x:v>
      </x:c>
      <x:c r="I16" s="120" t="str">
        <x:v>Epic-wide</x:v>
      </x:c>
      <x:c r="J16" s="120" t="str">
        <x:v>South Asia / Sanskrit Mahābhārata tradition</x:v>
      </x:c>
      <x:c r="K16" s="120" t="str">
        <x:v>BORI Critical Edition reference structure; Ganguli English translation reviewed at parva level</x:v>
      </x:c>
      <x:c r="L16" s="120" t="str">
        <x:v>Epic / sacred literary tradition</x:v>
      </x:c>
      <x:c r="M16" s="120" t="str">
        <x:v>brahmarshi; great sage</x:v>
      </x:c>
      <x:c r="N16" s="120" t="str">
        <x:v>Do not interpret as a standardized prestige-class tier.</x:v>
      </x:c>
      <x:c r="O16" s="120" t="str">
        <x:v>New subtype / source-specific refinement</x:v>
      </x:c>
      <x:c r="P16" s="120" t="str">
        <x:v>Parva-level</x:v>
      </x:c>
      <x:c r="Q16" s="120" t="str">
        <x:v>https://bori.ac.in/department/mahabharata/</x:v>
      </x:c>
      <x:c r="R16" s="120" t="str">
        <x:v>Seeded</x:v>
      </x:c>
    </x:row>
    <x:row r="17" ht="64" customHeight="1">
      <x:c r="A17" s="119" t="str">
        <x:v>TRM-0013</x:v>
      </x:c>
      <x:c r="B17" s="119" t="str">
        <x:v>ENT-0331</x:v>
      </x:c>
      <x:c r="C17" s="119" t="str">
        <x:v>SRC-277</x:v>
      </x:c>
      <x:c r="D17" s="120" t="str">
        <x:v>brāhmaṇa</x:v>
      </x:c>
      <x:c r="E17" s="120" t="str">
        <x:v>Sanskrit</x:v>
      </x:c>
      <x:c r="F17" s="120" t="str">
        <x:v>ब्राह्मण</x:v>
      </x:c>
      <x:c r="G17" s="120" t="str">
        <x:v>brāhmaṇa</x:v>
      </x:c>
      <x:c r="H17" s="120" t="str">
        <x:v>source-specific social, learned, and ritual designation</x:v>
      </x:c>
      <x:c r="I17" s="120" t="str">
        <x:v>Epic-wide</x:v>
      </x:c>
      <x:c r="J17" s="120" t="str">
        <x:v>South Asia / Sanskrit Mahābhārata tradition</x:v>
      </x:c>
      <x:c r="K17" s="120" t="str">
        <x:v>BORI Critical Edition reference structure; Ganguli English translation reviewed at parva level</x:v>
      </x:c>
      <x:c r="L17" s="120" t="str">
        <x:v>Epic / sacred literary tradition</x:v>
      </x:c>
      <x:c r="M17" s="120" t="str">
        <x:v>brahmin; brahmana; priest (partial)</x:v>
      </x:c>
      <x:c r="N17" s="120" t="str">
        <x:v>Do not reduce to cleric class, profession, race, or a timeless uniform caste category.</x:v>
      </x:c>
      <x:c r="O17" s="120" t="str">
        <x:v>New subtype / source-specific refinement</x:v>
      </x:c>
      <x:c r="P17" s="120" t="str">
        <x:v>Parva-level</x:v>
      </x:c>
      <x:c r="Q17" s="120" t="str">
        <x:v>https://bori.ac.in/department/mahabharata/</x:v>
      </x:c>
      <x:c r="R17" s="120" t="str">
        <x:v>Seeded</x:v>
      </x:c>
    </x:row>
    <x:row r="18" ht="64" customHeight="1">
      <x:c r="A18" s="119" t="str">
        <x:v>TRM-0014</x:v>
      </x:c>
      <x:c r="B18" s="119" t="str">
        <x:v>ENT-0332</x:v>
      </x:c>
      <x:c r="C18" s="119" t="str">
        <x:v>SRC-277</x:v>
      </x:c>
      <x:c r="D18" s="120" t="str">
        <x:v>kṣatriya</x:v>
      </x:c>
      <x:c r="E18" s="120" t="str">
        <x:v>Sanskrit</x:v>
      </x:c>
      <x:c r="F18" s="120" t="str">
        <x:v>क्षत्रिय</x:v>
      </x:c>
      <x:c r="G18" s="120" t="str">
        <x:v>kṣatriya</x:v>
      </x:c>
      <x:c r="H18" s="120" t="str">
        <x:v>source-specific warrior-ruler social designation</x:v>
      </x:c>
      <x:c r="I18" s="120" t="str">
        <x:v>Epic-wide</x:v>
      </x:c>
      <x:c r="J18" s="120" t="str">
        <x:v>South Asia / Sanskrit Mahābhārata tradition</x:v>
      </x:c>
      <x:c r="K18" s="120" t="str">
        <x:v>BORI Critical Edition reference structure; Ganguli English translation reviewed at parva level</x:v>
      </x:c>
      <x:c r="L18" s="120" t="str">
        <x:v>Epic / sacred literary tradition</x:v>
      </x:c>
      <x:c r="M18" s="120" t="str">
        <x:v>kshatriya; warrior; ruler</x:v>
      </x:c>
      <x:c r="N18" s="120" t="str">
        <x:v>Do not reduce to fighter class or biological warrior type.</x:v>
      </x:c>
      <x:c r="O18" s="120" t="str">
        <x:v>New subtype / source-specific refinement</x:v>
      </x:c>
      <x:c r="P18" s="120" t="str">
        <x:v>Parva-level</x:v>
      </x:c>
      <x:c r="Q18" s="120" t="str">
        <x:v>https://bori.ac.in/department/mahabharata/</x:v>
      </x:c>
      <x:c r="R18" s="120" t="str">
        <x:v>Seeded</x:v>
      </x:c>
    </x:row>
    <x:row r="19" ht="64" customHeight="1">
      <x:c r="A19" s="119" t="str">
        <x:v>TRM-0015</x:v>
      </x:c>
      <x:c r="B19" s="119" t="str">
        <x:v>ENT-0333</x:v>
      </x:c>
      <x:c r="C19" s="119" t="str">
        <x:v>SRC-277</x:v>
      </x:c>
      <x:c r="D19" s="120" t="str">
        <x:v>rājarṣi</x:v>
      </x:c>
      <x:c r="E19" s="120" t="str">
        <x:v>Sanskrit</x:v>
      </x:c>
      <x:c r="F19" s="120" t="str">
        <x:v>राजर्षि</x:v>
      </x:c>
      <x:c r="G19" s="120" t="str">
        <x:v>rājarṣi</x:v>
      </x:c>
      <x:c r="H19" s="120" t="str">
        <x:v>royal sage / king-sage</x:v>
      </x:c>
      <x:c r="I19" s="120" t="str">
        <x:v>Didactic and royal narratives</x:v>
      </x:c>
      <x:c r="J19" s="120" t="str">
        <x:v>South Asia / Sanskrit Mahābhārata tradition</x:v>
      </x:c>
      <x:c r="K19" s="120" t="str">
        <x:v>BORI Critical Edition reference structure; Ganguli English translation reviewed at parva level</x:v>
      </x:c>
      <x:c r="L19" s="120" t="str">
        <x:v>Epic / sacred literary tradition</x:v>
      </x:c>
      <x:c r="M19" s="120" t="str">
        <x:v>rajarshi; royal sage; sage-king</x:v>
      </x:c>
      <x:c r="N19" s="120" t="str">
        <x:v>The term joins royal and sage status without implying spellcasting.</x:v>
      </x:c>
      <x:c r="O19" s="120" t="str">
        <x:v>New subtype / source-specific refinement</x:v>
      </x:c>
      <x:c r="P19" s="120" t="str">
        <x:v>Parva-level</x:v>
      </x:c>
      <x:c r="Q19" s="120" t="str">
        <x:v>https://bori.ac.in/department/mahabharata/</x:v>
      </x:c>
      <x:c r="R19" s="120" t="str">
        <x:v>Seeded</x:v>
      </x:c>
    </x:row>
    <x:row r="20" ht="64" customHeight="1">
      <x:c r="A20" s="119" t="str">
        <x:v>TRM-0016</x:v>
      </x:c>
      <x:c r="B20" s="119" t="str">
        <x:v>ENT-0334</x:v>
      </x:c>
      <x:c r="C20" s="119" t="str">
        <x:v>SRC-277</x:v>
      </x:c>
      <x:c r="D20" s="120" t="str">
        <x:v>ācārya</x:v>
      </x:c>
      <x:c r="E20" s="120" t="str">
        <x:v>Sanskrit</x:v>
      </x:c>
      <x:c r="F20" s="120" t="str">
        <x:v>आचार्य</x:v>
      </x:c>
      <x:c r="G20" s="120" t="str">
        <x:v>ācārya</x:v>
      </x:c>
      <x:c r="H20" s="120" t="str">
        <x:v>teacher/preceptor, context-dependent</x:v>
      </x:c>
      <x:c r="I20" s="120" t="str">
        <x:v>Teaching and lineage passages</x:v>
      </x:c>
      <x:c r="J20" s="120" t="str">
        <x:v>South Asia / Sanskrit Mahābhārata tradition</x:v>
      </x:c>
      <x:c r="K20" s="120" t="str">
        <x:v>BORI Critical Edition reference structure; Ganguli English translation reviewed at parva level</x:v>
      </x:c>
      <x:c r="L20" s="120" t="str">
        <x:v>Epic / sacred literary tradition</x:v>
      </x:c>
      <x:c r="M20" s="120" t="str">
        <x:v>acharya; preceptor; teacher</x:v>
      </x:c>
      <x:c r="N20" s="120" t="str">
        <x:v>Preserve distinctions among ācārya, guru, and other teacher designations.</x:v>
      </x:c>
      <x:c r="O20" s="120" t="str">
        <x:v>New subtype / source-specific refinement</x:v>
      </x:c>
      <x:c r="P20" s="120" t="str">
        <x:v>Parva-level</x:v>
      </x:c>
      <x:c r="Q20" s="120" t="str">
        <x:v>https://bori.ac.in/department/mahabharata/</x:v>
      </x:c>
      <x:c r="R20" s="120" t="str">
        <x:v>Seeded</x:v>
      </x:c>
    </x:row>
    <x:row r="21" ht="64" customHeight="1">
      <x:c r="A21" s="119" t="str">
        <x:v>TRM-0017</x:v>
      </x:c>
      <x:c r="B21" s="119" t="str">
        <x:v>ENT-0334</x:v>
      </x:c>
      <x:c r="C21" s="119" t="str">
        <x:v>SRC-277</x:v>
      </x:c>
      <x:c r="D21" s="120" t="str">
        <x:v>guru</x:v>
      </x:c>
      <x:c r="E21" s="120" t="str">
        <x:v>Sanskrit</x:v>
      </x:c>
      <x:c r="F21" s="120" t="str">
        <x:v>गुरु</x:v>
      </x:c>
      <x:c r="G21" s="120" t="str">
        <x:v>guru</x:v>
      </x:c>
      <x:c r="H21" s="120" t="str">
        <x:v>teacher; weighty/venerable, context-dependent</x:v>
      </x:c>
      <x:c r="I21" s="120" t="str">
        <x:v>Teaching and lineage passages</x:v>
      </x:c>
      <x:c r="J21" s="120" t="str">
        <x:v>South Asia / Sanskrit Mahābhārata tradition</x:v>
      </x:c>
      <x:c r="K21" s="120" t="str">
        <x:v>BORI Critical Edition reference structure; Ganguli English translation reviewed at parva level</x:v>
      </x:c>
      <x:c r="L21" s="120" t="str">
        <x:v>Epic / sacred literary tradition</x:v>
      </x:c>
      <x:c r="M21" s="120" t="str">
        <x:v>guru; master; teacher</x:v>
      </x:c>
      <x:c r="N21" s="120" t="str">
        <x:v>Guru is not a generic NPC mentor label; lineage, authority, and religious context matter.</x:v>
      </x:c>
      <x:c r="O21" s="120" t="str">
        <x:v>New subtype / source-specific refinement</x:v>
      </x:c>
      <x:c r="P21" s="120" t="str">
        <x:v>Parva-level</x:v>
      </x:c>
      <x:c r="Q21" s="120" t="str">
        <x:v>https://bori.ac.in/department/mahabharata/</x:v>
      </x:c>
      <x:c r="R21" s="120" t="str">
        <x:v>Seeded</x:v>
      </x:c>
    </x:row>
    <x:row r="22" ht="64" customHeight="1">
      <x:c r="A22" s="119" t="str">
        <x:v>TRM-0018</x:v>
      </x:c>
      <x:c r="B22" s="119" t="str">
        <x:v>ENT-0336</x:v>
      </x:c>
      <x:c r="C22" s="119" t="str">
        <x:v>SRC-277</x:v>
      </x:c>
      <x:c r="D22" s="120" t="str">
        <x:v>sārathi</x:v>
      </x:c>
      <x:c r="E22" s="120" t="str">
        <x:v>Sanskrit</x:v>
      </x:c>
      <x:c r="F22" s="120" t="str">
        <x:v>सारथि</x:v>
      </x:c>
      <x:c r="G22" s="120" t="str">
        <x:v>sārathi</x:v>
      </x:c>
      <x:c r="H22" s="120" t="str">
        <x:v>charioteer</x:v>
      </x:c>
      <x:c r="I22" s="120" t="str">
        <x:v>Battle narratives</x:v>
      </x:c>
      <x:c r="J22" s="120" t="str">
        <x:v>South Asia / Sanskrit Mahābhārata tradition</x:v>
      </x:c>
      <x:c r="K22" s="120" t="str">
        <x:v>BORI Critical Edition reference structure; Ganguli English translation reviewed at parva level</x:v>
      </x:c>
      <x:c r="L22" s="120" t="str">
        <x:v>Epic / sacred literary tradition</x:v>
      </x:c>
      <x:c r="M22" s="120" t="str">
        <x:v>sarathi; chariot driver; driver-counselor</x:v>
      </x:c>
      <x:c r="N22" s="120" t="str">
        <x:v>The role includes tactical and relational responsibilities beyond vehicle operation.</x:v>
      </x:c>
      <x:c r="O22" s="120" t="str">
        <x:v>New subtype / source-specific refinement</x:v>
      </x:c>
      <x:c r="P22" s="120" t="str">
        <x:v>Parva-level</x:v>
      </x:c>
      <x:c r="Q22" s="120" t="str">
        <x:v>https://bori.ac.in/department/mahabharata/</x:v>
      </x:c>
      <x:c r="R22" s="120" t="str">
        <x:v>Seeded</x:v>
      </x:c>
    </x:row>
    <x:row r="23" ht="64" customHeight="1">
      <x:c r="A23" s="119" t="str">
        <x:v>TRM-0019</x:v>
      </x:c>
      <x:c r="B23" s="119" t="str">
        <x:v>ENT-0337</x:v>
      </x:c>
      <x:c r="C23" s="119" t="str">
        <x:v>SRC-277</x:v>
      </x:c>
      <x:c r="D23" s="120" t="str">
        <x:v>dūta</x:v>
      </x:c>
      <x:c r="E23" s="120" t="str">
        <x:v>Sanskrit</x:v>
      </x:c>
      <x:c r="F23" s="120" t="str">
        <x:v>दूत</x:v>
      </x:c>
      <x:c r="G23" s="120" t="str">
        <x:v>dūta</x:v>
      </x:c>
      <x:c r="H23" s="120" t="str">
        <x:v>messenger/envoy</x:v>
      </x:c>
      <x:c r="I23" s="120" t="str">
        <x:v>Diplomatic narratives</x:v>
      </x:c>
      <x:c r="J23" s="120" t="str">
        <x:v>South Asia / Sanskrit Mahābhārata tradition</x:v>
      </x:c>
      <x:c r="K23" s="120" t="str">
        <x:v>BORI Critical Edition reference structure; Ganguli English translation reviewed at parva level</x:v>
      </x:c>
      <x:c r="L23" s="120" t="str">
        <x:v>Epic / sacred literary tradition</x:v>
      </x:c>
      <x:c r="M23" s="120" t="str">
        <x:v>duta; envoy; messenger</x:v>
      </x:c>
      <x:c r="N23" s="120" t="str">
        <x:v>Distinguish protected diplomatic representation from ordinary courier work.</x:v>
      </x:c>
      <x:c r="O23" s="120" t="str">
        <x:v>New subtype / source-specific refinement</x:v>
      </x:c>
      <x:c r="P23" s="120" t="str">
        <x:v>Parva-level</x:v>
      </x:c>
      <x:c r="Q23" s="120" t="str">
        <x:v>https://bori.ac.in/department/mahabharata/</x:v>
      </x:c>
      <x:c r="R23" s="120" t="str">
        <x:v>Seeded</x:v>
      </x:c>
    </x:row>
    <x:row r="24" ht="64" customHeight="1">
      <x:c r="A24" s="119" t="str">
        <x:v>TRM-0020</x:v>
      </x:c>
      <x:c r="B24" s="119" t="str">
        <x:v>ENT-0338</x:v>
      </x:c>
      <x:c r="C24" s="119" t="str">
        <x:v>SRC-277</x:v>
      </x:c>
      <x:c r="D24" s="120" t="str">
        <x:v>rājā</x:v>
      </x:c>
      <x:c r="E24" s="120" t="str">
        <x:v>Sanskrit</x:v>
      </x:c>
      <x:c r="F24" s="120" t="str">
        <x:v>राजा</x:v>
      </x:c>
      <x:c r="G24" s="120" t="str">
        <x:v>rājā</x:v>
      </x:c>
      <x:c r="H24" s="120" t="str">
        <x:v>king/ruler</x:v>
      </x:c>
      <x:c r="I24" s="120" t="str">
        <x:v>Epic-wide</x:v>
      </x:c>
      <x:c r="J24" s="120" t="str">
        <x:v>South Asia / Sanskrit Mahābhārata tradition</x:v>
      </x:c>
      <x:c r="K24" s="120" t="str">
        <x:v>BORI Critical Edition reference structure; Ganguli English translation reviewed at parva level</x:v>
      </x:c>
      <x:c r="L24" s="120" t="str">
        <x:v>Epic / sacred literary tradition</x:v>
      </x:c>
      <x:c r="M24" s="120" t="str">
        <x:v>raja; king; monarch</x:v>
      </x:c>
      <x:c r="N24" s="120" t="str">
        <x:v>Do not infer one uniform model of kingship from the gloss alone.</x:v>
      </x:c>
      <x:c r="O24" s="120" t="str">
        <x:v>New subtype / source-specific refinement</x:v>
      </x:c>
      <x:c r="P24" s="120" t="str">
        <x:v>Parva-level</x:v>
      </x:c>
      <x:c r="Q24" s="120" t="str">
        <x:v>https://bori.ac.in/department/mahabharata/</x:v>
      </x:c>
      <x:c r="R24" s="120" t="str">
        <x:v>Seeded</x:v>
      </x:c>
    </x:row>
    <x:row r="25" ht="64" customHeight="1">
      <x:c r="A25" s="119" t="str">
        <x:v>TRM-0021</x:v>
      </x:c>
      <x:c r="B25" s="119" t="str">
        <x:v>ENT-0341</x:v>
      </x:c>
      <x:c r="C25" s="119" t="str">
        <x:v>SRC-277</x:v>
      </x:c>
      <x:c r="D25" s="120" t="str">
        <x:v>tapasvin</x:v>
      </x:c>
      <x:c r="E25" s="120" t="str">
        <x:v>Sanskrit</x:v>
      </x:c>
      <x:c r="F25" s="120" t="str">
        <x:v>तपस्विन्</x:v>
      </x:c>
      <x:c r="G25" s="120" t="str">
        <x:v>tapasvin</x:v>
      </x:c>
      <x:c r="H25" s="120" t="str">
        <x:v>one who practices tapas / ascetic practitioner</x:v>
      </x:c>
      <x:c r="I25" s="120" t="str">
        <x:v>Ascetic narratives</x:v>
      </x:c>
      <x:c r="J25" s="120" t="str">
        <x:v>South Asia / Sanskrit Mahābhārata tradition</x:v>
      </x:c>
      <x:c r="K25" s="120" t="str">
        <x:v>BORI Critical Edition reference structure; Ganguli English translation reviewed at parva level</x:v>
      </x:c>
      <x:c r="L25" s="120" t="str">
        <x:v>Epic / sacred literary tradition</x:v>
      </x:c>
      <x:c r="M25" s="120" t="str">
        <x:v>tapasvin; ascetic; practitioner of austerity</x:v>
      </x:c>
      <x:c r="N25" s="120" t="str">
        <x:v>Avoid treating ascetic practice as a fantasy energy class.</x:v>
      </x:c>
      <x:c r="O25" s="120" t="str">
        <x:v>New subtype / source-specific refinement</x:v>
      </x:c>
      <x:c r="P25" s="120" t="str">
        <x:v>Parva-level</x:v>
      </x:c>
      <x:c r="Q25" s="120" t="str">
        <x:v>https://bori.ac.in/department/mahabharata/</x:v>
      </x:c>
      <x:c r="R25" s="120" t="str">
        <x:v>Seeded</x:v>
      </x:c>
    </x:row>
    <x:row r="26" ht="64" customHeight="1">
      <x:c r="A26" s="119" t="str">
        <x:v>TRM-0022</x:v>
      </x:c>
      <x:c r="B26" s="119" t="str">
        <x:v>ENT-0344</x:v>
      </x:c>
      <x:c r="C26" s="119" t="str">
        <x:v>SRC-277</x:v>
      </x:c>
      <x:c r="D26" s="120" t="str">
        <x:v>tīrtha-yātrā</x:v>
      </x:c>
      <x:c r="E26" s="120" t="str">
        <x:v>Sanskrit</x:v>
      </x:c>
      <x:c r="F26" s="120" t="str">
        <x:v>तीर्थयात्रा</x:v>
      </x:c>
      <x:c r="G26" s="120" t="str">
        <x:v>tīrtha-yātrā</x:v>
      </x:c>
      <x:c r="H26" s="120" t="str">
        <x:v>journey to sacred crossings/sites</x:v>
      </x:c>
      <x:c r="I26" s="120" t="str">
        <x:v>Vana Parva pilgrimage sections</x:v>
      </x:c>
      <x:c r="J26" s="120" t="str">
        <x:v>South Asia / Sanskrit Mahābhārata tradition</x:v>
      </x:c>
      <x:c r="K26" s="120" t="str">
        <x:v>BORI Critical Edition reference structure; Ganguli English translation reviewed at parva level</x:v>
      </x:c>
      <x:c r="L26" s="120" t="str">
        <x:v>Epic / sacred literary tradition</x:v>
      </x:c>
      <x:c r="M26" s="120" t="str">
        <x:v>pilgrimage; sacred journey</x:v>
      </x:c>
      <x:c r="N26" s="120" t="str">
        <x:v>Do not reduce to map completion; place, rite, teaching, and memory are integral.</x:v>
      </x:c>
      <x:c r="O26" s="120" t="str">
        <x:v>New subtype / source-specific refinement</x:v>
      </x:c>
      <x:c r="P26" s="120" t="str">
        <x:v>Parva-level</x:v>
      </x:c>
      <x:c r="Q26" s="120" t="str">
        <x:v>https://bori.ac.in/department/mahabharata/</x:v>
      </x:c>
      <x:c r="R26" s="120" t="str">
        <x:v>Seeded</x:v>
      </x:c>
    </x:row>
    <x:row r="27" ht="64" customHeight="1">
      <x:c r="A27" s="119" t="str">
        <x:v>TRM-0023</x:v>
      </x:c>
      <x:c r="B27" s="119" t="str">
        <x:v>ENT-0345</x:v>
      </x:c>
      <x:c r="C27" s="119" t="str">
        <x:v>SRC-277</x:v>
      </x:c>
      <x:c r="D27" s="120" t="str">
        <x:v>tapas</x:v>
      </x:c>
      <x:c r="E27" s="120" t="str">
        <x:v>Sanskrit</x:v>
      </x:c>
      <x:c r="F27" s="120" t="str">
        <x:v>तपस्</x:v>
      </x:c>
      <x:c r="G27" s="120" t="str">
        <x:v>tapas</x:v>
      </x:c>
      <x:c r="H27" s="120" t="str">
        <x:v>heat/austerity/ascetic potency; context-dependent</x:v>
      </x:c>
      <x:c r="I27" s="120" t="str">
        <x:v>Epic-wide</x:v>
      </x:c>
      <x:c r="J27" s="120" t="str">
        <x:v>South Asia / Sanskrit Mahābhārata tradition</x:v>
      </x:c>
      <x:c r="K27" s="120" t="str">
        <x:v>BORI Critical Edition reference structure; Ganguli English translation reviewed at parva level</x:v>
      </x:c>
      <x:c r="L27" s="120" t="str">
        <x:v>Epic / sacred literary tradition</x:v>
      </x:c>
      <x:c r="M27" s="120" t="str">
        <x:v>austerity; ascetic heat; penance (often partial)</x:v>
      </x:c>
      <x:c r="N27" s="120" t="str">
        <x:v>No single English term captures the range; do not translate mechanically as mana.</x:v>
      </x:c>
      <x:c r="O27" s="120" t="str">
        <x:v>New subtype / source-specific refinement</x:v>
      </x:c>
      <x:c r="P27" s="120" t="str">
        <x:v>Parva-level</x:v>
      </x:c>
      <x:c r="Q27" s="120" t="str">
        <x:v>https://bori.ac.in/department/mahabharata/</x:v>
      </x:c>
      <x:c r="R27" s="120" t="str">
        <x:v>Seeded</x:v>
      </x:c>
    </x:row>
    <x:row r="28" ht="64" customHeight="1">
      <x:c r="A28" s="119" t="str">
        <x:v>TRM-0024</x:v>
      </x:c>
      <x:c r="B28" s="119" t="str">
        <x:v>ENT-0346</x:v>
      </x:c>
      <x:c r="C28" s="119" t="str">
        <x:v>SRC-277</x:v>
      </x:c>
      <x:c r="D28" s="120" t="str">
        <x:v>mantra</x:v>
      </x:c>
      <x:c r="E28" s="120" t="str">
        <x:v>Sanskrit</x:v>
      </x:c>
      <x:c r="F28" s="120" t="str">
        <x:v>मन्त्र</x:v>
      </x:c>
      <x:c r="G28" s="120" t="str">
        <x:v>mantra</x:v>
      </x:c>
      <x:c r="H28" s="120" t="str">
        <x:v>sacred/operative utterance or formula, context-dependent</x:v>
      </x:c>
      <x:c r="I28" s="120" t="str">
        <x:v>Epic-wide</x:v>
      </x:c>
      <x:c r="J28" s="120" t="str">
        <x:v>South Asia / Sanskrit Mahābhārata tradition</x:v>
      </x:c>
      <x:c r="K28" s="120" t="str">
        <x:v>BORI Critical Edition reference structure; Ganguli English translation reviewed at parva level</x:v>
      </x:c>
      <x:c r="L28" s="120" t="str">
        <x:v>Epic / sacred literary tradition</x:v>
      </x:c>
      <x:c r="M28" s="120" t="str">
        <x:v>mantra; invocation; sacred formula</x:v>
      </x:c>
      <x:c r="N28" s="120" t="str">
        <x:v>Do not use mantra as a universal synonym for spell or magic word.</x:v>
      </x:c>
      <x:c r="O28" s="120" t="str">
        <x:v>New subtype / source-specific refinement</x:v>
      </x:c>
      <x:c r="P28" s="120" t="str">
        <x:v>Parva-level</x:v>
      </x:c>
      <x:c r="Q28" s="120" t="str">
        <x:v>https://bori.ac.in/department/mahabharata/</x:v>
      </x:c>
      <x:c r="R28" s="120" t="str">
        <x:v>Seeded</x:v>
      </x:c>
    </x:row>
    <x:row r="29" ht="64" customHeight="1">
      <x:c r="A29" s="119" t="str">
        <x:v>TRM-0025</x:v>
      </x:c>
      <x:c r="B29" s="119" t="str">
        <x:v>ENT-0347</x:v>
      </x:c>
      <x:c r="C29" s="119" t="str">
        <x:v>SRC-277</x:v>
      </x:c>
      <x:c r="D29" s="120" t="str">
        <x:v>astra-vidyā</x:v>
      </x:c>
      <x:c r="E29" s="120" t="str">
        <x:v>Sanskrit</x:v>
      </x:c>
      <x:c r="F29" s="120" t="str">
        <x:v>अस्त्रविद्या</x:v>
      </x:c>
      <x:c r="G29" s="120" t="str">
        <x:v>astra-vidyā</x:v>
      </x:c>
      <x:c r="H29" s="120" t="str">
        <x:v>knowledge of weapons / invoked weapon lore</x:v>
      </x:c>
      <x:c r="I29" s="120" t="str">
        <x:v>Martial instruction and battle passages</x:v>
      </x:c>
      <x:c r="J29" s="120" t="str">
        <x:v>South Asia / Sanskrit Mahābhārata tradition</x:v>
      </x:c>
      <x:c r="K29" s="120" t="str">
        <x:v>BORI Critical Edition reference structure; Ganguli English translation reviewed at parva level</x:v>
      </x:c>
      <x:c r="L29" s="120" t="str">
        <x:v>Epic / sacred literary tradition</x:v>
      </x:c>
      <x:c r="M29" s="120" t="str">
        <x:v>weapon lore; divine-weapon science</x:v>
      </x:c>
      <x:c r="N29" s="120" t="str">
        <x:v>The compound is an analytical label for a source tradition of instruction, not a modern academic discipline.</x:v>
      </x:c>
      <x:c r="O29" s="120" t="str">
        <x:v>New subtype / source-specific refinement</x:v>
      </x:c>
      <x:c r="P29" s="120" t="str">
        <x:v>Parva-level</x:v>
      </x:c>
      <x:c r="Q29" s="120" t="str">
        <x:v>https://bori.ac.in/department/mahabharata/</x:v>
      </x:c>
      <x:c r="R29" s="120" t="str">
        <x:v>Seeded</x:v>
      </x:c>
    </x:row>
    <x:row r="30" ht="64" customHeight="1">
      <x:c r="A30" s="119" t="str">
        <x:v>TRM-0026</x:v>
      </x:c>
      <x:c r="B30" s="119" t="str">
        <x:v>ENT-0348</x:v>
      </x:c>
      <x:c r="C30" s="119" t="str">
        <x:v>SRC-277</x:v>
      </x:c>
      <x:c r="D30" s="120" t="str">
        <x:v>vara</x:v>
      </x:c>
      <x:c r="E30" s="120" t="str">
        <x:v>Sanskrit</x:v>
      </x:c>
      <x:c r="F30" s="120" t="str">
        <x:v>वर</x:v>
      </x:c>
      <x:c r="G30" s="120" t="str">
        <x:v>vara</x:v>
      </x:c>
      <x:c r="H30" s="120" t="str">
        <x:v>boon; choice; grant, context-dependent</x:v>
      </x:c>
      <x:c r="I30" s="120" t="str">
        <x:v>Epic-wide</x:v>
      </x:c>
      <x:c r="J30" s="120" t="str">
        <x:v>South Asia / Sanskrit Mahābhārata tradition</x:v>
      </x:c>
      <x:c r="K30" s="120" t="str">
        <x:v>BORI Critical Edition reference structure; Ganguli English translation reviewed at parva level</x:v>
      </x:c>
      <x:c r="L30" s="120" t="str">
        <x:v>Epic / sacred literary tradition</x:v>
      </x:c>
      <x:c r="M30" s="120" t="str">
        <x:v>boon; blessing; divine grant</x:v>
      </x:c>
      <x:c r="N30" s="120" t="str">
        <x:v>Record conditions and grant relationships rather than treating vara as a buff.</x:v>
      </x:c>
      <x:c r="O30" s="120" t="str">
        <x:v>New subtype / source-specific refinement</x:v>
      </x:c>
      <x:c r="P30" s="120" t="str">
        <x:v>Parva-level</x:v>
      </x:c>
      <x:c r="Q30" s="120" t="str">
        <x:v>https://bori.ac.in/department/mahabharata/</x:v>
      </x:c>
      <x:c r="R30" s="120" t="str">
        <x:v>Seeded</x:v>
      </x:c>
    </x:row>
    <x:row r="31" ht="64" customHeight="1">
      <x:c r="A31" s="119" t="str">
        <x:v>TRM-0027</x:v>
      </x:c>
      <x:c r="B31" s="119" t="str">
        <x:v>ENT-0349</x:v>
      </x:c>
      <x:c r="C31" s="119" t="str">
        <x:v>SRC-277</x:v>
      </x:c>
      <x:c r="D31" s="120" t="str">
        <x:v>śāpa</x:v>
      </x:c>
      <x:c r="E31" s="120" t="str">
        <x:v>Sanskrit</x:v>
      </x:c>
      <x:c r="F31" s="120" t="str">
        <x:v>शाप</x:v>
      </x:c>
      <x:c r="G31" s="120" t="str">
        <x:v>śāpa</x:v>
      </x:c>
      <x:c r="H31" s="120" t="str">
        <x:v>curse</x:v>
      </x:c>
      <x:c r="I31" s="120" t="str">
        <x:v>Epic-wide</x:v>
      </x:c>
      <x:c r="J31" s="120" t="str">
        <x:v>South Asia / Sanskrit Mahābhārata tradition</x:v>
      </x:c>
      <x:c r="K31" s="120" t="str">
        <x:v>BORI Critical Edition reference structure; Ganguli English translation reviewed at parva level</x:v>
      </x:c>
      <x:c r="L31" s="120" t="str">
        <x:v>Epic / sacred literary tradition</x:v>
      </x:c>
      <x:c r="M31" s="120" t="str">
        <x:v>shapa; curse; doom</x:v>
      </x:c>
      <x:c r="N31" s="120" t="str">
        <x:v>Curse episodes are relational speech acts and should not be reduced to hostile spellcasting.</x:v>
      </x:c>
      <x:c r="O31" s="120" t="str">
        <x:v>New subtype / source-specific refinement</x:v>
      </x:c>
      <x:c r="P31" s="120" t="str">
        <x:v>Parva-level</x:v>
      </x:c>
      <x:c r="Q31" s="120" t="str">
        <x:v>https://bori.ac.in/department/mahabharata/</x:v>
      </x:c>
      <x:c r="R31" s="120" t="str">
        <x:v>Seeded</x:v>
      </x:c>
    </x:row>
    <x:row r="32" ht="64" customHeight="1">
      <x:c r="A32" s="119" t="str">
        <x:v>TRM-0028</x:v>
      </x:c>
      <x:c r="B32" s="119" t="str">
        <x:v>ENT-0350</x:v>
      </x:c>
      <x:c r="C32" s="119" t="str">
        <x:v>SRC-277</x:v>
      </x:c>
      <x:c r="D32" s="120" t="str">
        <x:v>māyā</x:v>
      </x:c>
      <x:c r="E32" s="120" t="str">
        <x:v>Sanskrit</x:v>
      </x:c>
      <x:c r="F32" s="120" t="str">
        <x:v>माया</x:v>
      </x:c>
      <x:c r="G32" s="120" t="str">
        <x:v>māyā</x:v>
      </x:c>
      <x:c r="H32" s="120" t="str">
        <x:v>no single adequate gloss; appearance, power, artifice, illusion, and more by context</x:v>
      </x:c>
      <x:c r="I32" s="120" t="str">
        <x:v>Epic-wide</x:v>
      </x:c>
      <x:c r="J32" s="120" t="str">
        <x:v>South Asia / Sanskrit Mahābhārata tradition</x:v>
      </x:c>
      <x:c r="K32" s="120" t="str">
        <x:v>BORI Critical Edition reference structure; Ganguli English translation reviewed at parva level</x:v>
      </x:c>
      <x:c r="L32" s="120" t="str">
        <x:v>Epic / sacred literary tradition</x:v>
      </x:c>
      <x:c r="M32" s="120" t="str">
        <x:v>maya; illusion; magic; artifice</x:v>
      </x:c>
      <x:c r="N32" s="120" t="str">
        <x:v>Do not export one philosophical gloss into every narrative occurrence or equate the term with an illusion school.</x:v>
      </x:c>
      <x:c r="O32" s="120" t="str">
        <x:v>New subtype / source-specific refinement</x:v>
      </x:c>
      <x:c r="P32" s="120" t="str">
        <x:v>Parva-level</x:v>
      </x:c>
      <x:c r="Q32" s="120" t="str">
        <x:v>https://bori.ac.in/department/mahabharata/</x:v>
      </x:c>
      <x:c r="R32" s="120" t="str">
        <x:v>Seeded</x:v>
      </x:c>
    </x:row>
    <x:row r="33" ht="64" customHeight="1">
      <x:c r="A33" s="119" t="str">
        <x:v>TRM-0029</x:v>
      </x:c>
      <x:c r="B33" s="119" t="str">
        <x:v>ENT-0353</x:v>
      </x:c>
      <x:c r="C33" s="119" t="str">
        <x:v>SRC-277</x:v>
      </x:c>
      <x:c r="D33" s="120" t="str">
        <x:v>vrata</x:v>
      </x:c>
      <x:c r="E33" s="120" t="str">
        <x:v>Sanskrit</x:v>
      </x:c>
      <x:c r="F33" s="120" t="str">
        <x:v>व्रत</x:v>
      </x:c>
      <x:c r="G33" s="120" t="str">
        <x:v>vrata</x:v>
      </x:c>
      <x:c r="H33" s="120" t="str">
        <x:v>vow/observance</x:v>
      </x:c>
      <x:c r="I33" s="120" t="str">
        <x:v>Epic-wide</x:v>
      </x:c>
      <x:c r="J33" s="120" t="str">
        <x:v>South Asia / Sanskrit Mahābhārata tradition</x:v>
      </x:c>
      <x:c r="K33" s="120" t="str">
        <x:v>BORI Critical Edition reference structure; Ganguli English translation reviewed at parva level</x:v>
      </x:c>
      <x:c r="L33" s="120" t="str">
        <x:v>Epic / sacred literary tradition</x:v>
      </x:c>
      <x:c r="M33" s="120" t="str">
        <x:v>vow; religious observance; discipline</x:v>
      </x:c>
      <x:c r="N33" s="120" t="str">
        <x:v>A vrata may combine conduct, time, rite, and identity beyond a spoken oath.</x:v>
      </x:c>
      <x:c r="O33" s="120" t="str">
        <x:v>New subtype / source-specific refinement</x:v>
      </x:c>
      <x:c r="P33" s="120" t="str">
        <x:v>Parva-level</x:v>
      </x:c>
      <x:c r="Q33" s="120" t="str">
        <x:v>https://bori.ac.in/department/mahabharata/</x:v>
      </x:c>
      <x:c r="R33" s="120" t="str">
        <x:v>Seeded</x:v>
      </x:c>
    </x:row>
    <x:row r="34" ht="64" customHeight="1">
      <x:c r="A34" s="119" t="str">
        <x:v>TRM-0030</x:v>
      </x:c>
      <x:c r="B34" s="119" t="str">
        <x:v>ENT-0355</x:v>
      </x:c>
      <x:c r="C34" s="119" t="str">
        <x:v>SRC-277</x:v>
      </x:c>
      <x:c r="D34" s="120" t="str">
        <x:v>vana-vāsa</x:v>
      </x:c>
      <x:c r="E34" s="120" t="str">
        <x:v>Sanskrit</x:v>
      </x:c>
      <x:c r="F34" s="120" t="str">
        <x:v>वनवास</x:v>
      </x:c>
      <x:c r="G34" s="120" t="str">
        <x:v>vana-vāsa</x:v>
      </x:c>
      <x:c r="H34" s="120" t="str">
        <x:v>forest dwelling / forest exile</x:v>
      </x:c>
      <x:c r="I34" s="120" t="str">
        <x:v>Vana Parva</x:v>
      </x:c>
      <x:c r="J34" s="120" t="str">
        <x:v>South Asia / Sanskrit Mahābhārata tradition</x:v>
      </x:c>
      <x:c r="K34" s="120" t="str">
        <x:v>BORI Critical Edition reference structure; Ganguli English translation reviewed at parva level</x:v>
      </x:c>
      <x:c r="L34" s="120" t="str">
        <x:v>Epic / sacred literary tradition</x:v>
      </x:c>
      <x:c r="M34" s="120" t="str">
        <x:v>forest exile; dwelling in the forest</x:v>
      </x:c>
      <x:c r="N34" s="120" t="str">
        <x:v>The term denotes a structured social-political condition, not generic wilderness travel.</x:v>
      </x:c>
      <x:c r="O34" s="120" t="str">
        <x:v>New subtype / source-specific refinement</x:v>
      </x:c>
      <x:c r="P34" s="120" t="str">
        <x:v>Parva-level</x:v>
      </x:c>
      <x:c r="Q34" s="120" t="str">
        <x:v>https://bori.ac.in/department/mahabharata/</x:v>
      </x:c>
      <x:c r="R34" s="120" t="str">
        <x:v>Seeded</x:v>
      </x:c>
    </x:row>
    <x:row r="35" ht="64" customHeight="1">
      <x:c r="A35" s="119" t="str">
        <x:v>TRM-0031</x:v>
      </x:c>
      <x:c r="B35" s="119" t="str">
        <x:v>ENT-0356</x:v>
      </x:c>
      <x:c r="C35" s="119" t="str">
        <x:v>SRC-277</x:v>
      </x:c>
      <x:c r="D35" s="120" t="str">
        <x:v>ajñātavāsa</x:v>
      </x:c>
      <x:c r="E35" s="120" t="str">
        <x:v>Sanskrit</x:v>
      </x:c>
      <x:c r="F35" s="120" t="str">
        <x:v>अज्ञातवास</x:v>
      </x:c>
      <x:c r="G35" s="120" t="str">
        <x:v>ajñātavāsa</x:v>
      </x:c>
      <x:c r="H35" s="120" t="str">
        <x:v>living unknown / incognito residence</x:v>
      </x:c>
      <x:c r="I35" s="120" t="str">
        <x:v>Virāṭa Parva</x:v>
      </x:c>
      <x:c r="J35" s="120" t="str">
        <x:v>South Asia / Sanskrit Mahābhārata tradition</x:v>
      </x:c>
      <x:c r="K35" s="120" t="str">
        <x:v>BORI Critical Edition reference structure; Ganguli English translation reviewed at parva level</x:v>
      </x:c>
      <x:c r="L35" s="120" t="str">
        <x:v>Epic / sacred literary tradition</x:v>
      </x:c>
      <x:c r="M35" s="120" t="str">
        <x:v>incognito exile; hidden residence</x:v>
      </x:c>
      <x:c r="N35" s="120" t="str">
        <x:v>The condition is time-bound and legally tied to the exile settlement.</x:v>
      </x:c>
      <x:c r="O35" s="120" t="str">
        <x:v>New subtype / source-specific refinement</x:v>
      </x:c>
      <x:c r="P35" s="120" t="str">
        <x:v>Parva-level</x:v>
      </x:c>
      <x:c r="Q35" s="120" t="str">
        <x:v>https://bori.ac.in/department/mahabharata/</x:v>
      </x:c>
      <x:c r="R35" s="120" t="str">
        <x:v>Seeded</x:v>
      </x:c>
    </x:row>
    <x:row r="36" ht="64" customHeight="1">
      <x:c r="A36" s="119" t="str">
        <x:v>TRM-0032</x:v>
      </x:c>
      <x:c r="B36" s="119" t="str">
        <x:v>ENT-0360</x:v>
      </x:c>
      <x:c r="C36" s="119" t="str">
        <x:v>SRC-277</x:v>
      </x:c>
      <x:c r="D36" s="120" t="str">
        <x:v>astra</x:v>
      </x:c>
      <x:c r="E36" s="120" t="str">
        <x:v>Sanskrit</x:v>
      </x:c>
      <x:c r="F36" s="120" t="str">
        <x:v>अस्त्र</x:v>
      </x:c>
      <x:c r="G36" s="120" t="str">
        <x:v>astra</x:v>
      </x:c>
      <x:c r="H36" s="120" t="str">
        <x:v>projectile/invoked weapon, context-dependent</x:v>
      </x:c>
      <x:c r="I36" s="120" t="str">
        <x:v>Epic-wide</x:v>
      </x:c>
      <x:c r="J36" s="120" t="str">
        <x:v>South Asia / Sanskrit Mahābhārata tradition</x:v>
      </x:c>
      <x:c r="K36" s="120" t="str">
        <x:v>BORI Critical Edition reference structure; Ganguli English translation reviewed at parva level</x:v>
      </x:c>
      <x:c r="L36" s="120" t="str">
        <x:v>Epic / sacred literary tradition</x:v>
      </x:c>
      <x:c r="M36" s="120" t="str">
        <x:v>astra; divine weapon; celestial weapon</x:v>
      </x:c>
      <x:c r="N36" s="120" t="str">
        <x:v>Do not translate every astra as a spell or physical missile; invocation and authorization vary.</x:v>
      </x:c>
      <x:c r="O36" s="120" t="str">
        <x:v>New subtype / source-specific refinement</x:v>
      </x:c>
      <x:c r="P36" s="120" t="str">
        <x:v>Parva-level</x:v>
      </x:c>
      <x:c r="Q36" s="120" t="str">
        <x:v>https://bori.ac.in/department/mahabharata/</x:v>
      </x:c>
      <x:c r="R36" s="120" t="str">
        <x:v>Seeded</x:v>
      </x:c>
    </x:row>
    <x:row r="37" ht="64" customHeight="1">
      <x:c r="A37" s="119" t="str">
        <x:v>TRM-0033</x:v>
      </x:c>
      <x:c r="B37" s="119" t="str">
        <x:v>ENT-0361</x:v>
      </x:c>
      <x:c r="C37" s="119" t="str">
        <x:v>SRC-277</x:v>
      </x:c>
      <x:c r="D37" s="120" t="str">
        <x:v>Gāṇḍīva</x:v>
      </x:c>
      <x:c r="E37" s="120" t="str">
        <x:v>Sanskrit</x:v>
      </x:c>
      <x:c r="F37" s="120" t="str">
        <x:v>गाण्डीव</x:v>
      </x:c>
      <x:c r="G37" s="120" t="str">
        <x:v>Gāṇḍīva</x:v>
      </x:c>
      <x:c r="H37" s="120" t="str">
        <x:v>proper name of Arjuna's bow</x:v>
      </x:c>
      <x:c r="I37" s="120" t="str">
        <x:v>Epic-wide weapon biography</x:v>
      </x:c>
      <x:c r="J37" s="120" t="str">
        <x:v>South Asia / Sanskrit Mahābhārata tradition</x:v>
      </x:c>
      <x:c r="K37" s="120" t="str">
        <x:v>BORI Critical Edition reference structure; Ganguli English translation reviewed at parva level</x:v>
      </x:c>
      <x:c r="L37" s="120" t="str">
        <x:v>Epic / sacred literary tradition</x:v>
      </x:c>
      <x:c r="M37" s="120" t="str">
        <x:v>Gandiva; Gāṇḍīva bow</x:v>
      </x:c>
      <x:c r="N37" s="120" t="str">
        <x:v>Treat as a named source artifact, not a generic bow type.</x:v>
      </x:c>
      <x:c r="O37" s="120" t="str">
        <x:v>New subtype / source-specific refinement</x:v>
      </x:c>
      <x:c r="P37" s="120" t="str">
        <x:v>Parva-level</x:v>
      </x:c>
      <x:c r="Q37" s="120" t="str">
        <x:v>https://bori.ac.in/department/mahabharata/</x:v>
      </x:c>
      <x:c r="R37" s="120" t="str">
        <x:v>Seeded</x:v>
      </x:c>
    </x:row>
    <x:row r="38" ht="64" customHeight="1">
      <x:c r="A38" s="119" t="str">
        <x:v>TRM-0034</x:v>
      </x:c>
      <x:c r="B38" s="119" t="str">
        <x:v>ENT-0362</x:v>
      </x:c>
      <x:c r="C38" s="119" t="str">
        <x:v>SRC-277</x:v>
      </x:c>
      <x:c r="D38" s="120" t="str">
        <x:v>Brahmāstra</x:v>
      </x:c>
      <x:c r="E38" s="120" t="str">
        <x:v>Sanskrit</x:v>
      </x:c>
      <x:c r="F38" s="120" t="str">
        <x:v>ब्रह्मास्त्र</x:v>
      </x:c>
      <x:c r="G38" s="120" t="str">
        <x:v>Brahmāstra</x:v>
      </x:c>
      <x:c r="H38" s="120" t="str">
        <x:v>weapon associated with Brahmā</x:v>
      </x:c>
      <x:c r="I38" s="120" t="str">
        <x:v>Weapon narratives</x:v>
      </x:c>
      <x:c r="J38" s="120" t="str">
        <x:v>South Asia / Sanskrit Mahābhārata tradition</x:v>
      </x:c>
      <x:c r="K38" s="120" t="str">
        <x:v>BORI Critical Edition reference structure; Ganguli English translation reviewed at parva level</x:v>
      </x:c>
      <x:c r="L38" s="120" t="str">
        <x:v>Epic / sacred literary tradition</x:v>
      </x:c>
      <x:c r="M38" s="120" t="str">
        <x:v>Brahmastra; weapon of Brahmā</x:v>
      </x:c>
      <x:c r="N38" s="120" t="str">
        <x:v>Exact textual variants and effects require passage-level citation; avoid casual nuclear equivalence.</x:v>
      </x:c>
      <x:c r="O38" s="120" t="str">
        <x:v>New subtype / source-specific refinement</x:v>
      </x:c>
      <x:c r="P38" s="120" t="str">
        <x:v>Parva-level</x:v>
      </x:c>
      <x:c r="Q38" s="120" t="str">
        <x:v>https://bori.ac.in/department/mahabharata/</x:v>
      </x:c>
      <x:c r="R38" s="120" t="str">
        <x:v>Seeded</x:v>
      </x:c>
    </x:row>
    <x:row r="39" ht="64" customHeight="1">
      <x:c r="A39" s="119" t="str">
        <x:v>TRM-0035</x:v>
      </x:c>
      <x:c r="B39" s="119" t="str">
        <x:v>ENT-0363</x:v>
      </x:c>
      <x:c r="C39" s="119" t="str">
        <x:v>SRC-277</x:v>
      </x:c>
      <x:c r="D39" s="120" t="str">
        <x:v>Pāśupatāstra</x:v>
      </x:c>
      <x:c r="E39" s="120" t="str">
        <x:v>Sanskrit</x:v>
      </x:c>
      <x:c r="F39" s="120" t="str">
        <x:v>पाशुपतास्त्र</x:v>
      </x:c>
      <x:c r="G39" s="120" t="str">
        <x:v>Pāśupatāstra</x:v>
      </x:c>
      <x:c r="H39" s="120" t="str">
        <x:v>weapon associated with Paśupati/Śiva</x:v>
      </x:c>
      <x:c r="I39" s="120" t="str">
        <x:v>Vana Parva</x:v>
      </x:c>
      <x:c r="J39" s="120" t="str">
        <x:v>South Asia / Sanskrit Mahābhārata tradition</x:v>
      </x:c>
      <x:c r="K39" s="120" t="str">
        <x:v>BORI Critical Edition reference structure; Ganguli English translation reviewed at parva level</x:v>
      </x:c>
      <x:c r="L39" s="120" t="str">
        <x:v>Epic / sacred literary tradition</x:v>
      </x:c>
      <x:c r="M39" s="120" t="str">
        <x:v>Pashupatastra; Pāśupata weapon</x:v>
      </x:c>
      <x:c r="N39" s="120" t="str">
        <x:v>Preserve the ordeal, grant, and Śaiva context of acquisition.</x:v>
      </x:c>
      <x:c r="O39" s="120" t="str">
        <x:v>New subtype / source-specific refinement</x:v>
      </x:c>
      <x:c r="P39" s="120" t="str">
        <x:v>Parva-level</x:v>
      </x:c>
      <x:c r="Q39" s="120" t="str">
        <x:v>https://bori.ac.in/department/mahabharata/</x:v>
      </x:c>
      <x:c r="R39" s="120" t="str">
        <x:v>Seeded</x:v>
      </x:c>
    </x:row>
    <x:row r="40" ht="64" customHeight="1">
      <x:c r="A40" s="119" t="str">
        <x:v>TRM-0036</x:v>
      </x:c>
      <x:c r="B40" s="119" t="str">
        <x:v>ENT-0364</x:v>
      </x:c>
      <x:c r="C40" s="119" t="str">
        <x:v>SRC-277</x:v>
      </x:c>
      <x:c r="D40" s="120" t="str">
        <x:v>Nārāyaṇāstra</x:v>
      </x:c>
      <x:c r="E40" s="120" t="str">
        <x:v>Sanskrit</x:v>
      </x:c>
      <x:c r="F40" s="120" t="str">
        <x:v>नारायणास्त्र</x:v>
      </x:c>
      <x:c r="G40" s="120" t="str">
        <x:v>Nārāyaṇāstra</x:v>
      </x:c>
      <x:c r="H40" s="120" t="str">
        <x:v>weapon associated with Nārāyaṇa</x:v>
      </x:c>
      <x:c r="I40" s="120" t="str">
        <x:v>Droṇa Parva</x:v>
      </x:c>
      <x:c r="J40" s="120" t="str">
        <x:v>South Asia / Sanskrit Mahābhārata tradition</x:v>
      </x:c>
      <x:c r="K40" s="120" t="str">
        <x:v>BORI Critical Edition reference structure; Ganguli English translation reviewed at parva level</x:v>
      </x:c>
      <x:c r="L40" s="120" t="str">
        <x:v>Epic / sacred literary tradition</x:v>
      </x:c>
      <x:c r="M40" s="120" t="str">
        <x:v>Narayanastra; Nārāyaṇa weapon</x:v>
      </x:c>
      <x:c r="N40" s="120" t="str">
        <x:v>Its conditional response rules are part of the source concept.</x:v>
      </x:c>
      <x:c r="O40" s="120" t="str">
        <x:v>New subtype / source-specific refinement</x:v>
      </x:c>
      <x:c r="P40" s="120" t="str">
        <x:v>Parva-level</x:v>
      </x:c>
      <x:c r="Q40" s="120" t="str">
        <x:v>https://bori.ac.in/department/mahabharata/</x:v>
      </x:c>
      <x:c r="R40" s="120" t="str">
        <x:v>Seeded</x:v>
      </x:c>
    </x:row>
    <x:row r="41" ht="64" customHeight="1">
      <x:c r="A41" s="119" t="str">
        <x:v>TRM-0037</x:v>
      </x:c>
      <x:c r="B41" s="119" t="str">
        <x:v>ENT-0365</x:v>
      </x:c>
      <x:c r="C41" s="119" t="str">
        <x:v>SRC-277</x:v>
      </x:c>
      <x:c r="D41" s="120" t="str">
        <x:v>kavaca-kuṇḍala</x:v>
      </x:c>
      <x:c r="E41" s="120" t="str">
        <x:v>Sanskrit</x:v>
      </x:c>
      <x:c r="F41" s="120" t="str">
        <x:v>कवच-कुण्डल</x:v>
      </x:c>
      <x:c r="G41" s="120" t="str">
        <x:v>kavaca-kuṇḍala</x:v>
      </x:c>
      <x:c r="H41" s="120" t="str">
        <x:v>armor and earrings</x:v>
      </x:c>
      <x:c r="I41" s="120" t="str">
        <x:v>Karna birth and gift narratives</x:v>
      </x:c>
      <x:c r="J41" s="120" t="str">
        <x:v>South Asia / Sanskrit Mahābhārata tradition</x:v>
      </x:c>
      <x:c r="K41" s="120" t="str">
        <x:v>BORI Critical Edition reference structure; Ganguli English translation reviewed at parva level</x:v>
      </x:c>
      <x:c r="L41" s="120" t="str">
        <x:v>Epic / sacred literary tradition</x:v>
      </x:c>
      <x:c r="M41" s="120" t="str">
        <x:v>armor and earrings; natural armor</x:v>
      </x:c>
      <x:c r="N41" s="120" t="str">
        <x:v>The objects are bound to birth, identity, protection, and gift exchange.</x:v>
      </x:c>
      <x:c r="O41" s="120" t="str">
        <x:v>New subtype / source-specific refinement</x:v>
      </x:c>
      <x:c r="P41" s="120" t="str">
        <x:v>Parva-level</x:v>
      </x:c>
      <x:c r="Q41" s="120" t="str">
        <x:v>https://bori.ac.in/department/mahabharata/</x:v>
      </x:c>
      <x:c r="R41" s="120" t="str">
        <x:v>Seeded</x:v>
      </x:c>
    </x:row>
    <x:row r="42" ht="64" customHeight="1">
      <x:c r="A42" s="119" t="str">
        <x:v>TRM-0038</x:v>
      </x:c>
      <x:c r="B42" s="119" t="str">
        <x:v>ENT-0366</x:v>
      </x:c>
      <x:c r="C42" s="119" t="str">
        <x:v>SRC-277</x:v>
      </x:c>
      <x:c r="D42" s="120" t="str">
        <x:v>ratha</x:v>
      </x:c>
      <x:c r="E42" s="120" t="str">
        <x:v>Sanskrit</x:v>
      </x:c>
      <x:c r="F42" s="120" t="str">
        <x:v>रथ</x:v>
      </x:c>
      <x:c r="G42" s="120" t="str">
        <x:v>ratha</x:v>
      </x:c>
      <x:c r="H42" s="120" t="str">
        <x:v>chariot</x:v>
      </x:c>
      <x:c r="I42" s="120" t="str">
        <x:v>Battle narratives</x:v>
      </x:c>
      <x:c r="J42" s="120" t="str">
        <x:v>South Asia / Sanskrit Mahābhārata tradition</x:v>
      </x:c>
      <x:c r="K42" s="120" t="str">
        <x:v>BORI Critical Edition reference structure; Ganguli English translation reviewed at parva level</x:v>
      </x:c>
      <x:c r="L42" s="120" t="str">
        <x:v>Epic / sacred literary tradition</x:v>
      </x:c>
      <x:c r="M42" s="120" t="str">
        <x:v>chariot; war chariot</x:v>
      </x:c>
      <x:c r="N42" s="120" t="str">
        <x:v>Do not treat ratha as an interchangeable mount; charioteer, warrior, horses, and status form a system.</x:v>
      </x:c>
      <x:c r="O42" s="120" t="str">
        <x:v>New subtype / source-specific refinement</x:v>
      </x:c>
      <x:c r="P42" s="120" t="str">
        <x:v>Parva-level</x:v>
      </x:c>
      <x:c r="Q42" s="120" t="str">
        <x:v>https://bori.ac.in/department/mahabharata/</x:v>
      </x:c>
      <x:c r="R42" s="120" t="str">
        <x:v>Seeded</x:v>
      </x:c>
    </x:row>
    <x:row r="43" ht="64" customHeight="1">
      <x:c r="A43" s="119" t="str">
        <x:v>TRM-0039</x:v>
      </x:c>
      <x:c r="B43" s="119" t="str">
        <x:v>ENT-0367</x:v>
      </x:c>
      <x:c r="C43" s="119" t="str">
        <x:v>SRC-277</x:v>
      </x:c>
      <x:c r="D43" s="120" t="str">
        <x:v>śaṅkha</x:v>
      </x:c>
      <x:c r="E43" s="120" t="str">
        <x:v>Sanskrit</x:v>
      </x:c>
      <x:c r="F43" s="120" t="str">
        <x:v>शङ्ख</x:v>
      </x:c>
      <x:c r="G43" s="120" t="str">
        <x:v>śaṅkha</x:v>
      </x:c>
      <x:c r="H43" s="120" t="str">
        <x:v>conch</x:v>
      </x:c>
      <x:c r="I43" s="120" t="str">
        <x:v>Battlefield and ritual passages</x:v>
      </x:c>
      <x:c r="J43" s="120" t="str">
        <x:v>South Asia / Sanskrit Mahābhārata tradition</x:v>
      </x:c>
      <x:c r="K43" s="120" t="str">
        <x:v>BORI Critical Edition reference structure; Ganguli English translation reviewed at parva level</x:v>
      </x:c>
      <x:c r="L43" s="120" t="str">
        <x:v>Epic / sacred literary tradition</x:v>
      </x:c>
      <x:c r="M43" s="120" t="str">
        <x:v>shankha; conch shell; war conch</x:v>
      </x:c>
      <x:c r="N43" s="120" t="str">
        <x:v>Named conches function through sound, identity, ritual, and public declaration.</x:v>
      </x:c>
      <x:c r="O43" s="120" t="str">
        <x:v>New subtype / source-specific refinement</x:v>
      </x:c>
      <x:c r="P43" s="120" t="str">
        <x:v>Parva-level</x:v>
      </x:c>
      <x:c r="Q43" s="120" t="str">
        <x:v>https://bori.ac.in/department/mahabharata/</x:v>
      </x:c>
      <x:c r="R43" s="120" t="str">
        <x:v>Seeded</x:v>
      </x:c>
    </x:row>
    <x:row r="44" ht="64" customHeight="1">
      <x:c r="A44" s="119" t="str">
        <x:v>TRM-0040</x:v>
      </x:c>
      <x:c r="B44" s="119" t="str">
        <x:v>ENT-0368</x:v>
      </x:c>
      <x:c r="C44" s="119" t="str">
        <x:v>SRC-277</x:v>
      </x:c>
      <x:c r="D44" s="120" t="str">
        <x:v>gadā</x:v>
      </x:c>
      <x:c r="E44" s="120" t="str">
        <x:v>Sanskrit</x:v>
      </x:c>
      <x:c r="F44" s="120" t="str">
        <x:v>गदा</x:v>
      </x:c>
      <x:c r="G44" s="120" t="str">
        <x:v>gadā</x:v>
      </x:c>
      <x:c r="H44" s="120" t="str">
        <x:v>mace</x:v>
      </x:c>
      <x:c r="I44" s="120" t="str">
        <x:v>Martial training and duel passages</x:v>
      </x:c>
      <x:c r="J44" s="120" t="str">
        <x:v>South Asia / Sanskrit Mahābhārata tradition</x:v>
      </x:c>
      <x:c r="K44" s="120" t="str">
        <x:v>BORI Critical Edition reference structure; Ganguli English translation reviewed at parva level</x:v>
      </x:c>
      <x:c r="L44" s="120" t="str">
        <x:v>Epic / sacred literary tradition</x:v>
      </x:c>
      <x:c r="M44" s="120" t="str">
        <x:v>gada; mace; club</x:v>
      </x:c>
      <x:c r="N44" s="120" t="str">
        <x:v>The weapon tradition includes pedagogy and duel convention, not just weapon morphology.</x:v>
      </x:c>
      <x:c r="O44" s="120" t="str">
        <x:v>New subtype / source-specific refinement</x:v>
      </x:c>
      <x:c r="P44" s="120" t="str">
        <x:v>Parva-level</x:v>
      </x:c>
      <x:c r="Q44" s="120" t="str">
        <x:v>https://bori.ac.in/department/mahabharata/</x:v>
      </x:c>
      <x:c r="R44" s="120" t="str">
        <x:v>Seeded</x:v>
      </x:c>
    </x:row>
    <x:row r="45" ht="64" customHeight="1">
      <x:c r="A45" s="119" t="str">
        <x:v>TRM-0041</x:v>
      </x:c>
      <x:c r="B45" s="119" t="str">
        <x:v>ENT-0370</x:v>
      </x:c>
      <x:c r="C45" s="119" t="str">
        <x:v>SRC-277</x:v>
      </x:c>
      <x:c r="D45" s="120" t="str">
        <x:v>svarga</x:v>
      </x:c>
      <x:c r="E45" s="120" t="str">
        <x:v>Sanskrit</x:v>
      </x:c>
      <x:c r="F45" s="120" t="str">
        <x:v>स्वर्ग</x:v>
      </x:c>
      <x:c r="G45" s="120" t="str">
        <x:v>svarga</x:v>
      </x:c>
      <x:c r="H45" s="120" t="str">
        <x:v>heaven/celestial realm, context-dependent</x:v>
      </x:c>
      <x:c r="I45" s="120" t="str">
        <x:v>Afterlife and cosmological passages</x:v>
      </x:c>
      <x:c r="J45" s="120" t="str">
        <x:v>South Asia / Sanskrit Mahābhārata tradition</x:v>
      </x:c>
      <x:c r="K45" s="120" t="str">
        <x:v>BORI Critical Edition reference structure; Ganguli English translation reviewed at parva level</x:v>
      </x:c>
      <x:c r="L45" s="120" t="str">
        <x:v>Epic / sacred literary tradition</x:v>
      </x:c>
      <x:c r="M45" s="120" t="str">
        <x:v>heaven; celestial world</x:v>
      </x:c>
      <x:c r="N45" s="120" t="str">
        <x:v>Do not assume one final eternal heaven or a good-alignment plane.</x:v>
      </x:c>
      <x:c r="O45" s="120" t="str">
        <x:v>New subtype / source-specific refinement</x:v>
      </x:c>
      <x:c r="P45" s="120" t="str">
        <x:v>Parva-level</x:v>
      </x:c>
      <x:c r="Q45" s="120" t="str">
        <x:v>https://bori.ac.in/department/mahabharata/</x:v>
      </x:c>
      <x:c r="R45" s="120" t="str">
        <x:v>Seeded</x:v>
      </x:c>
    </x:row>
    <x:row r="46" ht="64" customHeight="1">
      <x:c r="A46" s="119" t="str">
        <x:v>TRM-0042</x:v>
      </x:c>
      <x:c r="B46" s="119" t="str">
        <x:v>ENT-0371</x:v>
      </x:c>
      <x:c r="C46" s="119" t="str">
        <x:v>SRC-277</x:v>
      </x:c>
      <x:c r="D46" s="120" t="str">
        <x:v>naraka</x:v>
      </x:c>
      <x:c r="E46" s="120" t="str">
        <x:v>Sanskrit</x:v>
      </x:c>
      <x:c r="F46" s="120" t="str">
        <x:v>नरक</x:v>
      </x:c>
      <x:c r="G46" s="120" t="str">
        <x:v>naraka</x:v>
      </x:c>
      <x:c r="H46" s="120" t="str">
        <x:v>punishment realm/hell, context-dependent</x:v>
      </x:c>
      <x:c r="I46" s="120" t="str">
        <x:v>Afterlife passages</x:v>
      </x:c>
      <x:c r="J46" s="120" t="str">
        <x:v>South Asia / Sanskrit Mahābhārata tradition</x:v>
      </x:c>
      <x:c r="K46" s="120" t="str">
        <x:v>BORI Critical Edition reference structure; Ganguli English translation reviewed at parva level</x:v>
      </x:c>
      <x:c r="L46" s="120" t="str">
        <x:v>Epic / sacred literary tradition</x:v>
      </x:c>
      <x:c r="M46" s="120" t="str">
        <x:v>hell; infernal realm; punishment realm</x:v>
      </x:c>
      <x:c r="N46" s="120" t="str">
        <x:v>Do not import a single eternal-hell model or demon ecology.</x:v>
      </x:c>
      <x:c r="O46" s="120" t="str">
        <x:v>New subtype / source-specific refinement</x:v>
      </x:c>
      <x:c r="P46" s="120" t="str">
        <x:v>Parva-level</x:v>
      </x:c>
      <x:c r="Q46" s="120" t="str">
        <x:v>https://bori.ac.in/department/mahabharata/</x:v>
      </x:c>
      <x:c r="R46" s="120" t="str">
        <x:v>Seeded</x:v>
      </x:c>
    </x:row>
    <x:row r="47" ht="64" customHeight="1">
      <x:c r="A47" s="119" t="str">
        <x:v>TRM-0043</x:v>
      </x:c>
      <x:c r="B47" s="119" t="str">
        <x:v>ENT-0372</x:v>
      </x:c>
      <x:c r="C47" s="119" t="str">
        <x:v>SRC-277</x:v>
      </x:c>
      <x:c r="D47" s="120" t="str">
        <x:v>loka</x:v>
      </x:c>
      <x:c r="E47" s="120" t="str">
        <x:v>Sanskrit</x:v>
      </x:c>
      <x:c r="F47" s="120" t="str">
        <x:v>लोक</x:v>
      </x:c>
      <x:c r="G47" s="120" t="str">
        <x:v>loka</x:v>
      </x:c>
      <x:c r="H47" s="120" t="str">
        <x:v>world/realm/sphere, context-dependent</x:v>
      </x:c>
      <x:c r="I47" s="120" t="str">
        <x:v>Cosmological passages</x:v>
      </x:c>
      <x:c r="J47" s="120" t="str">
        <x:v>South Asia / Sanskrit Mahābhārata tradition</x:v>
      </x:c>
      <x:c r="K47" s="120" t="str">
        <x:v>BORI Critical Edition reference structure; Ganguli English translation reviewed at parva level</x:v>
      </x:c>
      <x:c r="L47" s="120" t="str">
        <x:v>Epic / sacred literary tradition</x:v>
      </x:c>
      <x:c r="M47" s="120" t="str">
        <x:v>world; realm; plane</x:v>
      </x:c>
      <x:c r="N47" s="120" t="str">
        <x:v>Do not automatically equate loka with a tabletop plane or planet.</x:v>
      </x:c>
      <x:c r="O47" s="120" t="str">
        <x:v>New subtype / source-specific refinement</x:v>
      </x:c>
      <x:c r="P47" s="120" t="str">
        <x:v>Parva-level</x:v>
      </x:c>
      <x:c r="Q47" s="120" t="str">
        <x:v>https://bori.ac.in/department/mahabharata/</x:v>
      </x:c>
      <x:c r="R47" s="120" t="str">
        <x:v>Seeded</x:v>
      </x:c>
    </x:row>
    <x:row r="48" ht="64" customHeight="1">
      <x:c r="A48" s="119" t="str">
        <x:v>TRM-0044</x:v>
      </x:c>
      <x:c r="B48" s="119" t="str">
        <x:v>ENT-0373</x:v>
      </x:c>
      <x:c r="C48" s="119" t="str">
        <x:v>SRC-277</x:v>
      </x:c>
      <x:c r="D48" s="120" t="str">
        <x:v>yuga</x:v>
      </x:c>
      <x:c r="E48" s="120" t="str">
        <x:v>Sanskrit</x:v>
      </x:c>
      <x:c r="F48" s="120" t="str">
        <x:v>युग</x:v>
      </x:c>
      <x:c r="G48" s="120" t="str">
        <x:v>yuga</x:v>
      </x:c>
      <x:c r="H48" s="120" t="str">
        <x:v>age/era/yoke, context-dependent</x:v>
      </x:c>
      <x:c r="I48" s="120" t="str">
        <x:v>Cosmological time passages</x:v>
      </x:c>
      <x:c r="J48" s="120" t="str">
        <x:v>South Asia / Sanskrit Mahābhārata tradition</x:v>
      </x:c>
      <x:c r="K48" s="120" t="str">
        <x:v>BORI Critical Edition reference structure; Ganguli English translation reviewed at parva level</x:v>
      </x:c>
      <x:c r="L48" s="120" t="str">
        <x:v>Epic / sacred literary tradition</x:v>
      </x:c>
      <x:c r="M48" s="120" t="str">
        <x:v>world age; cosmic age; era</x:v>
      </x:c>
      <x:c r="N48" s="120" t="str">
        <x:v>Do not convert source age schemes directly into game technology tiers.</x:v>
      </x:c>
      <x:c r="O48" s="120" t="str">
        <x:v>New subtype / source-specific refinement</x:v>
      </x:c>
      <x:c r="P48" s="120" t="str">
        <x:v>Parva-level</x:v>
      </x:c>
      <x:c r="Q48" s="120" t="str">
        <x:v>https://bori.ac.in/department/mahabharata/</x:v>
      </x:c>
      <x:c r="R48" s="120" t="str">
        <x:v>Seeded</x:v>
      </x:c>
    </x:row>
    <x:row r="49" ht="64" customHeight="1">
      <x:c r="A49" s="119" t="str">
        <x:v>TRM-0045</x:v>
      </x:c>
      <x:c r="B49" s="119" t="str">
        <x:v>ENT-0374</x:v>
      </x:c>
      <x:c r="C49" s="119" t="str">
        <x:v>SRC-277</x:v>
      </x:c>
      <x:c r="D49" s="120" t="str">
        <x:v>saṃsāra</x:v>
      </x:c>
      <x:c r="E49" s="120" t="str">
        <x:v>Sanskrit</x:v>
      </x:c>
      <x:c r="F49" s="120" t="str">
        <x:v>संसार</x:v>
      </x:c>
      <x:c r="G49" s="120" t="str">
        <x:v>saṃsāra</x:v>
      </x:c>
      <x:c r="H49" s="120" t="str">
        <x:v>wandering/cycle of embodied existence, context-dependent</x:v>
      </x:c>
      <x:c r="I49" s="120" t="str">
        <x:v>Didactic and philosophical passages</x:v>
      </x:c>
      <x:c r="J49" s="120" t="str">
        <x:v>South Asia / Sanskrit Mahābhārata tradition</x:v>
      </x:c>
      <x:c r="K49" s="120" t="str">
        <x:v>BORI Critical Edition reference structure; Ganguli English translation reviewed at parva level</x:v>
      </x:c>
      <x:c r="L49" s="120" t="str">
        <x:v>Epic / sacred literary tradition</x:v>
      </x:c>
      <x:c r="M49" s="120" t="str">
        <x:v>samsara; cycle of rebirth</x:v>
      </x:c>
      <x:c r="N49" s="120" t="str">
        <x:v>Not equivalent to reincarnation mechanics, time loop, or new-game-plus progression.</x:v>
      </x:c>
      <x:c r="O49" s="120" t="str">
        <x:v>New subtype / source-specific refinement</x:v>
      </x:c>
      <x:c r="P49" s="120" t="str">
        <x:v>Parva-level</x:v>
      </x:c>
      <x:c r="Q49" s="120" t="str">
        <x:v>https://bori.ac.in/department/mahabharata/</x:v>
      </x:c>
      <x:c r="R49" s="120" t="str">
        <x:v>Seeded</x:v>
      </x:c>
    </x:row>
    <x:row r="50" ht="64" customHeight="1">
      <x:c r="A50" s="119" t="str">
        <x:v>TRM-0046</x:v>
      </x:c>
      <x:c r="B50" s="119" t="str">
        <x:v>ENT-0375</x:v>
      </x:c>
      <x:c r="C50" s="119" t="str">
        <x:v>SRC-277</x:v>
      </x:c>
      <x:c r="D50" s="120" t="str">
        <x:v>Meru</x:v>
      </x:c>
      <x:c r="E50" s="120" t="str">
        <x:v>Sanskrit</x:v>
      </x:c>
      <x:c r="F50" s="120" t="str">
        <x:v>मेरु</x:v>
      </x:c>
      <x:c r="G50" s="120" t="str">
        <x:v>Meru</x:v>
      </x:c>
      <x:c r="H50" s="120" t="str">
        <x:v>proper name of the cosmic/sacred mountain</x:v>
      </x:c>
      <x:c r="I50" s="120" t="str">
        <x:v>Cosmological passages</x:v>
      </x:c>
      <x:c r="J50" s="120" t="str">
        <x:v>South Asia / Sanskrit Mahābhārata tradition</x:v>
      </x:c>
      <x:c r="K50" s="120" t="str">
        <x:v>BORI Critical Edition reference structure; Ganguli English translation reviewed at parva level</x:v>
      </x:c>
      <x:c r="L50" s="120" t="str">
        <x:v>Epic / sacred literary tradition</x:v>
      </x:c>
      <x:c r="M50" s="120" t="str">
        <x:v>Mount Meru; Sumeru in related traditions</x:v>
      </x:c>
      <x:c r="N50" s="120" t="str">
        <x:v>Do not collapse distinct Meru traditions or equate with every world mountain.</x:v>
      </x:c>
      <x:c r="O50" s="120" t="str">
        <x:v>New subtype / source-specific refinement</x:v>
      </x:c>
      <x:c r="P50" s="120" t="str">
        <x:v>Parva-level</x:v>
      </x:c>
      <x:c r="Q50" s="120" t="str">
        <x:v>https://bori.ac.in/department/mahabharata/</x:v>
      </x:c>
      <x:c r="R50" s="120" t="str">
        <x:v>Seeded</x:v>
      </x:c>
    </x:row>
    <x:row r="51" ht="64" customHeight="1">
      <x:c r="A51" s="119" t="str">
        <x:v>TRM-0047</x:v>
      </x:c>
      <x:c r="B51" s="119" t="str">
        <x:v>ENT-0376</x:v>
      </x:c>
      <x:c r="C51" s="119" t="str">
        <x:v>SRC-277</x:v>
      </x:c>
      <x:c r="D51" s="120" t="str">
        <x:v>tīrtha</x:v>
      </x:c>
      <x:c r="E51" s="120" t="str">
        <x:v>Sanskrit</x:v>
      </x:c>
      <x:c r="F51" s="120" t="str">
        <x:v>तीर्थ</x:v>
      </x:c>
      <x:c r="G51" s="120" t="str">
        <x:v>tīrtha</x:v>
      </x:c>
      <x:c r="H51" s="120" t="str">
        <x:v>crossing/ford; sacred place</x:v>
      </x:c>
      <x:c r="I51" s="120" t="str">
        <x:v>Vana Parva pilgrimage passages</x:v>
      </x:c>
      <x:c r="J51" s="120" t="str">
        <x:v>South Asia / Sanskrit Mahābhārata tradition</x:v>
      </x:c>
      <x:c r="K51" s="120" t="str">
        <x:v>BORI Critical Edition reference structure; Ganguli English translation reviewed at parva level</x:v>
      </x:c>
      <x:c r="L51" s="120" t="str">
        <x:v>Epic / sacred literary tradition</x:v>
      </x:c>
      <x:c r="M51" s="120" t="str">
        <x:v>sacred ford; pilgrimage place; holy site</x:v>
      </x:c>
      <x:c r="N51" s="120" t="str">
        <x:v>The term joins crossing, place, rite, memory, and pilgrimage; 'shrine' is incomplete.</x:v>
      </x:c>
      <x:c r="O51" s="120" t="str">
        <x:v>New subtype / source-specific refinement</x:v>
      </x:c>
      <x:c r="P51" s="120" t="str">
        <x:v>Parva-level</x:v>
      </x:c>
      <x:c r="Q51" s="120" t="str">
        <x:v>https://bori.ac.in/department/mahabharata/</x:v>
      </x:c>
      <x:c r="R51" s="120" t="str">
        <x:v>Seeded</x:v>
      </x:c>
    </x:row>
    <x:row r="52" ht="64" customHeight="1">
      <x:c r="A52" s="119" t="str">
        <x:v>TRM-0048</x:v>
      </x:c>
      <x:c r="B52" s="119" t="str">
        <x:v>ENT-0377</x:v>
      </x:c>
      <x:c r="C52" s="119" t="str">
        <x:v>SRC-277</x:v>
      </x:c>
      <x:c r="D52" s="120" t="str">
        <x:v>Kurukṣetra</x:v>
      </x:c>
      <x:c r="E52" s="120" t="str">
        <x:v>Sanskrit</x:v>
      </x:c>
      <x:c r="F52" s="120" t="str">
        <x:v>कुरुक्षेत्र</x:v>
      </x:c>
      <x:c r="G52" s="120" t="str">
        <x:v>Kurukṣetra</x:v>
      </x:c>
      <x:c r="H52" s="120" t="str">
        <x:v>field/territory of the Kurus</x:v>
      </x:c>
      <x:c r="I52" s="120" t="str">
        <x:v>Bhīṣma Parva and epic geography</x:v>
      </x:c>
      <x:c r="J52" s="120" t="str">
        <x:v>South Asia / Sanskrit Mahābhārata tradition</x:v>
      </x:c>
      <x:c r="K52" s="120" t="str">
        <x:v>BORI Critical Edition reference structure; Ganguli English translation reviewed at parva level</x:v>
      </x:c>
      <x:c r="L52" s="120" t="str">
        <x:v>Epic / sacred literary tradition</x:v>
      </x:c>
      <x:c r="M52" s="120" t="str">
        <x:v>Kurukshetra; field of the Kurus</x:v>
      </x:c>
      <x:c r="N52" s="120" t="str">
        <x:v>Treat as historical-sacred narrative geography, not merely a combat-map label.</x:v>
      </x:c>
      <x:c r="O52" s="120" t="str">
        <x:v>New subtype / source-specific refinement</x:v>
      </x:c>
      <x:c r="P52" s="120" t="str">
        <x:v>Parva-level</x:v>
      </x:c>
      <x:c r="Q52" s="120" t="str">
        <x:v>https://bori.ac.in/department/mahabharata/</x:v>
      </x:c>
      <x:c r="R52" s="120" t="str">
        <x:v>Seeded</x:v>
      </x:c>
    </x:row>
    <x:row r="53" ht="64" customHeight="1">
      <x:c r="A53" s="119" t="str">
        <x:v>TRM-0049</x:v>
      </x:c>
      <x:c r="B53" s="119" t="str">
        <x:v>ENT-0378</x:v>
      </x:c>
      <x:c r="C53" s="119" t="str">
        <x:v>SRC-277</x:v>
      </x:c>
      <x:c r="D53" s="120" t="str">
        <x:v>pitṛ-loka</x:v>
      </x:c>
      <x:c r="E53" s="120" t="str">
        <x:v>Sanskrit</x:v>
      </x:c>
      <x:c r="F53" s="120" t="str">
        <x:v>पितृलोक</x:v>
      </x:c>
      <x:c r="G53" s="120" t="str">
        <x:v>pitṛ-loka</x:v>
      </x:c>
      <x:c r="H53" s="120" t="str">
        <x:v>world/realm of the ancestors</x:v>
      </x:c>
      <x:c r="I53" s="120" t="str">
        <x:v>Afterlife and rite passages</x:v>
      </x:c>
      <x:c r="J53" s="120" t="str">
        <x:v>South Asia / Sanskrit Mahābhārata tradition</x:v>
      </x:c>
      <x:c r="K53" s="120" t="str">
        <x:v>BORI Critical Edition reference structure; Ganguli English translation reviewed at parva level</x:v>
      </x:c>
      <x:c r="L53" s="120" t="str">
        <x:v>Epic / sacred literary tradition</x:v>
      </x:c>
      <x:c r="M53" s="120" t="str">
        <x:v>ancestor realm; world of the fathers</x:v>
      </x:c>
      <x:c r="N53" s="120" t="str">
        <x:v>Preserve kinship and rite; do not treat as an undead plane.</x:v>
      </x:c>
      <x:c r="O53" s="120" t="str">
        <x:v>New subtype / source-specific refinement</x:v>
      </x:c>
      <x:c r="P53" s="120" t="str">
        <x:v>Parva-level</x:v>
      </x:c>
      <x:c r="Q53" s="120" t="str">
        <x:v>https://bori.ac.in/department/mahabharata/</x:v>
      </x:c>
      <x:c r="R53" s="120" t="str">
        <x:v>Seeded</x:v>
      </x:c>
    </x:row>
    <x:row r="54" ht="64" customHeight="1">
      <x:c r="A54" s="119" t="str">
        <x:v>TRM-0050</x:v>
      </x:c>
      <x:c r="B54" s="119" t="str">
        <x:v>ENT-0380</x:v>
      </x:c>
      <x:c r="C54" s="119" t="str">
        <x:v>SRC-277</x:v>
      </x:c>
      <x:c r="D54" s="120" t="str">
        <x:v>dharma</x:v>
      </x:c>
      <x:c r="E54" s="120" t="str">
        <x:v>Sanskrit</x:v>
      </x:c>
      <x:c r="F54" s="120" t="str">
        <x:v>धर्म</x:v>
      </x:c>
      <x:c r="G54" s="120" t="str">
        <x:v>dharma</x:v>
      </x:c>
      <x:c r="H54" s="120" t="str">
        <x:v>no single adequate English gloss</x:v>
      </x:c>
      <x:c r="I54" s="120" t="str">
        <x:v>Epic-wide; especially didactic and Gītā passages</x:v>
      </x:c>
      <x:c r="J54" s="120" t="str">
        <x:v>South Asia / Sanskrit Mahābhārata tradition</x:v>
      </x:c>
      <x:c r="K54" s="120" t="str">
        <x:v>BORI Critical Edition reference structure; Ganguli English translation reviewed at parva level</x:v>
      </x:c>
      <x:c r="L54" s="120" t="str">
        <x:v>Epic / sacred literary tradition</x:v>
      </x:c>
      <x:c r="M54" s="120" t="str">
        <x:v>duty; law; righteousness; order; ethics (all partial)</x:v>
      </x:c>
      <x:c r="N54" s="120" t="str">
        <x:v>Never reduce dharma to alignment, class duty, obedience, or one fixed English equivalent.</x:v>
      </x:c>
      <x:c r="O54" s="120" t="str">
        <x:v>New subtype / source-specific refinement</x:v>
      </x:c>
      <x:c r="P54" s="120" t="str">
        <x:v>Parva-level</x:v>
      </x:c>
      <x:c r="Q54" s="120" t="str">
        <x:v>https://bori.ac.in/department/mahabharata/</x:v>
      </x:c>
      <x:c r="R54" s="120" t="str">
        <x:v>Seeded</x:v>
      </x:c>
    </x:row>
    <x:row r="55" ht="64" customHeight="1">
      <x:c r="A55" s="119" t="str">
        <x:v>TRM-0051</x:v>
      </x:c>
      <x:c r="B55" s="119" t="str">
        <x:v>ENT-0381</x:v>
      </x:c>
      <x:c r="C55" s="119" t="str">
        <x:v>SRC-277</x:v>
      </x:c>
      <x:c r="D55" s="120" t="str">
        <x:v>karma</x:v>
      </x:c>
      <x:c r="E55" s="120" t="str">
        <x:v>Sanskrit</x:v>
      </x:c>
      <x:c r="F55" s="120" t="str">
        <x:v>कर्म</x:v>
      </x:c>
      <x:c r="G55" s="120" t="str">
        <x:v>karma</x:v>
      </x:c>
      <x:c r="H55" s="120" t="str">
        <x:v>action/deed and its consequences, context-dependent</x:v>
      </x:c>
      <x:c r="I55" s="120" t="str">
        <x:v>Didactic and philosophical passages</x:v>
      </x:c>
      <x:c r="J55" s="120" t="str">
        <x:v>South Asia / Sanskrit Mahābhārata tradition</x:v>
      </x:c>
      <x:c r="K55" s="120" t="str">
        <x:v>BORI Critical Edition reference structure; Ganguli English translation reviewed at parva level</x:v>
      </x:c>
      <x:c r="L55" s="120" t="str">
        <x:v>Epic / sacred literary tradition</x:v>
      </x:c>
      <x:c r="M55" s="120" t="str">
        <x:v>action; deed; karma</x:v>
      </x:c>
      <x:c r="N55" s="120" t="str">
        <x:v>Do not reduce karma to instant reward/punishment, luck, or morality points.</x:v>
      </x:c>
      <x:c r="O55" s="120" t="str">
        <x:v>New subtype / source-specific refinement</x:v>
      </x:c>
      <x:c r="P55" s="120" t="str">
        <x:v>Parva-level</x:v>
      </x:c>
      <x:c r="Q55" s="120" t="str">
        <x:v>https://bori.ac.in/department/mahabharata/</x:v>
      </x:c>
      <x:c r="R55" s="120" t="str">
        <x:v>Seeded</x:v>
      </x:c>
    </x:row>
    <x:row r="56" ht="64" customHeight="1">
      <x:c r="A56" s="119" t="str">
        <x:v>TRM-0052</x:v>
      </x:c>
      <x:c r="B56" s="119" t="str">
        <x:v>ENT-0382</x:v>
      </x:c>
      <x:c r="C56" s="119" t="str">
        <x:v>SRC-277</x:v>
      </x:c>
      <x:c r="D56" s="120" t="str">
        <x:v>yajña</x:v>
      </x:c>
      <x:c r="E56" s="120" t="str">
        <x:v>Sanskrit</x:v>
      </x:c>
      <x:c r="F56" s="120" t="str">
        <x:v>यज्ञ</x:v>
      </x:c>
      <x:c r="G56" s="120" t="str">
        <x:v>yajña</x:v>
      </x:c>
      <x:c r="H56" s="120" t="str">
        <x:v>sacrifice/offering rite</x:v>
      </x:c>
      <x:c r="I56" s="120" t="str">
        <x:v>Ritual and royal passages</x:v>
      </x:c>
      <x:c r="J56" s="120" t="str">
        <x:v>South Asia / Sanskrit Mahābhārata tradition</x:v>
      </x:c>
      <x:c r="K56" s="120" t="str">
        <x:v>BORI Critical Edition reference structure; Ganguli English translation reviewed at parva level</x:v>
      </x:c>
      <x:c r="L56" s="120" t="str">
        <x:v>Epic / sacred literary tradition</x:v>
      </x:c>
      <x:c r="M56" s="120" t="str">
        <x:v>yajna; sacrifice; offering</x:v>
      </x:c>
      <x:c r="N56" s="120" t="str">
        <x:v>Do not equate yajña with generic blood sacrifice or a resource-spend mechanic.</x:v>
      </x:c>
      <x:c r="O56" s="120" t="str">
        <x:v>New subtype / source-specific refinement</x:v>
      </x:c>
      <x:c r="P56" s="120" t="str">
        <x:v>Parva-level</x:v>
      </x:c>
      <x:c r="Q56" s="120" t="str">
        <x:v>https://bori.ac.in/department/mahabharata/</x:v>
      </x:c>
      <x:c r="R56" s="120" t="str">
        <x:v>Seeded</x:v>
      </x:c>
    </x:row>
    <x:row r="57" ht="64" customHeight="1">
      <x:c r="A57" s="119" t="str">
        <x:v>TRM-0053</x:v>
      </x:c>
      <x:c r="B57" s="119" t="str">
        <x:v>ENT-0383</x:v>
      </x:c>
      <x:c r="C57" s="119" t="str">
        <x:v>SRC-277</x:v>
      </x:c>
      <x:c r="D57" s="120" t="str">
        <x:v>guru-dakṣiṇā</x:v>
      </x:c>
      <x:c r="E57" s="120" t="str">
        <x:v>Sanskrit</x:v>
      </x:c>
      <x:c r="F57" s="120" t="str">
        <x:v>गुरुदक्षिणा</x:v>
      </x:c>
      <x:c r="G57" s="120" t="str">
        <x:v>guru-dakṣiṇā</x:v>
      </x:c>
      <x:c r="H57" s="120" t="str">
        <x:v>return gift/fee to a teacher</x:v>
      </x:c>
      <x:c r="I57" s="120" t="str">
        <x:v>Teaching narratives</x:v>
      </x:c>
      <x:c r="J57" s="120" t="str">
        <x:v>South Asia / Sanskrit Mahābhārata tradition</x:v>
      </x:c>
      <x:c r="K57" s="120" t="str">
        <x:v>BORI Critical Edition reference structure; Ganguli English translation reviewed at parva level</x:v>
      </x:c>
      <x:c r="L57" s="120" t="str">
        <x:v>Epic / sacred literary tradition</x:v>
      </x:c>
      <x:c r="M57" s="120" t="str">
        <x:v>teacher's fee; preceptor's due; return gift</x:v>
      </x:c>
      <x:c r="N57" s="120" t="str">
        <x:v>The term belongs to a teacher–disciple relationship and may involve unequal demands or tragic obligations.</x:v>
      </x:c>
      <x:c r="O57" s="120" t="str">
        <x:v>New subtype / source-specific refinement</x:v>
      </x:c>
      <x:c r="P57" s="120" t="str">
        <x:v>Parva-level</x:v>
      </x:c>
      <x:c r="Q57" s="120" t="str">
        <x:v>https://bori.ac.in/department/mahabharata/</x:v>
      </x:c>
      <x:c r="R57" s="120" t="str">
        <x:v>Seeded</x:v>
      </x:c>
    </x:row>
    <x:row r="58" ht="64" customHeight="1">
      <x:c r="A58" s="119" t="str">
        <x:v>TRM-0054</x:v>
      </x:c>
      <x:c r="B58" s="119" t="str">
        <x:v>ENT-0384</x:v>
      </x:c>
      <x:c r="C58" s="119" t="str">
        <x:v>SRC-277</x:v>
      </x:c>
      <x:c r="D58" s="120" t="str">
        <x:v>atithi-dharma</x:v>
      </x:c>
      <x:c r="E58" s="120" t="str">
        <x:v>Sanskrit</x:v>
      </x:c>
      <x:c r="F58" s="120" t="str">
        <x:v>अतिथिधर्म</x:v>
      </x:c>
      <x:c r="G58" s="120" t="str">
        <x:v>atithi-dharma</x:v>
      </x:c>
      <x:c r="H58" s="120" t="str">
        <x:v>guest-related duty/order</x:v>
      </x:c>
      <x:c r="I58" s="120" t="str">
        <x:v>Hospitality passages</x:v>
      </x:c>
      <x:c r="J58" s="120" t="str">
        <x:v>South Asia / Sanskrit Mahābhārata tradition</x:v>
      </x:c>
      <x:c r="K58" s="120" t="str">
        <x:v>BORI Critical Edition reference structure; Ganguli English translation reviewed at parva level</x:v>
      </x:c>
      <x:c r="L58" s="120" t="str">
        <x:v>Epic / sacred literary tradition</x:v>
      </x:c>
      <x:c r="M58" s="120" t="str">
        <x:v>duty to the guest; guest law; sacred hospitality</x:v>
      </x:c>
      <x:c r="N58" s="120" t="str">
        <x:v>Do not assume equivalence with Greek xenia or generic hospitality rules.</x:v>
      </x:c>
      <x:c r="O58" s="120" t="str">
        <x:v>New subtype / source-specific refinement</x:v>
      </x:c>
      <x:c r="P58" s="120" t="str">
        <x:v>Parva-level</x:v>
      </x:c>
      <x:c r="Q58" s="120" t="str">
        <x:v>https://bori.ac.in/department/mahabharata/</x:v>
      </x:c>
      <x:c r="R58" s="120" t="str">
        <x:v>Seeded</x:v>
      </x:c>
    </x:row>
    <x:row r="59" ht="64" customHeight="1">
      <x:c r="A59" s="119" t="str">
        <x:v>TRM-0055</x:v>
      </x:c>
      <x:c r="B59" s="119" t="str">
        <x:v>ENT-0385</x:v>
      </x:c>
      <x:c r="C59" s="119" t="str">
        <x:v>SRC-277</x:v>
      </x:c>
      <x:c r="D59" s="120" t="str">
        <x:v>rāja-dharma</x:v>
      </x:c>
      <x:c r="E59" s="120" t="str">
        <x:v>Sanskrit</x:v>
      </x:c>
      <x:c r="F59" s="120" t="str">
        <x:v>राजधर्म</x:v>
      </x:c>
      <x:c r="G59" s="120" t="str">
        <x:v>rāja-dharma</x:v>
      </x:c>
      <x:c r="H59" s="120" t="str">
        <x:v>duties/order of rulership</x:v>
      </x:c>
      <x:c r="I59" s="120" t="str">
        <x:v>Śānti Parva</x:v>
      </x:c>
      <x:c r="J59" s="120" t="str">
        <x:v>South Asia / Sanskrit Mahābhārata tradition</x:v>
      </x:c>
      <x:c r="K59" s="120" t="str">
        <x:v>BORI Critical Edition reference structure; Ganguli English translation reviewed at parva level</x:v>
      </x:c>
      <x:c r="L59" s="120" t="str">
        <x:v>Epic / sacred literary tradition</x:v>
      </x:c>
      <x:c r="M59" s="120" t="str">
        <x:v>king's duty; political ethics; duties of kings</x:v>
      </x:c>
      <x:c r="N59" s="120" t="str">
        <x:v>Do not reduce to a monarch class feature or timeless constitutional doctrine.</x:v>
      </x:c>
      <x:c r="O59" s="120" t="str">
        <x:v>New subtype / source-specific refinement</x:v>
      </x:c>
      <x:c r="P59" s="120" t="str">
        <x:v>Parva-level</x:v>
      </x:c>
      <x:c r="Q59" s="120" t="str">
        <x:v>https://bori.ac.in/department/mahabharata/</x:v>
      </x:c>
      <x:c r="R59" s="120" t="str">
        <x:v>Seeded</x:v>
      </x:c>
    </x:row>
    <x:row r="60" ht="64" customHeight="1">
      <x:c r="A60" s="119" t="str">
        <x:v>TRM-0056</x:v>
      </x:c>
      <x:c r="B60" s="119" t="str">
        <x:v>ENT-0386</x:v>
      </x:c>
      <x:c r="C60" s="119" t="str">
        <x:v>SRC-277</x:v>
      </x:c>
      <x:c r="D60" s="120" t="str">
        <x:v>mokṣa-dharma</x:v>
      </x:c>
      <x:c r="E60" s="120" t="str">
        <x:v>Sanskrit</x:v>
      </x:c>
      <x:c r="F60" s="120" t="str">
        <x:v>मोक्षधर्म</x:v>
      </x:c>
      <x:c r="G60" s="120" t="str">
        <x:v>mokṣa-dharma</x:v>
      </x:c>
      <x:c r="H60" s="120" t="str">
        <x:v>teaching/order concerning liberation</x:v>
      </x:c>
      <x:c r="I60" s="120" t="str">
        <x:v>Śānti Parva</x:v>
      </x:c>
      <x:c r="J60" s="120" t="str">
        <x:v>South Asia / Sanskrit Mahābhārata tradition</x:v>
      </x:c>
      <x:c r="K60" s="120" t="str">
        <x:v>BORI Critical Edition reference structure; Ganguli English translation reviewed at parva level</x:v>
      </x:c>
      <x:c r="L60" s="120" t="str">
        <x:v>Epic / sacred literary tradition</x:v>
      </x:c>
      <x:c r="M60" s="120" t="str">
        <x:v>law of liberation; liberation teaching</x:v>
      </x:c>
      <x:c r="N60" s="120" t="str">
        <x:v>Mokṣa is not generic immortality, heaven, or game ascension; preserve philosophical plurality.</x:v>
      </x:c>
      <x:c r="O60" s="120" t="str">
        <x:v>New subtype / source-specific refinement</x:v>
      </x:c>
      <x:c r="P60" s="120" t="str">
        <x:v>Parva-level</x:v>
      </x:c>
      <x:c r="Q60" s="120" t="str">
        <x:v>https://bori.ac.in/department/mahabharata/</x:v>
      </x:c>
      <x:c r="R60" s="120" t="str">
        <x:v>Seeded</x:v>
      </x:c>
    </x:row>
    <x:row r="61" ht="64" customHeight="1">
      <x:c r="A61" s="119" t="str">
        <x:v>TRM-0057</x:v>
      </x:c>
      <x:c r="B61" s="119" t="str">
        <x:v>ENT-0394</x:v>
      </x:c>
      <x:c r="C61" s="119" t="str">
        <x:v>SRC-277</x:v>
      </x:c>
      <x:c r="D61" s="120" t="str">
        <x:v>āśrama</x:v>
      </x:c>
      <x:c r="E61" s="120" t="str">
        <x:v>Sanskrit</x:v>
      </x:c>
      <x:c r="F61" s="120" t="str">
        <x:v>आश्रम</x:v>
      </x:c>
      <x:c r="G61" s="120" t="str">
        <x:v>āśrama</x:v>
      </x:c>
      <x:c r="H61" s="120" t="str">
        <x:v>hermitage, residence, or life-stage term by context</x:v>
      </x:c>
      <x:c r="I61" s="120" t="str">
        <x:v>Epic-wide</x:v>
      </x:c>
      <x:c r="J61" s="120" t="str">
        <x:v>South Asia / Sanskrit Mahābhārata tradition</x:v>
      </x:c>
      <x:c r="K61" s="120" t="str">
        <x:v>BORI Critical Edition reference structure; Ganguli English translation reviewed at parva level</x:v>
      </x:c>
      <x:c r="L61" s="120" t="str">
        <x:v>Epic / sacred literary tradition</x:v>
      </x:c>
      <x:c r="M61" s="120" t="str">
        <x:v>ashrama; hermitage; retreat</x:v>
      </x:c>
      <x:c r="N61" s="120" t="str">
        <x:v>Do not assume the word denotes a Western monastery or only one institutional form.</x:v>
      </x:c>
      <x:c r="O61" s="120" t="str">
        <x:v>New subtype / source-specific refinement</x:v>
      </x:c>
      <x:c r="P61" s="120" t="str">
        <x:v>Parva-level</x:v>
      </x:c>
      <x:c r="Q61" s="120" t="str">
        <x:v>https://bori.ac.in/department/mahabharata/</x:v>
      </x:c>
      <x:c r="R61" s="120" t="str">
        <x:v>Seeded</x:v>
      </x:c>
    </x:row>
    <x:row r="62" ht="64" customHeight="1">
      <x:c r="A62" s="119" t="str">
        <x:v>TRM-0058</x:v>
      </x:c>
      <x:c r="B62" s="119" t="str">
        <x:v>ENT-0395</x:v>
      </x:c>
      <x:c r="C62" s="119" t="str">
        <x:v>SRC-277</x:v>
      </x:c>
      <x:c r="D62" s="120" t="str">
        <x:v>sabhā</x:v>
      </x:c>
      <x:c r="E62" s="120" t="str">
        <x:v>Sanskrit</x:v>
      </x:c>
      <x:c r="F62" s="120" t="str">
        <x:v>सभा</x:v>
      </x:c>
      <x:c r="G62" s="120" t="str">
        <x:v>sabhā</x:v>
      </x:c>
      <x:c r="H62" s="120" t="str">
        <x:v>assembly/hall</x:v>
      </x:c>
      <x:c r="I62" s="120" t="str">
        <x:v>Sabhā Parva</x:v>
      </x:c>
      <x:c r="J62" s="120" t="str">
        <x:v>South Asia / Sanskrit Mahābhārata tradition</x:v>
      </x:c>
      <x:c r="K62" s="120" t="str">
        <x:v>BORI Critical Edition reference structure; Ganguli English translation reviewed at parva level</x:v>
      </x:c>
      <x:c r="L62" s="120" t="str">
        <x:v>Epic / sacred literary tradition</x:v>
      </x:c>
      <x:c r="M62" s="120" t="str">
        <x:v>assembly; council hall; court</x:v>
      </x:c>
      <x:c r="N62" s="120" t="str">
        <x:v>The term can denote both gathering and space; public witness and procedure matter.</x:v>
      </x:c>
      <x:c r="O62" s="120" t="str">
        <x:v>New subtype / source-specific refinement</x:v>
      </x:c>
      <x:c r="P62" s="120" t="str">
        <x:v>Parva-level</x:v>
      </x:c>
      <x:c r="Q62" s="120" t="str">
        <x:v>https://bori.ac.in/department/mahabharata/</x:v>
      </x:c>
      <x:c r="R62" s="120" t="str">
        <x:v>Seeded</x:v>
      </x:c>
    </x:row>
    <x:row r="63" ht="64" customHeight="1">
      <x:c r="A63" s="119" t="str">
        <x:v>TRM-0059</x:v>
      </x:c>
      <x:c r="B63" s="119" t="str">
        <x:v>ENT-0396</x:v>
      </x:c>
      <x:c r="C63" s="119" t="str">
        <x:v>SRC-277</x:v>
      </x:c>
      <x:c r="D63" s="120" t="str">
        <x:v>akṣauhiṇī</x:v>
      </x:c>
      <x:c r="E63" s="120" t="str">
        <x:v>Sanskrit</x:v>
      </x:c>
      <x:c r="F63" s="120" t="str">
        <x:v>अक्षौहिणी</x:v>
      </x:c>
      <x:c r="G63" s="120" t="str">
        <x:v>akṣauhiṇī</x:v>
      </x:c>
      <x:c r="H63" s="120" t="str">
        <x:v>formally enumerated army formation</x:v>
      </x:c>
      <x:c r="I63" s="120" t="str">
        <x:v>Army enumeration passages</x:v>
      </x:c>
      <x:c r="J63" s="120" t="str">
        <x:v>South Asia / Sanskrit Mahābhārata tradition</x:v>
      </x:c>
      <x:c r="K63" s="120" t="str">
        <x:v>BORI Critical Edition reference structure; Ganguli English translation reviewed at parva level</x:v>
      </x:c>
      <x:c r="L63" s="120" t="str">
        <x:v>Epic / sacred literary tradition</x:v>
      </x:c>
      <x:c r="M63" s="120" t="str">
        <x:v>akshauhini; great army division</x:v>
      </x:c>
      <x:c r="N63" s="120" t="str">
        <x:v>Preserve the source enumeration rather than treating the term as a generic army size.</x:v>
      </x:c>
      <x:c r="O63" s="120" t="str">
        <x:v>New subtype / source-specific refinement</x:v>
      </x:c>
      <x:c r="P63" s="120" t="str">
        <x:v>Parva-level</x:v>
      </x:c>
      <x:c r="Q63" s="120" t="str">
        <x:v>https://bori.ac.in/department/mahabharata/</x:v>
      </x:c>
      <x:c r="R63" s="120" t="str">
        <x:v>Seeded</x:v>
      </x:c>
    </x:row>
    <x:row r="64" ht="64" customHeight="1">
      <x:c r="A64" s="119" t="str">
        <x:v>TRM-0060</x:v>
      </x:c>
      <x:c r="B64" s="119" t="str">
        <x:v>ENT-0397</x:v>
      </x:c>
      <x:c r="C64" s="119" t="str">
        <x:v>SRC-277</x:v>
      </x:c>
      <x:c r="D64" s="120" t="str">
        <x:v>svayaṃvara</x:v>
      </x:c>
      <x:c r="E64" s="120" t="str">
        <x:v>Sanskrit</x:v>
      </x:c>
      <x:c r="F64" s="120" t="str">
        <x:v>स्वयंवर</x:v>
      </x:c>
      <x:c r="G64" s="120" t="str">
        <x:v>svayaṃvara</x:v>
      </x:c>
      <x:c r="H64" s="120" t="str">
        <x:v>self-choice/selection in marriage, context-dependent</x:v>
      </x:c>
      <x:c r="I64" s="120" t="str">
        <x:v>Marriage narratives</x:v>
      </x:c>
      <x:c r="J64" s="120" t="str">
        <x:v>South Asia / Sanskrit Mahābhārata tradition</x:v>
      </x:c>
      <x:c r="K64" s="120" t="str">
        <x:v>BORI Critical Edition reference structure; Ganguli English translation reviewed at parva level</x:v>
      </x:c>
      <x:c r="L64" s="120" t="str">
        <x:v>Epic / sacred literary tradition</x:v>
      </x:c>
      <x:c r="M64" s="120" t="str">
        <x:v>swayamvara; bride-choice ceremony; marriage contest</x:v>
      </x:c>
      <x:c r="N64" s="120" t="str">
        <x:v>Do not reduce to a tournament prize; agency, lineage, public recognition, and politics vary by episode.</x:v>
      </x:c>
      <x:c r="O64" s="120" t="str">
        <x:v>New subtype / source-specific refinement</x:v>
      </x:c>
      <x:c r="P64" s="120" t="str">
        <x:v>Parva-level</x:v>
      </x:c>
      <x:c r="Q64" s="120" t="str">
        <x:v>https://bori.ac.in/department/mahabharata/</x:v>
      </x:c>
      <x:c r="R64" s="120" t="str">
        <x:v>Seeded</x:v>
      </x:c>
    </x:row>
  </x:sheetData>
  <x:mergeCells>
    <x:mergeCell ref="A1:R1"/>
    <x:mergeCell ref="A2:R2"/>
    <x:mergeCell ref="A3:R3"/>
  </x:mergeCells>
  <x:dataValidations count="3">
    <x:dataValidation type="list" sqref="L5:L64">
      <x:formula1>'Controlled Vocab'!$B$151:$B$157</x:formula1>
    </x:dataValidation>
    <x:dataValidation type="list" sqref="O5:O64">
      <x:formula1>'Controlled Vocab'!$B$144:$B$150</x:formula1>
    </x:dataValidation>
    <x:dataValidation type="list" sqref="R5:R64">
      <x:formula1>'Controlled Vocab'!$B$87:$B$91</x:formula1>
    </x:dataValidation>
  </x:dataValidations>
  <x:pageMargins left="0.7" right="0.7" top="0.75" bottom="0.75" header="0.3" footer="0.3"/>
  <x:tableParts count="1">
    <x:tablePart xmlns:r="http://schemas.openxmlformats.org/officeDocument/2006/relationships" r:id="R47e677d364044469"/>
  </x:tableParts>
</x:worksheet>
</file>

<file path=xl/worksheets/sheet12.xml><?xml version="1.0" encoding="utf-8"?>
<x:worksheet xmlns:x="http://schemas.openxmlformats.org/spreadsheetml/2006/main">
  <x:sheetFormatPr defaultRowHeight="15"/>
  <x:cols>
    <x:col min="1" max="1" width="12" hidden="0" customWidth="1"/>
    <x:col min="2" max="2" width="12" hidden="0" customWidth="1"/>
    <x:col min="3" max="3" width="25" hidden="0" customWidth="1"/>
    <x:col min="4" max="4" width="26" hidden="0" customWidth="1"/>
    <x:col min="5" max="5" width="12" hidden="0" customWidth="1"/>
    <x:col min="6" max="6" width="25" hidden="0" customWidth="1"/>
    <x:col min="7" max="7" width="24" hidden="0" customWidth="1"/>
    <x:col min="8" max="8" width="23" hidden="0" customWidth="1"/>
    <x:col min="9" max="9" width="24" hidden="0" customWidth="1"/>
    <x:col min="10" max="10" width="38" hidden="0" customWidth="1"/>
    <x:col min="11" max="11" width="46" hidden="0" customWidth="1"/>
    <x:col min="12" max="12" width="38" hidden="0" customWidth="1"/>
    <x:col min="13" max="13" width="18" hidden="0" customWidth="1"/>
    <x:col min="14" max="14" width="22" hidden="0" customWidth="1"/>
    <x:col min="15" max="15" width="40" hidden="0" customWidth="1"/>
    <x:col min="16" max="16" width="34" hidden="0" customWidth="1"/>
    <x:col min="17" max="17" width="16" hidden="0" customWidth="1"/>
  </x:cols>
  <x:sheetData>
    <x:row r="1" ht="28" customHeight="1">
      <x:c r="A1" s="104" t="str">
        <x:v>Adaptation Crosswalk — From Traditional Concept to Media System</x:v>
      </x:c>
      <x:c r="B1" s="104"/>
      <x:c r="C1" s="104"/>
      <x:c r="D1" s="104"/>
      <x:c r="E1" s="104"/>
      <x:c r="F1" s="104"/>
      <x:c r="G1" s="104"/>
      <x:c r="H1" s="104"/>
      <x:c r="I1" s="104"/>
      <x:c r="J1" s="104"/>
      <x:c r="K1" s="104"/>
      <x:c r="L1" s="104"/>
      <x:c r="M1" s="104"/>
      <x:c r="N1" s="104"/>
      <x:c r="O1" s="104"/>
      <x:c r="P1" s="104"/>
      <x:c r="Q1" s="104"/>
    </x:row>
    <x:row r="2" ht="32" customHeight="1">
      <x:c r="A2" s="109" t="str">
        <x:v>Records how mythic, literary, religious, folkloric, and historical concepts are transformed into factions, units, resources, classes, items, bosses, and progression systems.</x:v>
      </x:c>
      <x:c r="B2" s="109"/>
      <x:c r="C2" s="109"/>
      <x:c r="D2" s="109"/>
      <x:c r="E2" s="109"/>
      <x:c r="F2" s="109"/>
      <x:c r="G2" s="109"/>
      <x:c r="H2" s="109"/>
      <x:c r="I2" s="109"/>
      <x:c r="J2" s="109"/>
      <x:c r="K2" s="109"/>
      <x:c r="L2" s="109"/>
      <x:c r="M2" s="109"/>
      <x:c r="N2" s="109"/>
      <x:c r="O2" s="109"/>
      <x:c r="P2" s="109"/>
      <x:c r="Q2" s="109"/>
    </x:row>
    <x:row r="3" ht="40" customHeight="1">
      <x:c r="A3" s="114" t="str">
        <x:v>The crosswalk describes preservation and transformation; it does not use an adaptation as evidence for what an earlier tradition 'really' means.</x:v>
      </x:c>
      <x:c r="B3" s="114"/>
      <x:c r="C3" s="114"/>
      <x:c r="D3" s="114"/>
      <x:c r="E3" s="114"/>
      <x:c r="F3" s="114"/>
      <x:c r="G3" s="114"/>
      <x:c r="H3" s="114"/>
      <x:c r="I3" s="114"/>
      <x:c r="J3" s="114"/>
      <x:c r="K3" s="114"/>
      <x:c r="L3" s="114"/>
      <x:c r="M3" s="114"/>
      <x:c r="N3" s="114"/>
      <x:c r="O3" s="114"/>
      <x:c r="P3" s="114"/>
      <x:c r="Q3" s="114"/>
    </x:row>
    <x:row r="4" ht="48" customHeight="1">
      <x:c r="A4" s="118" t="str">
        <x:v>Crosswalk_ID</x:v>
      </x:c>
      <x:c r="B4" s="118" t="str">
        <x:v>Traditional_Source_ID</x:v>
      </x:c>
      <x:c r="C4" s="118" t="str">
        <x:v>Traditional_Concept</x:v>
      </x:c>
      <x:c r="D4" s="118" t="str">
        <x:v>Traditional_Record_Type</x:v>
      </x:c>
      <x:c r="E4" s="118" t="str">
        <x:v>Adaptation_Source_ID</x:v>
      </x:c>
      <x:c r="F4" s="118" t="str">
        <x:v>Adaptation_Title</x:v>
      </x:c>
      <x:c r="G4" s="118" t="str">
        <x:v>Adapted_Concept</x:v>
      </x:c>
      <x:c r="H4" s="118" t="str">
        <x:v>Game_Form</x:v>
      </x:c>
      <x:c r="I4" s="118" t="str">
        <x:v>Adaptation_Operation</x:v>
      </x:c>
      <x:c r="J4" s="118" t="str">
        <x:v>Preserved_Dimension</x:v>
      </x:c>
      <x:c r="K4" s="118" t="str">
        <x:v>Changed_or_Lost</x:v>
      </x:c>
      <x:c r="L4" s="118" t="str">
        <x:v>Mechanical_Function</x:v>
      </x:c>
      <x:c r="M4" s="118" t="str">
        <x:v>Equivalence_Level</x:v>
      </x:c>
      <x:c r="N4" s="118" t="str">
        <x:v>Evidence_Level</x:v>
      </x:c>
      <x:c r="O4" s="118" t="str">
        <x:v>Source_Reference</x:v>
      </x:c>
      <x:c r="P4" s="118" t="str">
        <x:v>Reference_URL</x:v>
      </x:c>
      <x:c r="Q4" s="118" t="str">
        <x:v>Review_Status</x:v>
      </x:c>
    </x:row>
    <x:row r="5" ht="78" customHeight="1">
      <x:c r="A5" s="119" t="str">
        <x:v>XWK-0001</x:v>
      </x:c>
      <x:c r="B5" s="119"/>
      <x:c r="C5" s="120" t="str">
        <x:v>Deity or divine patron</x:v>
      </x:c>
      <x:c r="D5" s="120" t="str">
        <x:v>Divine person / cultic relationship</x:v>
      </x:c>
      <x:c r="E5" s="120" t="str">
        <x:v>SRC-281</x:v>
      </x:c>
      <x:c r="F5" s="120" t="str">
        <x:v>Age of Mythology: Retold</x:v>
      </x:c>
      <x:c r="G5" s="120" t="str">
        <x:v>Major god choice</x:v>
      </x:c>
      <x:c r="H5" s="120" t="str">
        <x:v>Initial faction/build selection</x:v>
      </x:c>
      <x:c r="I5" s="120" t="str">
        <x:v>Factionalization</x:v>
      </x:c>
      <x:c r="J5" s="120" t="str">
        <x:v>Divine portfolio, name, iconography, and patron relation</x:v>
      </x:c>
      <x:c r="K5" s="120" t="str">
        <x:v>Narrative, cult, regional history, ritual diversity, and theological ambiguity are compressed into bonuses and a tech tree.</x:v>
      </x:c>
      <x:c r="L5" s="120" t="str">
        <x:v>Defines starting bonuses, first god power, technologies, and later branches</x:v>
      </x:c>
      <x:c r="M5" s="120" t="str">
        <x:v>Partial analogy</x:v>
      </x:c>
      <x:c r="N5" s="120" t="str">
        <x:v>Official reference reviewed</x:v>
      </x:c>
      <x:c r="O5" s="120" t="str">
        <x:v>Age of Mythology: Retold official game and expansion materials.</x:v>
      </x:c>
      <x:c r="P5" s="120" t="str">
        <x:v>https://www.ageofempires.com/games/age-of-mythology-retold/</x:v>
      </x:c>
      <x:c r="Q5" s="120" t="str">
        <x:v>Seeded</x:v>
      </x:c>
    </x:row>
    <x:row r="6" ht="78" customHeight="1">
      <x:c r="A6" s="119" t="str">
        <x:v>XWK-0002</x:v>
      </x:c>
      <x:c r="B6" s="119"/>
      <x:c r="C6" s="120" t="str">
        <x:v>Lesser or associated deity</x:v>
      </x:c>
      <x:c r="D6" s="120" t="str">
        <x:v>Divine person / cultic relationship</x:v>
      </x:c>
      <x:c r="E6" s="120" t="str">
        <x:v>SRC-281</x:v>
      </x:c>
      <x:c r="F6" s="120" t="str">
        <x:v>Age of Mythology: Retold</x:v>
      </x:c>
      <x:c r="G6" s="120" t="str">
        <x:v>Minor god choice</x:v>
      </x:c>
      <x:c r="H6" s="120" t="str">
        <x:v>Age-up branch</x:v>
      </x:c>
      <x:c r="I6" s="120" t="str">
        <x:v>Progression abstraction</x:v>
      </x:c>
      <x:c r="J6" s="120" t="str">
        <x:v>Association with domains, beings, or divine powers</x:v>
      </x:c>
      <x:c r="K6" s="120" t="str">
        <x:v>Religious plurality becomes a mutually exclusive upgrade branch with standardized timing.</x:v>
      </x:c>
      <x:c r="L6" s="120" t="str">
        <x:v>Unlocks myth units, technologies, and a god power</x:v>
      </x:c>
      <x:c r="M6" s="120" t="str">
        <x:v>Partial analogy</x:v>
      </x:c>
      <x:c r="N6" s="120" t="str">
        <x:v>Official reference reviewed</x:v>
      </x:c>
      <x:c r="O6" s="120" t="str">
        <x:v>Age of Mythology: Retold official game and expansion materials.</x:v>
      </x:c>
      <x:c r="P6" s="120" t="str">
        <x:v>https://www.ageofempires.com/games/age-of-mythology-retold/</x:v>
      </x:c>
      <x:c r="Q6" s="120" t="str">
        <x:v>Seeded</x:v>
      </x:c>
    </x:row>
    <x:row r="7" ht="78" customHeight="1">
      <x:c r="A7" s="119" t="str">
        <x:v>XWK-0003</x:v>
      </x:c>
      <x:c r="B7" s="119"/>
      <x:c r="C7" s="120" t="str">
        <x:v>Divine intervention</x:v>
      </x:c>
      <x:c r="D7" s="120" t="str">
        <x:v>Event / miracle / narrative agency</x:v>
      </x:c>
      <x:c r="E7" s="120" t="str">
        <x:v>SRC-281</x:v>
      </x:c>
      <x:c r="F7" s="120" t="str">
        <x:v>Age of Mythology: Retold</x:v>
      </x:c>
      <x:c r="G7" s="120" t="str">
        <x:v>God power</x:v>
      </x:c>
      <x:c r="H7" s="120" t="str">
        <x:v>Activated strategic ability</x:v>
      </x:c>
      <x:c r="I7" s="120" t="str">
        <x:v>Mechanization</x:v>
      </x:c>
      <x:c r="J7" s="120" t="str">
        <x:v>Spectacle, divine attribution, and exceptional effect</x:v>
      </x:c>
      <x:c r="K7" s="120" t="str">
        <x:v>Context, petition, moral ambiguity, ritual process, and divine autonomy are converted into player targeting and cooldown/charge rules.</x:v>
      </x:c>
      <x:c r="L7" s="120" t="str">
        <x:v>Produces battlefield, economic, environmental, or summoning effects</x:v>
      </x:c>
      <x:c r="M7" s="120" t="str">
        <x:v>Partial analogy</x:v>
      </x:c>
      <x:c r="N7" s="120" t="str">
        <x:v>Official reference reviewed</x:v>
      </x:c>
      <x:c r="O7" s="120" t="str">
        <x:v>Age of Mythology: Retold official game and expansion materials.</x:v>
      </x:c>
      <x:c r="P7" s="120" t="str">
        <x:v>https://www.ageofempires.com/games/age-of-mythology-retold/</x:v>
      </x:c>
      <x:c r="Q7" s="120" t="str">
        <x:v>Seeded</x:v>
      </x:c>
    </x:row>
    <x:row r="8" ht="78" customHeight="1">
      <x:c r="A8" s="119" t="str">
        <x:v>XWK-0004</x:v>
      </x:c>
      <x:c r="B8" s="119"/>
      <x:c r="C8" s="120" t="str">
        <x:v>Worship, offering, or divine relationship</x:v>
      </x:c>
      <x:c r="D8" s="120" t="str">
        <x:v>Ritual and social relation</x:v>
      </x:c>
      <x:c r="E8" s="120" t="str">
        <x:v>SRC-281</x:v>
      </x:c>
      <x:c r="F8" s="120" t="str">
        <x:v>Age of Mythology: Retold</x:v>
      </x:c>
      <x:c r="G8" s="120" t="str">
        <x:v>Favor</x:v>
      </x:c>
      <x:c r="H8" s="120" t="str">
        <x:v>Quantified resource</x:v>
      </x:c>
      <x:c r="I8" s="120" t="str">
        <x:v>Resource abstraction</x:v>
      </x:c>
      <x:c r="J8" s="120" t="str">
        <x:v>A relationship between community and divine power</x:v>
      </x:c>
      <x:c r="K8" s="120" t="str">
        <x:v>Multiple forms of ritual, devotion, reciprocity, institution, and belief become one spendable numerical resource.</x:v>
      </x:c>
      <x:c r="L8" s="120" t="str">
        <x:v>Pays for myth units, divine technologies, and related effects</x:v>
      </x:c>
      <x:c r="M8" s="120" t="str">
        <x:v>Partial analogy</x:v>
      </x:c>
      <x:c r="N8" s="120" t="str">
        <x:v>Official reference reviewed</x:v>
      </x:c>
      <x:c r="O8" s="120" t="str">
        <x:v>Age of Mythology: Retold official game and expansion materials.</x:v>
      </x:c>
      <x:c r="P8" s="120" t="str">
        <x:v>https://www.ageofempires.com/games/age-of-mythology-retold/</x:v>
      </x:c>
      <x:c r="Q8" s="120" t="str">
        <x:v>Seeded</x:v>
      </x:c>
    </x:row>
    <x:row r="9" ht="78" customHeight="1">
      <x:c r="A9" s="119" t="str">
        <x:v>XWK-0005</x:v>
      </x:c>
      <x:c r="B9" s="119"/>
      <x:c r="C9" s="120" t="str">
        <x:v>Mythological being</x:v>
      </x:c>
      <x:c r="D9" s="120" t="str">
        <x:v>Person, species, spirit, monster, or unique figure</x:v>
      </x:c>
      <x:c r="E9" s="120" t="str">
        <x:v>SRC-281</x:v>
      </x:c>
      <x:c r="F9" s="120" t="str">
        <x:v>Age of Mythology: Retold</x:v>
      </x:c>
      <x:c r="G9" s="120" t="str">
        <x:v>Myth unit</x:v>
      </x:c>
      <x:c r="H9" s="120" t="str">
        <x:v>Trainable faction unit</x:v>
      </x:c>
      <x:c r="I9" s="120" t="str">
        <x:v>Unitization</x:v>
      </x:c>
      <x:c r="J9" s="120" t="str">
        <x:v>Name, appearance, signature ability, and broad mythic association</x:v>
      </x:c>
      <x:c r="K9" s="120" t="str">
        <x:v>Personhood, uniqueness, locality, narrative role, ambivalence, and source-specific ontology may be removed.</x:v>
      </x:c>
      <x:c r="L9" s="120" t="str">
        <x:v>Occupies cost, population, counter, upgrade, and production roles</x:v>
      </x:c>
      <x:c r="M9" s="120" t="str">
        <x:v>Partial analogy</x:v>
      </x:c>
      <x:c r="N9" s="120" t="str">
        <x:v>Official reference reviewed</x:v>
      </x:c>
      <x:c r="O9" s="120" t="str">
        <x:v>Age of Mythology: Retold official game and expansion materials.</x:v>
      </x:c>
      <x:c r="P9" s="120" t="str">
        <x:v>https://www.ageofempires.com/games/age-of-mythology-retold/</x:v>
      </x:c>
      <x:c r="Q9" s="120" t="str">
        <x:v>Seeded</x:v>
      </x:c>
    </x:row>
    <x:row r="10" ht="78" customHeight="1">
      <x:c r="A10" s="119" t="str">
        <x:v>XWK-0006</x:v>
      </x:c>
      <x:c r="B10" s="119"/>
      <x:c r="C10" s="120" t="str">
        <x:v>Hero</x:v>
      </x:c>
      <x:c r="D10" s="120" t="str">
        <x:v>Narrative person / lineage figure / cultic figure</x:v>
      </x:c>
      <x:c r="E10" s="120" t="str">
        <x:v>SRC-281</x:v>
      </x:c>
      <x:c r="F10" s="120" t="str">
        <x:v>Age of Mythology: Retold</x:v>
      </x:c>
      <x:c r="G10" s="120" t="str">
        <x:v>Hero unit</x:v>
      </x:c>
      <x:c r="H10" s="120" t="str">
        <x:v>Anti-myth specialist</x:v>
      </x:c>
      <x:c r="I10" s="120" t="str">
        <x:v>Counter-role assignment</x:v>
      </x:c>
      <x:c r="J10" s="120" t="str">
        <x:v>Exceptional identity and opposition to monsters or divine threats</x:v>
      </x:c>
      <x:c r="K10" s="120" t="str">
        <x:v>Biography, ritual status, tragedy, political role, and moral complexity are subordinated to a combat tag.</x:v>
      </x:c>
      <x:c r="L10" s="120" t="str">
        <x:v>Counters myth units and performs special objective functions</x:v>
      </x:c>
      <x:c r="M10" s="120" t="str">
        <x:v>Partial analogy</x:v>
      </x:c>
      <x:c r="N10" s="120" t="str">
        <x:v>Official reference reviewed</x:v>
      </x:c>
      <x:c r="O10" s="120" t="str">
        <x:v>Age of Mythology: Retold official game and expansion materials.</x:v>
      </x:c>
      <x:c r="P10" s="120" t="str">
        <x:v>https://www.ageofempires.com/games/age-of-mythology-retold/</x:v>
      </x:c>
      <x:c r="Q10" s="120" t="str">
        <x:v>Seeded</x:v>
      </x:c>
    </x:row>
    <x:row r="11" ht="78" customHeight="1">
      <x:c r="A11" s="119" t="str">
        <x:v>XWK-0007</x:v>
      </x:c>
      <x:c r="B11" s="119"/>
      <x:c r="C11" s="120" t="str">
        <x:v>Human military role</x:v>
      </x:c>
      <x:c r="D11" s="120" t="str">
        <x:v>Profession, social order, or historical unit</x:v>
      </x:c>
      <x:c r="E11" s="120" t="str">
        <x:v>SRC-281</x:v>
      </x:c>
      <x:c r="F11" s="120" t="str">
        <x:v>Age of Mythology: Retold</x:v>
      </x:c>
      <x:c r="G11" s="120" t="str">
        <x:v>Human unit</x:v>
      </x:c>
      <x:c r="H11" s="120" t="str">
        <x:v>Baseline military unit</x:v>
      </x:c>
      <x:c r="I11" s="120" t="str">
        <x:v>Standardization</x:v>
      </x:c>
      <x:c r="J11" s="120" t="str">
        <x:v>Weapons, broad tactical function, and factional identity</x:v>
      </x:c>
      <x:c r="K11" s="120" t="str">
        <x:v>Training, status, logistics, historical change, and social institutions become standardized unit stats.</x:v>
      </x:c>
      <x:c r="L11" s="120" t="str">
        <x:v>Provides the ordinary army and participates in counter relationships</x:v>
      </x:c>
      <x:c r="M11" s="120" t="str">
        <x:v>Partial analogy</x:v>
      </x:c>
      <x:c r="N11" s="120" t="str">
        <x:v>Official reference reviewed</x:v>
      </x:c>
      <x:c r="O11" s="120" t="str">
        <x:v>Age of Mythology: Retold official game and expansion materials.</x:v>
      </x:c>
      <x:c r="P11" s="120" t="str">
        <x:v>https://www.ageofempires.com/games/age-of-mythology-retold/</x:v>
      </x:c>
      <x:c r="Q11" s="120" t="str">
        <x:v>Seeded</x:v>
      </x:c>
    </x:row>
    <x:row r="12" ht="78" customHeight="1">
      <x:c r="A12" s="119" t="str">
        <x:v>XWK-0008</x:v>
      </x:c>
      <x:c r="B12" s="119"/>
      <x:c r="C12" s="120" t="str">
        <x:v>Cosmic, historical, or mythic age</x:v>
      </x:c>
      <x:c r="D12" s="120" t="str">
        <x:v>Temporal/cosmological model</x:v>
      </x:c>
      <x:c r="E12" s="120" t="str">
        <x:v>SRC-281</x:v>
      </x:c>
      <x:c r="F12" s="120" t="str">
        <x:v>Age of Mythology: Retold</x:v>
      </x:c>
      <x:c r="G12" s="120" t="str">
        <x:v>Archaic/Classical/Heroic/Mythic age progression</x:v>
      </x:c>
      <x:c r="H12" s="120" t="str">
        <x:v>Technology tier</x:v>
      </x:c>
      <x:c r="I12" s="120" t="str">
        <x:v>Progression abstraction</x:v>
      </x:c>
      <x:c r="J12" s="120" t="str">
        <x:v>Sense of advancement and changing capability</x:v>
      </x:c>
      <x:c r="K12" s="120" t="str">
        <x:v>Source-specific time models become a universal four-step economic and military ladder.</x:v>
      </x:c>
      <x:c r="L12" s="120" t="str">
        <x:v>Unlocks buildings, units, technologies, and minor-god choices</x:v>
      </x:c>
      <x:c r="M12" s="120" t="str">
        <x:v>Partial analogy</x:v>
      </x:c>
      <x:c r="N12" s="120" t="str">
        <x:v>Official reference reviewed</x:v>
      </x:c>
      <x:c r="O12" s="120" t="str">
        <x:v>Age of Mythology: Retold official game and expansion materials.</x:v>
      </x:c>
      <x:c r="P12" s="120" t="str">
        <x:v>https://www.ageofempires.com/games/age-of-mythology-retold/</x:v>
      </x:c>
      <x:c r="Q12" s="120" t="str">
        <x:v>Seeded</x:v>
      </x:c>
    </x:row>
    <x:row r="13" ht="78" customHeight="1">
      <x:c r="A13" s="119" t="str">
        <x:v>XWK-0009</x:v>
      </x:c>
      <x:c r="B13" s="119"/>
      <x:c r="C13" s="120" t="str">
        <x:v>Temple or shrine</x:v>
      </x:c>
      <x:c r="D13" s="120" t="str">
        <x:v>Ritual institution / sacred place</x:v>
      </x:c>
      <x:c r="E13" s="120" t="str">
        <x:v>SRC-281</x:v>
      </x:c>
      <x:c r="F13" s="120" t="str">
        <x:v>Age of Mythology: Retold</x:v>
      </x:c>
      <x:c r="G13" s="120" t="str">
        <x:v>Temple</x:v>
      </x:c>
      <x:c r="H13" s="120" t="str">
        <x:v>Production and relic-storage building</x:v>
      </x:c>
      <x:c r="I13" s="120" t="str">
        <x:v>Institutional simplification</x:v>
      </x:c>
      <x:c r="J13" s="120" t="str">
        <x:v>Sacred building identity and relation to divine powers</x:v>
      </x:c>
      <x:c r="K13" s="120" t="str">
        <x:v>Ritual specialists, calendars, offerings, social authority, local history, and architectural variation are reduced to production functions.</x:v>
      </x:c>
      <x:c r="L13" s="120" t="str">
        <x:v>Produces myth units, researches technologies, and stores relics</x:v>
      </x:c>
      <x:c r="M13" s="120" t="str">
        <x:v>Partial analogy</x:v>
      </x:c>
      <x:c r="N13" s="120" t="str">
        <x:v>Official reference reviewed</x:v>
      </x:c>
      <x:c r="O13" s="120" t="str">
        <x:v>Age of Mythology: Retold official game and expansion materials.</x:v>
      </x:c>
      <x:c r="P13" s="120" t="str">
        <x:v>https://www.ageofempires.com/games/age-of-mythology-retold/</x:v>
      </x:c>
      <x:c r="Q13" s="120" t="str">
        <x:v>Seeded</x:v>
      </x:c>
    </x:row>
    <x:row r="14" ht="78" customHeight="1">
      <x:c r="A14" s="119" t="str">
        <x:v>XWK-0010</x:v>
      </x:c>
      <x:c r="B14" s="119"/>
      <x:c r="C14" s="120" t="str">
        <x:v>Relic or sacred object</x:v>
      </x:c>
      <x:c r="D14" s="120" t="str">
        <x:v>Artifact / cultic object / legendary possession</x:v>
      </x:c>
      <x:c r="E14" s="120" t="str">
        <x:v>SRC-281</x:v>
      </x:c>
      <x:c r="F14" s="120" t="str">
        <x:v>Age of Mythology: Retold</x:v>
      </x:c>
      <x:c r="G14" s="120" t="str">
        <x:v>Relic</x:v>
      </x:c>
      <x:c r="H14" s="120" t="str">
        <x:v>Capturable map bonus</x:v>
      </x:c>
      <x:c r="I14" s="120" t="str">
        <x:v>Itemization</x:v>
      </x:c>
      <x:c r="J14" s="120" t="str">
        <x:v>Rarity, sacred or legendary aura, and hero association</x:v>
      </x:c>
      <x:c r="K14" s="120" t="str">
        <x:v>Provenance, ritual custody, narrative uniqueness, contested authenticity, and restrictions are standardized.</x:v>
      </x:c>
      <x:c r="L14" s="120" t="str">
        <x:v>Heroes carry relics to temples for persistent bonuses</x:v>
      </x:c>
      <x:c r="M14" s="120" t="str">
        <x:v>Partial analogy</x:v>
      </x:c>
      <x:c r="N14" s="120" t="str">
        <x:v>Official reference reviewed</x:v>
      </x:c>
      <x:c r="O14" s="120" t="str">
        <x:v>Age of Mythology: Retold official game and expansion materials.</x:v>
      </x:c>
      <x:c r="P14" s="120" t="str">
        <x:v>https://www.ageofempires.com/games/age-of-mythology-retold/</x:v>
      </x:c>
      <x:c r="Q14" s="120" t="str">
        <x:v>Seeded</x:v>
      </x:c>
    </x:row>
    <x:row r="15" ht="78" customHeight="1">
      <x:c r="A15" s="119" t="str">
        <x:v>XWK-0011</x:v>
      </x:c>
      <x:c r="B15" s="119"/>
      <x:c r="C15" s="120" t="str">
        <x:v>Primordial or colossal being</x:v>
      </x:c>
      <x:c r="D15" s="120" t="str">
        <x:v>Divine/primordial person or monster</x:v>
      </x:c>
      <x:c r="E15" s="120" t="str">
        <x:v>SRC-281</x:v>
      </x:c>
      <x:c r="F15" s="120" t="str">
        <x:v>Age of Mythology: Retold</x:v>
      </x:c>
      <x:c r="G15" s="120" t="str">
        <x:v>Titan</x:v>
      </x:c>
      <x:c r="H15" s="120" t="str">
        <x:v>Late-game superunit</x:v>
      </x:c>
      <x:c r="I15" s="120" t="str">
        <x:v>Bossification</x:v>
      </x:c>
      <x:c r="J15" s="120" t="str">
        <x:v>Scale, ancient power, and catastrophic presence</x:v>
      </x:c>
      <x:c r="K15" s="120" t="str">
        <x:v>Genealogy, plurality, cosmic role, and individual narrative become one strategic category.</x:v>
      </x:c>
      <x:c r="L15" s="120" t="str">
        <x:v>Provides decisive late-game combat power</x:v>
      </x:c>
      <x:c r="M15" s="120" t="str">
        <x:v>Partial analogy</x:v>
      </x:c>
      <x:c r="N15" s="120" t="str">
        <x:v>Official reference reviewed</x:v>
      </x:c>
      <x:c r="O15" s="120" t="str">
        <x:v>Age of Mythology: Retold official game and expansion materials.</x:v>
      </x:c>
      <x:c r="P15" s="120" t="str">
        <x:v>https://www.ageofempires.com/games/age-of-mythology-retold/</x:v>
      </x:c>
      <x:c r="Q15" s="120" t="str">
        <x:v>Seeded</x:v>
      </x:c>
    </x:row>
    <x:row r="16" ht="78" customHeight="1">
      <x:c r="A16" s="119" t="str">
        <x:v>XWK-0012</x:v>
      </x:c>
      <x:c r="B16" s="119"/>
      <x:c r="C16" s="120" t="str">
        <x:v>Threshold between worlds</x:v>
      </x:c>
      <x:c r="D16" s="120" t="str">
        <x:v>Cosmological boundary / ritual passage</x:v>
      </x:c>
      <x:c r="E16" s="120" t="str">
        <x:v>SRC-281</x:v>
      </x:c>
      <x:c r="F16" s="120" t="str">
        <x:v>Age of Mythology: Retold</x:v>
      </x:c>
      <x:c r="G16" s="120" t="str">
        <x:v>Titan Gate</x:v>
      </x:c>
      <x:c r="H16" s="120" t="str">
        <x:v>Constructed production gate</x:v>
      </x:c>
      <x:c r="I16" s="120" t="str">
        <x:v>Mechanization</x:v>
      </x:c>
      <x:c r="J16" s="120" t="str">
        <x:v>Sense of opening a passage for a primordial being</x:v>
      </x:c>
      <x:c r="K16" s="120" t="str">
        <x:v>Ritual, cosmic law, divine conflict, and source geography become a construction project.</x:v>
      </x:c>
      <x:c r="L16" s="120" t="str">
        <x:v>Summons or enables a Titan superunit</x:v>
      </x:c>
      <x:c r="M16" s="120" t="str">
        <x:v>Partial analogy</x:v>
      </x:c>
      <x:c r="N16" s="120" t="str">
        <x:v>Official reference reviewed</x:v>
      </x:c>
      <x:c r="O16" s="120" t="str">
        <x:v>Age of Mythology: Retold official game and expansion materials.</x:v>
      </x:c>
      <x:c r="P16" s="120" t="str">
        <x:v>https://www.ageofempires.com/games/age-of-mythology-retold/</x:v>
      </x:c>
      <x:c r="Q16" s="120" t="str">
        <x:v>Seeded</x:v>
      </x:c>
    </x:row>
    <x:row r="17" ht="78" customHeight="1">
      <x:c r="A17" s="119" t="str">
        <x:v>XWK-0013</x:v>
      </x:c>
      <x:c r="B17" s="119"/>
      <x:c r="C17" s="120" t="str">
        <x:v>Monumental sacred or royal construction</x:v>
      </x:c>
      <x:c r="D17" s="120" t="str">
        <x:v>Artifact/institution/sacred geography</x:v>
      </x:c>
      <x:c r="E17" s="120" t="str">
        <x:v>SRC-281</x:v>
      </x:c>
      <x:c r="F17" s="120" t="str">
        <x:v>Age of Mythology: Retold</x:v>
      </x:c>
      <x:c r="G17" s="120" t="str">
        <x:v>Wonder</x:v>
      </x:c>
      <x:c r="H17" s="120" t="str">
        <x:v>Victory project and endgame trigger</x:v>
      </x:c>
      <x:c r="I17" s="120" t="str">
        <x:v>Monument mechanization</x:v>
      </x:c>
      <x:c r="J17" s="120" t="str">
        <x:v>Scale, prestige, civilization identity, and sacred symbolism</x:v>
      </x:c>
      <x:c r="K17" s="120" t="str">
        <x:v>Historical function, labor, ritual, and contested meaning become a standardized strategic objective.</x:v>
      </x:c>
      <x:c r="L17" s="120" t="str">
        <x:v>Supports victory conditions and the Wonder Age</x:v>
      </x:c>
      <x:c r="M17" s="120" t="str">
        <x:v>Partial analogy</x:v>
      </x:c>
      <x:c r="N17" s="120" t="str">
        <x:v>Official reference reviewed</x:v>
      </x:c>
      <x:c r="O17" s="120" t="str">
        <x:v>Age of Mythology: Retold official game and expansion materials.</x:v>
      </x:c>
      <x:c r="P17" s="120" t="str">
        <x:v>https://www.ageofempires.com/games/age-of-mythology-retold/</x:v>
      </x:c>
      <x:c r="Q17" s="120" t="str">
        <x:v>Seeded</x:v>
      </x:c>
    </x:row>
    <x:row r="18" ht="78" customHeight="1">
      <x:c r="A18" s="119" t="str">
        <x:v>XWK-0014</x:v>
      </x:c>
      <x:c r="B18" s="119"/>
      <x:c r="C18" s="120" t="str">
        <x:v>Pantheon plurality</x:v>
      </x:c>
      <x:c r="D18" s="120" t="str">
        <x:v>Relational divine network</x:v>
      </x:c>
      <x:c r="E18" s="120" t="str">
        <x:v>SRC-281</x:v>
      </x:c>
      <x:c r="F18" s="120" t="str">
        <x:v>Age of Mythology: Retold</x:v>
      </x:c>
      <x:c r="G18" s="120" t="str">
        <x:v>Pantheon roster</x:v>
      </x:c>
      <x:c r="H18" s="120" t="str">
        <x:v>Civilization faction tree</x:v>
      </x:c>
      <x:c r="I18" s="120" t="str">
        <x:v>Systematization</x:v>
      </x:c>
      <x:c r="J18" s="120" t="str">
        <x:v>Recognizable deity names and domain associations</x:v>
      </x:c>
      <x:c r="K18" s="120" t="str">
        <x:v>Fluid, local, historical, and overlapping relations are made exhaustive, balanced, and hierarchically selectable.</x:v>
      </x:c>
      <x:c r="L18" s="120" t="str">
        <x:v>Creates comparable faction architecture</x:v>
      </x:c>
      <x:c r="M18" s="120" t="str">
        <x:v>Partial analogy</x:v>
      </x:c>
      <x:c r="N18" s="120" t="str">
        <x:v>Official reference reviewed</x:v>
      </x:c>
      <x:c r="O18" s="120" t="str">
        <x:v>Age of Mythology: Retold official game and expansion materials.</x:v>
      </x:c>
      <x:c r="P18" s="120" t="str">
        <x:v>https://www.ageofempires.com/games/age-of-mythology-retold/</x:v>
      </x:c>
      <x:c r="Q18" s="120" t="str">
        <x:v>Seeded</x:v>
      </x:c>
    </x:row>
    <x:row r="19" ht="78" customHeight="1">
      <x:c r="A19" s="119" t="str">
        <x:v>XWK-0015</x:v>
      </x:c>
      <x:c r="B19" s="119"/>
      <x:c r="C19" s="120" t="str">
        <x:v>Ambivalent spirit or monster</x:v>
      </x:c>
      <x:c r="D19" s="120" t="str">
        <x:v>Source-specific person or being type</x:v>
      </x:c>
      <x:c r="E19" s="120" t="str">
        <x:v>SRC-281</x:v>
      </x:c>
      <x:c r="F19" s="120" t="str">
        <x:v>Age of Mythology: Retold</x:v>
      </x:c>
      <x:c r="G19" s="120" t="str">
        <x:v>Allied/enemy combat unit</x:v>
      </x:c>
      <x:c r="H19" s="120" t="str">
        <x:v>Tactical roster slot</x:v>
      </x:c>
      <x:c r="I19" s="120" t="str">
        <x:v>Moral and tactical simplification</x:v>
      </x:c>
      <x:c r="J19" s="120" t="str">
        <x:v>Visual identity and one or two signature capacities</x:v>
      </x:c>
      <x:c r="K19" s="120" t="str">
        <x:v>Ambivalence, hospitality, locality, kinship, ritual role, and noncombat meanings may disappear.</x:v>
      </x:c>
      <x:c r="L19" s="120" t="str">
        <x:v>Clarifies battlefield role and counter readability</x:v>
      </x:c>
      <x:c r="M19" s="120" t="str">
        <x:v>Partial analogy</x:v>
      </x:c>
      <x:c r="N19" s="120" t="str">
        <x:v>Official reference reviewed</x:v>
      </x:c>
      <x:c r="O19" s="120" t="str">
        <x:v>Age of Mythology: Retold official game and expansion materials.</x:v>
      </x:c>
      <x:c r="P19" s="120" t="str">
        <x:v>https://www.ageofempires.com/games/age-of-mythology-retold/</x:v>
      </x:c>
      <x:c r="Q19" s="120" t="str">
        <x:v>Seeded</x:v>
      </x:c>
    </x:row>
    <x:row r="20" ht="78" customHeight="1">
      <x:c r="A20" s="119" t="str">
        <x:v>XWK-0016</x:v>
      </x:c>
      <x:c r="B20" s="119"/>
      <x:c r="C20" s="120" t="str">
        <x:v>Sacred place or mythic landscape</x:v>
      </x:c>
      <x:c r="D20" s="120" t="str">
        <x:v>Sacred geography</x:v>
      </x:c>
      <x:c r="E20" s="120" t="str">
        <x:v>SRC-281</x:v>
      </x:c>
      <x:c r="F20" s="120" t="str">
        <x:v>Age of Mythology: Retold</x:v>
      </x:c>
      <x:c r="G20" s="120" t="str">
        <x:v>Map terrain, settlement, objective, or campaign location</x:v>
      </x:c>
      <x:c r="H20" s="120" t="str">
        <x:v>Spatial game element</x:v>
      </x:c>
      <x:c r="I20" s="120" t="str">
        <x:v>Spatial abstraction</x:v>
      </x:c>
      <x:c r="J20" s="120" t="str">
        <x:v>Place-name, atmosphere, and broad narrative association</x:v>
      </x:c>
      <x:c r="K20" s="120" t="str">
        <x:v>Pilgrimage, layered memory, ritual access, and living relations to land are converted into traversable or capturable space.</x:v>
      </x:c>
      <x:c r="L20" s="120" t="str">
        <x:v>Shapes map tactics, scenario objectives, and campaign progression</x:v>
      </x:c>
      <x:c r="M20" s="120" t="str">
        <x:v>Partial analogy</x:v>
      </x:c>
      <x:c r="N20" s="120" t="str">
        <x:v>Official reference reviewed</x:v>
      </x:c>
      <x:c r="O20" s="120" t="str">
        <x:v>Age of Mythology: Retold official game and expansion materials.</x:v>
      </x:c>
      <x:c r="P20" s="120" t="str">
        <x:v>https://www.ageofempires.com/games/age-of-mythology-retold/</x:v>
      </x:c>
      <x:c r="Q20" s="120" t="str">
        <x:v>Seeded</x:v>
      </x:c>
    </x:row>
    <x:row r="21" ht="78" customHeight="1">
      <x:c r="A21" s="119" t="str">
        <x:v>XWK-0017</x:v>
      </x:c>
      <x:c r="B21" s="119" t="str">
        <x:v>SRC-001</x:v>
      </x:c>
      <x:c r="C21" s="120" t="str">
        <x:v>Greek gods and heroes</x:v>
      </x:c>
      <x:c r="D21" s="120" t="str">
        <x:v>Divine and heroic traditions</x:v>
      </x:c>
      <x:c r="E21" s="120" t="str">
        <x:v>SRC-281</x:v>
      </x:c>
      <x:c r="F21" s="120" t="str">
        <x:v>Age of Mythology: Retold</x:v>
      </x:c>
      <x:c r="G21" s="120" t="str">
        <x:v>Greek major/minor gods and hero units</x:v>
      </x:c>
      <x:c r="H21" s="120" t="str">
        <x:v>Playable pantheon roster</x:v>
      </x:c>
      <x:c r="I21" s="120" t="str">
        <x:v>Factionalization</x:v>
      </x:c>
      <x:c r="J21" s="120" t="str">
        <x:v>Names, iconography, divine domains, selected monsters, and hero figures</x:v>
      </x:c>
      <x:c r="K21" s="120" t="str">
        <x:v>Multiple periods, cults, cities, authors, and contradictory genealogies are compressed into one coherent faction.</x:v>
      </x:c>
      <x:c r="L21" s="120" t="str">
        <x:v>Provides deity branches, heroes, myth units, powers, and technologies</x:v>
      </x:c>
      <x:c r="M21" s="120" t="str">
        <x:v>Partial analogy</x:v>
      </x:c>
      <x:c r="N21" s="120" t="str">
        <x:v>Official reference reviewed</x:v>
      </x:c>
      <x:c r="O21" s="120" t="str">
        <x:v>Age of Mythology: Retold official game and expansion materials.</x:v>
      </x:c>
      <x:c r="P21" s="120" t="str">
        <x:v>https://www.ageofempires.com/games/age-of-mythology-retold/</x:v>
      </x:c>
      <x:c r="Q21" s="120" t="str">
        <x:v>Seeded</x:v>
      </x:c>
    </x:row>
    <x:row r="22" ht="78" customHeight="1">
      <x:c r="A22" s="119" t="str">
        <x:v>XWK-0018</x:v>
      </x:c>
      <x:c r="B22" s="119" t="str">
        <x:v>SRC-013</x:v>
      </x:c>
      <x:c r="C22" s="120" t="str">
        <x:v>Egyptian divine and funerary traditions</x:v>
      </x:c>
      <x:c r="D22" s="120" t="str">
        <x:v>Divine, royal, ritual, and afterlife systems</x:v>
      </x:c>
      <x:c r="E22" s="120" t="str">
        <x:v>SRC-281</x:v>
      </x:c>
      <x:c r="F22" s="120" t="str">
        <x:v>Age of Mythology: Retold</x:v>
      </x:c>
      <x:c r="G22" s="120" t="str">
        <x:v>Egyptian pantheon and priest/pharaoh mechanics</x:v>
      </x:c>
      <x:c r="H22" s="120" t="str">
        <x:v>Playable pantheon roster</x:v>
      </x:c>
      <x:c r="I22" s="120" t="str">
        <x:v>Temporal and institutional compression</x:v>
      </x:c>
      <x:c r="J22" s="120" t="str">
        <x:v>Divine iconography, monuments, priests, selected funerary and animal-associated imagery</x:v>
      </x:c>
      <x:c r="K22" s="120" t="str">
        <x:v>Millennia of regional and historical variation become one stable civilization with a single counter economy.</x:v>
      </x:c>
      <x:c r="L22" s="120" t="str">
        <x:v>Defines asymmetric economy, divine branches, myth units, and monuments</x:v>
      </x:c>
      <x:c r="M22" s="120" t="str">
        <x:v>Partial analogy</x:v>
      </x:c>
      <x:c r="N22" s="120" t="str">
        <x:v>Official reference reviewed</x:v>
      </x:c>
      <x:c r="O22" s="120" t="str">
        <x:v>Age of Mythology: Retold official game and expansion materials.</x:v>
      </x:c>
      <x:c r="P22" s="120" t="str">
        <x:v>https://www.ageofempires.com/games/age-of-mythology-retold/</x:v>
      </x:c>
      <x:c r="Q22" s="120" t="str">
        <x:v>Seeded</x:v>
      </x:c>
    </x:row>
    <x:row r="23" ht="78" customHeight="1">
      <x:c r="A23" s="119" t="str">
        <x:v>XWK-0019</x:v>
      </x:c>
      <x:c r="B23" s="119" t="str">
        <x:v>SRC-002</x:v>
      </x:c>
      <x:c r="C23" s="120" t="str">
        <x:v>Norse gods, jötnar, heroes, and eschatology</x:v>
      </x:c>
      <x:c r="D23" s="120" t="str">
        <x:v>Mythic and literary traditions</x:v>
      </x:c>
      <x:c r="E23" s="120" t="str">
        <x:v>SRC-281</x:v>
      </x:c>
      <x:c r="F23" s="120" t="str">
        <x:v>Age of Mythology: Retold</x:v>
      </x:c>
      <x:c r="G23" s="120" t="str">
        <x:v>Norse pantheon and combat-linked favor</x:v>
      </x:c>
      <x:c r="H23" s="120" t="str">
        <x:v>Playable pantheon roster</x:v>
      </x:c>
      <x:c r="I23" s="120" t="str">
        <x:v>Recombination</x:v>
      </x:c>
      <x:c r="J23" s="120" t="str">
        <x:v>Names, Eddic imagery, warfare, monsters, and Ragnarök-associated motifs</x:v>
      </x:c>
      <x:c r="K23" s="120" t="str">
        <x:v>Distinct sources and ambiguous categories are merged with modern Viking visual convention.</x:v>
      </x:c>
      <x:c r="L23" s="120" t="str">
        <x:v>Creates aggressive faction economy, hero units, myth units, and god powers</x:v>
      </x:c>
      <x:c r="M23" s="120" t="str">
        <x:v>Partial analogy</x:v>
      </x:c>
      <x:c r="N23" s="120" t="str">
        <x:v>Official reference reviewed</x:v>
      </x:c>
      <x:c r="O23" s="120" t="str">
        <x:v>Age of Mythology: Retold official game and expansion materials.</x:v>
      </x:c>
      <x:c r="P23" s="120" t="str">
        <x:v>https://www.ageofempires.com/games/age-of-mythology-retold/</x:v>
      </x:c>
      <x:c r="Q23" s="120" t="str">
        <x:v>Seeded</x:v>
      </x:c>
    </x:row>
    <x:row r="24" ht="78" customHeight="1">
      <x:c r="A24" s="119" t="str">
        <x:v>XWK-0020</x:v>
      </x:c>
      <x:c r="B24" s="119" t="str">
        <x:v>SRC-001</x:v>
      </x:c>
      <x:c r="C24" s="120" t="str">
        <x:v>Atlantis reception and Greek divine material</x:v>
      </x:c>
      <x:c r="D24" s="120" t="str">
        <x:v>Philosophical literary motif plus later invention</x:v>
      </x:c>
      <x:c r="E24" s="120" t="str">
        <x:v>SRC-281</x:v>
      </x:c>
      <x:c r="F24" s="120" t="str">
        <x:v>Age of Mythology: Retold</x:v>
      </x:c>
      <x:c r="G24" s="120" t="str">
        <x:v>Atlantean pantheon roster</x:v>
      </x:c>
      <x:c r="H24" s="120" t="str">
        <x:v>Game-original/composite faction</x:v>
      </x:c>
      <x:c r="I24" s="120" t="str">
        <x:v>Invented tradition / recombination</x:v>
      </x:c>
      <x:c r="J24" s="120" t="str">
        <x:v>Atlantis name, Greek divine figures, Titan motifs, and lost-civilization imagery</x:v>
      </x:c>
      <x:c r="K24" s="120" t="str">
        <x:v>A nonexistent ancient pantheon is presented with the systemic completeness of historical factions.</x:v>
      </x:c>
      <x:c r="L24" s="120" t="str">
        <x:v>Provides a distinct economy, heroized citizens, divine branches, and campaign identity</x:v>
      </x:c>
      <x:c r="M24" s="120" t="str">
        <x:v>Adaptation construction</x:v>
      </x:c>
      <x:c r="N24" s="120" t="str">
        <x:v>Official reference reviewed</x:v>
      </x:c>
      <x:c r="O24" s="120" t="str">
        <x:v>Age of Mythology: Retold official game and expansion materials.</x:v>
      </x:c>
      <x:c r="P24" s="120" t="str">
        <x:v>https://www.ageofempires.com/games/age-of-mythology-retold/</x:v>
      </x:c>
      <x:c r="Q24" s="120" t="str">
        <x:v>Seeded</x:v>
      </x:c>
    </x:row>
    <x:row r="25" ht="78" customHeight="1">
      <x:c r="A25" s="119" t="str">
        <x:v>XWK-0021</x:v>
      </x:c>
      <x:c r="B25" s="119" t="str">
        <x:v>SRC-279</x:v>
      </x:c>
      <x:c r="C25" s="120" t="str">
        <x:v>Celestial bureaucracy, immortals, deities, and mythic beings</x:v>
      </x:c>
      <x:c r="D25" s="120" t="str">
        <x:v>Plural religious/literary systems</x:v>
      </x:c>
      <x:c r="E25" s="120" t="str">
        <x:v>SRC-281</x:v>
      </x:c>
      <x:c r="F25" s="120" t="str">
        <x:v>Age of Mythology: Retold</x:v>
      </x:c>
      <x:c r="G25" s="120" t="str">
        <x:v>Chinese pantheon — Immortal Pillars</x:v>
      </x:c>
      <x:c r="H25" s="120" t="str">
        <x:v>Expansion faction roster</x:v>
      </x:c>
      <x:c r="I25" s="120" t="str">
        <x:v>Syncretism and factionalization</x:v>
      </x:c>
      <x:c r="J25" s="120" t="str">
        <x:v>Selected divine names, celestial administration motifs, legendary beings, and visual symbols</x:v>
      </x:c>
      <x:c r="K25" s="120" t="str">
        <x:v>Daoist, Buddhist, popular, literary, local, and regional materials risk being merged into one timeless pantheon.</x:v>
      </x:c>
      <x:c r="L25" s="120" t="str">
        <x:v>Adds major/minor gods, myth units, technologies, powers, and a faction economy</x:v>
      </x:c>
      <x:c r="M25" s="120" t="str">
        <x:v>Partial analogy</x:v>
      </x:c>
      <x:c r="N25" s="120" t="str">
        <x:v>Official reference reviewed</x:v>
      </x:c>
      <x:c r="O25" s="120" t="str">
        <x:v>Age of Mythology: Retold official game and expansion materials.</x:v>
      </x:c>
      <x:c r="P25" s="120" t="str">
        <x:v>https://www.ageofempires.com/games/age-of-mythology-retold/</x:v>
      </x:c>
      <x:c r="Q25" s="120" t="str">
        <x:v>Seeded</x:v>
      </x:c>
    </x:row>
    <x:row r="26" ht="78" customHeight="1">
      <x:c r="A26" s="119" t="str">
        <x:v>XWK-0022</x:v>
      </x:c>
      <x:c r="B26" s="119" t="str">
        <x:v>SRC-019</x:v>
      </x:c>
      <x:c r="C26" s="120" t="str">
        <x:v>Kami, yōkai, heroes, ritual purity, and sacred place</x:v>
      </x:c>
      <x:c r="D26" s="120" t="str">
        <x:v>Religious, folkloric, and literary traditions</x:v>
      </x:c>
      <x:c r="E26" s="120" t="str">
        <x:v>SRC-281</x:v>
      </x:c>
      <x:c r="F26" s="120" t="str">
        <x:v>Age of Mythology: Retold</x:v>
      </x:c>
      <x:c r="G26" s="120" t="str">
        <x:v>Japanese pantheon — Heavenly Spear</x:v>
      </x:c>
      <x:c r="H26" s="120" t="str">
        <x:v>Expansion faction roster</x:v>
      </x:c>
      <x:c r="I26" s="120" t="str">
        <x:v>Syncretism and unitization</x:v>
      </x:c>
      <x:c r="J26" s="120" t="str">
        <x:v>Selected names, iconography, beings, weapons, and place/spirit motifs</x:v>
      </x:c>
      <x:c r="K26" s="120" t="str">
        <x:v>Kami, yōkai, historical figures, and modern popular representations become one balanced roster.</x:v>
      </x:c>
      <x:c r="L26" s="120" t="str">
        <x:v>Adds deity branches, myth units, heroes, powers, and technologies</x:v>
      </x:c>
      <x:c r="M26" s="120" t="str">
        <x:v>Partial analogy</x:v>
      </x:c>
      <x:c r="N26" s="120" t="str">
        <x:v>Official reference reviewed</x:v>
      </x:c>
      <x:c r="O26" s="120" t="str">
        <x:v>Age of Mythology: Retold official game and expansion materials.</x:v>
      </x:c>
      <x:c r="P26" s="120" t="str">
        <x:v>https://www.ageofempires.com/games/age-of-mythology-retold/</x:v>
      </x:c>
      <x:c r="Q26" s="120" t="str">
        <x:v>Seeded</x:v>
      </x:c>
    </x:row>
    <x:row r="27" ht="78" customHeight="1">
      <x:c r="A27" s="119" t="str">
        <x:v>XWK-0023</x:v>
      </x:c>
      <x:c r="B27" s="119" t="str">
        <x:v>SRC-280</x:v>
      </x:c>
      <x:c r="C27" s="120" t="str">
        <x:v>Mexica divine, ritual, calendrical, and warrior systems</x:v>
      </x:c>
      <x:c r="D27" s="120" t="str">
        <x:v>Religious, political, and sacred-historical traditions</x:v>
      </x:c>
      <x:c r="E27" s="120" t="str">
        <x:v>SRC-281</x:v>
      </x:c>
      <x:c r="F27" s="120" t="str">
        <x:v>Age of Mythology: Retold</x:v>
      </x:c>
      <x:c r="G27" s="120" t="str">
        <x:v>Mexica/Aztec pantheon — Obsidian Mirror</x:v>
      </x:c>
      <x:c r="H27" s="120" t="str">
        <x:v>Expansion faction roster</x:v>
      </x:c>
      <x:c r="I27" s="120" t="str">
        <x:v>Ritual-economy abstraction</x:v>
      </x:c>
      <x:c r="J27" s="120" t="str">
        <x:v>Selected divine names, calendrical or warrior imagery, beings, and monumental forms</x:v>
      </x:c>
      <x:c r="K27" s="120" t="str">
        <x:v>Complex ritual obligations, sacred history, city-state politics, colonial-source mediation, and regional specificity may be simplified.</x:v>
      </x:c>
      <x:c r="L27" s="120" t="str">
        <x:v>Adds deity branches, myth units, powers, technologies, and a faction economy</x:v>
      </x:c>
      <x:c r="M27" s="120" t="str">
        <x:v>Partial analogy</x:v>
      </x:c>
      <x:c r="N27" s="120" t="str">
        <x:v>Official reference reviewed</x:v>
      </x:c>
      <x:c r="O27" s="120" t="str">
        <x:v>Age of Mythology: Retold official game and expansion materials.</x:v>
      </x:c>
      <x:c r="P27" s="120" t="str">
        <x:v>https://www.ageofempires.com/games/age-of-mythology-retold/</x:v>
      </x:c>
      <x:c r="Q27" s="120" t="str">
        <x:v>Seeded</x:v>
      </x:c>
    </x:row>
    <x:row r="28" ht="78" customHeight="1">
      <x:c r="A28" s="119" t="str">
        <x:v>XWK-0024</x:v>
      </x:c>
      <x:c r="B28" s="119"/>
      <x:c r="C28" s="120" t="str">
        <x:v>Offering and ritual reciprocity</x:v>
      </x:c>
      <x:c r="D28" s="120" t="str">
        <x:v>Ritual exchange</x:v>
      </x:c>
      <x:c r="E28" s="120" t="str">
        <x:v>SRC-281</x:v>
      </x:c>
      <x:c r="F28" s="120" t="str">
        <x:v>Age of Mythology: Retold</x:v>
      </x:c>
      <x:c r="G28" s="120" t="str">
        <x:v>Civilization-specific favor generation</x:v>
      </x:c>
      <x:c r="H28" s="120" t="str">
        <x:v>Economic submodel</x:v>
      </x:c>
      <x:c r="I28" s="120" t="str">
        <x:v>Resource abstraction</x:v>
      </x:c>
      <x:c r="J28" s="120" t="str">
        <x:v>The idea that divine relation requires patterned human action</x:v>
      </x:c>
      <x:c r="K28" s="120" t="str">
        <x:v>Ritual plurality and noninstrumental religious meaning become optimized production behavior.</x:v>
      </x:c>
      <x:c r="L28" s="120" t="str">
        <x:v>Differentiates faction economy and controls mythic production</x:v>
      </x:c>
      <x:c r="M28" s="120" t="str">
        <x:v>Partial analogy</x:v>
      </x:c>
      <x:c r="N28" s="120" t="str">
        <x:v>Official reference reviewed</x:v>
      </x:c>
      <x:c r="O28" s="120" t="str">
        <x:v>Age of Mythology: Retold official game and expansion materials.</x:v>
      </x:c>
      <x:c r="P28" s="120" t="str">
        <x:v>https://www.ageofempires.com/games/age-of-mythology-retold/</x:v>
      </x:c>
      <x:c r="Q28" s="120" t="str">
        <x:v>Seeded</x:v>
      </x:c>
    </x:row>
    <x:row r="29" ht="78" customHeight="1">
      <x:c r="A29" s="119" t="str">
        <x:v>XWK-0025</x:v>
      </x:c>
      <x:c r="B29" s="119"/>
      <x:c r="C29" s="120" t="str">
        <x:v>Divine genealogy and association</x:v>
      </x:c>
      <x:c r="D29" s="120" t="str">
        <x:v>Relational cosmology</x:v>
      </x:c>
      <x:c r="E29" s="120" t="str">
        <x:v>SRC-281</x:v>
      </x:c>
      <x:c r="F29" s="120" t="str">
        <x:v>Age of Mythology: Retold</x:v>
      </x:c>
      <x:c r="G29" s="120" t="str">
        <x:v>Major/minor god tech tree</x:v>
      </x:c>
      <x:c r="H29" s="120" t="str">
        <x:v>Hierarchical unlock graph</x:v>
      </x:c>
      <x:c r="I29" s="120" t="str">
        <x:v>Graph standardization</x:v>
      </x:c>
      <x:c r="J29" s="120" t="str">
        <x:v>Recognizable associations among gods, beings, powers, and symbols</x:v>
      </x:c>
      <x:c r="K29" s="120" t="str">
        <x:v>Nonhierarchical, contradictory, local, and changing relations become fixed prerequisites.</x:v>
      </x:c>
      <x:c r="L29" s="120" t="str">
        <x:v>Creates readable branching progression</x:v>
      </x:c>
      <x:c r="M29" s="120" t="str">
        <x:v>Partial analogy</x:v>
      </x:c>
      <x:c r="N29" s="120" t="str">
        <x:v>Official reference reviewed</x:v>
      </x:c>
      <x:c r="O29" s="120" t="str">
        <x:v>Age of Mythology: Retold official game and expansion materials.</x:v>
      </x:c>
      <x:c r="P29" s="120" t="str">
        <x:v>https://www.ageofempires.com/games/age-of-mythology-retold/</x:v>
      </x:c>
      <x:c r="Q29" s="120" t="str">
        <x:v>Seeded</x:v>
      </x:c>
    </x:row>
    <x:row r="30" ht="78" customHeight="1">
      <x:c r="A30" s="119" t="str">
        <x:v>XWK-0026</x:v>
      </x:c>
      <x:c r="B30" s="119"/>
      <x:c r="C30" s="120" t="str">
        <x:v>Legendary weapon or divine object</x:v>
      </x:c>
      <x:c r="D30" s="120" t="str">
        <x:v>Unique artifact</x:v>
      </x:c>
      <x:c r="E30" s="120" t="str">
        <x:v>SRC-281</x:v>
      </x:c>
      <x:c r="F30" s="120" t="str">
        <x:v>Age of Mythology: Retold</x:v>
      </x:c>
      <x:c r="G30" s="120" t="str">
        <x:v>Technology, god power, unit ability, or relic bonus</x:v>
      </x:c>
      <x:c r="H30" s="120" t="str">
        <x:v>Distributed mechanic</x:v>
      </x:c>
      <x:c r="I30" s="120" t="str">
        <x:v>Decomposition</x:v>
      </x:c>
      <x:c r="J30" s="120" t="str">
        <x:v>Name, image, or signature effect</x:v>
      </x:c>
      <x:c r="K30" s="120" t="str">
        <x:v>The object's biography and eligibility rules may be split across unrelated systems or reduced to an icon.</x:v>
      </x:c>
      <x:c r="L30" s="120" t="str">
        <x:v>Supports upgrades, activated powers, or passive bonuses</x:v>
      </x:c>
      <x:c r="M30" s="120" t="str">
        <x:v>Partial analogy</x:v>
      </x:c>
      <x:c r="N30" s="120" t="str">
        <x:v>Official reference reviewed</x:v>
      </x:c>
      <x:c r="O30" s="120" t="str">
        <x:v>Age of Mythology: Retold official game and expansion materials.</x:v>
      </x:c>
      <x:c r="P30" s="120" t="str">
        <x:v>https://www.ageofempires.com/games/age-of-mythology-retold/</x:v>
      </x:c>
      <x:c r="Q30" s="120" t="str">
        <x:v>Seeded</x:v>
      </x:c>
    </x:row>
    <x:row r="31" ht="78" customHeight="1">
      <x:c r="A31" s="119" t="str">
        <x:v>XWK-0027</x:v>
      </x:c>
      <x:c r="B31" s="119"/>
      <x:c r="C31" s="120" t="str">
        <x:v>Mythic transformation or divine manifestation</x:v>
      </x:c>
      <x:c r="D31" s="120" t="str">
        <x:v>Narrative/ritual event</x:v>
      </x:c>
      <x:c r="E31" s="120" t="str">
        <x:v>SRC-281</x:v>
      </x:c>
      <x:c r="F31" s="120" t="str">
        <x:v>Age of Mythology: Retold</x:v>
      </x:c>
      <x:c r="G31" s="120" t="str">
        <x:v>Unit transformation or temporary power effect</x:v>
      </x:c>
      <x:c r="H31" s="120" t="str">
        <x:v>Timed mechanic</x:v>
      </x:c>
      <x:c r="I31" s="120" t="str">
        <x:v>Quantification</x:v>
      </x:c>
      <x:c r="J31" s="120" t="str">
        <x:v>Visual change and extraordinary capability</x:v>
      </x:c>
      <x:c r="K31" s="120" t="str">
        <x:v>Identity, revelation, rite, and theological meaning become duration, stats, and cooldown.</x:v>
      </x:c>
      <x:c r="L31" s="120" t="str">
        <x:v>Provides tactical escalation or temporary advantage</x:v>
      </x:c>
      <x:c r="M31" s="120" t="str">
        <x:v>Partial analogy</x:v>
      </x:c>
      <x:c r="N31" s="120" t="str">
        <x:v>Official reference reviewed</x:v>
      </x:c>
      <x:c r="O31" s="120" t="str">
        <x:v>Age of Mythology: Retold official game and expansion materials.</x:v>
      </x:c>
      <x:c r="P31" s="120" t="str">
        <x:v>https://www.ageofempires.com/games/age-of-mythology-retold/</x:v>
      </x:c>
      <x:c r="Q31" s="120" t="str">
        <x:v>Seeded</x:v>
      </x:c>
    </x:row>
    <x:row r="32" ht="78" customHeight="1">
      <x:c r="A32" s="119" t="str">
        <x:v>XWK-0028</x:v>
      </x:c>
      <x:c r="B32" s="119"/>
      <x:c r="C32" s="120" t="str">
        <x:v>Apocalyptic or world-renewing event</x:v>
      </x:c>
      <x:c r="D32" s="120" t="str">
        <x:v>Eschatological narrative</x:v>
      </x:c>
      <x:c r="E32" s="120" t="str">
        <x:v>SRC-281</x:v>
      </x:c>
      <x:c r="F32" s="120" t="str">
        <x:v>Age of Mythology: Retold</x:v>
      </x:c>
      <x:c r="G32" s="120" t="str">
        <x:v>Scenario objective, god power, Titan event, or victory state</x:v>
      </x:c>
      <x:c r="H32" s="120" t="str">
        <x:v>Match-level event</x:v>
      </x:c>
      <x:c r="I32" s="120" t="str">
        <x:v>Scale reduction</x:v>
      </x:c>
      <x:c r="J32" s="120" t="str">
        <x:v>Catastrophic spectacle and decisive transition</x:v>
      </x:c>
      <x:c r="K32" s="120" t="str">
        <x:v>World history and moral/cosmological stakes are compressed into one battle or scenario.</x:v>
      </x:c>
      <x:c r="L32" s="120" t="str">
        <x:v>Creates late-game pressure and campaign climax</x:v>
      </x:c>
      <x:c r="M32" s="120" t="str">
        <x:v>Partial analogy</x:v>
      </x:c>
      <x:c r="N32" s="120" t="str">
        <x:v>Official reference reviewed</x:v>
      </x:c>
      <x:c r="O32" s="120" t="str">
        <x:v>Age of Mythology: Retold official game and expansion materials.</x:v>
      </x:c>
      <x:c r="P32" s="120" t="str">
        <x:v>https://www.ageofempires.com/games/age-of-mythology-retold/</x:v>
      </x:c>
      <x:c r="Q32" s="120" t="str">
        <x:v>Seeded</x:v>
      </x:c>
    </x:row>
    <x:row r="33" ht="78" customHeight="1">
      <x:c r="A33" s="119" t="str">
        <x:v>XWK-0029</x:v>
      </x:c>
      <x:c r="B33" s="119"/>
      <x:c r="C33" s="120" t="str">
        <x:v>Sacred kingship or divine authorization</x:v>
      </x:c>
      <x:c r="D33" s="120" t="str">
        <x:v>Political-religious office</x:v>
      </x:c>
      <x:c r="E33" s="120" t="str">
        <x:v>SRC-281</x:v>
      </x:c>
      <x:c r="F33" s="120" t="str">
        <x:v>Age of Mythology: Retold</x:v>
      </x:c>
      <x:c r="G33" s="120" t="str">
        <x:v>Civilization bonus or hero aura</x:v>
      </x:c>
      <x:c r="H33" s="120" t="str">
        <x:v>Passive faction modifier</x:v>
      </x:c>
      <x:c r="I33" s="120" t="str">
        <x:v>Statistical abstraction</x:v>
      </x:c>
      <x:c r="J33" s="120" t="str">
        <x:v>Link between rulership, divine favor, and collective capacity</x:v>
      </x:c>
      <x:c r="K33" s="120" t="str">
        <x:v>Ritual legitimacy, law, succession, and social obligations become numeric efficiency.</x:v>
      </x:c>
      <x:c r="L33" s="120" t="str">
        <x:v>Differentiates economy, military, or technology</x:v>
      </x:c>
      <x:c r="M33" s="120" t="str">
        <x:v>Partial analogy</x:v>
      </x:c>
      <x:c r="N33" s="120" t="str">
        <x:v>Official reference reviewed</x:v>
      </x:c>
      <x:c r="O33" s="120" t="str">
        <x:v>Age of Mythology: Retold official game and expansion materials.</x:v>
      </x:c>
      <x:c r="P33" s="120" t="str">
        <x:v>https://www.ageofempires.com/games/age-of-mythology-retold/</x:v>
      </x:c>
      <x:c r="Q33" s="120" t="str">
        <x:v>Seeded</x:v>
      </x:c>
    </x:row>
    <x:row r="34" ht="78" customHeight="1">
      <x:c r="A34" s="119" t="str">
        <x:v>XWK-0030</x:v>
      </x:c>
      <x:c r="B34" s="119"/>
      <x:c r="C34" s="120" t="str">
        <x:v>Local or unique monster</x:v>
      </x:c>
      <x:c r="D34" s="120" t="str">
        <x:v>Place-bound or singular being</x:v>
      </x:c>
      <x:c r="E34" s="120" t="str">
        <x:v>SRC-281</x:v>
      </x:c>
      <x:c r="F34" s="120" t="str">
        <x:v>Age of Mythology: Retold</x:v>
      </x:c>
      <x:c r="G34" s="120" t="str">
        <x:v>Repeatable trainable myth unit</x:v>
      </x:c>
      <x:c r="H34" s="120" t="str">
        <x:v>Mass-produced unit type</x:v>
      </x:c>
      <x:c r="I34" s="120" t="str">
        <x:v>Reproducibility conversion</x:v>
      </x:c>
      <x:c r="J34" s="120" t="str">
        <x:v>Name, shape, and signature ability</x:v>
      </x:c>
      <x:c r="K34" s="120" t="str">
        <x:v>Uniqueness, locality, narrative encounter, and individual agency are removed.</x:v>
      </x:c>
      <x:c r="L34" s="120" t="str">
        <x:v>Allows repeated production and standardized counters</x:v>
      </x:c>
      <x:c r="M34" s="120" t="str">
        <x:v>Partial analogy</x:v>
      </x:c>
      <x:c r="N34" s="120" t="str">
        <x:v>Official reference reviewed</x:v>
      </x:c>
      <x:c r="O34" s="120" t="str">
        <x:v>Age of Mythology: Retold official game and expansion materials.</x:v>
      </x:c>
      <x:c r="P34" s="120" t="str">
        <x:v>https://www.ageofempires.com/games/age-of-mythology-retold/</x:v>
      </x:c>
      <x:c r="Q34" s="120" t="str">
        <x:v>Seeded</x:v>
      </x:c>
    </x:row>
  </x:sheetData>
  <x:mergeCells>
    <x:mergeCell ref="A1:Q1"/>
    <x:mergeCell ref="A2:Q2"/>
    <x:mergeCell ref="A3:Q3"/>
  </x:mergeCells>
  <x:dataValidations count="4">
    <x:dataValidation type="list" sqref="I5:I34">
      <x:formula1>'Controlled Vocab'!$B$121:$B$143</x:formula1>
    </x:dataValidation>
    <x:dataValidation type="list" sqref="M5:M34">
      <x:formula1>"Exact equivalent,Close analogue,Partial analogy,Functional analogue,Mechanical analogue,Visual analogue,Uncertain / disputed"</x:formula1>
    </x:dataValidation>
    <x:dataValidation type="list" sqref="N5:N34">
      <x:formula1>'Controlled Vocab'!$B$82:$B$86</x:formula1>
    </x:dataValidation>
    <x:dataValidation type="list" sqref="Q5:Q34">
      <x:formula1>'Controlled Vocab'!$B$87:$B$91</x:formula1>
    </x:dataValidation>
  </x:dataValidations>
  <x:pageMargins left="0.7" right="0.7" top="0.75" bottom="0.75" header="0.3" footer="0.3"/>
  <x:tableParts count="1">
    <x:tablePart xmlns:r="http://schemas.openxmlformats.org/officeDocument/2006/relationships" r:id="R5c0dd434d56c4938"/>
  </x:tableParts>
</x:worksheet>
</file>