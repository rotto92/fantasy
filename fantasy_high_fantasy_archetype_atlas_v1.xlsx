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1c3ec3194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c3ef86035cb4e43"/>
    <x:sheet xmlns:r="http://schemas.openxmlformats.org/officeDocument/2006/relationships" name="Master Taxonomy" sheetId="2" r:id="R6b4b9c53e1ac4069"/>
    <x:sheet xmlns:r="http://schemas.openxmlformats.org/officeDocument/2006/relationships" name="Source Corpus" sheetId="3" r:id="R19b91240b35b44fd"/>
    <x:sheet xmlns:r="http://schemas.openxmlformats.org/officeDocument/2006/relationships" name="Seed Catalogue" sheetId="4" r:id="R4154329b8c3f4463"/>
    <x:sheet xmlns:r="http://schemas.openxmlformats.org/officeDocument/2006/relationships" name="Controlled Vocab" sheetId="5" r:id="Radbc5e45654e41df"/>
    <x:sheet xmlns:r="http://schemas.openxmlformats.org/officeDocument/2006/relationships" name="Relationship Rules" sheetId="6" r:id="Rf74b7eda5d114755"/>
    <x:sheet xmlns:r="http://schemas.openxmlformats.org/officeDocument/2006/relationships" name="Coverage" sheetId="7" r:id="R100900ccc8fc44d7"/>
    <x:sheet xmlns:r="http://schemas.openxmlformats.org/officeDocument/2006/relationships" name="Data Dictionary" sheetId="8" r:id="Rc01de9bdbe1d4c6c"/>
    <x:sheet xmlns:r="http://schemas.openxmlformats.org/officeDocument/2006/relationships" name="Research Queue" sheetId="9" r:id="R29a5ad10264c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4"/>
      <x:color rgb="FFFFFFFF"/>
      <x:name val="Carlito"/>
    </x:font>
    <x:font>
      <x:i/>
      <x:sz val="12"/>
      <x:color rgb="FFFFFFFF"/>
      <x:name val="Carlito"/>
    </x:font>
    <x:font>
      <x:b/>
      <x:sz val="11"/>
      <x:color rgb="FF17324D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4"/>
      <x:color rgb="FF2A6F9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3"/>
      <x:color rgb="FFFFFFFF"/>
      <x:name val="Carlito"/>
    </x:font>
    <x:font>
      <x:sz val="9"/>
      <x:color rgb="FF2A6F9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6F78"/>
      </x:patternFill>
    </x:fill>
    <x:fill>
      <x:patternFill patternType="solid">
        <x:fgColor rgb="FFE8F1F5"/>
      </x:patternFill>
    </x:fill>
    <x:fill>
      <x:patternFill patternType="solid">
        <x:fgColor rgb="FFE6F2F2"/>
      </x:patternFill>
    </x:fill>
    <x:fill>
      <x:patternFill patternType="solid">
        <x:fgColor rgb="FFF5F7FA"/>
      </x:patternFill>
    </x:fill>
    <x:fill>
      <x:patternFill patternType="solid">
        <x:fgColor rgb="FFC99A3D"/>
      </x:patternFill>
    </x:fill>
    <x:fill>
      <x:patternFill patternType="solid">
        <x:fgColor rgb="FFF8F1DF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top"/>
    </x:xf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vertical="top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1">
    <x:dxf>
      <x:font>
        <x:b/>
        <x:color rgb="FF17324D"/>
      </x:font>
      <x:fill>
        <x:patternFill patternType="solid">
          <x:bgColor rgb="FFE6F2F2"/>
        </x:patternFill>
      </x:fill>
    </x:dxf>
    <x:dxf>
      <x:font>
        <x:b/>
        <x:color rgb="FF17324D"/>
      </x:font>
      <x:fill>
        <x:patternFill patternType="solid">
          <x:bgColor rgb="FFE8F1F5"/>
        </x:patternFill>
      </x:fill>
    </x:dxf>
    <x:dxf>
      <x:font>
        <x:b/>
        <x:color rgb="FF17324D"/>
      </x:font>
      <x:fill>
        <x:patternFill patternType="solid">
          <x:bgColor rgb="FFEEE5F6"/>
        </x:patternFill>
      </x:fill>
    </x:dxf>
    <x:dxf>
      <x:font>
        <x:b/>
        <x:color rgb="FF17324D"/>
      </x:font>
      <x:fill>
        <x:patternFill patternType="solid">
          <x:bgColor rgb="FFFCE8D5"/>
        </x:patternFill>
      </x:fill>
    </x:dxf>
    <x:dxf>
      <x:font>
        <x:b/>
        <x:color rgb="FF17324D"/>
      </x:font>
      <x:fill>
        <x:patternFill patternType="solid">
          <x:bgColor rgb="FFDDF3E4"/>
        </x:patternFill>
      </x:fill>
    </x:dxf>
    <x:dxf>
      <x:font>
        <x:b/>
        <x:color rgb="FF17324D"/>
      </x:font>
      <x:fill>
        <x:patternFill patternType="solid">
          <x:bgColor rgb="FFF6E6EC"/>
        </x:patternFill>
      </x:fill>
    </x:dxf>
    <x:dxf>
      <x:font>
        <x:b/>
        <x:color rgb="FF17324D"/>
      </x:font>
      <x:fill>
        <x:patternFill patternType="solid">
          <x:bgColor rgb="FFF8F1DF"/>
        </x:patternFill>
      </x:fill>
    </x:dxf>
    <x:dxf>
      <x:font>
        <x:b/>
        <x:color rgb="FF17324D"/>
      </x:font>
      <x:fill>
        <x:patternFill patternType="solid">
          <x:bgColor rgb="FFE7EBEF"/>
        </x:patternFill>
      </x:fill>
    </x:dxf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color rgb="FF17324D"/>
      </x:font>
      <x:fill>
        <x:patternFill patternType="solid">
          <x:bgColor rgb="FFE8F1F5"/>
        </x:patternFill>
      </x:fill>
    </x:dxf>
    <x:dxf>
      <x:font>
        <x:color rgb="FF5B6773"/>
      </x:font>
      <x:fill>
        <x:patternFill patternType="solid">
          <x:bgColor rgb="FFE7EBEF"/>
        </x:patternFill>
      </x:fill>
    </x:dxf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b/>
        <x:color rgb="FF115E59"/>
      </x:font>
      <x:fill>
        <x:patternFill patternType="solid">
          <x:bgColor rgb="FFE6F2F2"/>
        </x:patternFill>
      </x:fill>
    </x:dxf>
    <x:dxf>
      <x:font>
        <x:b/>
        <x:color rgb="FF854D0E"/>
      </x:font>
      <x:fill>
        <x:patternFill patternType="solid">
          <x:bgColor rgb="FFFFF4CC"/>
        </x:patternFill>
      </x:fill>
    </x:dxf>
    <x:dxf>
      <x:font>
        <x:b/>
        <x:color rgb="FF9A3412"/>
      </x:font>
      <x:fill>
        <x:patternFill patternType="solid">
          <x:bgColor rgb="FFFCE8D5"/>
        </x:patternFill>
      </x:fill>
    </x:dxf>
    <x:dxf>
      <x:font>
        <x:b/>
        <x:color rgb="FF991B1B"/>
      </x:font>
      <x:fill>
        <x:patternFill patternType="solid">
          <x:bgColor rgb="FFF9D6D5"/>
        </x:patternFill>
      </x:fill>
    </x:dxf>
    <x:dxf>
      <x:font>
        <x:color rgb="FF17324D"/>
      </x:font>
      <x:fill>
        <x:patternFill patternType="solid">
          <x:bgColor rgb="FFE8F1F5"/>
        </x:patternFill>
      </x:fill>
    </x:dxf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b/>
        <x:color rgb="FF991B1B"/>
      </x:font>
      <x:fill>
        <x:patternFill patternType="solid">
          <x:bgColor rgb="FFF9D6D5"/>
        </x:patternFill>
      </x:fill>
    </x:dxf>
    <x:dxf>
      <x:font>
        <x:b/>
        <x:color rgb="FF854D0E"/>
      </x:font>
      <x:fill>
        <x:patternFill patternType="solid">
          <x:bgColor rgb="FFFFF4CC"/>
        </x:patternFill>
      </x:fill>
    </x:dxf>
    <x:dxf>
      <x:font>
        <x:color rgb="FF17324D"/>
      </x:font>
      <x:fill>
        <x:patternFill patternType="solid">
          <x:bgColor rgb="FFE8F1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15aa3def94290" /><Relationship Type="http://schemas.openxmlformats.org/officeDocument/2006/relationships/theme" Target="/xl/theme/theme1.xml" Id="R3901e49c1ddf4ac6" /><Relationship Type="http://schemas.openxmlformats.org/officeDocument/2006/relationships/sharedStrings" Target="/xl/sharedStrings.xml" Id="R7265c53ab3b54319" /><Relationship Type="http://schemas.openxmlformats.org/officeDocument/2006/relationships/worksheet" Target="/xl/worksheets/sheet1.xml" Id="R9c3ef86035cb4e43" /><Relationship Type="http://schemas.openxmlformats.org/officeDocument/2006/relationships/worksheet" Target="/xl/worksheets/sheet2.xml" Id="R6b4b9c53e1ac4069" /><Relationship Type="http://schemas.openxmlformats.org/officeDocument/2006/relationships/worksheet" Target="/xl/worksheets/sheet3.xml" Id="R19b91240b35b44fd" /><Relationship Type="http://schemas.openxmlformats.org/officeDocument/2006/relationships/worksheet" Target="/xl/worksheets/sheet4.xml" Id="R4154329b8c3f4463" /><Relationship Type="http://schemas.openxmlformats.org/officeDocument/2006/relationships/worksheet" Target="/xl/worksheets/sheet5.xml" Id="Radbc5e45654e41df" /><Relationship Type="http://schemas.openxmlformats.org/officeDocument/2006/relationships/worksheet" Target="/xl/worksheets/sheet6.xml" Id="Rf74b7eda5d114755" /><Relationship Type="http://schemas.openxmlformats.org/officeDocument/2006/relationships/worksheet" Target="/xl/worksheets/sheet7.xml" Id="R100900ccc8fc44d7" /><Relationship Type="http://schemas.openxmlformats.org/officeDocument/2006/relationships/worksheet" Target="/xl/worksheets/sheet8.xml" Id="Rc01de9bdbe1d4c6c" /><Relationship Type="http://schemas.openxmlformats.org/officeDocument/2006/relationships/worksheet" Target="/xl/worksheets/sheet9.xml" Id="R29a5ad10264c44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779e7d864f4677" /><Relationship Type="http://schemas.openxmlformats.org/officeDocument/2006/relationships/chart" Target="/xl/drawings/charts/chart2.xml" Id="R90d0bf5690a34e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Normalized Archetypes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'Coverage'!$A$2:$A$9</c:f>
              <c:strCache>
                <c:ptCount val="0"/>
              </c:strCache>
            </c:strRef>
          </c:cat>
          <c:val>
            <c:numRef>
              <c:f>'Coverage'!$B$2:$B$9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rot="-18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Seed Catalogue Entries by Source</a:t>
            </a:r>
          </a:p>
        </c:rich>
      </c:tx>
      <c:overlay val="0"/>
    </c:title>
    <c:autoTitleDeleted val="0"/>
    <c:plotArea>
      <c:layout/>
      <c:barChart>
        <c:barDir val="bar"/>
        <c:varyColors val="0"/>
        <c:ser>
          <c:idx val="0"/>
          <c:order val="0"/>
          <c:tx>
            <c:v>Entries</c:v>
          </c:tx>
          <c:cat>
            <c:strRef>
              <c:f>'Coverage'!$J$2:$J$13</c:f>
              <c:strCache>
                <c:ptCount val="0"/>
              </c:strCache>
            </c:strRef>
          </c:cat>
          <c:val>
            <c:numRef>
              <c:f>'Coverage'!$K$2:$K$13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779e7d864f4677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d0bf5690a34e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TaxonomyTable" displayName="MasterTaxonomyTable" ref="A1:M1226" headerRowCount="1">
  <x:tableColumns count="13">
    <x:tableColumn id="1" name="Archetype_ID"/>
    <x:tableColumn id="2" name="Preferred_Name"/>
    <x:tableColumn id="3" name="Domain"/>
    <x:tableColumn id="4" name="Parent_ID"/>
    <x:tableColumn id="5" name="Parent_Name"/>
    <x:tableColumn id="6" name="Tier"/>
    <x:tableColumn id="7" name="Core_Definition"/>
    <x:tableColumn id="8" name="Key_Distinctions"/>
    <x:tableColumn id="9" name="Common_Variants"/>
    <x:tableColumn id="10" name="Typical_Functions"/>
    <x:tableColumn id="11" name="Representative_Terms"/>
    <x:tableColumn id="12" name="Cross_Cultural_Caution"/>
    <x:tableColumn id="13" name="Framework_Status"/>
  </x:tableColumns>
  <x:tableStyleInfo name="TableStyleMedium2" showRowStripes="1"/>
</x:table>
</file>

<file path=xl/tables/table2.xml><?xml version="1.0" encoding="utf-8"?>
<x:table xmlns:x="http://schemas.openxmlformats.org/spreadsheetml/2006/main" id="2" name="SourceCorpusTable" displayName="SourceCorpusTable" ref="A1:L277" headerRowCount="1">
  <x:tableColumns count="12">
    <x:tableColumn id="1" name="Source_ID"/>
    <x:tableColumn id="2" name="Title_or_Franchise"/>
    <x:tableColumn id="3" name="Creator_Studio"/>
    <x:tableColumn id="4" name="Medium"/>
    <x:tableColumn id="5" name="Region_Tradition"/>
    <x:tableColumn id="6" name="First_Appearance"/>
    <x:tableColumn id="7" name="Continuity_Unit"/>
    <x:tableColumn id="8" name="Priority_Tier"/>
    <x:tableColumn id="9" name="Distinctive_Contribution"/>
    <x:tableColumn id="10" name="Scope_Note"/>
    <x:tableColumn id="11" name="Reference_URL"/>
    <x:tableColumn id="12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SeedCatalogueTable" displayName="SeedCatalogueTable" ref="A1:S317" headerRowCount="1">
  <x:tableColumns count="19">
    <x:tableColumn id="1" name="Entry_ID"/>
    <x:tableColumn id="2" name="Canonical_Name"/>
    <x:tableColumn id="3" name="Source_ID"/>
    <x:tableColumn id="4" name="Source_Title"/>
    <x:tableColumn id="5" name="Continuity"/>
    <x:tableColumn id="6" name="Native_Record_Type"/>
    <x:tableColumn id="7" name="Primary_Archetype_ID"/>
    <x:tableColumn id="8" name="Primary_Archetype_Name"/>
    <x:tableColumn id="9" name="Additional_Archetype_IDs"/>
    <x:tableColumn id="10" name="Additional_Archetype_Names"/>
    <x:tableColumn id="11" name="Ontology_or_Role_Summary"/>
    <x:tableColumn id="12" name="Power_Basis"/>
    <x:tableColumn id="13" name="Key_Distinction"/>
    <x:tableColumn id="14" name="Comparative_Notes"/>
    <x:tableColumn id="15" name="Canon_Status"/>
    <x:tableColumn id="16" name="Evidence_Level"/>
    <x:tableColumn id="17" name="Source_Reference"/>
    <x:tableColumn id="18" name="Reference_URL"/>
    <x:tableColumn id="19" name="Review_Status"/>
  </x:tableColumns>
  <x:tableStyleInfo name="TableStyleMedium2" showRowStripes="1"/>
</x:table>
</file>

<file path=xl/tables/table4.xml><?xml version="1.0" encoding="utf-8"?>
<x:table xmlns:x="http://schemas.openxmlformats.org/spreadsheetml/2006/main" id="4" name="ControlledVocabTable" displayName="ControlledVocabTable" ref="A1:D108" headerRowCount="1">
  <x:tableColumns count="4">
    <x:tableColumn id="1" name="Axis"/>
    <x:tableColumn id="2" name="Value"/>
    <x:tableColumn id="3" name="Definition"/>
    <x:tableColumn id="4" name="Use"/>
  </x:tableColumns>
  <x:tableStyleInfo name="TableStyleMedium2" showRowStripes="1"/>
</x:table>
</file>

<file path=xl/tables/table5.xml><?xml version="1.0" encoding="utf-8"?>
<x:table xmlns:x="http://schemas.openxmlformats.org/spreadsheetml/2006/main" id="5" name="RelationshipRulesTable" displayName="RelationshipRulesTable" ref="A1:F18" headerRowCount="1">
  <x:tableColumns count="6">
    <x:tableColumn id="1" name="Relation"/>
    <x:tableColumn id="2" name="Directionality"/>
    <x:tableColumn id="3" name="Scope"/>
    <x:tableColumn id="4" name="Use_When"/>
    <x:tableColumn id="5" name="Do_Not_Use_When"/>
    <x:tableColumn id="6" name="Example"/>
  </x:tableColumns>
  <x:tableStyleInfo name="TableStyleMedium2" showRowStripes="1"/>
</x:table>
</file>

<file path=xl/tables/table6.xml><?xml version="1.0" encoding="utf-8"?>
<x:table xmlns:x="http://schemas.openxmlformats.org/spreadsheetml/2006/main" id="8" name="DomainCoverageTable" displayName="DomainCoverageTable" ref="A1:B9" headerRowCount="1">
  <x:tableColumns count="2">
    <x:tableColumn id="1" name="Taxonomy Domain"/>
    <x:tableColumn id="2" name="Count"/>
  </x:tableColumns>
  <x:tableStyleInfo name="TableStyleMedium2" showRowStripes="1"/>
</x:table>
</file>

<file path=xl/tables/table7.xml><?xml version="1.0" encoding="utf-8"?>
<x:table xmlns:x="http://schemas.openxmlformats.org/spreadsheetml/2006/main" id="9" name="MediumCoverageTable" displayName="MediumCoverageTable" ref="D1:E13" headerRowCount="1">
  <x:tableColumns count="2">
    <x:tableColumn id="1" name="Source Medium"/>
    <x:tableColumn id="2" name="Count"/>
  </x:tableColumns>
  <x:tableStyleInfo name="TableStyleMedium2" showRowStripes="1"/>
</x:table>
</file>

<file path=xl/tables/table8.xml><?xml version="1.0" encoding="utf-8"?>
<x:table xmlns:x="http://schemas.openxmlformats.org/spreadsheetml/2006/main" id="10" name="EvidenceCoverageTable" displayName="EvidenceCoverageTable" ref="G1:H6" headerRowCount="1">
  <x:tableColumns count="2">
    <x:tableColumn id="1" name="Evidence Level"/>
    <x:tableColumn id="2" name="Count"/>
  </x:tableColumns>
  <x:tableStyleInfo name="TableStyleMedium2" showRowStripes="1"/>
</x:table>
</file>

<file path=xl/tables/table9.xml><?xml version="1.0" encoding="utf-8"?>
<x:table xmlns:x="http://schemas.openxmlformats.org/spreadsheetml/2006/main" id="11" name="SeedSourceCoverageTable" displayName="SeedSourceCoverageTable" ref="J1:K13" headerRowCount="1">
  <x:tableColumns count="2">
    <x:tableColumn id="1" name="Seed Source"/>
    <x:tableColumn id="2" name="Entries"/>
  </x:tableColumns>
  <x:tableStyleInfo name="TableStyleMedium2" showRowStripes="1"/>
</x:table>
</file>

<file path=xl/tables/table10.xml><?xml version="1.0" encoding="utf-8"?>
<x:table xmlns:x="http://schemas.openxmlformats.org/spreadsheetml/2006/main" id="6" name="DataDictionaryTable" displayName="DataDictionaryTable" ref="A1:F55" headerRowCount="1">
  <x:tableColumns count="6">
    <x:tableColumn id="1" name="Sheet"/>
    <x:tableColumn id="2" name="Field"/>
    <x:tableColumn id="3" name="Data_Type"/>
    <x:tableColumn id="4" name="Required"/>
    <x:tableColumn id="5" name="Definition"/>
    <x:tableColumn id="6" name="Guidance"/>
  </x:tableColumns>
  <x:tableStyleInfo name="TableStyleMedium2" showRowStripes="1"/>
</x:table>
</file>

<file path=xl/tables/table11.xml><?xml version="1.0" encoding="utf-8"?>
<x:table xmlns:x="http://schemas.openxmlformats.org/spreadsheetml/2006/main" id="7" name="ResearchQueueTable" displayName="ResearchQueueTable" ref="A1:F21" headerRowCount="1">
  <x:tableColumns count="6">
    <x:tableColumn id="1" name="Queue_ID"/>
    <x:tableColumn id="2" name="Workstream"/>
    <x:tableColumn id="3" name="Scope"/>
    <x:tableColumn id="4" name="Goal"/>
    <x:tableColumn id="5" name="Priority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58b34ad68d48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182e5dc2c746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098daa83aa48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94f95c6fae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7ae0f817bf43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07b77d65b0a348d1" /><Relationship Type="http://schemas.openxmlformats.org/officeDocument/2006/relationships/table" Target="/xl/tables/table6.xml" Id="R872445b700e547b0" /><Relationship Type="http://schemas.openxmlformats.org/officeDocument/2006/relationships/table" Target="/xl/tables/table7.xml" Id="R13548162449b4c10" /><Relationship Type="http://schemas.openxmlformats.org/officeDocument/2006/relationships/table" Target="/xl/tables/table8.xml" Id="R3157c3e102c94241" /><Relationship Type="http://schemas.openxmlformats.org/officeDocument/2006/relationships/table" Target="/xl/tables/table9.xml" Id="R65b02aef93694b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14df16ca33624e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974d09c3d66a4fc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0" hidden="0" customWidth="1"/>
    <x:col min="4" max="4" width="24" hidden="0" customWidth="1"/>
    <x:col min="5" max="5" width="14" hidden="0" customWidth="1"/>
    <x:col min="6" max="6" width="8" hidden="0" customWidth="1"/>
    <x:col min="7" max="7" width="26" hidden="0" customWidth="1"/>
    <x:col min="8" max="8" width="15" hidden="0" customWidth="1"/>
    <x:col min="9" max="9" width="12" hidden="0" customWidth="1"/>
    <x:col min="10" max="10" width="24" hidden="0" customWidth="1"/>
    <x:col min="11" max="11" width="12" hidden="0" customWidth="1"/>
    <x:col min="12" max="12" width="12" hidden="0" customWidth="1"/>
  </x:cols>
  <x:sheetData>
    <x:row r="1" ht="30" customHeight="1">
      <x:c r="A1" s="5" t="str">
        <x:v>Fantasy &amp; High-Fantasy Comparative Archetype Atlas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12" t="str">
        <x:v>A source-faithful encyclopedia, normalized comparative ontology, and reusable archetype framework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28" customHeight="1">
      <x:c r="A5" s="92" t="str">
        <x:v>Edition</x:v>
      </x:c>
      <x:c r="B5" s="24" t="str">
        <x:v>1.0</x:v>
      </x:c>
      <x:c r="D5" s="31" t="str">
        <x:v>Key Metric</x:v>
      </x:c>
      <x:c r="E5" s="31" t="str">
        <x:v>Value</x:v>
      </x:c>
      <x:c r="G5" s="49" t="str">
        <x:v>How to read the atlas</x:v>
      </x:c>
      <x:c r="H5" s="49"/>
      <x:c r="I5" s="49"/>
      <x:c r="J5" s="49"/>
      <x:c r="K5" s="49"/>
      <x:c r="L5" s="49"/>
    </x:row>
    <x:row r="6" ht="28" customHeight="1">
      <x:c r="A6" s="92" t="str">
        <x:v>Prepared</x:v>
      </x:c>
      <x:c r="B6" s="24" t="str">
        <x:v>2026-08-01</x:v>
      </x:c>
      <x:c r="D6" s="98" t="str">
        <x:v>Normalized archetypes</x:v>
      </x:c>
      <x:c r="E6" s="43" t="n">
        <x:f>COUNTA('Master Taxonomy'!A2:A1226)</x:f>
        <x:v>1225</x:v>
      </x:c>
      <x:c r="G6" s="55" t="str">
        <x:v>1</x:v>
      </x:c>
      <x:c r="H6" s="63" t="str">
        <x:v>Find a source-specific term in Seed Catalogue.</x:v>
      </x:c>
      <x:c r="I6" s="63"/>
      <x:c r="J6" s="63"/>
      <x:c r="K6" s="63"/>
      <x:c r="L6" s="63"/>
    </x:row>
    <x:row r="7" ht="28" customHeight="1">
      <x:c r="A7" s="92" t="str">
        <x:v>Framework model</x:v>
      </x:c>
      <x:c r="B7" s="24" t="str">
        <x:v>Source records + normalized crosswalks</x:v>
      </x:c>
      <x:c r="D7" s="98" t="str">
        <x:v>Source corpus records</x:v>
      </x:c>
      <x:c r="E7" s="43" t="n">
        <x:f>COUNTA('Source Corpus'!A2:A277)</x:f>
        <x:v>276</x:v>
      </x:c>
      <x:c r="G7" s="55" t="str">
        <x:v>2</x:v>
      </x:c>
      <x:c r="H7" s="63" t="str">
        <x:v>Follow its Primary and Additional Archetype IDs into Master Taxonomy.</x:v>
      </x:c>
      <x:c r="I7" s="63"/>
      <x:c r="J7" s="63"/>
      <x:c r="K7" s="63"/>
      <x:c r="L7" s="63"/>
    </x:row>
    <x:row r="8" ht="28" customHeight="1">
      <x:c r="A8" s="92" t="str">
        <x:v>Primary use</x:v>
      </x:c>
      <x:c r="B8" s="24" t="str">
        <x:v>Comparative literary/media analysis</x:v>
      </x:c>
      <x:c r="D8" s="98" t="str">
        <x:v>Source-specific seed entries</x:v>
      </x:c>
      <x:c r="E8" s="43" t="n">
        <x:f>COUNTA('Seed Catalogue'!A2:A317)</x:f>
        <x:v>316</x:v>
      </x:c>
      <x:c r="G8" s="55" t="str">
        <x:v>3</x:v>
      </x:c>
      <x:c r="H8" s="63" t="str">
        <x:v>Compare only along named axes: ontology, role, power, institution, mechanics, or narrative function.</x:v>
      </x:c>
      <x:c r="I8" s="63"/>
      <x:c r="J8" s="63"/>
      <x:c r="K8" s="63"/>
      <x:c r="L8" s="63"/>
    </x:row>
    <x:row r="9" ht="28" customHeight="1">
      <x:c r="A9" s="92" t="str">
        <x:v>Secondary use</x:v>
      </x:c>
      <x:c r="B9" s="24" t="str">
        <x:v>Encyclopedia/database and reusable archetype discovery</x:v>
      </x:c>
      <x:c r="D9" s="98" t="str">
        <x:v>Top-level domains</x:v>
      </x:c>
      <x:c r="E9" s="43" t="n">
        <x:f>COUNTA(Coverage!A2:A9)</x:f>
        <x:v>8</x:v>
      </x:c>
      <x:c r="G9" s="55" t="str">
        <x:v>4</x:v>
      </x:c>
      <x:c r="H9" s="63" t="str">
        <x:v>Use Relationship Rules instead of assuming that identical labels are equivalent.</x:v>
      </x:c>
      <x:c r="I9" s="63"/>
      <x:c r="J9" s="63"/>
      <x:c r="K9" s="63"/>
      <x:c r="L9" s="63"/>
    </x:row>
    <x:row r="10" ht="28" customHeight="1">
      <x:c r="A10" s="92" t="str">
        <x:v>Version policy</x:v>
      </x:c>
      <x:c r="B10" s="24" t="str">
        <x:v>Continuity- and edition-specific where material differences exist</x:v>
      </x:c>
      <x:c r="G10" s="55" t="str">
        <x:v>5</x:v>
      </x:c>
      <x:c r="H10" s="63" t="str">
        <x:v>Check Evidence Level, Canon Status, continuity, and Reference URL before making source claims.</x:v>
      </x:c>
      <x:c r="I10" s="63"/>
      <x:c r="J10" s="63"/>
      <x:c r="K10" s="63"/>
      <x:c r="L10" s="63"/>
    </x:row>
    <x:row r="11" ht="28" customHeight="1">
      <x:c r="G11" s="55" t="str">
        <x:v>6</x:v>
      </x:c>
      <x:c r="H11" s="63" t="str">
        <x:v>Use Research Queue to extend the corpus without changing the core schema.</x:v>
      </x:c>
      <x:c r="I11" s="63"/>
      <x:c r="J11" s="63"/>
      <x:c r="K11" s="63"/>
      <x:c r="L11" s="63"/>
    </x:row>
    <x:row r="13" ht="24" customHeight="1">
      <x:c r="A13" s="69" t="str">
        <x:v>Completeness contract</x:v>
      </x:c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</x:row>
    <x:row r="14" ht="34" customHeight="1">
      <x:c r="A14" s="94" t="str">
        <x:v>Structural completeness</x:v>
      </x:c>
      <x:c r="B14" s="78" t="str">
        <x:v>The schema can represent peoples, beings, roles, powers, institutions, transformations, civilizations, narrative patterns, and game mechanics without forcing them into race/class bins.</x:v>
      </x:c>
      <x:c r="C14" s="78"/>
      <x:c r="D14" s="78"/>
      <x:c r="E14" s="78"/>
      <x:c r="F14" s="78"/>
      <x:c r="G14" s="78"/>
      <x:c r="H14" s="78"/>
      <x:c r="I14" s="78"/>
      <x:c r="J14" s="78"/>
      <x:c r="K14" s="78"/>
      <x:c r="L14" s="78"/>
    </x:row>
    <x:row r="15" ht="34" customHeight="1">
      <x:c r="A15" s="94" t="str">
        <x:v>Taxonomic completeness</x:v>
      </x:c>
      <x:c r="B15" s="78" t="str">
        <x:v>The normalized hierarchy covers the major reusable archetype families encountered across fantasy traditions and media, with explicit room for culture-specific subfamilies.</x:v>
      </x:c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</x:row>
    <x:row r="16" ht="34" customHeight="1">
      <x:c r="A16" s="94" t="str">
        <x:v>Corpus completeness</x:v>
      </x:c>
      <x:c r="B16" s="78" t="str">
        <x:v>The source list is intentionally expandable. No finite edition can literally include every fantasy work, edition, adaptation, folk tradition, or live-service update.</x:v>
      </x:c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</x:row>
    <x:row r="17" ht="34" customHeight="1">
      <x:c r="A17" s="94" t="str">
        <x:v>Claim discipline</x:v>
      </x:c>
      <x:c r="B17" s="78" t="str">
        <x:v>A catalogue entry is not considered fully source-verified until its Evidence Level and Source Reference support the specific continuity claim.</x:v>
      </x:c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</x:row>
    <x:row r="18" ht="34" customHeight="1">
      <x:c r="A18" s="94" t="str">
        <x:v>Non-equivalence rule</x:v>
      </x:c>
      <x:c r="B18" s="78" t="str">
        <x:v>A normalized family provides a comparison coordinate; it never erases the source concept's distinct metaphysics, history, or cultural meaning.</x:v>
      </x:c>
      <x:c r="C18" s="78"/>
      <x:c r="D18" s="78"/>
      <x:c r="E18" s="78"/>
      <x:c r="F18" s="78"/>
      <x:c r="G18" s="78"/>
      <x:c r="H18" s="78"/>
      <x:c r="I18" s="78"/>
      <x:c r="J18" s="78"/>
      <x:c r="K18" s="78"/>
      <x:c r="L18" s="78"/>
    </x:row>
    <x:row r="20" ht="24" customHeight="1">
      <x:c r="A20" s="69" t="str">
        <x:v>Eight analytical domains</x:v>
      </x:c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</x:row>
    <x:row r="21" ht="54" customHeight="1">
      <x:c r="A21" s="96" t="str">
        <x:v>People &amp; Beings</x:v>
      </x:c>
      <x:c r="B21" s="24" t="str">
        <x:v>Species, peoples, spirits, gods, undead, constructs, monsters, hybrids, and mutable beings.</x:v>
      </x:c>
      <x:c r="C21" s="24"/>
      <x:c r="D21" s="24"/>
      <x:c r="E21" s="24"/>
      <x:c r="F21" s="24"/>
      <x:c r="G21" s="92" t="str">
        <x:v>Roles &amp; Vocations</x:v>
      </x:c>
      <x:c r="H21" s="24" t="str">
        <x:v>Martial, rogue, magical, sacred, social, technical, hybrid, and progression roles.</x:v>
      </x:c>
      <x:c r="I21" s="24"/>
      <x:c r="J21" s="24"/>
      <x:c r="K21" s="24"/>
      <x:c r="L21" s="24"/>
    </x:row>
    <x:row r="22" ht="54" customHeight="1">
      <x:c r="A22" s="96" t="str">
        <x:v>Power Traditions</x:v>
      </x:c>
      <x:c r="B22" s="24" t="str">
        <x:v>Sources, domains, methods, costs, techniques, and theories of supernatural power.</x:v>
      </x:c>
      <x:c r="C22" s="24"/>
      <x:c r="D22" s="24"/>
      <x:c r="E22" s="24"/>
      <x:c r="F22" s="24"/>
      <x:c r="G22" s="92" t="str">
        <x:v>States &amp; Transformations</x:v>
      </x:c>
      <x:c r="H22" s="24" t="str">
        <x:v>Undeath, curse, possession, mutation, ascension, bond, displacement, and other acquired states.</x:v>
      </x:c>
      <x:c r="I22" s="24"/>
      <x:c r="J22" s="24"/>
      <x:c r="K22" s="24"/>
      <x:c r="L22" s="24"/>
    </x:row>
    <x:row r="23" ht="54" customHeight="1">
      <x:c r="A23" s="96" t="str">
        <x:v>Institutions &amp; Affiliations</x:v>
      </x:c>
      <x:c r="B23" s="24" t="str">
        <x:v>Guilds, orders, schools, sects, parties, factions, castes, states, and social structures.</x:v>
      </x:c>
      <x:c r="C23" s="24"/>
      <x:c r="D23" s="24"/>
      <x:c r="E23" s="24"/>
      <x:c r="F23" s="24"/>
      <x:c r="G23" s="92" t="str">
        <x:v>Narrative Archetypes</x:v>
      </x:c>
      <x:c r="H23" s="24" t="str">
        <x:v>Character, antagonist, party, quest, plot, and thematic story functions.</x:v>
      </x:c>
      <x:c r="I23" s="24"/>
      <x:c r="J23" s="24"/>
      <x:c r="K23" s="24"/>
      <x:c r="L23" s="24"/>
    </x:row>
    <x:row r="24" ht="54" customHeight="1">
      <x:c r="A24" s="96" t="str">
        <x:v>Civilization &amp; Culture Archetypes</x:v>
      </x:c>
      <x:c r="B24" s="24" t="str">
        <x:v>States, settlements, ecologies, economies, social organizations, and historical patterns.</x:v>
      </x:c>
      <x:c r="C24" s="24"/>
      <x:c r="D24" s="24"/>
      <x:c r="E24" s="24"/>
      <x:c r="F24" s="24"/>
      <x:c r="G24" s="92" t="str">
        <x:v>Game-Mechanical Archetypes</x:v>
      </x:c>
      <x:c r="H24" s="24" t="str">
        <x:v>Combat roles, resources, class structures, progression systems, and unit functions.</x:v>
      </x:c>
      <x:c r="I24" s="24"/>
      <x:c r="J24" s="24"/>
      <x:c r="K24" s="24"/>
      <x:c r="L24" s="24"/>
    </x:row>
    <x:row r="25" ht="54" customHeight="1">
      <x:c r="A25" s="96" t="str">
        <x:v>Cross-axis rule</x:v>
      </x:c>
      <x:c r="B25" s="24" t="str">
        <x:v>One source concept may occupy several domains simultaneously. A witcher, for example, is a transformed human, professional monster hunter, order member, alchemical user, and game build.</x:v>
      </x:c>
      <x:c r="C25" s="24"/>
      <x:c r="D25" s="24"/>
      <x:c r="E25" s="24"/>
      <x:c r="F25" s="24"/>
      <x:c r="G25" s="92" t="str">
        <x:v>Hierarchy rule</x:v>
      </x:c>
      <x:c r="H25" s="24" t="str">
        <x:v>Broad families support retrieval; lower tiers preserve distinctions. Parent-child placement is analytical, not a claim of fictional genealogy.</x:v>
      </x:c>
      <x:c r="I25" s="24"/>
      <x:c r="J25" s="24"/>
      <x:c r="K25" s="24"/>
      <x:c r="L25" s="24"/>
    </x:row>
    <x:row r="26" ht="54" customHeight="1">
      <x:c r="A26" s="96" t="str">
        <x:v>Terminology rule</x:v>
      </x:c>
      <x:c r="B26" s="24" t="str">
        <x:v>Preserve source-native terms, translations, and edition labels. Use 'people/being type' as the umbrella rather than treating every distinction as race.</x:v>
      </x:c>
      <x:c r="C26" s="24"/>
      <x:c r="D26" s="24"/>
      <x:c r="E26" s="24"/>
      <x:c r="F26" s="24"/>
      <x:c r="G26" s="92" t="str">
        <x:v>Adaptation rule</x:v>
      </x:c>
      <x:c r="H26" s="24" t="str">
        <x:v>Separate adaptations when ontology, powers, institutions, available classes, or world history materially diverge.</x:v>
      </x:c>
      <x:c r="I26" s="24"/>
      <x:c r="J26" s="24"/>
      <x:c r="K26" s="24"/>
      <x:c r="L26" s="24"/>
    </x:row>
    <x:row r="27" ht="54" customHeight="1">
      <x:c r="A27" s="96" t="str">
        <x:v>Cultural caution</x:v>
      </x:c>
      <x:c r="B27" s="24" t="str">
        <x:v>Religious, folkloric, and living traditions require culture-specific scholarship. Similarity is not proof of direct influence or equivalence.</x:v>
      </x:c>
      <x:c r="C27" s="24"/>
      <x:c r="D27" s="24"/>
      <x:c r="E27" s="24"/>
      <x:c r="F27" s="24"/>
      <x:c r="G27" s="92" t="str">
        <x:v>Moral caution</x:v>
      </x:c>
      <x:c r="H27" s="24" t="str">
        <x:v>Record source-stated alignments and stereotypes without naturalizing morality as biological fact.</x:v>
      </x:c>
      <x:c r="I27" s="24"/>
      <x:c r="J27" s="24"/>
      <x:c r="K27" s="24"/>
      <x:c r="L27" s="24"/>
    </x:row>
    <x:row r="28" ht="54" customHeight="1">
      <x:c r="A28" s="96" t="str">
        <x:v>Database rule</x:v>
      </x:c>
      <x:c r="B28" s="24" t="str">
        <x:v>Stable IDs remain fixed; deprecated concepts are merged by status rather than deleted or silently reused.</x:v>
      </x:c>
      <x:c r="C28" s="24"/>
      <x:c r="D28" s="24"/>
      <x:c r="E28" s="24"/>
      <x:c r="F28" s="24"/>
      <x:c r="G28" s="92" t="str">
        <x:v>Citation rule</x:v>
      </x:c>
      <x:c r="H28" s="24" t="str">
        <x:v>URLs are stored for orientation; deep passes should add edition, chapter, page, episode, codex, or rules-section references.</x:v>
      </x:c>
      <x:c r="I28" s="24"/>
      <x:c r="J28" s="24"/>
      <x:c r="K28" s="24"/>
      <x:c r="L28" s="24"/>
    </x:row>
    <x:row r="30" ht="24" customHeight="1">
      <x:c r="A30" s="69" t="str">
        <x:v>Relationship ladder: strongest claim to weakest claim</x:v>
      </x:c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</x:row>
    <x:row r="31" ht="46" customHeight="1">
      <x:c r="A31" s="94" t="str">
        <x:v>Canonical alias</x:v>
      </x:c>
      <x:c r="B31" s="78" t="str">
        <x:v>Same concept in the same continuity.</x:v>
      </x:c>
      <x:c r="C31" s="78" t="str"/>
      <x:c r="D31" s="94" t="str">
        <x:v>Exact equivalent</x:v>
      </x:c>
      <x:c r="E31" s="78" t="str">
        <x:v>Same across all material dimensions; exceptionally rare.</x:v>
      </x:c>
      <x:c r="F31" s="78" t="str"/>
      <x:c r="G31" s="94" t="str">
        <x:v>Close analogue</x:v>
      </x:c>
      <x:c r="H31" s="78" t="str">
        <x:v>Strong similarity with source-specific differences.</x:v>
      </x:c>
      <x:c r="I31" s="78" t="str"/>
      <x:c r="J31" s="94" t="str">
        <x:v>Partial analogue</x:v>
      </x:c>
      <x:c r="K31" s="78" t="str">
        <x:v>Similarity on selected axes only.</x:v>
      </x:c>
      <x:c r="L31" s="78" t="str"/>
    </x:row>
    <x:row r="32" ht="46" customHeight="1">
      <x:c r="A32" s="94" t="str">
        <x:v>Functional analogue</x:v>
      </x:c>
      <x:c r="B32" s="78" t="str">
        <x:v>Same social or narrative job.</x:v>
      </x:c>
      <x:c r="C32" s="78" t="str"/>
      <x:c r="D32" s="94" t="str">
        <x:v>Mechanical analogue</x:v>
      </x:c>
      <x:c r="E32" s="78" t="str">
        <x:v>Same game role or progression function.</x:v>
      </x:c>
      <x:c r="F32" s="78" t="str"/>
      <x:c r="G32" s="94" t="str">
        <x:v>Visual analogue</x:v>
      </x:c>
      <x:c r="H32" s="78" t="str">
        <x:v>Similar appearance only.</x:v>
      </x:c>
      <x:c r="I32" s="78" t="str"/>
      <x:c r="J32" s="94" t="str">
        <x:v>Inspired-by</x:v>
      </x:c>
      <x:c r="K32" s="78" t="str">
        <x:v>Requires influence evidence.</x:v>
      </x:c>
      <x:c r="L32" s="78" t="str"/>
    </x:row>
    <x:row r="33" ht="46" customHeight="1">
      <x:c r="A33" s="94" t="str">
        <x:v>Subtype-of</x:v>
      </x:c>
      <x:c r="B33" s="78" t="str">
        <x:v>Narrower taxonomic category.</x:v>
      </x:c>
      <x:c r="C33" s="78" t="str"/>
      <x:c r="D33" s="94" t="str">
        <x:v>Member-of</x:v>
      </x:c>
      <x:c r="E33" s="78" t="str">
        <x:v>Institutional or social membership.</x:v>
      </x:c>
      <x:c r="F33" s="78" t="str"/>
      <x:c r="G33" s="94" t="str">
        <x:v>Hybrid-of</x:v>
      </x:c>
      <x:c r="H33" s="78" t="str">
        <x:v>Combines multiple normalized families.</x:v>
      </x:c>
      <x:c r="I33" s="78" t="str"/>
      <x:c r="J33" s="94" t="str">
        <x:v>Transformed-into</x:v>
      </x:c>
      <x:c r="K33" s="78" t="str">
        <x:v>Temporal ontological change.</x:v>
      </x:c>
      <x:c r="L33" s="78" t="str"/>
    </x:row>
    <x:row r="34" ht="46" customHeight="1">
      <x:c r="A34" s="94" t="str">
        <x:v>Adaptation-of</x:v>
      </x:c>
      <x:c r="B34" s="78" t="str">
        <x:v>Cross-media or continuity transformation.</x:v>
      </x:c>
      <x:c r="C34" s="78" t="str"/>
      <x:c r="D34" s="94" t="str">
        <x:v>Version-of</x:v>
      </x:c>
      <x:c r="E34" s="78" t="str">
        <x:v>Edition or incarnation relationship.</x:v>
      </x:c>
      <x:c r="F34" s="78" t="str"/>
      <x:c r="G34" s="94" t="str">
        <x:v>Inversion</x:v>
      </x:c>
      <x:c r="H34" s="78" t="str">
        <x:v>Deliberate reversal or critique.</x:v>
      </x:c>
      <x:c r="I34" s="78" t="str"/>
      <x:c r="J34" s="94" t="str">
        <x:v>Frequently confused-with</x:v>
      </x:c>
      <x:c r="K34" s="78" t="str">
        <x:v>Quality-control warning.</x:v>
      </x:c>
      <x:c r="L34" s="78" t="str"/>
    </x:row>
    <x:row r="35" ht="46" customHeight="1">
      <x:c r="A35" s="94" t="str">
        <x:v>Uncertain / disputed</x:v>
      </x:c>
      <x:c r="B35" s="78" t="str">
        <x:v>Use when canon, scholarship, translation, or influence remains unresolved.</x:v>
      </x:c>
      <x:c r="C35" s="78" t="str"/>
      <x:c r="D35" s="94" t="str"/>
      <x:c r="E35" s="78" t="str"/>
      <x:c r="F35" s="78" t="str"/>
      <x:c r="G35" s="94" t="str"/>
      <x:c r="H35" s="78" t="str"/>
      <x:c r="I35" s="78" t="str"/>
      <x:c r="J35" s="94" t="str"/>
      <x:c r="K35" s="78" t="str"/>
      <x:c r="L35" s="78" t="str"/>
    </x:row>
    <x:row r="37" ht="24" customHeight="1">
      <x:c r="A37" s="69" t="str">
        <x:v>Recommended research workflow</x:v>
      </x:c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</x:row>
    <x:row r="38" ht="30" customHeight="1">
      <x:c r="A38" s="92" t="str">
        <x:v>1. Define continuity</x:v>
      </x:c>
      <x:c r="B38" s="78" t="str">
        <x:v>Choose the exact book corpus, edition, game build, adaptation, or mythic source layer.</x:v>
      </x:c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</x:row>
    <x:row r="39" ht="30" customHeight="1">
      <x:c r="A39" s="92" t="str">
        <x:v>2. Record native type</x:v>
      </x:c>
      <x:c r="B39" s="78" t="str">
        <x:v>Ask what the source says the concept is: people, spirit, office, order, profession, class, condition, or mechanic.</x:v>
      </x:c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</x:row>
    <x:row r="40" ht="30" customHeight="1">
      <x:c r="A40" s="92" t="str">
        <x:v>3. Decompose axes</x:v>
      </x:c>
      <x:c r="B40" s="78" t="str">
        <x:v>Separate ontology, culture, role, power source, institution, mechanics, and narrative function.</x:v>
      </x:c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</x:row>
    <x:row r="41" ht="30" customHeight="1">
      <x:c r="A41" s="92" t="str">
        <x:v>4. Crosswalk conservatively</x:v>
      </x:c>
      <x:c r="B41" s="78" t="str">
        <x:v>Assign a primary archetype and additional axes; document the key distinction.</x:v>
      </x:c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</x:row>
    <x:row r="42" ht="30" customHeight="1">
      <x:c r="A42" s="92" t="str">
        <x:v>5. Cite and version</x:v>
      </x:c>
      <x:c r="B42" s="78" t="str">
        <x:v>Add the most precise available source reference and date/version for changing material.</x:v>
      </x:c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</x:row>
    <x:row r="43" ht="30" customHeight="1">
      <x:c r="A43" s="92" t="str">
        <x:v>6. Compare with typed links</x:v>
      </x:c>
      <x:c r="B43" s="78" t="str">
        <x:v>State why two entries are analogous rather than merely placing them under one vague label.</x:v>
      </x:c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</x:row>
  </x:sheetData>
  <x:mergeCells>
    <x:mergeCell ref="A1:L2"/>
    <x:mergeCell ref="A3:L3"/>
    <x:mergeCell ref="G5:L5"/>
    <x:mergeCell ref="H6:L6"/>
    <x:mergeCell ref="H7:L7"/>
    <x:mergeCell ref="H8:L8"/>
    <x:mergeCell ref="H9:L9"/>
    <x:mergeCell ref="H10:L10"/>
    <x:mergeCell ref="H11:L11"/>
    <x:mergeCell ref="A13:L13"/>
    <x:mergeCell ref="B14:L14"/>
    <x:mergeCell ref="B15:L15"/>
    <x:mergeCell ref="B16:L16"/>
    <x:mergeCell ref="B17:L17"/>
    <x:mergeCell ref="B18:L18"/>
    <x:mergeCell ref="A20:L20"/>
    <x:mergeCell ref="B21:F21"/>
    <x:mergeCell ref="H21:L21"/>
    <x:mergeCell ref="B22:F22"/>
    <x:mergeCell ref="H22:L22"/>
    <x:mergeCell ref="B23:F23"/>
    <x:mergeCell ref="H23:L23"/>
    <x:mergeCell ref="B24:F24"/>
    <x:mergeCell ref="H24:L24"/>
    <x:mergeCell ref="B25:F25"/>
    <x:mergeCell ref="H25:L25"/>
    <x:mergeCell ref="B26:F26"/>
    <x:mergeCell ref="H26:L26"/>
    <x:mergeCell ref="B27:F27"/>
    <x:mergeCell ref="H27:L27"/>
    <x:mergeCell ref="B28:F28"/>
    <x:mergeCell ref="H28:L28"/>
    <x:mergeCell ref="A30:L30"/>
    <x:mergeCell ref="B31:C31"/>
    <x:mergeCell ref="E31:F31"/>
    <x:mergeCell ref="H31:I31"/>
    <x:mergeCell ref="K31:L31"/>
    <x:mergeCell ref="B32:C32"/>
    <x:mergeCell ref="E32:F32"/>
    <x:mergeCell ref="H32:I32"/>
    <x:mergeCell ref="K32:L32"/>
    <x:mergeCell ref="B33:C33"/>
    <x:mergeCell ref="E33:F33"/>
    <x:mergeCell ref="H33:I33"/>
    <x:mergeCell ref="K33:L33"/>
    <x:mergeCell ref="B34:C34"/>
    <x:mergeCell ref="E34:F34"/>
    <x:mergeCell ref="H34:I34"/>
    <x:mergeCell ref="K34:L34"/>
    <x:mergeCell ref="B35:C35"/>
    <x:mergeCell ref="E35:F35"/>
    <x:mergeCell ref="H35:I35"/>
    <x:mergeCell ref="K35:L35"/>
    <x:mergeCell ref="A37:L37"/>
    <x:mergeCell ref="B38:L38"/>
    <x:mergeCell ref="B39:L39"/>
    <x:mergeCell ref="B40:L40"/>
    <x:mergeCell ref="B41:L41"/>
    <x:mergeCell ref="B42:L42"/>
    <x:mergeCell ref="B43:L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6" hidden="0" customWidth="1"/>
    <x:col min="5" max="5" width="16" hidden="0" customWidth="1"/>
    <x:col min="6" max="6" width="8" hidden="0" customWidth="1"/>
    <x:col min="7" max="7" width="46" hidden="0" customWidth="1"/>
    <x:col min="8" max="8" width="46" hidden="0" customWidth="1"/>
    <x:col min="9" max="9" width="34" hidden="0" customWidth="1"/>
    <x:col min="10" max="10" width="38" hidden="0" customWidth="1"/>
    <x:col min="11" max="11" width="32" hidden="0" customWidth="1"/>
    <x:col min="12" max="12" width="44" hidden="0" customWidth="1"/>
    <x:col min="13" max="13" width="18" hidden="0" customWidth="1"/>
  </x:cols>
  <x:sheetData>
    <x:row r="1" ht="34" customHeight="1">
      <x:c r="A1" s="31" t="str">
        <x:v>Archetype_ID</x:v>
      </x:c>
      <x:c r="B1" s="31" t="str">
        <x:v>Preferred_Name</x:v>
      </x:c>
      <x:c r="C1" s="31" t="str">
        <x:v>Domain</x:v>
      </x:c>
      <x:c r="D1" s="31" t="str">
        <x:v>Parent_ID</x:v>
      </x:c>
      <x:c r="E1" s="31" t="str">
        <x:v>Parent_Name</x:v>
      </x:c>
      <x:c r="F1" s="31" t="str">
        <x:v>Tier</x:v>
      </x:c>
      <x:c r="G1" s="31" t="str">
        <x:v>Core_Definition</x:v>
      </x:c>
      <x:c r="H1" s="31" t="str">
        <x:v>Key_Distinctions</x:v>
      </x:c>
      <x:c r="I1" s="31" t="str">
        <x:v>Common_Variants</x:v>
      </x:c>
      <x:c r="J1" s="31" t="str">
        <x:v>Typical_Functions</x:v>
      </x:c>
      <x:c r="K1" s="31" t="str">
        <x:v>Representative_Terms</x:v>
      </x:c>
      <x:c r="L1" s="31" t="str">
        <x:v>Cross_Cultural_Caution</x:v>
      </x:c>
      <x:c r="M1" s="31" t="str">
        <x:v>Framework_Status</x:v>
      </x:c>
    </x:row>
    <x:row r="2" ht="44" customHeight="1">
      <x:c r="A2" s="24" t="str">
        <x:v>PPL-000</x:v>
      </x:c>
      <x:c r="B2" s="24" t="str">
        <x:v>People &amp; Beings</x:v>
      </x:c>
      <x:c r="C2" s="24" t="str">
        <x:v>People &amp; Beings</x:v>
      </x:c>
      <x:c r="D2" s="24" t="str"/>
      <x:c r="E2" s="24" t="str">
        <x:f>IF(D2="","",IFERROR(VLOOKUP(D2,$A$2:$B$1226,2,FALSE),""))</x:f>
      </x:c>
      <x:c r="F2" s="24" t="n">
        <x:v>1</x:v>
      </x:c>
      <x:c r="G2" s="24" t="str">
        <x:v>Biological peoples, metaphysical kinds, monsters, spirits, constructs, and other sentient or narratively significant beings.</x:v>
      </x:c>
      <x:c r="H2" s="24" t="str">
        <x:v>A top-level analytical domain. Entries may link across domains but should not be collapsed into one another.</x:v>
      </x:c>
      <x:c r="I2" s="24" t="str"/>
      <x:c r="J2" s="24" t="str">
        <x:v>Provides the first classification axis for the database.</x:v>
      </x:c>
      <x:c r="K2" s="24" t="str">
        <x:v>People &amp; Beings</x:v>
      </x:c>
      <x:c r="L2" s="24" t="str">
        <x:v>Preserve each source's ontology, culture, history, and terminology when making comparisons.</x:v>
      </x:c>
      <x:c r="M2" s="24" t="str">
        <x:v>Domain Root</x:v>
      </x:c>
    </x:row>
    <x:row r="3" ht="44" customHeight="1">
      <x:c r="A3" s="24" t="str">
        <x:v>ROL-000</x:v>
      </x:c>
      <x:c r="B3" s="24" t="str">
        <x:v>Roles &amp; Vocations</x:v>
      </x:c>
      <x:c r="C3" s="24" t="str">
        <x:v>Roles &amp; Vocations</x:v>
      </x:c>
      <x:c r="D3" s="24" t="str"/>
      <x:c r="E3" s="24" t="str">
        <x:f>IF(D3="","",IFERROR(VLOOKUP(D3,$A$2:$B$1226,2,FALSE),""))</x:f>
      </x:c>
      <x:c r="F3" s="24" t="n">
        <x:v>1</x:v>
      </x:c>
      <x:c r="G3" s="24" t="str">
        <x:v>Professions, combat roles, social offices, religious vocations, magical callings, and formal game classes.</x:v>
      </x:c>
      <x:c r="H3" s="24" t="str">
        <x:v>A top-level analytical domain. Entries may link across domains but should not be collapsed into one another.</x:v>
      </x:c>
      <x:c r="I3" s="24" t="str"/>
      <x:c r="J3" s="24" t="str">
        <x:v>Provides the first classification axis for the database.</x:v>
      </x:c>
      <x:c r="K3" s="24" t="str">
        <x:v>Roles &amp; Vocations</x:v>
      </x:c>
      <x:c r="L3" s="24" t="str">
        <x:v>Preserve each source's ontology, culture, history, and terminology when making comparisons.</x:v>
      </x:c>
      <x:c r="M3" s="24" t="str">
        <x:v>Domain Root</x:v>
      </x:c>
    </x:row>
    <x:row r="4" ht="44" customHeight="1">
      <x:c r="A4" s="24" t="str">
        <x:v>PWR-000</x:v>
      </x:c>
      <x:c r="B4" s="24" t="str">
        <x:v>Power Traditions</x:v>
      </x:c>
      <x:c r="C4" s="24" t="str">
        <x:v>Power Traditions</x:v>
      </x:c>
      <x:c r="D4" s="24" t="str"/>
      <x:c r="E4" s="24" t="str">
        <x:f>IF(D4="","",IFERROR(VLOOKUP(D4,$A$2:$B$1226,2,FALSE),""))</x:f>
      </x:c>
      <x:c r="F4" s="24" t="n">
        <x:v>1</x:v>
      </x:c>
      <x:c r="G4" s="24" t="str">
        <x:v>Repeatable sources, methods, and logics through which extraordinary power is acquired or exercised.</x:v>
      </x:c>
      <x:c r="H4" s="24" t="str">
        <x:v>A top-level analytical domain. Entries may link across domains but should not be collapsed into one another.</x:v>
      </x:c>
      <x:c r="I4" s="24" t="str"/>
      <x:c r="J4" s="24" t="str">
        <x:v>Provides the first classification axis for the database.</x:v>
      </x:c>
      <x:c r="K4" s="24" t="str">
        <x:v>Power Traditions</x:v>
      </x:c>
      <x:c r="L4" s="24" t="str">
        <x:v>Preserve each source's ontology, culture, history, and terminology when making comparisons.</x:v>
      </x:c>
      <x:c r="M4" s="24" t="str">
        <x:v>Domain Root</x:v>
      </x:c>
    </x:row>
    <x:row r="5" ht="44" customHeight="1">
      <x:c r="A5" s="24" t="str">
        <x:v>STA-000</x:v>
      </x:c>
      <x:c r="B5" s="24" t="str">
        <x:v>States &amp; Transformations</x:v>
      </x:c>
      <x:c r="C5" s="24" t="str">
        <x:v>States &amp; Transformations</x:v>
      </x:c>
      <x:c r="D5" s="24" t="str"/>
      <x:c r="E5" s="24" t="str">
        <x:f>IF(D5="","",IFERROR(VLOOKUP(D5,$A$2:$B$1226,2,FALSE),""))</x:f>
      </x:c>
      <x:c r="F5" s="24" t="n">
        <x:v>1</x:v>
      </x:c>
      <x:c r="G5" s="24" t="str">
        <x:v>Acquired conditions, templates, curses, awakenings, and changes of body, soul, identity, or status.</x:v>
      </x:c>
      <x:c r="H5" s="24" t="str">
        <x:v>A top-level analytical domain. Entries may link across domains but should not be collapsed into one another.</x:v>
      </x:c>
      <x:c r="I5" s="24" t="str"/>
      <x:c r="J5" s="24" t="str">
        <x:v>Provides the first classification axis for the database.</x:v>
      </x:c>
      <x:c r="K5" s="24" t="str">
        <x:v>States &amp; Transformations</x:v>
      </x:c>
      <x:c r="L5" s="24" t="str">
        <x:v>Preserve each source's ontology, culture, history, and terminology when making comparisons.</x:v>
      </x:c>
      <x:c r="M5" s="24" t="str">
        <x:v>Domain Root</x:v>
      </x:c>
    </x:row>
    <x:row r="6" ht="44" customHeight="1">
      <x:c r="A6" s="24" t="str">
        <x:v>INS-000</x:v>
      </x:c>
      <x:c r="B6" s="24" t="str">
        <x:v>Institutions &amp; Affiliations</x:v>
      </x:c>
      <x:c r="C6" s="24" t="str">
        <x:v>Institutions &amp; Affiliations</x:v>
      </x:c>
      <x:c r="D6" s="24" t="str"/>
      <x:c r="E6" s="24" t="str">
        <x:f>IF(D6="","",IFERROR(VLOOKUP(D6,$A$2:$B$1226,2,FALSE),""))</x:f>
      </x:c>
      <x:c r="F6" s="24" t="n">
        <x:v>1</x:v>
      </x:c>
      <x:c r="G6" s="24" t="str">
        <x:v>Orders, schools, guilds, sects, castes, houses, armies, and other organized identities.</x:v>
      </x:c>
      <x:c r="H6" s="24" t="str">
        <x:v>A top-level analytical domain. Entries may link across domains but should not be collapsed into one another.</x:v>
      </x:c>
      <x:c r="I6" s="24" t="str"/>
      <x:c r="J6" s="24" t="str">
        <x:v>Provides the first classification axis for the database.</x:v>
      </x:c>
      <x:c r="K6" s="24" t="str">
        <x:v>Institutions &amp; Affiliations</x:v>
      </x:c>
      <x:c r="L6" s="24" t="str">
        <x:v>Preserve each source's ontology, culture, history, and terminology when making comparisons.</x:v>
      </x:c>
      <x:c r="M6" s="24" t="str">
        <x:v>Domain Root</x:v>
      </x:c>
    </x:row>
    <x:row r="7" ht="44" customHeight="1">
      <x:c r="A7" s="24" t="str">
        <x:v>NAR-000</x:v>
      </x:c>
      <x:c r="B7" s="24" t="str">
        <x:v>Narrative Archetypes</x:v>
      </x:c>
      <x:c r="C7" s="24" t="str">
        <x:v>Narrative Archetypes</x:v>
      </x:c>
      <x:c r="D7" s="24" t="str"/>
      <x:c r="E7" s="24" t="str">
        <x:f>IF(D7="","",IFERROR(VLOOKUP(D7,$A$2:$B$1226,2,FALSE),""))</x:f>
      </x:c>
      <x:c r="F7" s="24" t="n">
        <x:v>1</x:v>
      </x:c>
      <x:c r="G7" s="24" t="str">
        <x:v>Recurring character, party, antagonist, and plot functions used across fantasy media.</x:v>
      </x:c>
      <x:c r="H7" s="24" t="str">
        <x:v>A top-level analytical domain. Entries may link across domains but should not be collapsed into one another.</x:v>
      </x:c>
      <x:c r="I7" s="24" t="str"/>
      <x:c r="J7" s="24" t="str">
        <x:v>Provides the first classification axis for the database.</x:v>
      </x:c>
      <x:c r="K7" s="24" t="str">
        <x:v>Narrative Archetypes</x:v>
      </x:c>
      <x:c r="L7" s="24" t="str">
        <x:v>Preserve each source's ontology, culture, history, and terminology when making comparisons.</x:v>
      </x:c>
      <x:c r="M7" s="24" t="str">
        <x:v>Domain Root</x:v>
      </x:c>
    </x:row>
    <x:row r="8" ht="44" customHeight="1">
      <x:c r="A8" s="24" t="str">
        <x:v>CIV-000</x:v>
      </x:c>
      <x:c r="B8" s="24" t="str">
        <x:v>Civilization &amp; Culture Archetypes</x:v>
      </x:c>
      <x:c r="C8" s="24" t="str">
        <x:v>Civilization &amp; Culture Archetypes</x:v>
      </x:c>
      <x:c r="D8" s="24" t="str"/>
      <x:c r="E8" s="24" t="str">
        <x:f>IF(D8="","",IFERROR(VLOOKUP(D8,$A$2:$B$1226,2,FALSE),""))</x:f>
      </x:c>
      <x:c r="F8" s="24" t="n">
        <x:v>1</x:v>
      </x:c>
      <x:c r="G8" s="24" t="str">
        <x:v>Reusable patterns for societies, polities, economies, and cultural organization.</x:v>
      </x:c>
      <x:c r="H8" s="24" t="str">
        <x:v>A top-level analytical domain. Entries may link across domains but should not be collapsed into one another.</x:v>
      </x:c>
      <x:c r="I8" s="24" t="str"/>
      <x:c r="J8" s="24" t="str">
        <x:v>Provides the first classification axis for the database.</x:v>
      </x:c>
      <x:c r="K8" s="24" t="str">
        <x:v>Civilization &amp; Culture Archetypes</x:v>
      </x:c>
      <x:c r="L8" s="24" t="str">
        <x:v>Preserve each source's ontology, culture, history, and terminology when making comparisons.</x:v>
      </x:c>
      <x:c r="M8" s="24" t="str">
        <x:v>Domain Root</x:v>
      </x:c>
    </x:row>
    <x:row r="9" ht="44" customHeight="1">
      <x:c r="A9" s="24" t="str">
        <x:v>MEC-000</x:v>
      </x:c>
      <x:c r="B9" s="24" t="str">
        <x:v>Game-Mechanical Archetypes</x:v>
      </x:c>
      <x:c r="C9" s="24" t="str">
        <x:v>Game-Mechanical Archetypes</x:v>
      </x:c>
      <x:c r="D9" s="24" t="str"/>
      <x:c r="E9" s="24" t="str">
        <x:f>IF(D9="","",IFERROR(VLOOKUP(D9,$A$2:$B$1226,2,FALSE),""))</x:f>
      </x:c>
      <x:c r="F9" s="24" t="n">
        <x:v>1</x:v>
      </x:c>
      <x:c r="G9" s="24" t="str">
        <x:v>Roles and resource patterns defined primarily by rules, encounter design, or player progression.</x:v>
      </x:c>
      <x:c r="H9" s="24" t="str">
        <x:v>A top-level analytical domain. Entries may link across domains but should not be collapsed into one another.</x:v>
      </x:c>
      <x:c r="I9" s="24" t="str"/>
      <x:c r="J9" s="24" t="str">
        <x:v>Provides the first classification axis for the database.</x:v>
      </x:c>
      <x:c r="K9" s="24" t="str">
        <x:v>Game-Mechanical Archetypes</x:v>
      </x:c>
      <x:c r="L9" s="24" t="str">
        <x:v>Preserve each source's ontology, culture, history, and terminology when making comparisons.</x:v>
      </x:c>
      <x:c r="M9" s="24" t="str">
        <x:v>Domain Root</x:v>
      </x:c>
    </x:row>
    <x:row r="10" ht="44" customHeight="1">
      <x:c r="A10" s="24" t="str">
        <x:v>PPL-100</x:v>
      </x:c>
      <x:c r="B10" s="24" t="str">
        <x:v>Mortal and Natural Peoples</x:v>
      </x:c>
      <x:c r="C10" s="24" t="str">
        <x:v>People &amp; Beings</x:v>
      </x:c>
      <x:c r="D10" s="24" t="str">
        <x:v>PPL-000</x:v>
      </x:c>
      <x:c r="E10" s="24" t="str">
        <x:f>IF(D10="","",IFERROR(VLOOKUP(D10,$A$2:$B$1226,2,FALSE),""))</x:f>
        <x:v>People &amp; Beings</x:v>
      </x:c>
      <x:c r="F10" s="24" t="n">
        <x:v>2</x:v>
      </x:c>
      <x:c r="G10" s="24" t="str">
        <x:v>Peoples presented as ordinary inhabitants of the setting's natural world, even when their biology differs from humans.</x:v>
      </x:c>
      <x:c r="H10" s="24" t="str">
        <x:v>Classify by ontology first; morphology, culture, and game creature type are separate axes.</x:v>
      </x:c>
      <x:c r="I10" s="24" t="str"/>
      <x:c r="J10" s="24" t="str">
        <x:v>Organizes source-specific peoples and creatures by the kind of being they are.</x:v>
      </x:c>
      <x:c r="K10" s="24" t="str">
        <x:v>Player ancestries; nations; ethnicized fantasy peoples</x:v>
      </x:c>
      <x:c r="L10" s="24" t="str">
        <x:v>Preserve each source's ontology, culture, history, and terminology when making comparisons.</x:v>
      </x:c>
      <x:c r="M10" s="24" t="str">
        <x:v>Category</x:v>
      </x:c>
    </x:row>
    <x:row r="11" ht="44" customHeight="1">
      <x:c r="A11" s="24" t="str">
        <x:v>PPL-200</x:v>
      </x:c>
      <x:c r="B11" s="24" t="str">
        <x:v>Fae, Nature, and Liminal Beings</x:v>
      </x:c>
      <x:c r="C11" s="24" t="str">
        <x:v>People &amp; Beings</x:v>
      </x:c>
      <x:c r="D11" s="24" t="str">
        <x:v>PPL-000</x:v>
      </x:c>
      <x:c r="E11" s="24" t="str">
        <x:f>IF(D11="","",IFERROR(VLOOKUP(D11,$A$2:$B$1226,2,FALSE),""))</x:f>
        <x:v>People &amp; Beings</x:v>
      </x:c>
      <x:c r="F11" s="24" t="n">
        <x:v>2</x:v>
      </x:c>
      <x:c r="G11" s="24" t="str">
        <x:v>Beings tied to wilderness, place, season, threshold, enchantment, or an otherworld adjacent to mortal reality.</x:v>
      </x:c>
      <x:c r="H11" s="24" t="str">
        <x:v>Classify by ontology first; morphology, culture, and game creature type are separate axes.</x:v>
      </x:c>
      <x:c r="I11" s="24" t="str"/>
      <x:c r="J11" s="24" t="str">
        <x:v>Organizes source-specific peoples and creatures by the kind of being they are.</x:v>
      </x:c>
      <x:c r="K11" s="24" t="str">
        <x:v>Fae courts; land spirits; trickster beings</x:v>
      </x:c>
      <x:c r="L11" s="24" t="str">
        <x:v>Preserve each source's ontology, culture, history, and terminology when making comparisons.</x:v>
      </x:c>
      <x:c r="M11" s="24" t="str">
        <x:v>Category</x:v>
      </x:c>
    </x:row>
    <x:row r="12" ht="44" customHeight="1">
      <x:c r="A12" s="24" t="str">
        <x:v>PPL-300</x:v>
      </x:c>
      <x:c r="B12" s="24" t="str">
        <x:v>Spirits and Elementals</x:v>
      </x:c>
      <x:c r="C12" s="24" t="str">
        <x:v>People &amp; Beings</x:v>
      </x:c>
      <x:c r="D12" s="24" t="str">
        <x:v>PPL-000</x:v>
      </x:c>
      <x:c r="E12" s="24" t="str">
        <x:f>IF(D12="","",IFERROR(VLOOKUP(D12,$A$2:$B$1226,2,FALSE),""))</x:f>
        <x:v>People &amp; Beings</x:v>
      </x:c>
      <x:c r="F12" s="24" t="n">
        <x:v>2</x:v>
      </x:c>
      <x:c r="G12" s="24" t="str">
        <x:v>Incorporeal or semi-corporeal beings constituted by soul, element, concept, memory, dream, or place.</x:v>
      </x:c>
      <x:c r="H12" s="24" t="str">
        <x:v>Classify by ontology first; morphology, culture, and game creature type are separate axes.</x:v>
      </x:c>
      <x:c r="I12" s="24" t="str"/>
      <x:c r="J12" s="24" t="str">
        <x:v>Organizes source-specific peoples and creatures by the kind of being they are.</x:v>
      </x:c>
      <x:c r="K12" s="24" t="str">
        <x:v>Elementals; ancestors; guardian spirits</x:v>
      </x:c>
      <x:c r="L12" s="24" t="str">
        <x:v>Preserve each source's ontology, culture, history, and terminology when making comparisons.</x:v>
      </x:c>
      <x:c r="M12" s="24" t="str">
        <x:v>Category</x:v>
      </x:c>
    </x:row>
    <x:row r="13" ht="44" customHeight="1">
      <x:c r="A13" s="24" t="str">
        <x:v>PPL-400</x:v>
      </x:c>
      <x:c r="B13" s="24" t="str">
        <x:v>Divine and Celestial Beings</x:v>
      </x:c>
      <x:c r="C13" s="24" t="str">
        <x:v>People &amp; Beings</x:v>
      </x:c>
      <x:c r="D13" s="24" t="str">
        <x:v>PPL-000</x:v>
      </x:c>
      <x:c r="E13" s="24" t="str">
        <x:f>IF(D13="","",IFERROR(VLOOKUP(D13,$A$2:$B$1226,2,FALSE),""))</x:f>
        <x:v>People &amp; Beings</x:v>
      </x:c>
      <x:c r="F13" s="24" t="n">
        <x:v>2</x:v>
      </x:c>
      <x:c r="G13" s="24" t="str">
        <x:v>Gods, divine emanations, celestial servants, ascended mortals, and beings aligned with sacred cosmic order.</x:v>
      </x:c>
      <x:c r="H13" s="24" t="str">
        <x:v>Classify by ontology first; morphology, culture, and game creature type are separate axes.</x:v>
      </x:c>
      <x:c r="I13" s="24" t="str"/>
      <x:c r="J13" s="24" t="str">
        <x:v>Organizes source-specific peoples and creatures by the kind of being they are.</x:v>
      </x:c>
      <x:c r="K13" s="24" t="str">
        <x:v>Gods; angels; saints; avatars</x:v>
      </x:c>
      <x:c r="L13" s="24" t="str">
        <x:v>Preserve each source's ontology, culture, history, and terminology when making comparisons.</x:v>
      </x:c>
      <x:c r="M13" s="24" t="str">
        <x:v>Category</x:v>
      </x:c>
    </x:row>
    <x:row r="14" ht="44" customHeight="1">
      <x:c r="A14" s="24" t="str">
        <x:v>PPL-500</x:v>
      </x:c>
      <x:c r="B14" s="24" t="str">
        <x:v>Infernal and Corruptive Beings</x:v>
      </x:c>
      <x:c r="C14" s="24" t="str">
        <x:v>People &amp; Beings</x:v>
      </x:c>
      <x:c r="D14" s="24" t="str">
        <x:v>PPL-000</x:v>
      </x:c>
      <x:c r="E14" s="24" t="str">
        <x:f>IF(D14="","",IFERROR(VLOOKUP(D14,$A$2:$B$1226,2,FALSE),""))</x:f>
        <x:v>People &amp; Beings</x:v>
      </x:c>
      <x:c r="F14" s="24" t="n">
        <x:v>2</x:v>
      </x:c>
      <x:c r="G14" s="24" t="str">
        <x:v>Demons, devils, fallen celestials, chaos-spawn, and entities whose existence centers on corruption, domination, temptation, or metaphysical disorder.</x:v>
      </x:c>
      <x:c r="H14" s="24" t="str">
        <x:v>Classify by ontology first; morphology, culture, and game creature type are separate axes.</x:v>
      </x:c>
      <x:c r="I14" s="24" t="str"/>
      <x:c r="J14" s="24" t="str">
        <x:v>Organizes source-specific peoples and creatures by the kind of being they are.</x:v>
      </x:c>
      <x:c r="K14" s="24" t="str">
        <x:v>Fiends; demon lords; possessors</x:v>
      </x:c>
      <x:c r="L14" s="24" t="str">
        <x:v>Preserve each source's ontology, culture, history, and terminology when making comparisons.</x:v>
      </x:c>
      <x:c r="M14" s="24" t="str">
        <x:v>Category</x:v>
      </x:c>
    </x:row>
    <x:row r="15" ht="44" customHeight="1">
      <x:c r="A15" s="24" t="str">
        <x:v>PPL-600</x:v>
      </x:c>
      <x:c r="B15" s="24" t="str">
        <x:v>Undead Beings</x:v>
      </x:c>
      <x:c r="C15" s="24" t="str">
        <x:v>People &amp; Beings</x:v>
      </x:c>
      <x:c r="D15" s="24" t="str">
        <x:v>PPL-000</x:v>
      </x:c>
      <x:c r="E15" s="24" t="str">
        <x:f>IF(D15="","",IFERROR(VLOOKUP(D15,$A$2:$B$1226,2,FALSE),""))</x:f>
        <x:v>People &amp; Beings</x:v>
      </x:c>
      <x:c r="F15" s="24" t="n">
        <x:v>2</x:v>
      </x:c>
      <x:c r="G15" s="24" t="str">
        <x:v>Beings that persist after biological death through animation, trapped soul, curse, hunger, ritual, or necromantic structure.</x:v>
      </x:c>
      <x:c r="H15" s="24" t="str">
        <x:v>Classify by ontology first; morphology, culture, and game creature type are separate axes.</x:v>
      </x:c>
      <x:c r="I15" s="24" t="str"/>
      <x:c r="J15" s="24" t="str">
        <x:v>Organizes source-specific peoples and creatures by the kind of being they are.</x:v>
      </x:c>
      <x:c r="K15" s="24" t="str">
        <x:v>Ghosts; vampires; liches; revenants</x:v>
      </x:c>
      <x:c r="L15" s="24" t="str">
        <x:v>Preserve each source's ontology, culture, history, and terminology when making comparisons.</x:v>
      </x:c>
      <x:c r="M15" s="24" t="str">
        <x:v>Category</x:v>
      </x:c>
    </x:row>
    <x:row r="16" ht="44" customHeight="1">
      <x:c r="A16" s="24" t="str">
        <x:v>PPL-700</x:v>
      </x:c>
      <x:c r="B16" s="24" t="str">
        <x:v>Constructs and Artificial Life</x:v>
      </x:c>
      <x:c r="C16" s="24" t="str">
        <x:v>People &amp; Beings</x:v>
      </x:c>
      <x:c r="D16" s="24" t="str">
        <x:v>PPL-000</x:v>
      </x:c>
      <x:c r="E16" s="24" t="str">
        <x:f>IF(D16="","",IFERROR(VLOOKUP(D16,$A$2:$B$1226,2,FALSE),""))</x:f>
        <x:v>People &amp; Beings</x:v>
      </x:c>
      <x:c r="F16" s="24" t="n">
        <x:v>2</x:v>
      </x:c>
      <x:c r="G16" s="24" t="str">
        <x:v>Created beings whose bodies or minds are deliberately manufactured, assembled, grown, enchanted, or replicated.</x:v>
      </x:c>
      <x:c r="H16" s="24" t="str">
        <x:v>Classify by ontology first; morphology, culture, and game creature type are separate axes.</x:v>
      </x:c>
      <x:c r="I16" s="24" t="str"/>
      <x:c r="J16" s="24" t="str">
        <x:v>Organizes source-specific peoples and creatures by the kind of being they are.</x:v>
      </x:c>
      <x:c r="K16" s="24" t="str">
        <x:v>Golems; homunculi; clockwork people</x:v>
      </x:c>
      <x:c r="L16" s="24" t="str">
        <x:v>Preserve each source's ontology, culture, history, and terminology when making comparisons.</x:v>
      </x:c>
      <x:c r="M16" s="24" t="str">
        <x:v>Category</x:v>
      </x:c>
    </x:row>
    <x:row r="17" ht="44" customHeight="1">
      <x:c r="A17" s="24" t="str">
        <x:v>PPL-800</x:v>
      </x:c>
      <x:c r="B17" s="24" t="str">
        <x:v>Dragons and Legendary Beasts</x:v>
      </x:c>
      <x:c r="C17" s="24" t="str">
        <x:v>People &amp; Beings</x:v>
      </x:c>
      <x:c r="D17" s="24" t="str">
        <x:v>PPL-000</x:v>
      </x:c>
      <x:c r="E17" s="24" t="str">
        <x:f>IF(D17="","",IFERROR(VLOOKUP(D17,$A$2:$B$1226,2,FALSE),""))</x:f>
        <x:v>People &amp; Beings</x:v>
      </x:c>
      <x:c r="F17" s="24" t="n">
        <x:v>2</x:v>
      </x:c>
      <x:c r="G17" s="24" t="str">
        <x:v>Iconic nonhuman beasts whose intelligence, scale, magical potency, or symbolic role exceeds ordinary fauna.</x:v>
      </x:c>
      <x:c r="H17" s="24" t="str">
        <x:v>Classify by ontology first; morphology, culture, and game creature type are separate axes.</x:v>
      </x:c>
      <x:c r="I17" s="24" t="str"/>
      <x:c r="J17" s="24" t="str">
        <x:v>Organizes source-specific peoples and creatures by the kind of being they are.</x:v>
      </x:c>
      <x:c r="K17" s="24" t="str">
        <x:v>Dragons; griffins; hydras; world beasts</x:v>
      </x:c>
      <x:c r="L17" s="24" t="str">
        <x:v>Preserve each source's ontology, culture, history, and terminology when making comparisons.</x:v>
      </x:c>
      <x:c r="M17" s="24" t="str">
        <x:v>Category</x:v>
      </x:c>
    </x:row>
    <x:row r="18" ht="44" customHeight="1">
      <x:c r="A18" s="24" t="str">
        <x:v>PPL-900</x:v>
      </x:c>
      <x:c r="B18" s="24" t="str">
        <x:v>Plant, Fungal, Ooze, and Collective Life</x:v>
      </x:c>
      <x:c r="C18" s="24" t="str">
        <x:v>People &amp; Beings</x:v>
      </x:c>
      <x:c r="D18" s="24" t="str">
        <x:v>PPL-000</x:v>
      </x:c>
      <x:c r="E18" s="24" t="str">
        <x:f>IF(D18="","",IFERROR(VLOOKUP(D18,$A$2:$B$1226,2,FALSE),""))</x:f>
        <x:v>People &amp; Beings</x:v>
      </x:c>
      <x:c r="F18" s="24" t="n">
        <x:v>2</x:v>
      </x:c>
      <x:c r="G18" s="24" t="str">
        <x:v>Beings based on non-animal life, amorphous bodies, swarms, colonies, or distributed consciousness.</x:v>
      </x:c>
      <x:c r="H18" s="24" t="str">
        <x:v>Classify by ontology first; morphology, culture, and game creature type are separate axes.</x:v>
      </x:c>
      <x:c r="I18" s="24" t="str"/>
      <x:c r="J18" s="24" t="str">
        <x:v>Organizes source-specific peoples and creatures by the kind of being they are.</x:v>
      </x:c>
      <x:c r="K18" s="24" t="str">
        <x:v>Plantfolk; slimes; hive minds</x:v>
      </x:c>
      <x:c r="L18" s="24" t="str">
        <x:v>Preserve each source's ontology, culture, history, and terminology when making comparisons.</x:v>
      </x:c>
      <x:c r="M18" s="24" t="str">
        <x:v>Category</x:v>
      </x:c>
    </x:row>
    <x:row r="19" ht="44" customHeight="1">
      <x:c r="A19" s="24" t="str">
        <x:v>PPL-1000</x:v>
      </x:c>
      <x:c r="B19" s="24" t="str">
        <x:v>Shapeshifters, Hybrids, and Mutable Peoples</x:v>
      </x:c>
      <x:c r="C19" s="24" t="str">
        <x:v>People &amp; Beings</x:v>
      </x:c>
      <x:c r="D19" s="24" t="str">
        <x:v>PPL-000</x:v>
      </x:c>
      <x:c r="E19" s="24" t="str">
        <x:f>IF(D19="","",IFERROR(VLOOKUP(D19,$A$2:$B$1226,2,FALSE),""))</x:f>
        <x:v>People &amp; Beings</x:v>
      </x:c>
      <x:c r="F19" s="24" t="n">
        <x:v>2</x:v>
      </x:c>
      <x:c r="G19" s="24" t="str">
        <x:v>Beings defined by mixed ancestry, mutable form, copied identity, animal transformation, possession, or body exchange.</x:v>
      </x:c>
      <x:c r="H19" s="24" t="str">
        <x:v>Classify by ontology first; morphology, culture, and game creature type are separate axes.</x:v>
      </x:c>
      <x:c r="I19" s="24" t="str"/>
      <x:c r="J19" s="24" t="str">
        <x:v>Organizes source-specific peoples and creatures by the kind of being they are.</x:v>
      </x:c>
      <x:c r="K19" s="24" t="str">
        <x:v>Therianthropes; doppelgangers; chimeras</x:v>
      </x:c>
      <x:c r="L19" s="24" t="str">
        <x:v>Preserve each source's ontology, culture, history, and terminology when making comparisons.</x:v>
      </x:c>
      <x:c r="M19" s="24" t="str">
        <x:v>Category</x:v>
      </x:c>
    </x:row>
    <x:row r="20" ht="44" customHeight="1">
      <x:c r="A20" s="24" t="str">
        <x:v>PPL-1100</x:v>
      </x:c>
      <x:c r="B20" s="24" t="str">
        <x:v>Cosmic, Aberrant, and Otherworldly Beings</x:v>
      </x:c>
      <x:c r="C20" s="24" t="str">
        <x:v>People &amp; Beings</x:v>
      </x:c>
      <x:c r="D20" s="24" t="str">
        <x:v>PPL-000</x:v>
      </x:c>
      <x:c r="E20" s="24" t="str">
        <x:f>IF(D20="","",IFERROR(VLOOKUP(D20,$A$2:$B$1226,2,FALSE),""))</x:f>
        <x:v>People &amp; Beings</x:v>
      </x:c>
      <x:c r="F20" s="24" t="n">
        <x:v>2</x:v>
      </x:c>
      <x:c r="G20" s="24" t="str">
        <x:v>Entities whose bodies, minds, origins, or causal rules lie outside the setting's normal natural and supernatural orders.</x:v>
      </x:c>
      <x:c r="H20" s="24" t="str">
        <x:v>Classify by ontology first; morphology, culture, and game creature type are separate axes.</x:v>
      </x:c>
      <x:c r="I20" s="24" t="str"/>
      <x:c r="J20" s="24" t="str">
        <x:v>Organizes source-specific peoples and creatures by the kind of being they are.</x:v>
      </x:c>
      <x:c r="K20" s="24" t="str">
        <x:v>Aberrations; void beings; reality parasites</x:v>
      </x:c>
      <x:c r="L20" s="24" t="str">
        <x:v>Preserve each source's ontology, culture, history, and terminology when making comparisons.</x:v>
      </x:c>
      <x:c r="M20" s="24" t="str">
        <x:v>Category</x:v>
      </x:c>
    </x:row>
    <x:row r="21" ht="44" customHeight="1">
      <x:c r="A21" s="24" t="str">
        <x:v>PPL-101</x:v>
      </x:c>
      <x:c r="B21" s="24" t="str">
        <x:v>Human and Near-Human Peoples</x:v>
      </x:c>
      <x:c r="C21" s="24" t="str">
        <x:v>People &amp; Beings</x:v>
      </x:c>
      <x:c r="D21" s="24" t="str">
        <x:v>PPL-100</x:v>
      </x:c>
      <x:c r="E21" s="24" t="str">
        <x:f>IF(D21="","",IFERROR(VLOOKUP(D21,$A$2:$B$1226,2,FALSE),""))</x:f>
        <x:v>Mortal and Natural Peoples</x:v>
      </x:c>
      <x:c r="F21" s="24" t="n">
        <x:v>3</x:v>
      </x:c>
      <x:c r="G21" s="24" t="str">
        <x:v>Humans or humanlike peoples whose differences are primarily cultural, historical, adaptive, or mildly supernatural rather than a separate metaphysical kind.</x:v>
      </x:c>
      <x:c r="H21" s="24" t="str">
        <x:v>Source-specific examples may differ biologically, metaphysically, culturally, and morally; map them as analogues unless equivalence is explicit.</x:v>
      </x:c>
      <x:c r="I21" s="24" t="str">
        <x:v>human; mortal; man; tall-man; near-human</x:v>
      </x:c>
      <x:c r="J21" s="24" t="str">
        <x:v>Playable ancestry, neighboring civilization, minority people, enemy people, or cultural foil.</x:v>
      </x:c>
      <x:c r="K21" s="24" t="str">
        <x:v>human; mortal; man; tall-man; near-human</x:v>
      </x:c>
      <x:c r="L21" s="24" t="str">
        <x:v>Preserve each source's ontology, culture, history, and terminology when making comparisons.</x:v>
      </x:c>
      <x:c r="M21" s="24" t="str">
        <x:v>Core Family</x:v>
      </x:c>
    </x:row>
    <x:row r="22" ht="44" customHeight="1">
      <x:c r="A22" s="24" t="str">
        <x:v>PPL-102</x:v>
      </x:c>
      <x:c r="B22" s="24" t="str">
        <x:v>Elf-Derived Peoples</x:v>
      </x:c>
      <x:c r="C22" s="24" t="str">
        <x:v>People &amp; Beings</x:v>
      </x:c>
      <x:c r="D22" s="24" t="str">
        <x:v>PPL-100</x:v>
      </x:c>
      <x:c r="E22" s="24" t="str">
        <x:f>IF(D22="","",IFERROR(VLOOKUP(D22,$A$2:$B$1226,2,FALSE),""))</x:f>
        <x:v>Mortal and Natural Peoples</x:v>
      </x:c>
      <x:c r="F22" s="24" t="n">
        <x:v>3</x:v>
      </x:c>
      <x:c r="G22" s="24" t="str">
        <x:v>Graceful or otherworldly humanoids commonly associated with longevity, heightened perception, magic, nature, memory, or a fading elder civilization.</x:v>
      </x:c>
      <x:c r="H22" s="24" t="str">
        <x:v>Source-specific examples may differ biologically, metaphysically, culturally, and morally; map them as analogues unless equivalence is explicit.</x:v>
      </x:c>
      <x:c r="I22" s="24" t="str">
        <x:v>elf; elven; elvish; elder folk; faerie-blooded</x:v>
      </x:c>
      <x:c r="J22" s="24" t="str">
        <x:v>Playable ancestry, neighboring civilization, minority people, enemy people, or cultural foil.</x:v>
      </x:c>
      <x:c r="K22" s="24" t="str">
        <x:v>elf; elven; elvish; elder folk; faerie-blooded</x:v>
      </x:c>
      <x:c r="L22" s="24" t="str">
        <x:v>Do not treat Tolkien's Quendi, folkloric elves, game ancestries, and modern anime elves as one ontology.</x:v>
      </x:c>
      <x:c r="M22" s="24" t="str">
        <x:v>Core Family</x:v>
      </x:c>
    </x:row>
    <x:row r="23" ht="44" customHeight="1">
      <x:c r="A23" s="24" t="str">
        <x:v>PPL-103</x:v>
      </x:c>
      <x:c r="B23" s="24" t="str">
        <x:v>Dwarf-Derived Peoples</x:v>
      </x:c>
      <x:c r="C23" s="24" t="str">
        <x:v>People &amp; Beings</x:v>
      </x:c>
      <x:c r="D23" s="24" t="str">
        <x:v>PPL-100</x:v>
      </x:c>
      <x:c r="E23" s="24" t="str">
        <x:f>IF(D23="","",IFERROR(VLOOKUP(D23,$A$2:$B$1226,2,FALSE),""))</x:f>
        <x:v>Mortal and Natural Peoples</x:v>
      </x:c>
      <x:c r="F23" s="24" t="n">
        <x:v>3</x:v>
      </x:c>
      <x:c r="G23" s="24" t="str">
        <x:v>Compact, hardy humanoids often linked with stone, mining, smithcraft, clan memory, subterranean halls, or martial resilience.</x:v>
      </x:c>
      <x:c r="H23" s="24" t="str">
        <x:v>Source-specific examples may differ biologically, metaphysically, culturally, and morally; map them as analogues unless equivalence is explicit.</x:v>
      </x:c>
      <x:c r="I23" s="24" t="str">
        <x:v>dwarf; dwarven; dwarf-kind; mountain folk</x:v>
      </x:c>
      <x:c r="J23" s="24" t="str">
        <x:v>Playable ancestry, neighboring civilization, minority people, enemy people, or cultural foil.</x:v>
      </x:c>
      <x:c r="K23" s="24" t="str">
        <x:v>dwarf; dwarven; dwarf-kind; mountain folk</x:v>
      </x:c>
      <x:c r="L23" s="24" t="str">
        <x:v>Preserve each source's ontology, culture, history, and terminology when making comparisons.</x:v>
      </x:c>
      <x:c r="M23" s="24" t="str">
        <x:v>Core Family</x:v>
      </x:c>
    </x:row>
    <x:row r="24" ht="44" customHeight="1">
      <x:c r="A24" s="24" t="str">
        <x:v>PPL-104</x:v>
      </x:c>
      <x:c r="B24" s="24" t="str">
        <x:v>Halfling and Smallfolk Peoples</x:v>
      </x:c>
      <x:c r="C24" s="24" t="str">
        <x:v>People &amp; Beings</x:v>
      </x:c>
      <x:c r="D24" s="24" t="str">
        <x:v>PPL-100</x:v>
      </x:c>
      <x:c r="E24" s="24" t="str">
        <x:f>IF(D24="","",IFERROR(VLOOKUP(D24,$A$2:$B$1226,2,FALSE),""))</x:f>
        <x:v>Mortal and Natural Peoples</x:v>
      </x:c>
      <x:c r="F24" s="24" t="n">
        <x:v>3</x:v>
      </x:c>
      <x:c r="G24" s="24" t="str">
        <x:v>Small-statured humanoids whose archetype emphasizes domesticity, stealth, luck, community, mobility, or being overlooked by larger powers.</x:v>
      </x:c>
      <x:c r="H24" s="24" t="str">
        <x:v>Source-specific examples may differ biologically, metaphysically, culturally, and morally; map them as analogues unless equivalence is explicit.</x:v>
      </x:c>
      <x:c r="I24" s="24" t="str">
        <x:v>halfling; hobbit-like; kender-like; smallfolk</x:v>
      </x:c>
      <x:c r="J24" s="24" t="str">
        <x:v>Playable ancestry, neighboring civilization, minority people, enemy people, or cultural foil.</x:v>
      </x:c>
      <x:c r="K24" s="24" t="str">
        <x:v>halfling; hobbit-like; kender-like; smallfolk</x:v>
      </x:c>
      <x:c r="L24" s="24" t="str">
        <x:v>Preserve each source's ontology, culture, history, and terminology when making comparisons.</x:v>
      </x:c>
      <x:c r="M24" s="24" t="str">
        <x:v>Core Family</x:v>
      </x:c>
    </x:row>
    <x:row r="25" ht="44" customHeight="1">
      <x:c r="A25" s="24" t="str">
        <x:v>PPL-105</x:v>
      </x:c>
      <x:c r="B25" s="24" t="str">
        <x:v>Gnome and Tinkerfolk Peoples</x:v>
      </x:c>
      <x:c r="C25" s="24" t="str">
        <x:v>People &amp; Beings</x:v>
      </x:c>
      <x:c r="D25" s="24" t="str">
        <x:v>PPL-100</x:v>
      </x:c>
      <x:c r="E25" s="24" t="str">
        <x:f>IF(D25="","",IFERROR(VLOOKUP(D25,$A$2:$B$1226,2,FALSE),""))</x:f>
        <x:v>Mortal and Natural Peoples</x:v>
      </x:c>
      <x:c r="F25" s="24" t="n">
        <x:v>3</x:v>
      </x:c>
      <x:c r="G25" s="24" t="str">
        <x:v>Small humanoids associated with craft, curiosity, illusion, engineering, alchemy, scholarship, or hidden communities.</x:v>
      </x:c>
      <x:c r="H25" s="24" t="str">
        <x:v>Source-specific examples may differ biologically, metaphysically, culturally, and morally; map them as analogues unless equivalence is explicit.</x:v>
      </x:c>
      <x:c r="I25" s="24" t="str">
        <x:v>gnome; tinkerfolk; deep gnome; garden-gnome analogue</x:v>
      </x:c>
      <x:c r="J25" s="24" t="str">
        <x:v>Playable ancestry, neighboring civilization, minority people, enemy people, or cultural foil.</x:v>
      </x:c>
      <x:c r="K25" s="24" t="str">
        <x:v>gnome; tinkerfolk; deep gnome; garden-gnome analogue</x:v>
      </x:c>
      <x:c r="L25" s="24" t="str">
        <x:v>Preserve each source's ontology, culture, history, and terminology when making comparisons.</x:v>
      </x:c>
      <x:c r="M25" s="24" t="str">
        <x:v>Core Family</x:v>
      </x:c>
    </x:row>
    <x:row r="26" ht="44" customHeight="1">
      <x:c r="A26" s="24" t="str">
        <x:v>PPL-106</x:v>
      </x:c>
      <x:c r="B26" s="24" t="str">
        <x:v>Orc-Derived Peoples</x:v>
      </x:c>
      <x:c r="C26" s="24" t="str">
        <x:v>People &amp; Beings</x:v>
      </x:c>
      <x:c r="D26" s="24" t="str">
        <x:v>PPL-100</x:v>
      </x:c>
      <x:c r="E26" s="24" t="str">
        <x:f>IF(D26="","",IFERROR(VLOOKUP(D26,$A$2:$B$1226,2,FALSE),""))</x:f>
        <x:v>Mortal and Natural Peoples</x:v>
      </x:c>
      <x:c r="F26" s="24" t="n">
        <x:v>3</x:v>
      </x:c>
      <x:c r="G26" s="24" t="str">
        <x:v>Powerfully built humanoids often framed through warfare, marginalization, corruption, honor culture, clan identity, or contested personhood.</x:v>
      </x:c>
      <x:c r="H26" s="24" t="str">
        <x:v>Source-specific examples may differ biologically, metaphysically, culturally, and morally; map them as analogues unless equivalence is explicit.</x:v>
      </x:c>
      <x:c r="I26" s="24" t="str">
        <x:v>orc; orcish; ork; half-orc</x:v>
      </x:c>
      <x:c r="J26" s="24" t="str">
        <x:v>Playable ancestry, neighboring civilization, minority people, enemy people, or cultural foil.</x:v>
      </x:c>
      <x:c r="K26" s="24" t="str">
        <x:v>orc; orcish; ork; half-orc</x:v>
      </x:c>
      <x:c r="L26" s="24" t="str">
        <x:v>Track whether 'orc' denotes a created enemy species, an ethnicized people, a playable ancestry, or a reclaimed identity.</x:v>
      </x:c>
      <x:c r="M26" s="24" t="str">
        <x:v>Core Family</x:v>
      </x:c>
    </x:row>
    <x:row r="27" ht="44" customHeight="1">
      <x:c r="A27" s="24" t="str">
        <x:v>PPL-107</x:v>
      </x:c>
      <x:c r="B27" s="24" t="str">
        <x:v>Goblinoid Peoples</x:v>
      </x:c>
      <x:c r="C27" s="24" t="str">
        <x:v>People &amp; Beings</x:v>
      </x:c>
      <x:c r="D27" s="24" t="str">
        <x:v>PPL-100</x:v>
      </x:c>
      <x:c r="E27" s="24" t="str">
        <x:f>IF(D27="","",IFERROR(VLOOKUP(D27,$A$2:$B$1226,2,FALSE),""))</x:f>
        <x:v>Mortal and Natural Peoples</x:v>
      </x:c>
      <x:c r="F27" s="24" t="n">
        <x:v>3</x:v>
      </x:c>
      <x:c r="G27" s="24" t="str">
        <x:v>Small or medium humanoids associated with subterranean life, scavenging, ambush, craft, trickery, militarized hierarchy, or outsider societies.</x:v>
      </x:c>
      <x:c r="H27" s="24" t="str">
        <x:v>Source-specific examples may differ biologically, metaphysically, culturally, and morally; map them as analogues unless equivalence is explicit.</x:v>
      </x:c>
      <x:c r="I27" s="24" t="str">
        <x:v>goblin; hobgoblin; bugbear; gremlin-like</x:v>
      </x:c>
      <x:c r="J27" s="24" t="str">
        <x:v>Playable ancestry, neighboring civilization, minority people, enemy people, or cultural foil.</x:v>
      </x:c>
      <x:c r="K27" s="24" t="str">
        <x:v>goblin; hobgoblin; bugbear; gremlin-like</x:v>
      </x:c>
      <x:c r="L27" s="24" t="str">
        <x:v>Preserve each source's ontology, culture, history, and terminology when making comparisons.</x:v>
      </x:c>
      <x:c r="M27" s="24" t="str">
        <x:v>Core Family</x:v>
      </x:c>
    </x:row>
    <x:row r="28" ht="44" customHeight="1">
      <x:c r="A28" s="24" t="str">
        <x:v>PPL-108</x:v>
      </x:c>
      <x:c r="B28" s="24" t="str">
        <x:v>Giantkin Peoples</x:v>
      </x:c>
      <x:c r="C28" s="24" t="str">
        <x:v>People &amp; Beings</x:v>
      </x:c>
      <x:c r="D28" s="24" t="str">
        <x:v>PPL-100</x:v>
      </x:c>
      <x:c r="E28" s="24" t="str">
        <x:f>IF(D28="","",IFERROR(VLOOKUP(D28,$A$2:$B$1226,2,FALSE),""))</x:f>
        <x:v>Mortal and Natural Peoples</x:v>
      </x:c>
      <x:c r="F28" s="24" t="n">
        <x:v>3</x:v>
      </x:c>
      <x:c r="G28" s="24" t="str">
        <x:v>Humanoid peoples of exceptional scale, often linked with primordial ancestry, mountains, elemental forces, divine lineage, or fading ages.</x:v>
      </x:c>
      <x:c r="H28" s="24" t="str">
        <x:v>Source-specific examples may differ biologically, metaphysically, culturally, and morally; map them as analogues unless equivalence is explicit.</x:v>
      </x:c>
      <x:c r="I28" s="24" t="str">
        <x:v>giant; jotunn-like; titan-blooded; goliath</x:v>
      </x:c>
      <x:c r="J28" s="24" t="str">
        <x:v>Playable ancestry, neighboring civilization, minority people, enemy people, or cultural foil.</x:v>
      </x:c>
      <x:c r="K28" s="24" t="str">
        <x:v>giant; jotunn-like; titan-blooded; goliath</x:v>
      </x:c>
      <x:c r="L28" s="24" t="str">
        <x:v>Preserve each source's ontology, culture, history, and terminology when making comparisons.</x:v>
      </x:c>
      <x:c r="M28" s="24" t="str">
        <x:v>Core Family</x:v>
      </x:c>
    </x:row>
    <x:row r="29" ht="44" customHeight="1">
      <x:c r="A29" s="24" t="str">
        <x:v>PPL-109</x:v>
      </x:c>
      <x:c r="B29" s="24" t="str">
        <x:v>Ogrekin Peoples</x:v>
      </x:c>
      <x:c r="C29" s="24" t="str">
        <x:v>People &amp; Beings</x:v>
      </x:c>
      <x:c r="D29" s="24" t="str">
        <x:v>PPL-100</x:v>
      </x:c>
      <x:c r="E29" s="24" t="str">
        <x:f>IF(D29="","",IFERROR(VLOOKUP(D29,$A$2:$B$1226,2,FALSE),""))</x:f>
        <x:v>Mortal and Natural Peoples</x:v>
      </x:c>
      <x:c r="F29" s="24" t="n">
        <x:v>3</x:v>
      </x:c>
      <x:c r="G29" s="24" t="str">
        <x:v>Large humanoids commonly framed as physically powerful, socially marginal, cannibalistic, mercenary, clan-based, or unexpectedly sophisticated.</x:v>
      </x:c>
      <x:c r="H29" s="24" t="str">
        <x:v>Source-specific examples may differ biologically, metaphysically, culturally, and morally; map them as analogues unless equivalence is explicit.</x:v>
      </x:c>
      <x:c r="I29" s="24" t="str">
        <x:v>ogre; ogrekin; oni-like giant humanoid</x:v>
      </x:c>
      <x:c r="J29" s="24" t="str">
        <x:v>Playable ancestry, neighboring civilization, minority people, enemy people, or cultural foil.</x:v>
      </x:c>
      <x:c r="K29" s="24" t="str">
        <x:v>ogre; ogrekin; oni-like giant humanoid</x:v>
      </x:c>
      <x:c r="L29" s="24" t="str">
        <x:v>Preserve each source's ontology, culture, history, and terminology when making comparisons.</x:v>
      </x:c>
      <x:c r="M29" s="24" t="str">
        <x:v>Core Family</x:v>
      </x:c>
    </x:row>
    <x:row r="30" ht="44" customHeight="1">
      <x:c r="A30" s="24" t="str">
        <x:v>PPL-110</x:v>
      </x:c>
      <x:c r="B30" s="24" t="str">
        <x:v>Trollkin Peoples</x:v>
      </x:c>
      <x:c r="C30" s="24" t="str">
        <x:v>People &amp; Beings</x:v>
      </x:c>
      <x:c r="D30" s="24" t="str">
        <x:v>PPL-100</x:v>
      </x:c>
      <x:c r="E30" s="24" t="str">
        <x:f>IF(D30="","",IFERROR(VLOOKUP(D30,$A$2:$B$1226,2,FALSE),""))</x:f>
        <x:v>Mortal and Natural Peoples</x:v>
      </x:c>
      <x:c r="F30" s="24" t="n">
        <x:v>3</x:v>
      </x:c>
      <x:c r="G30" s="24" t="str">
        <x:v>Regenerative, stone-associated, monstrous, folkloric, or tribal humanoids whose meanings range from person to predator.</x:v>
      </x:c>
      <x:c r="H30" s="24" t="str">
        <x:v>Source-specific examples may differ biologically, metaphysically, culturally, and morally; map them as analogues unless equivalence is explicit.</x:v>
      </x:c>
      <x:c r="I30" s="24" t="str">
        <x:v>troll; trollkin; troll-blooded</x:v>
      </x:c>
      <x:c r="J30" s="24" t="str">
        <x:v>Playable ancestry, neighboring civilization, minority people, enemy people, or cultural foil.</x:v>
      </x:c>
      <x:c r="K30" s="24" t="str">
        <x:v>troll; trollkin; troll-blooded</x:v>
      </x:c>
      <x:c r="L30" s="24" t="str">
        <x:v>Separate Scandinavian folkloric trolls, Tolkienian trolls, and game troll peoples.</x:v>
      </x:c>
      <x:c r="M30" s="24" t="str">
        <x:v>Core Family</x:v>
      </x:c>
    </x:row>
    <x:row r="31" ht="44" customHeight="1">
      <x:c r="A31" s="24" t="str">
        <x:v>PPL-111</x:v>
      </x:c>
      <x:c r="B31" s="24" t="str">
        <x:v>Cyclopean Peoples</x:v>
      </x:c>
      <x:c r="C31" s="24" t="str">
        <x:v>People &amp; Beings</x:v>
      </x:c>
      <x:c r="D31" s="24" t="str">
        <x:v>PPL-100</x:v>
      </x:c>
      <x:c r="E31" s="24" t="str">
        <x:f>IF(D31="","",IFERROR(VLOOKUP(D31,$A$2:$B$1226,2,FALSE),""))</x:f>
        <x:v>Mortal and Natural Peoples</x:v>
      </x:c>
      <x:c r="F31" s="24" t="n">
        <x:v>3</x:v>
      </x:c>
      <x:c r="G31" s="24" t="str">
        <x:v>One-eyed or otherwise singular-sensed giant humanoids, often connected with smithing, prophecy, isolation, or brute force.</x:v>
      </x:c>
      <x:c r="H31" s="24" t="str">
        <x:v>Source-specific examples may differ biologically, metaphysically, culturally, and morally; map them as analogues unless equivalence is explicit.</x:v>
      </x:c>
      <x:c r="I31" s="24" t="str">
        <x:v>cyclops; one-eyed giant</x:v>
      </x:c>
      <x:c r="J31" s="24" t="str">
        <x:v>Playable ancestry, neighboring civilization, minority people, enemy people, or cultural foil.</x:v>
      </x:c>
      <x:c r="K31" s="24" t="str">
        <x:v>cyclops; one-eyed giant</x:v>
      </x:c>
      <x:c r="L31" s="24" t="str">
        <x:v>Preserve each source's ontology, culture, history, and terminology when making comparisons.</x:v>
      </x:c>
      <x:c r="M31" s="24" t="str">
        <x:v>Core Family</x:v>
      </x:c>
    </x:row>
    <x:row r="32" ht="44" customHeight="1">
      <x:c r="A32" s="24" t="str">
        <x:v>PPL-112</x:v>
      </x:c>
      <x:c r="B32" s="24" t="str">
        <x:v>Lizardfolk and Reptilian Peoples</x:v>
      </x:c>
      <x:c r="C32" s="24" t="str">
        <x:v>People &amp; Beings</x:v>
      </x:c>
      <x:c r="D32" s="24" t="str">
        <x:v>PPL-100</x:v>
      </x:c>
      <x:c r="E32" s="24" t="str">
        <x:f>IF(D32="","",IFERROR(VLOOKUP(D32,$A$2:$B$1226,2,FALSE),""))</x:f>
        <x:v>Mortal and Natural Peoples</x:v>
      </x:c>
      <x:c r="F32" s="24" t="n">
        <x:v>3</x:v>
      </x:c>
      <x:c r="G32" s="24" t="str">
        <x:v>Humanoid reptiles whose settings may emphasize alien cognition, ancient civilizations, survival ecology, or draconic ancestry.</x:v>
      </x:c>
      <x:c r="H32" s="24" t="str">
        <x:v>Source-specific examples may differ biologically, metaphysically, culturally, and morally; map them as analogues unless equivalence is explicit.</x:v>
      </x:c>
      <x:c r="I32" s="24" t="str">
        <x:v>lizardfolk; saurian; argonian-like; reptilian</x:v>
      </x:c>
      <x:c r="J32" s="24" t="str">
        <x:v>Playable ancestry, neighboring civilization, minority people, enemy people, or cultural foil.</x:v>
      </x:c>
      <x:c r="K32" s="24" t="str">
        <x:v>lizardfolk; saurian; argonian-like; reptilian</x:v>
      </x:c>
      <x:c r="L32" s="24" t="str">
        <x:v>Preserve each source's ontology, culture, history, and terminology when making comparisons.</x:v>
      </x:c>
      <x:c r="M32" s="24" t="str">
        <x:v>Core Family</x:v>
      </x:c>
    </x:row>
    <x:row r="33" ht="44" customHeight="1">
      <x:c r="A33" s="24" t="str">
        <x:v>PPL-113</x:v>
      </x:c>
      <x:c r="B33" s="24" t="str">
        <x:v>Serpentfolk, Naga, and Lamia Peoples</x:v>
      </x:c>
      <x:c r="C33" s="24" t="str">
        <x:v>People &amp; Beings</x:v>
      </x:c>
      <x:c r="D33" s="24" t="str">
        <x:v>PPL-100</x:v>
      </x:c>
      <x:c r="E33" s="24" t="str">
        <x:f>IF(D33="","",IFERROR(VLOOKUP(D33,$A$2:$B$1226,2,FALSE),""))</x:f>
        <x:v>Mortal and Natural Peoples</x:v>
      </x:c>
      <x:c r="F33" s="24" t="n">
        <x:v>3</x:v>
      </x:c>
      <x:c r="G33" s="24" t="str">
        <x:v>Humanoid or semi-humanoid serpent beings associated with ancient empires, water, poison, seduction, wisdom, temples, or transformation.</x:v>
      </x:c>
      <x:c r="H33" s="24" t="str">
        <x:v>Source-specific examples may differ biologically, metaphysically, culturally, and morally; map them as analogues unless equivalence is explicit.</x:v>
      </x:c>
      <x:c r="I33" s="24" t="str">
        <x:v>naga; lamia; yuan-ti-like; serpentfolk</x:v>
      </x:c>
      <x:c r="J33" s="24" t="str">
        <x:v>Playable ancestry, neighboring civilization, minority people, enemy people, or cultural foil.</x:v>
      </x:c>
      <x:c r="K33" s="24" t="str">
        <x:v>naga; lamia; yuan-ti-like; serpentfolk</x:v>
      </x:c>
      <x:c r="L33" s="24" t="str">
        <x:v>Naga and lamia arise from distinct South Asian and Mediterranean traditions; preserve source-specific meanings.</x:v>
      </x:c>
      <x:c r="M33" s="24" t="str">
        <x:v>Core Family</x:v>
      </x:c>
    </x:row>
    <x:row r="34" ht="44" customHeight="1">
      <x:c r="A34" s="24" t="str">
        <x:v>PPL-114</x:v>
      </x:c>
      <x:c r="B34" s="24" t="str">
        <x:v>Draconic Humanoid Peoples</x:v>
      </x:c>
      <x:c r="C34" s="24" t="str">
        <x:v>People &amp; Beings</x:v>
      </x:c>
      <x:c r="D34" s="24" t="str">
        <x:v>PPL-100</x:v>
      </x:c>
      <x:c r="E34" s="24" t="str">
        <x:f>IF(D34="","",IFERROR(VLOOKUP(D34,$A$2:$B$1226,2,FALSE),""))</x:f>
        <x:v>Mortal and Natural Peoples</x:v>
      </x:c>
      <x:c r="F34" s="24" t="n">
        <x:v>3</x:v>
      </x:c>
      <x:c r="G34" s="24" t="str">
        <x:v>Humanoid peoples visibly or genealogically linked to dragons through scales, breath, horns, transformation, or engineered descent.</x:v>
      </x:c>
      <x:c r="H34" s="24" t="str">
        <x:v>Source-specific examples may differ biologically, metaphysically, culturally, and morally; map them as analogues unless equivalence is explicit.</x:v>
      </x:c>
      <x:c r="I34" s="24" t="str">
        <x:v>dragonborn; dracthyr-like; half-dragon; dragonkin</x:v>
      </x:c>
      <x:c r="J34" s="24" t="str">
        <x:v>Playable ancestry, neighboring civilization, minority people, enemy people, or cultural foil.</x:v>
      </x:c>
      <x:c r="K34" s="24" t="str">
        <x:v>dragonborn; dracthyr-like; half-dragon; dragonkin</x:v>
      </x:c>
      <x:c r="L34" s="24" t="str">
        <x:v>Preserve each source's ontology, culture, history, and terminology when making comparisons.</x:v>
      </x:c>
      <x:c r="M34" s="24" t="str">
        <x:v>Core Family</x:v>
      </x:c>
    </x:row>
    <x:row r="35" ht="44" customHeight="1">
      <x:c r="A35" s="24" t="str">
        <x:v>PPL-115</x:v>
      </x:c>
      <x:c r="B35" s="24" t="str">
        <x:v>Avian and Winged Humanoid Peoples</x:v>
      </x:c>
      <x:c r="C35" s="24" t="str">
        <x:v>People &amp; Beings</x:v>
      </x:c>
      <x:c r="D35" s="24" t="str">
        <x:v>PPL-100</x:v>
      </x:c>
      <x:c r="E35" s="24" t="str">
        <x:f>IF(D35="","",IFERROR(VLOOKUP(D35,$A$2:$B$1226,2,FALSE),""))</x:f>
        <x:v>Mortal and Natural Peoples</x:v>
      </x:c>
      <x:c r="F35" s="24" t="n">
        <x:v>3</x:v>
      </x:c>
      <x:c r="G35" s="24" t="str">
        <x:v>Humanoids with wings, feathers, bird traits, or a culture organized around flight and altitude.</x:v>
      </x:c>
      <x:c r="H35" s="24" t="str">
        <x:v>Source-specific examples may differ biologically, metaphysically, culturally, and morally; map them as analogues unless equivalence is explicit.</x:v>
      </x:c>
      <x:c r="I35" s="24" t="str">
        <x:v>birdfolk; hawkmen; aarakocra-like; harpy people; winged</x:v>
      </x:c>
      <x:c r="J35" s="24" t="str">
        <x:v>Playable ancestry, neighboring civilization, minority people, enemy people, or cultural foil.</x:v>
      </x:c>
      <x:c r="K35" s="24" t="str">
        <x:v>birdfolk; hawkmen; aarakocra-like; harpy people; winged</x:v>
      </x:c>
      <x:c r="L35" s="24" t="str">
        <x:v>Preserve each source's ontology, culture, history, and terminology when making comparisons.</x:v>
      </x:c>
      <x:c r="M35" s="24" t="str">
        <x:v>Core Family</x:v>
      </x:c>
    </x:row>
    <x:row r="36" ht="44" customHeight="1">
      <x:c r="A36" s="24" t="str">
        <x:v>PPL-116</x:v>
      </x:c>
      <x:c r="B36" s="24" t="str">
        <x:v>Aquatic and Fishfolk Peoples</x:v>
      </x:c>
      <x:c r="C36" s="24" t="str">
        <x:v>People &amp; Beings</x:v>
      </x:c>
      <x:c r="D36" s="24" t="str">
        <x:v>PPL-100</x:v>
      </x:c>
      <x:c r="E36" s="24" t="str">
        <x:f>IF(D36="","",IFERROR(VLOOKUP(D36,$A$2:$B$1226,2,FALSE),""))</x:f>
        <x:v>Mortal and Natural Peoples</x:v>
      </x:c>
      <x:c r="F36" s="24" t="n">
        <x:v>3</x:v>
      </x:c>
      <x:c r="G36" s="24" t="str">
        <x:v>Humanoid peoples adapted to oceans, rivers, reefs, or amphibious life, often with distinct relations to surface civilizations.</x:v>
      </x:c>
      <x:c r="H36" s="24" t="str">
        <x:v>Source-specific examples may differ biologically, metaphysically, culturally, and morally; map them as analogues unless equivalence is explicit.</x:v>
      </x:c>
      <x:c r="I36" s="24" t="str">
        <x:v>merfolk; fishfolk; triton-like; sahuagin-like</x:v>
      </x:c>
      <x:c r="J36" s="24" t="str">
        <x:v>Playable ancestry, neighboring civilization, minority people, enemy people, or cultural foil.</x:v>
      </x:c>
      <x:c r="K36" s="24" t="str">
        <x:v>merfolk; fishfolk; triton-like; sahuagin-like</x:v>
      </x:c>
      <x:c r="L36" s="24" t="str">
        <x:v>Preserve each source's ontology, culture, history, and terminology when making comparisons.</x:v>
      </x:c>
      <x:c r="M36" s="24" t="str">
        <x:v>Core Family</x:v>
      </x:c>
    </x:row>
    <x:row r="37" ht="44" customHeight="1">
      <x:c r="A37" s="24" t="str">
        <x:v>PPL-117</x:v>
      </x:c>
      <x:c r="B37" s="24" t="str">
        <x:v>Amphibian Peoples</x:v>
      </x:c>
      <x:c r="C37" s="24" t="str">
        <x:v>People &amp; Beings</x:v>
      </x:c>
      <x:c r="D37" s="24" t="str">
        <x:v>PPL-100</x:v>
      </x:c>
      <x:c r="E37" s="24" t="str">
        <x:f>IF(D37="","",IFERROR(VLOOKUP(D37,$A$2:$B$1226,2,FALSE),""))</x:f>
        <x:v>Mortal and Natural Peoples</x:v>
      </x:c>
      <x:c r="F37" s="24" t="n">
        <x:v>3</x:v>
      </x:c>
      <x:c r="G37" s="24" t="str">
        <x:v>Frog-, salamander-, or newt-like humanoids whose physiology and culture center on wetlands, metamorphosis, or dual environments.</x:v>
      </x:c>
      <x:c r="H37" s="24" t="str">
        <x:v>Source-specific examples may differ biologically, metaphysically, culturally, and morally; map them as analogues unless equivalence is explicit.</x:v>
      </x:c>
      <x:c r="I37" s="24" t="str">
        <x:v>frogfolk; grippli-like; salamander folk</x:v>
      </x:c>
      <x:c r="J37" s="24" t="str">
        <x:v>Playable ancestry, neighboring civilization, minority people, enemy people, or cultural foil.</x:v>
      </x:c>
      <x:c r="K37" s="24" t="str">
        <x:v>frogfolk; grippli-like; salamander folk</x:v>
      </x:c>
      <x:c r="L37" s="24" t="str">
        <x:v>Preserve each source's ontology, culture, history, and terminology when making comparisons.</x:v>
      </x:c>
      <x:c r="M37" s="24" t="str">
        <x:v>Core Family</x:v>
      </x:c>
    </x:row>
    <x:row r="38" ht="44" customHeight="1">
      <x:c r="A38" s="24" t="str">
        <x:v>PPL-118</x:v>
      </x:c>
      <x:c r="B38" s="24" t="str">
        <x:v>Insectoid Peoples</x:v>
      </x:c>
      <x:c r="C38" s="24" t="str">
        <x:v>People &amp; Beings</x:v>
      </x:c>
      <x:c r="D38" s="24" t="str">
        <x:v>PPL-100</x:v>
      </x:c>
      <x:c r="E38" s="24" t="str">
        <x:f>IF(D38="","",IFERROR(VLOOKUP(D38,$A$2:$B$1226,2,FALSE),""))</x:f>
        <x:v>Mortal and Natural Peoples</x:v>
      </x:c>
      <x:c r="F38" s="24" t="n">
        <x:v>3</x:v>
      </x:c>
      <x:c r="G38" s="24" t="str">
        <x:v>Humanoid or eusocial beings based on insects, often emphasizing caste, metamorphosis, swarm organization, alien perception, or chitinous bodies.</x:v>
      </x:c>
      <x:c r="H38" s="24" t="str">
        <x:v>Source-specific examples may differ biologically, metaphysically, culturally, and morally; map them as analogues unless equivalence is explicit.</x:v>
      </x:c>
      <x:c r="I38" s="24" t="str">
        <x:v>insectfolk; mantis people; ant people; thri-kreen-like</x:v>
      </x:c>
      <x:c r="J38" s="24" t="str">
        <x:v>Playable ancestry, neighboring civilization, minority people, enemy people, or cultural foil.</x:v>
      </x:c>
      <x:c r="K38" s="24" t="str">
        <x:v>insectfolk; mantis people; ant people; thri-kreen-like</x:v>
      </x:c>
      <x:c r="L38" s="24" t="str">
        <x:v>Preserve each source's ontology, culture, history, and terminology when making comparisons.</x:v>
      </x:c>
      <x:c r="M38" s="24" t="str">
        <x:v>Core Family</x:v>
      </x:c>
    </x:row>
    <x:row r="39" ht="44" customHeight="1">
      <x:c r="A39" s="24" t="str">
        <x:v>PPL-119</x:v>
      </x:c>
      <x:c r="B39" s="24" t="str">
        <x:v>Arachnid Peoples</x:v>
      </x:c>
      <x:c r="C39" s="24" t="str">
        <x:v>People &amp; Beings</x:v>
      </x:c>
      <x:c r="D39" s="24" t="str">
        <x:v>PPL-100</x:v>
      </x:c>
      <x:c r="E39" s="24" t="str">
        <x:f>IF(D39="","",IFERROR(VLOOKUP(D39,$A$2:$B$1226,2,FALSE),""))</x:f>
        <x:v>Mortal and Natural Peoples</x:v>
      </x:c>
      <x:c r="F39" s="24" t="n">
        <x:v>3</x:v>
      </x:c>
      <x:c r="G39" s="24" t="str">
        <x:v>Spider- or scorpion-derived peoples, ranging from humanoid societies to predatory or weaving-associated supernatural cultures.</x:v>
      </x:c>
      <x:c r="H39" s="24" t="str">
        <x:v>Source-specific examples may differ biologically, metaphysically, culturally, and morally; map them as analogues unless equivalence is explicit.</x:v>
      </x:c>
      <x:c r="I39" s="24" t="str">
        <x:v>spiderfolk; drider-like; scorpionfolk</x:v>
      </x:c>
      <x:c r="J39" s="24" t="str">
        <x:v>Playable ancestry, neighboring civilization, minority people, enemy people, or cultural foil.</x:v>
      </x:c>
      <x:c r="K39" s="24" t="str">
        <x:v>spiderfolk; drider-like; scorpionfolk</x:v>
      </x:c>
      <x:c r="L39" s="24" t="str">
        <x:v>Preserve each source's ontology, culture, history, and terminology when making comparisons.</x:v>
      </x:c>
      <x:c r="M39" s="24" t="str">
        <x:v>Core Family</x:v>
      </x:c>
    </x:row>
    <x:row r="40" ht="44" customHeight="1">
      <x:c r="A40" s="24" t="str">
        <x:v>PPL-120</x:v>
      </x:c>
      <x:c r="B40" s="24" t="str">
        <x:v>Canine Beastfolk</x:v>
      </x:c>
      <x:c r="C40" s="24" t="str">
        <x:v>People &amp; Beings</x:v>
      </x:c>
      <x:c r="D40" s="24" t="str">
        <x:v>PPL-100</x:v>
      </x:c>
      <x:c r="E40" s="24" t="str">
        <x:f>IF(D40="","",IFERROR(VLOOKUP(D40,$A$2:$B$1226,2,FALSE),""))</x:f>
        <x:v>Mortal and Natural Peoples</x:v>
      </x:c>
      <x:c r="F40" s="24" t="n">
        <x:v>3</x:v>
      </x:c>
      <x:c r="G40" s="24" t="str">
        <x:v>Wolf-, dog-, fox-, or jackal-like humanoids whose archetypes may emphasize packs, loyalty, hunting, liminality, or trickery.</x:v>
      </x:c>
      <x:c r="H40" s="24" t="str">
        <x:v>Source-specific examples may differ biologically, metaphysically, culturally, and morally; map them as analogues unless equivalence is explicit.</x:v>
      </x:c>
      <x:c r="I40" s="24" t="str">
        <x:v>wolfkin; dogfolk; kitsune-like people; jackalfolk</x:v>
      </x:c>
      <x:c r="J40" s="24" t="str">
        <x:v>Playable ancestry, neighboring civilization, minority people, enemy people, or cultural foil.</x:v>
      </x:c>
      <x:c r="K40" s="24" t="str">
        <x:v>wolfkin; dogfolk; kitsune-like people; jackalfolk</x:v>
      </x:c>
      <x:c r="L40" s="24" t="str">
        <x:v>Preserve each source's ontology, culture, history, and terminology when making comparisons.</x:v>
      </x:c>
      <x:c r="M40" s="24" t="str">
        <x:v>Core Family</x:v>
      </x:c>
    </x:row>
    <x:row r="41" ht="44" customHeight="1">
      <x:c r="A41" s="24" t="str">
        <x:v>PPL-121</x:v>
      </x:c>
      <x:c r="B41" s="24" t="str">
        <x:v>Feline Beastfolk</x:v>
      </x:c>
      <x:c r="C41" s="24" t="str">
        <x:v>People &amp; Beings</x:v>
      </x:c>
      <x:c r="D41" s="24" t="str">
        <x:v>PPL-100</x:v>
      </x:c>
      <x:c r="E41" s="24" t="str">
        <x:f>IF(D41="","",IFERROR(VLOOKUP(D41,$A$2:$B$1226,2,FALSE),""))</x:f>
        <x:v>Mortal and Natural Peoples</x:v>
      </x:c>
      <x:c r="F41" s="24" t="n">
        <x:v>3</x:v>
      </x:c>
      <x:c r="G41" s="24" t="str">
        <x:v>Cat-, lion-, tiger-, or panther-like humanoids associated with agility, pride, curiosity, hunting, royal symbolism, or nomadism.</x:v>
      </x:c>
      <x:c r="H41" s="24" t="str">
        <x:v>Source-specific examples may differ biologically, metaphysically, culturally, and morally; map them as analogues unless equivalence is explicit.</x:v>
      </x:c>
      <x:c r="I41" s="24" t="str">
        <x:v>catfolk; tabaxi-like; leonine; tigerfolk</x:v>
      </x:c>
      <x:c r="J41" s="24" t="str">
        <x:v>Playable ancestry, neighboring civilization, minority people, enemy people, or cultural foil.</x:v>
      </x:c>
      <x:c r="K41" s="24" t="str">
        <x:v>catfolk; tabaxi-like; leonine; tigerfolk</x:v>
      </x:c>
      <x:c r="L41" s="24" t="str">
        <x:v>Preserve each source's ontology, culture, history, and terminology when making comparisons.</x:v>
      </x:c>
      <x:c r="M41" s="24" t="str">
        <x:v>Core Family</x:v>
      </x:c>
    </x:row>
    <x:row r="42" ht="44" customHeight="1">
      <x:c r="A42" s="24" t="str">
        <x:v>PPL-122</x:v>
      </x:c>
      <x:c r="B42" s="24" t="str">
        <x:v>Ursine Beastfolk</x:v>
      </x:c>
      <x:c r="C42" s="24" t="str">
        <x:v>People &amp; Beings</x:v>
      </x:c>
      <x:c r="D42" s="24" t="str">
        <x:v>PPL-100</x:v>
      </x:c>
      <x:c r="E42" s="24" t="str">
        <x:f>IF(D42="","",IFERROR(VLOOKUP(D42,$A$2:$B$1226,2,FALSE),""))</x:f>
        <x:v>Mortal and Natural Peoples</x:v>
      </x:c>
      <x:c r="F42" s="24" t="n">
        <x:v>3</x:v>
      </x:c>
      <x:c r="G42" s="24" t="str">
        <x:v>Bear-like humanoids commonly associated with strength, endurance, wilderness guardianship, hibernation, or shamanic symbolism.</x:v>
      </x:c>
      <x:c r="H42" s="24" t="str">
        <x:v>Source-specific examples may differ biologically, metaphysically, culturally, and morally; map them as analogues unless equivalence is explicit.</x:v>
      </x:c>
      <x:c r="I42" s="24" t="str">
        <x:v>bearfolk; ursine people</x:v>
      </x:c>
      <x:c r="J42" s="24" t="str">
        <x:v>Playable ancestry, neighboring civilization, minority people, enemy people, or cultural foil.</x:v>
      </x:c>
      <x:c r="K42" s="24" t="str">
        <x:v>bearfolk; ursine people</x:v>
      </x:c>
      <x:c r="L42" s="24" t="str">
        <x:v>Preserve each source's ontology, culture, history, and terminology when making comparisons.</x:v>
      </x:c>
      <x:c r="M42" s="24" t="str">
        <x:v>Core Family</x:v>
      </x:c>
    </x:row>
    <x:row r="43" ht="44" customHeight="1">
      <x:c r="A43" s="24" t="str">
        <x:v>PPL-123</x:v>
      </x:c>
      <x:c r="B43" s="24" t="str">
        <x:v>Bovine and Caprine Beastfolk</x:v>
      </x:c>
      <x:c r="C43" s="24" t="str">
        <x:v>People &amp; Beings</x:v>
      </x:c>
      <x:c r="D43" s="24" t="str">
        <x:v>PPL-100</x:v>
      </x:c>
      <x:c r="E43" s="24" t="str">
        <x:f>IF(D43="","",IFERROR(VLOOKUP(D43,$A$2:$B$1226,2,FALSE),""))</x:f>
        <x:v>Mortal and Natural Peoples</x:v>
      </x:c>
      <x:c r="F43" s="24" t="n">
        <x:v>3</x:v>
      </x:c>
      <x:c r="G43" s="24" t="str">
        <x:v>Bull-, cow-, goat-, sheep-, or ram-like humanoids associated with strength, pastoralism, labyrinths, fertility, stubbornness, or sacrifice.</x:v>
      </x:c>
      <x:c r="H43" s="24" t="str">
        <x:v>Source-specific examples may differ biologically, metaphysically, culturally, and morally; map them as analogues unless equivalence is explicit.</x:v>
      </x:c>
      <x:c r="I43" s="24" t="str">
        <x:v>minotaur; tauren-like; satyr-like; goatfolk</x:v>
      </x:c>
      <x:c r="J43" s="24" t="str">
        <x:v>Playable ancestry, neighboring civilization, minority people, enemy people, or cultural foil.</x:v>
      </x:c>
      <x:c r="K43" s="24" t="str">
        <x:v>minotaur; tauren-like; satyr-like; goatfolk</x:v>
      </x:c>
      <x:c r="L43" s="24" t="str">
        <x:v>Preserve each source's ontology, culture, history, and terminology when making comparisons.</x:v>
      </x:c>
      <x:c r="M43" s="24" t="str">
        <x:v>Core Family</x:v>
      </x:c>
    </x:row>
    <x:row r="44" ht="44" customHeight="1">
      <x:c r="A44" s="24" t="str">
        <x:v>PPL-124</x:v>
      </x:c>
      <x:c r="B44" s="24" t="str">
        <x:v>Cervine Beastfolk</x:v>
      </x:c>
      <x:c r="C44" s="24" t="str">
        <x:v>People &amp; Beings</x:v>
      </x:c>
      <x:c r="D44" s="24" t="str">
        <x:v>PPL-100</x:v>
      </x:c>
      <x:c r="E44" s="24" t="str">
        <x:f>IF(D44="","",IFERROR(VLOOKUP(D44,$A$2:$B$1226,2,FALSE),""))</x:f>
        <x:v>Mortal and Natural Peoples</x:v>
      </x:c>
      <x:c r="F44" s="24" t="n">
        <x:v>3</x:v>
      </x:c>
      <x:c r="G44" s="24" t="str">
        <x:v>Deer-, elk-, or antelope-like humanoids linked with forests, grace, speed, seasonal cycles, or sacred kingship.</x:v>
      </x:c>
      <x:c r="H44" s="24" t="str">
        <x:v>Source-specific examples may differ biologically, metaphysically, culturally, and morally; map them as analogues unless equivalence is explicit.</x:v>
      </x:c>
      <x:c r="I44" s="24" t="str">
        <x:v>deerfolk; elkfolk; cervitaur</x:v>
      </x:c>
      <x:c r="J44" s="24" t="str">
        <x:v>Playable ancestry, neighboring civilization, minority people, enemy people, or cultural foil.</x:v>
      </x:c>
      <x:c r="K44" s="24" t="str">
        <x:v>deerfolk; elkfolk; cervitaur</x:v>
      </x:c>
      <x:c r="L44" s="24" t="str">
        <x:v>Preserve each source's ontology, culture, history, and terminology when making comparisons.</x:v>
      </x:c>
      <x:c r="M44" s="24" t="str">
        <x:v>Core Family</x:v>
      </x:c>
    </x:row>
    <x:row r="45" ht="44" customHeight="1">
      <x:c r="A45" s="24" t="str">
        <x:v>PPL-125</x:v>
      </x:c>
      <x:c r="B45" s="24" t="str">
        <x:v>Equine and Centaur Peoples</x:v>
      </x:c>
      <x:c r="C45" s="24" t="str">
        <x:v>People &amp; Beings</x:v>
      </x:c>
      <x:c r="D45" s="24" t="str">
        <x:v>PPL-100</x:v>
      </x:c>
      <x:c r="E45" s="24" t="str">
        <x:f>IF(D45="","",IFERROR(VLOOKUP(D45,$A$2:$B$1226,2,FALSE),""))</x:f>
        <x:v>Mortal and Natural Peoples</x:v>
      </x:c>
      <x:c r="F45" s="24" t="n">
        <x:v>3</x:v>
      </x:c>
      <x:c r="G45" s="24" t="str">
        <x:v>Horse-like or horse-bodied peoples emphasizing mobility, steppe life, archery, prophecy, wildness, or a dual human-animal body.</x:v>
      </x:c>
      <x:c r="H45" s="24" t="str">
        <x:v>Source-specific examples may differ biologically, metaphysically, culturally, and morally; map them as analogues unless equivalence is explicit.</x:v>
      </x:c>
      <x:c r="I45" s="24" t="str">
        <x:v>centaur; horsefolk; ponyfolk</x:v>
      </x:c>
      <x:c r="J45" s="24" t="str">
        <x:v>Playable ancestry, neighboring civilization, minority people, enemy people, or cultural foil.</x:v>
      </x:c>
      <x:c r="K45" s="24" t="str">
        <x:v>centaur; horsefolk; ponyfolk</x:v>
      </x:c>
      <x:c r="L45" s="24" t="str">
        <x:v>Preserve each source's ontology, culture, history, and terminology when making comparisons.</x:v>
      </x:c>
      <x:c r="M45" s="24" t="str">
        <x:v>Core Family</x:v>
      </x:c>
    </x:row>
    <x:row r="46" ht="44" customHeight="1">
      <x:c r="A46" s="24" t="str">
        <x:v>PPL-126</x:v>
      </x:c>
      <x:c r="B46" s="24" t="str">
        <x:v>Rodent and Lagomorph Peoples</x:v>
      </x:c>
      <x:c r="C46" s="24" t="str">
        <x:v>People &amp; Beings</x:v>
      </x:c>
      <x:c r="D46" s="24" t="str">
        <x:v>PPL-100</x:v>
      </x:c>
      <x:c r="E46" s="24" t="str">
        <x:f>IF(D46="","",IFERROR(VLOOKUP(D46,$A$2:$B$1226,2,FALSE),""))</x:f>
        <x:v>Mortal and Natural Peoples</x:v>
      </x:c>
      <x:c r="F46" s="24" t="n">
        <x:v>3</x:v>
      </x:c>
      <x:c r="G46" s="24" t="str">
        <x:v>Mouse-, rat-, rabbit-, or hare-like peoples often associated with survival, burrows, speed, fertility, ingenuity, or plague imagery.</x:v>
      </x:c>
      <x:c r="H46" s="24" t="str">
        <x:v>Source-specific examples may differ biologically, metaphysically, culturally, and morally; map them as analogues unless equivalence is explicit.</x:v>
      </x:c>
      <x:c r="I46" s="24" t="str">
        <x:v>ratfolk; skaven-like; mousefolk; rabbitfolk; viera-like</x:v>
      </x:c>
      <x:c r="J46" s="24" t="str">
        <x:v>Playable ancestry, neighboring civilization, minority people, enemy people, or cultural foil.</x:v>
      </x:c>
      <x:c r="K46" s="24" t="str">
        <x:v>ratfolk; skaven-like; mousefolk; rabbitfolk; viera-like</x:v>
      </x:c>
      <x:c r="L46" s="24" t="str">
        <x:v>Preserve each source's ontology, culture, history, and terminology when making comparisons.</x:v>
      </x:c>
      <x:c r="M46" s="24" t="str">
        <x:v>Core Family</x:v>
      </x:c>
    </x:row>
    <x:row r="47" ht="44" customHeight="1">
      <x:c r="A47" s="24" t="str">
        <x:v>PPL-127</x:v>
      </x:c>
      <x:c r="B47" s="24" t="str">
        <x:v>Simian Peoples</x:v>
      </x:c>
      <x:c r="C47" s="24" t="str">
        <x:v>People &amp; Beings</x:v>
      </x:c>
      <x:c r="D47" s="24" t="str">
        <x:v>PPL-100</x:v>
      </x:c>
      <x:c r="E47" s="24" t="str">
        <x:f>IF(D47="","",IFERROR(VLOOKUP(D47,$A$2:$B$1226,2,FALSE),""))</x:f>
        <x:v>Mortal and Natural Peoples</x:v>
      </x:c>
      <x:c r="F47" s="24" t="n">
        <x:v>3</x:v>
      </x:c>
      <x:c r="G47" s="24" t="str">
        <x:v>Ape- or monkey-like peoples associated with agility, martial prowess, trickster divinity, jungle societies, or uplifted intelligence.</x:v>
      </x:c>
      <x:c r="H47" s="24" t="str">
        <x:v>Source-specific examples may differ biologically, metaphysically, culturally, and morally; map them as analogues unless equivalence is explicit.</x:v>
      </x:c>
      <x:c r="I47" s="24" t="str">
        <x:v>ape folk; monkey people; vanara-like</x:v>
      </x:c>
      <x:c r="J47" s="24" t="str">
        <x:v>Playable ancestry, neighboring civilization, minority people, enemy people, or cultural foil.</x:v>
      </x:c>
      <x:c r="K47" s="24" t="str">
        <x:v>ape folk; monkey people; vanara-like</x:v>
      </x:c>
      <x:c r="L47" s="24" t="str">
        <x:v>Preserve each source's ontology, culture, history, and terminology when making comparisons.</x:v>
      </x:c>
      <x:c r="M47" s="24" t="str">
        <x:v>Core Family</x:v>
      </x:c>
    </x:row>
    <x:row r="48" ht="44" customHeight="1">
      <x:c r="A48" s="24" t="str">
        <x:v>PPL-128</x:v>
      </x:c>
      <x:c r="B48" s="24" t="str">
        <x:v>Boar and Swine Peoples</x:v>
      </x:c>
      <x:c r="C48" s="24" t="str">
        <x:v>People &amp; Beings</x:v>
      </x:c>
      <x:c r="D48" s="24" t="str">
        <x:v>PPL-100</x:v>
      </x:c>
      <x:c r="E48" s="24" t="str">
        <x:f>IF(D48="","",IFERROR(VLOOKUP(D48,$A$2:$B$1226,2,FALSE),""))</x:f>
        <x:v>Mortal and Natural Peoples</x:v>
      </x:c>
      <x:c r="F48" s="24" t="n">
        <x:v>3</x:v>
      </x:c>
      <x:c r="G48" s="24" t="str">
        <x:v>Boar- or pig-like humanoids linked with ferocity, appetite, stubbornness, warrior culture, or forest ecology.</x:v>
      </x:c>
      <x:c r="H48" s="24" t="str">
        <x:v>Source-specific examples may differ biologically, metaphysically, culturally, and morally; map them as analogues unless equivalence is explicit.</x:v>
      </x:c>
      <x:c r="I48" s="24" t="str">
        <x:v>boarfolk; pigfolk</x:v>
      </x:c>
      <x:c r="J48" s="24" t="str">
        <x:v>Playable ancestry, neighboring civilization, minority people, enemy people, or cultural foil.</x:v>
      </x:c>
      <x:c r="K48" s="24" t="str">
        <x:v>boarfolk; pigfolk</x:v>
      </x:c>
      <x:c r="L48" s="24" t="str">
        <x:v>Preserve each source's ontology, culture, history, and terminology when making comparisons.</x:v>
      </x:c>
      <x:c r="M48" s="24" t="str">
        <x:v>Core Family</x:v>
      </x:c>
    </x:row>
    <x:row r="49" ht="44" customHeight="1">
      <x:c r="A49" s="24" t="str">
        <x:v>PPL-129</x:v>
      </x:c>
      <x:c r="B49" s="24" t="str">
        <x:v>Hyena and Jackal Peoples</x:v>
      </x:c>
      <x:c r="C49" s="24" t="str">
        <x:v>People &amp; Beings</x:v>
      </x:c>
      <x:c r="D49" s="24" t="str">
        <x:v>PPL-100</x:v>
      </x:c>
      <x:c r="E49" s="24" t="str">
        <x:f>IF(D49="","",IFERROR(VLOOKUP(D49,$A$2:$B$1226,2,FALSE),""))</x:f>
        <x:v>Mortal and Natural Peoples</x:v>
      </x:c>
      <x:c r="F49" s="24" t="n">
        <x:v>3</x:v>
      </x:c>
      <x:c r="G49" s="24" t="str">
        <x:v>Scavenger-predator humanoids commonly used for pack warfare, funerary symbolism, survival, or demonized outsider cultures.</x:v>
      </x:c>
      <x:c r="H49" s="24" t="str">
        <x:v>Source-specific examples may differ biologically, metaphysically, culturally, and morally; map them as analogues unless equivalence is explicit.</x:v>
      </x:c>
      <x:c r="I49" s="24" t="str">
        <x:v>gnoll-like; hyenafolk; jackalfolk</x:v>
      </x:c>
      <x:c r="J49" s="24" t="str">
        <x:v>Playable ancestry, neighboring civilization, minority people, enemy people, or cultural foil.</x:v>
      </x:c>
      <x:c r="K49" s="24" t="str">
        <x:v>gnoll-like; hyenafolk; jackalfolk</x:v>
      </x:c>
      <x:c r="L49" s="24" t="str">
        <x:v>Preserve each source's ontology, culture, history, and terminology when making comparisons.</x:v>
      </x:c>
      <x:c r="M49" s="24" t="str">
        <x:v>Core Family</x:v>
      </x:c>
    </x:row>
    <x:row r="50" ht="44" customHeight="1">
      <x:c r="A50" s="24" t="str">
        <x:v>PPL-130</x:v>
      </x:c>
      <x:c r="B50" s="24" t="str">
        <x:v>Elephantine and Rhinoceros Peoples</x:v>
      </x:c>
      <x:c r="C50" s="24" t="str">
        <x:v>People &amp; Beings</x:v>
      </x:c>
      <x:c r="D50" s="24" t="str">
        <x:v>PPL-100</x:v>
      </x:c>
      <x:c r="E50" s="24" t="str">
        <x:f>IF(D50="","",IFERROR(VLOOKUP(D50,$A$2:$B$1226,2,FALSE),""))</x:f>
        <x:v>Mortal and Natural Peoples</x:v>
      </x:c>
      <x:c r="F50" s="24" t="n">
        <x:v>3</x:v>
      </x:c>
      <x:c r="G50" s="24" t="str">
        <x:v>Large pachyderm-like humanoids associated with memory, strength, desert or savanna cultures, and monumental social roles.</x:v>
      </x:c>
      <x:c r="H50" s="24" t="str">
        <x:v>Source-specific examples may differ biologically, metaphysically, culturally, and morally; map them as analogues unless equivalence is explicit.</x:v>
      </x:c>
      <x:c r="I50" s="24" t="str">
        <x:v>elephantfolk; loxodon-like; rhinofolk</x:v>
      </x:c>
      <x:c r="J50" s="24" t="str">
        <x:v>Playable ancestry, neighboring civilization, minority people, enemy people, or cultural foil.</x:v>
      </x:c>
      <x:c r="K50" s="24" t="str">
        <x:v>elephantfolk; loxodon-like; rhinofolk</x:v>
      </x:c>
      <x:c r="L50" s="24" t="str">
        <x:v>Preserve each source's ontology, culture, history, and terminology when making comparisons.</x:v>
      </x:c>
      <x:c r="M50" s="24" t="str">
        <x:v>Core Family</x:v>
      </x:c>
    </x:row>
    <x:row r="51" ht="44" customHeight="1">
      <x:c r="A51" s="24" t="str">
        <x:v>PPL-131</x:v>
      </x:c>
      <x:c r="B51" s="24" t="str">
        <x:v>General Beastfolk</x:v>
      </x:c>
      <x:c r="C51" s="24" t="str">
        <x:v>People &amp; Beings</x:v>
      </x:c>
      <x:c r="D51" s="24" t="str">
        <x:v>PPL-100</x:v>
      </x:c>
      <x:c r="E51" s="24" t="str">
        <x:f>IF(D51="","",IFERROR(VLOOKUP(D51,$A$2:$B$1226,2,FALSE),""))</x:f>
        <x:v>Mortal and Natural Peoples</x:v>
      </x:c>
      <x:c r="F51" s="24" t="n">
        <x:v>3</x:v>
      </x:c>
      <x:c r="G51" s="24" t="str">
        <x:v>Anthropomorphic animal peoples not usefully captured by a narrower lineage, or settings where animal form is the primary social taxonomy.</x:v>
      </x:c>
      <x:c r="H51" s="24" t="str">
        <x:v>Source-specific examples may differ biologically, metaphysically, culturally, and morally; map them as analogues unless equivalence is explicit.</x:v>
      </x:c>
      <x:c r="I51" s="24" t="str">
        <x:v>beastfolk; kemonomimi; animal people</x:v>
      </x:c>
      <x:c r="J51" s="24" t="str">
        <x:v>Playable ancestry, neighboring civilization, minority people, enemy people, or cultural foil.</x:v>
      </x:c>
      <x:c r="K51" s="24" t="str">
        <x:v>beastfolk; kemonomimi; animal people</x:v>
      </x:c>
      <x:c r="L51" s="24" t="str">
        <x:v>Differentiate full anthropomorphic peoples from humans with cosmetic animal traits.</x:v>
      </x:c>
      <x:c r="M51" s="24" t="str">
        <x:v>Core Family</x:v>
      </x:c>
    </x:row>
    <x:row r="52" ht="44" customHeight="1">
      <x:c r="A52" s="24" t="str">
        <x:v>PPL-201</x:v>
      </x:c>
      <x:c r="B52" s="24" t="str">
        <x:v>Courtly Fae</x:v>
      </x:c>
      <x:c r="C52" s="24" t="str">
        <x:v>People &amp; Beings</x:v>
      </x:c>
      <x:c r="D52" s="24" t="str">
        <x:v>PPL-200</x:v>
      </x:c>
      <x:c r="E52" s="24" t="str">
        <x:f>IF(D52="","",IFERROR(VLOOKUP(D52,$A$2:$B$1226,2,FALSE),""))</x:f>
        <x:v>Fae, Nature, and Liminal Beings</x:v>
      </x:c>
      <x:c r="F52" s="24" t="n">
        <x:v>3</x:v>
      </x:c>
      <x:c r="G52" s="24" t="str">
        <x:v>Powerful otherworldly beings organized into courts, noble houses, seasonal factions, or etiquette-bound hierarchies.</x:v>
      </x:c>
      <x:c r="H52" s="24" t="str">
        <x:v>Source-specific examples may differ biologically, metaphysically, culturally, and morally; map them as analogues unless equivalence is explicit.</x:v>
      </x:c>
      <x:c r="I52" s="24" t="str">
        <x:v>high fae; sidhe-like; faerie nobility</x:v>
      </x:c>
      <x:c r="J52" s="24" t="str">
        <x:v>Threshold guardian, tempter, patron, ecological embodiment, uncanny neighbor, or alternate aristocracy.</x:v>
      </x:c>
      <x:c r="K52" s="24" t="str">
        <x:v>high fae; sidhe-like; faerie nobility</x:v>
      </x:c>
      <x:c r="L52" s="24" t="str">
        <x:v>Preserve each source's ontology, culture, history, and terminology when making comparisons.</x:v>
      </x:c>
      <x:c r="M52" s="24" t="str">
        <x:v>Core Family</x:v>
      </x:c>
    </x:row>
    <x:row r="53" ht="44" customHeight="1">
      <x:c r="A53" s="24" t="str">
        <x:v>PPL-202</x:v>
      </x:c>
      <x:c r="B53" s="24" t="str">
        <x:v>Pixies, Sprites, and Tiny Fae</x:v>
      </x:c>
      <x:c r="C53" s="24" t="str">
        <x:v>People &amp; Beings</x:v>
      </x:c>
      <x:c r="D53" s="24" t="str">
        <x:v>PPL-200</x:v>
      </x:c>
      <x:c r="E53" s="24" t="str">
        <x:f>IF(D53="","",IFERROR(VLOOKUP(D53,$A$2:$B$1226,2,FALSE),""))</x:f>
        <x:v>Fae, Nature, and Liminal Beings</x:v>
      </x:c>
      <x:c r="F53" s="24" t="n">
        <x:v>3</x:v>
      </x:c>
      <x:c r="G53" s="24" t="str">
        <x:v>Small winged or luminous beings associated with mischief, guidance, nature, domestic magic, or capricious bargains.</x:v>
      </x:c>
      <x:c r="H53" s="24" t="str">
        <x:v>Source-specific examples may differ biologically, metaphysically, culturally, and morally; map them as analogues unless equivalence is explicit.</x:v>
      </x:c>
      <x:c r="I53" s="24" t="str">
        <x:v>pixie; sprite; fairy; faerie</x:v>
      </x:c>
      <x:c r="J53" s="24" t="str">
        <x:v>Threshold guardian, tempter, patron, ecological embodiment, uncanny neighbor, or alternate aristocracy.</x:v>
      </x:c>
      <x:c r="K53" s="24" t="str">
        <x:v>pixie; sprite; fairy; faerie</x:v>
      </x:c>
      <x:c r="L53" s="24" t="str">
        <x:v>Preserve each source's ontology, culture, history, and terminology when making comparisons.</x:v>
      </x:c>
      <x:c r="M53" s="24" t="str">
        <x:v>Core Family</x:v>
      </x:c>
    </x:row>
    <x:row r="54" ht="44" customHeight="1">
      <x:c r="A54" s="24" t="str">
        <x:v>PPL-203</x:v>
      </x:c>
      <x:c r="B54" s="24" t="str">
        <x:v>Dryads and Tree-Bound Beings</x:v>
      </x:c>
      <x:c r="C54" s="24" t="str">
        <x:v>People &amp; Beings</x:v>
      </x:c>
      <x:c r="D54" s="24" t="str">
        <x:v>PPL-200</x:v>
      </x:c>
      <x:c r="E54" s="24" t="str">
        <x:f>IF(D54="","",IFERROR(VLOOKUP(D54,$A$2:$B$1226,2,FALSE),""))</x:f>
        <x:v>Fae, Nature, and Liminal Beings</x:v>
      </x:c>
      <x:c r="F54" s="24" t="n">
        <x:v>3</x:v>
      </x:c>
      <x:c r="G54" s="24" t="str">
        <x:v>People or spirits embodied in trees, groves, woodlands, or plant life and often vulnerable to damage to their locus.</x:v>
      </x:c>
      <x:c r="H54" s="24" t="str">
        <x:v>Source-specific examples may differ biologically, metaphysically, culturally, and morally; map them as analogues unless equivalence is explicit.</x:v>
      </x:c>
      <x:c r="I54" s="24" t="str">
        <x:v>dryad; hamadryad; treant-person; tree spirit</x:v>
      </x:c>
      <x:c r="J54" s="24" t="str">
        <x:v>Threshold guardian, tempter, patron, ecological embodiment, uncanny neighbor, or alternate aristocracy.</x:v>
      </x:c>
      <x:c r="K54" s="24" t="str">
        <x:v>dryad; hamadryad; treant-person; tree spirit</x:v>
      </x:c>
      <x:c r="L54" s="24" t="str">
        <x:v>Preserve each source's ontology, culture, history, and terminology when making comparisons.</x:v>
      </x:c>
      <x:c r="M54" s="24" t="str">
        <x:v>Core Family</x:v>
      </x:c>
    </x:row>
    <x:row r="55" ht="44" customHeight="1">
      <x:c r="A55" s="24" t="str">
        <x:v>PPL-204</x:v>
      </x:c>
      <x:c r="B55" s="24" t="str">
        <x:v>Nymphs and Place-Bound Nature Spirits</x:v>
      </x:c>
      <x:c r="C55" s="24" t="str">
        <x:v>People &amp; Beings</x:v>
      </x:c>
      <x:c r="D55" s="24" t="str">
        <x:v>PPL-200</x:v>
      </x:c>
      <x:c r="E55" s="24" t="str">
        <x:f>IF(D55="","",IFERROR(VLOOKUP(D55,$A$2:$B$1226,2,FALSE),""))</x:f>
        <x:v>Fae, Nature, and Liminal Beings</x:v>
      </x:c>
      <x:c r="F55" s="24" t="n">
        <x:v>3</x:v>
      </x:c>
      <x:c r="G55" s="24" t="str">
        <x:v>Personified spirits of rivers, springs, mountains, clouds, seas, or other natural locations.</x:v>
      </x:c>
      <x:c r="H55" s="24" t="str">
        <x:v>Source-specific examples may differ biologically, metaphysically, culturally, and morally; map them as analogues unless equivalence is explicit.</x:v>
      </x:c>
      <x:c r="I55" s="24" t="str">
        <x:v>nymph; naiad; oread; nereid</x:v>
      </x:c>
      <x:c r="J55" s="24" t="str">
        <x:v>Threshold guardian, tempter, patron, ecological embodiment, uncanny neighbor, or alternate aristocracy.</x:v>
      </x:c>
      <x:c r="K55" s="24" t="str">
        <x:v>nymph; naiad; oread; nereid</x:v>
      </x:c>
      <x:c r="L55" s="24" t="str">
        <x:v>Preserve each source's ontology, culture, history, and terminology when making comparisons.</x:v>
      </x:c>
      <x:c r="M55" s="24" t="str">
        <x:v>Core Family</x:v>
      </x:c>
    </x:row>
    <x:row r="56" ht="44" customHeight="1">
      <x:c r="A56" s="24" t="str">
        <x:v>PPL-205</x:v>
      </x:c>
      <x:c r="B56" s="24" t="str">
        <x:v>Household and Hearth Spirits</x:v>
      </x:c>
      <x:c r="C56" s="24" t="str">
        <x:v>People &amp; Beings</x:v>
      </x:c>
      <x:c r="D56" s="24" t="str">
        <x:v>PPL-200</x:v>
      </x:c>
      <x:c r="E56" s="24" t="str">
        <x:f>IF(D56="","",IFERROR(VLOOKUP(D56,$A$2:$B$1226,2,FALSE),""))</x:f>
        <x:v>Fae, Nature, and Liminal Beings</x:v>
      </x:c>
      <x:c r="F56" s="24" t="n">
        <x:v>3</x:v>
      </x:c>
      <x:c r="G56" s="24" t="str">
        <x:v>Small local beings that protect, trouble, or inhabit homes, workshops, farms, or family lines.</x:v>
      </x:c>
      <x:c r="H56" s="24" t="str">
        <x:v>Source-specific examples may differ biologically, metaphysically, culturally, and morally; map them as analogues unless equivalence is explicit.</x:v>
      </x:c>
      <x:c r="I56" s="24" t="str">
        <x:v>brownie; domovoi-like; kobold-spirit; hearth spirit</x:v>
      </x:c>
      <x:c r="J56" s="24" t="str">
        <x:v>Threshold guardian, tempter, patron, ecological embodiment, uncanny neighbor, or alternate aristocracy.</x:v>
      </x:c>
      <x:c r="K56" s="24" t="str">
        <x:v>brownie; domovoi-like; kobold-spirit; hearth spirit</x:v>
      </x:c>
      <x:c r="L56" s="24" t="str">
        <x:v>Preserve each source's ontology, culture, history, and terminology when making comparisons.</x:v>
      </x:c>
      <x:c r="M56" s="24" t="str">
        <x:v>Core Family</x:v>
      </x:c>
    </x:row>
    <x:row r="57" ht="44" customHeight="1">
      <x:c r="A57" s="24" t="str">
        <x:v>PPL-206</x:v>
      </x:c>
      <x:c r="B57" s="24" t="str">
        <x:v>Land and Watershed Spirits</x:v>
      </x:c>
      <x:c r="C57" s="24" t="str">
        <x:v>People &amp; Beings</x:v>
      </x:c>
      <x:c r="D57" s="24" t="str">
        <x:v>PPL-200</x:v>
      </x:c>
      <x:c r="E57" s="24" t="str">
        <x:f>IF(D57="","",IFERROR(VLOOKUP(D57,$A$2:$B$1226,2,FALSE),""))</x:f>
        <x:v>Fae, Nature, and Liminal Beings</x:v>
      </x:c>
      <x:c r="F57" s="24" t="n">
        <x:v>3</x:v>
      </x:c>
      <x:c r="G57" s="24" t="str">
        <x:v>Spirits representing a territory, river system, forest, mountain, or ecological whole.</x:v>
      </x:c>
      <x:c r="H57" s="24" t="str">
        <x:v>Source-specific examples may differ biologically, metaphysically, culturally, and morally; map them as analogues unless equivalence is explicit.</x:v>
      </x:c>
      <x:c r="I57" s="24" t="str">
        <x:v>genius loci; river spirit; mountain spirit</x:v>
      </x:c>
      <x:c r="J57" s="24" t="str">
        <x:v>Threshold guardian, tempter, patron, ecological embodiment, uncanny neighbor, or alternate aristocracy.</x:v>
      </x:c>
      <x:c r="K57" s="24" t="str">
        <x:v>genius loci; river spirit; mountain spirit</x:v>
      </x:c>
      <x:c r="L57" s="24" t="str">
        <x:v>Preserve each source's ontology, culture, history, and terminology when making comparisons.</x:v>
      </x:c>
      <x:c r="M57" s="24" t="str">
        <x:v>Core Family</x:v>
      </x:c>
    </x:row>
    <x:row r="58" ht="44" customHeight="1">
      <x:c r="A58" s="24" t="str">
        <x:v>PPL-207</x:v>
      </x:c>
      <x:c r="B58" s="24" t="str">
        <x:v>Trickster Fae</x:v>
      </x:c>
      <x:c r="C58" s="24" t="str">
        <x:v>People &amp; Beings</x:v>
      </x:c>
      <x:c r="D58" s="24" t="str">
        <x:v>PPL-200</x:v>
      </x:c>
      <x:c r="E58" s="24" t="str">
        <x:f>IF(D58="","",IFERROR(VLOOKUP(D58,$A$2:$B$1226,2,FALSE),""))</x:f>
        <x:v>Fae, Nature, and Liminal Beings</x:v>
      </x:c>
      <x:c r="F58" s="24" t="n">
        <x:v>3</x:v>
      </x:c>
      <x:c r="G58" s="24" t="str">
        <x:v>Otherworldly beings whose defining function is deception, inversion, riddling, testing, or destabilizing social rules.</x:v>
      </x:c>
      <x:c r="H58" s="24" t="str">
        <x:v>Source-specific examples may differ biologically, metaphysically, culturally, and morally; map them as analogues unless equivalence is explicit.</x:v>
      </x:c>
      <x:c r="I58" s="24" t="str">
        <x:v>puck-like; boggart; trickster fairy</x:v>
      </x:c>
      <x:c r="J58" s="24" t="str">
        <x:v>Threshold guardian, tempter, patron, ecological embodiment, uncanny neighbor, or alternate aristocracy.</x:v>
      </x:c>
      <x:c r="K58" s="24" t="str">
        <x:v>puck-like; boggart; trickster fairy</x:v>
      </x:c>
      <x:c r="L58" s="24" t="str">
        <x:v>Preserve each source's ontology, culture, history, and terminology when making comparisons.</x:v>
      </x:c>
      <x:c r="M58" s="24" t="str">
        <x:v>Core Family</x:v>
      </x:c>
    </x:row>
    <x:row r="59" ht="44" customHeight="1">
      <x:c r="A59" s="24" t="str">
        <x:v>PPL-208</x:v>
      </x:c>
      <x:c r="B59" s="24" t="str">
        <x:v>Changelings</x:v>
      </x:c>
      <x:c r="C59" s="24" t="str">
        <x:v>People &amp; Beings</x:v>
      </x:c>
      <x:c r="D59" s="24" t="str">
        <x:v>PPL-200</x:v>
      </x:c>
      <x:c r="E59" s="24" t="str">
        <x:f>IF(D59="","",IFERROR(VLOOKUP(D59,$A$2:$B$1226,2,FALSE),""))</x:f>
        <x:v>Fae, Nature, and Liminal Beings</x:v>
      </x:c>
      <x:c r="F59" s="24" t="n">
        <x:v>3</x:v>
      </x:c>
      <x:c r="G59" s="24" t="str">
        <x:v>Beings exchanged for, disguised as, or raised among mortals, creating uncertainty about kinship and identity.</x:v>
      </x:c>
      <x:c r="H59" s="24" t="str">
        <x:v>Source-specific examples may differ biologically, metaphysically, culturally, and morally; map them as analogues unless equivalence is explicit.</x:v>
      </x:c>
      <x:c r="I59" s="24" t="str">
        <x:v>changeling; fairy replacement; fae-raised mortal</x:v>
      </x:c>
      <x:c r="J59" s="24" t="str">
        <x:v>Threshold guardian, tempter, patron, ecological embodiment, uncanny neighbor, or alternate aristocracy.</x:v>
      </x:c>
      <x:c r="K59" s="24" t="str">
        <x:v>changeling; fairy replacement; fae-raised mortal</x:v>
      </x:c>
      <x:c r="L59" s="24" t="str">
        <x:v>Preserve each source's ontology, culture, history, and terminology when making comparisons.</x:v>
      </x:c>
      <x:c r="M59" s="24" t="str">
        <x:v>Core Family</x:v>
      </x:c>
    </x:row>
    <x:row r="60" ht="44" customHeight="1">
      <x:c r="A60" s="24" t="str">
        <x:v>PPL-209</x:v>
      </x:c>
      <x:c r="B60" s="24" t="str">
        <x:v>Goblin-Faerie Beings</x:v>
      </x:c>
      <x:c r="C60" s="24" t="str">
        <x:v>People &amp; Beings</x:v>
      </x:c>
      <x:c r="D60" s="24" t="str">
        <x:v>PPL-200</x:v>
      </x:c>
      <x:c r="E60" s="24" t="str">
        <x:f>IF(D60="","",IFERROR(VLOOKUP(D60,$A$2:$B$1226,2,FALSE),""))</x:f>
        <x:v>Fae, Nature, and Liminal Beings</x:v>
      </x:c>
      <x:c r="F60" s="24" t="n">
        <x:v>3</x:v>
      </x:c>
      <x:c r="G60" s="24" t="str">
        <x:v>Folkloric or otherworldly goblins defined by uncanny domestic, subterranean, or mischievous qualities rather than a militarized humanoid species.</x:v>
      </x:c>
      <x:c r="H60" s="24" t="str">
        <x:v>Source-specific examples may differ biologically, metaphysically, culturally, and morally; map them as analogues unless equivalence is explicit.</x:v>
      </x:c>
      <x:c r="I60" s="24" t="str">
        <x:v>goblin; hobgoblin; redcap; knockers</x:v>
      </x:c>
      <x:c r="J60" s="24" t="str">
        <x:v>Threshold guardian, tempter, patron, ecological embodiment, uncanny neighbor, or alternate aristocracy.</x:v>
      </x:c>
      <x:c r="K60" s="24" t="str">
        <x:v>goblin; hobgoblin; redcap; knockers</x:v>
      </x:c>
      <x:c r="L60" s="24" t="str">
        <x:v>Keep separate from settings where goblins are ordinary biological peoples.</x:v>
      </x:c>
      <x:c r="M60" s="24" t="str">
        <x:v>Core Family</x:v>
      </x:c>
    </x:row>
    <x:row r="61" ht="44" customHeight="1">
      <x:c r="A61" s="24" t="str">
        <x:v>PPL-210</x:v>
      </x:c>
      <x:c r="B61" s="24" t="str">
        <x:v>Seasonal or Court-Aligned Fae</x:v>
      </x:c>
      <x:c r="C61" s="24" t="str">
        <x:v>People &amp; Beings</x:v>
      </x:c>
      <x:c r="D61" s="24" t="str">
        <x:v>PPL-200</x:v>
      </x:c>
      <x:c r="E61" s="24" t="str">
        <x:f>IF(D61="","",IFERROR(VLOOKUP(D61,$A$2:$B$1226,2,FALSE),""))</x:f>
        <x:v>Fae, Nature, and Liminal Beings</x:v>
      </x:c>
      <x:c r="F61" s="24" t="n">
        <x:v>3</x:v>
      </x:c>
      <x:c r="G61" s="24" t="str">
        <x:v>Fae whose abilities, politics, or bodies are structured by seasons, day/night, emotions, or opposed courts.</x:v>
      </x:c>
      <x:c r="H61" s="24" t="str">
        <x:v>Source-specific examples may differ biologically, metaphysically, culturally, and morally; map them as analogues unless equivalence is explicit.</x:v>
      </x:c>
      <x:c r="I61" s="24" t="str">
        <x:v>summer court; winter court; seelie/unseelie-like</x:v>
      </x:c>
      <x:c r="J61" s="24" t="str">
        <x:v>Threshold guardian, tempter, patron, ecological embodiment, uncanny neighbor, or alternate aristocracy.</x:v>
      </x:c>
      <x:c r="K61" s="24" t="str">
        <x:v>summer court; winter court; seelie/unseelie-like</x:v>
      </x:c>
      <x:c r="L61" s="24" t="str">
        <x:v>Preserve each source's ontology, culture, history, and terminology when making comparisons.</x:v>
      </x:c>
      <x:c r="M61" s="24" t="str">
        <x:v>Core Family</x:v>
      </x:c>
    </x:row>
    <x:row r="62" ht="44" customHeight="1">
      <x:c r="A62" s="24" t="str">
        <x:v>PPL-211</x:v>
      </x:c>
      <x:c r="B62" s="24" t="str">
        <x:v>Wild Hunt Beings</x:v>
      </x:c>
      <x:c r="C62" s="24" t="str">
        <x:v>People &amp; Beings</x:v>
      </x:c>
      <x:c r="D62" s="24" t="str">
        <x:v>PPL-200</x:v>
      </x:c>
      <x:c r="E62" s="24" t="str">
        <x:f>IF(D62="","",IFERROR(VLOOKUP(D62,$A$2:$B$1226,2,FALSE),""))</x:f>
        <x:v>Fae, Nature, and Liminal Beings</x:v>
      </x:c>
      <x:c r="F62" s="24" t="n">
        <x:v>3</x:v>
      </x:c>
      <x:c r="G62" s="24" t="str">
        <x:v>Spectral or fae riders who cross boundaries in a supernatural hunt, often collecting souls or pursuing cosmic quarry.</x:v>
      </x:c>
      <x:c r="H62" s="24" t="str">
        <x:v>Source-specific examples may differ biologically, metaphysically, culturally, and morally; map them as analogues unless equivalence is explicit.</x:v>
      </x:c>
      <x:c r="I62" s="24" t="str">
        <x:v>wild hunt; spectral riders; otherworldly hunt</x:v>
      </x:c>
      <x:c r="J62" s="24" t="str">
        <x:v>Threshold guardian, tempter, patron, ecological embodiment, uncanny neighbor, or alternate aristocracy.</x:v>
      </x:c>
      <x:c r="K62" s="24" t="str">
        <x:v>wild hunt; spectral riders; otherworldly hunt</x:v>
      </x:c>
      <x:c r="L62" s="24" t="str">
        <x:v>The Wild Hunt has multiple folkloric and modern fictional forms; distinguish direct adaptation from loose naming.</x:v>
      </x:c>
      <x:c r="M62" s="24" t="str">
        <x:v>Core Family</x:v>
      </x:c>
    </x:row>
    <x:row r="63" ht="44" customHeight="1">
      <x:c r="A63" s="24" t="str">
        <x:v>PPL-212</x:v>
      </x:c>
      <x:c r="B63" s="24" t="str">
        <x:v>Fairy-Tale Transformative Beings</x:v>
      </x:c>
      <x:c r="C63" s="24" t="str">
        <x:v>People &amp; Beings</x:v>
      </x:c>
      <x:c r="D63" s="24" t="str">
        <x:v>PPL-200</x:v>
      </x:c>
      <x:c r="E63" s="24" t="str">
        <x:f>IF(D63="","",IFERROR(VLOOKUP(D63,$A$2:$B$1226,2,FALSE),""))</x:f>
        <x:v>Fae, Nature, and Liminal Beings</x:v>
      </x:c>
      <x:c r="F63" s="24" t="n">
        <x:v>3</x:v>
      </x:c>
      <x:c r="G63" s="24" t="str">
        <x:v>Otherworldly figures who grant wishes, impose tests, transform bodies, or enforce symbolic bargains.</x:v>
      </x:c>
      <x:c r="H63" s="24" t="str">
        <x:v>Source-specific examples may differ biologically, metaphysically, culturally, and morally; map them as analogues unless equivalence is explicit.</x:v>
      </x:c>
      <x:c r="I63" s="24" t="str">
        <x:v>fairy godparent; curse-giver; wish-granter</x:v>
      </x:c>
      <x:c r="J63" s="24" t="str">
        <x:v>Threshold guardian, tempter, patron, ecological embodiment, uncanny neighbor, or alternate aristocracy.</x:v>
      </x:c>
      <x:c r="K63" s="24" t="str">
        <x:v>fairy godparent; curse-giver; wish-granter</x:v>
      </x:c>
      <x:c r="L63" s="24" t="str">
        <x:v>Preserve each source's ontology, culture, history, and terminology when making comparisons.</x:v>
      </x:c>
      <x:c r="M63" s="24" t="str">
        <x:v>Core Family</x:v>
      </x:c>
    </x:row>
    <x:row r="64" ht="44" customHeight="1">
      <x:c r="A64" s="24" t="str">
        <x:v>PPL-301</x:v>
      </x:c>
      <x:c r="B64" s="24" t="str">
        <x:v>Elementals</x:v>
      </x:c>
      <x:c r="C64" s="24" t="str">
        <x:v>People &amp; Beings</x:v>
      </x:c>
      <x:c r="D64" s="24" t="str">
        <x:v>PPL-300</x:v>
      </x:c>
      <x:c r="E64" s="24" t="str">
        <x:f>IF(D64="","",IFERROR(VLOOKUP(D64,$A$2:$B$1226,2,FALSE),""))</x:f>
        <x:v>Spirits and Elementals</x:v>
      </x:c>
      <x:c r="F64" s="24" t="n">
        <x:v>3</x:v>
      </x:c>
      <x:c r="G64" s="24" t="str">
        <x:v>Beings constituted primarily from fire, water, air, earth, ice, lightning, or another elemental substance or principle.</x:v>
      </x:c>
      <x:c r="H64" s="24" t="str">
        <x:v>Source-specific examples may differ biologically, metaphysically, culturally, and morally; map them as analogues unless equivalence is explicit.</x:v>
      </x:c>
      <x:c r="I64" s="24" t="str">
        <x:v>elemental; elemental spirit; primal</x:v>
      </x:c>
      <x:c r="J64" s="24" t="str">
        <x:v>Cosmological agent, patron, haunting, elemental force, ancestor, or personified idea.</x:v>
      </x:c>
      <x:c r="K64" s="24" t="str">
        <x:v>elemental; elemental spirit; primal</x:v>
      </x:c>
      <x:c r="L64" s="24" t="str">
        <x:v>Preserve each source's ontology, culture, history, and terminology when making comparisons.</x:v>
      </x:c>
      <x:c r="M64" s="24" t="str">
        <x:v>Core Family</x:v>
      </x:c>
    </x:row>
    <x:row r="65" ht="44" customHeight="1">
      <x:c r="A65" s="24" t="str">
        <x:v>PPL-302</x:v>
      </x:c>
      <x:c r="B65" s="24" t="str">
        <x:v>Genies and Djinn-Derived Beings</x:v>
      </x:c>
      <x:c r="C65" s="24" t="str">
        <x:v>People &amp; Beings</x:v>
      </x:c>
      <x:c r="D65" s="24" t="str">
        <x:v>PPL-300</x:v>
      </x:c>
      <x:c r="E65" s="24" t="str">
        <x:f>IF(D65="","",IFERROR(VLOOKUP(D65,$A$2:$B$1226,2,FALSE),""))</x:f>
        <x:v>Spirits and Elementals</x:v>
      </x:c>
      <x:c r="F65" s="24" t="n">
        <x:v>3</x:v>
      </x:c>
      <x:c r="G65" s="24" t="str">
        <x:v>Powerful spirit beings associated with elemental force, freedom and binding, wishes, desert or cosmopolitan spirit societies.</x:v>
      </x:c>
      <x:c r="H65" s="24" t="str">
        <x:v>Source-specific examples may differ biologically, metaphysically, culturally, and morally; map them as analogues unless equivalence is explicit.</x:v>
      </x:c>
      <x:c r="I65" s="24" t="str">
        <x:v>djinn; genie; jinn; efreet; marid</x:v>
      </x:c>
      <x:c r="J65" s="24" t="str">
        <x:v>Cosmological agent, patron, haunting, elemental force, ancestor, or personified idea.</x:v>
      </x:c>
      <x:c r="K65" s="24" t="str">
        <x:v>djinn; genie; jinn; efreet; marid</x:v>
      </x:c>
      <x:c r="L65" s="24" t="str">
        <x:v>Djinn are rooted in Arabic and Islamic traditions; avoid reducing them to generic wish machines.</x:v>
      </x:c>
      <x:c r="M65" s="24" t="str">
        <x:v>Core Family</x:v>
      </x:c>
    </x:row>
    <x:row r="66" ht="44" customHeight="1">
      <x:c r="A66" s="24" t="str">
        <x:v>PPL-303</x:v>
      </x:c>
      <x:c r="B66" s="24" t="str">
        <x:v>Ancestral Spirits</x:v>
      </x:c>
      <x:c r="C66" s="24" t="str">
        <x:v>People &amp; Beings</x:v>
      </x:c>
      <x:c r="D66" s="24" t="str">
        <x:v>PPL-300</x:v>
      </x:c>
      <x:c r="E66" s="24" t="str">
        <x:f>IF(D66="","",IFERROR(VLOOKUP(D66,$A$2:$B$1226,2,FALSE),""))</x:f>
        <x:v>Spirits and Elementals</x:v>
      </x:c>
      <x:c r="F66" s="24" t="n">
        <x:v>3</x:v>
      </x:c>
      <x:c r="G66" s="24" t="str">
        <x:v>The continuing dead understood as kin, guardians, advisors, judges, or claimants within a living community.</x:v>
      </x:c>
      <x:c r="H66" s="24" t="str">
        <x:v>Source-specific examples may differ biologically, metaphysically, culturally, and morally; map them as analogues unless equivalence is explicit.</x:v>
      </x:c>
      <x:c r="I66" s="24" t="str">
        <x:v>ancestor; honored dead; clan spirit</x:v>
      </x:c>
      <x:c r="J66" s="24" t="str">
        <x:v>Cosmological agent, patron, haunting, elemental force, ancestor, or personified idea.</x:v>
      </x:c>
      <x:c r="K66" s="24" t="str">
        <x:v>ancestor; honored dead; clan spirit</x:v>
      </x:c>
      <x:c r="L66" s="24" t="str">
        <x:v>Preserve each source's ontology, culture, history, and terminology when making comparisons.</x:v>
      </x:c>
      <x:c r="M66" s="24" t="str">
        <x:v>Core Family</x:v>
      </x:c>
    </x:row>
    <x:row r="67" ht="44" customHeight="1">
      <x:c r="A67" s="24" t="str">
        <x:v>PPL-304</x:v>
      </x:c>
      <x:c r="B67" s="24" t="str">
        <x:v>Guardian Spirits</x:v>
      </x:c>
      <x:c r="C67" s="24" t="str">
        <x:v>People &amp; Beings</x:v>
      </x:c>
      <x:c r="D67" s="24" t="str">
        <x:v>PPL-300</x:v>
      </x:c>
      <x:c r="E67" s="24" t="str">
        <x:f>IF(D67="","",IFERROR(VLOOKUP(D67,$A$2:$B$1226,2,FALSE),""))</x:f>
        <x:v>Spirits and Elementals</x:v>
      </x:c>
      <x:c r="F67" s="24" t="n">
        <x:v>3</x:v>
      </x:c>
      <x:c r="G67" s="24" t="str">
        <x:v>Nonhuman or deceased protectors bound to a person, lineage, place, object, or institution.</x:v>
      </x:c>
      <x:c r="H67" s="24" t="str">
        <x:v>Source-specific examples may differ biologically, metaphysically, culturally, and morally; map them as analogues unless equivalence is explicit.</x:v>
      </x:c>
      <x:c r="I67" s="24" t="str">
        <x:v>guardian spirit; tutelary spirit; familiar guardian</x:v>
      </x:c>
      <x:c r="J67" s="24" t="str">
        <x:v>Cosmological agent, patron, haunting, elemental force, ancestor, or personified idea.</x:v>
      </x:c>
      <x:c r="K67" s="24" t="str">
        <x:v>guardian spirit; tutelary spirit; familiar guardian</x:v>
      </x:c>
      <x:c r="L67" s="24" t="str">
        <x:v>Preserve each source's ontology, culture, history, and terminology when making comparisons.</x:v>
      </x:c>
      <x:c r="M67" s="24" t="str">
        <x:v>Core Family</x:v>
      </x:c>
    </x:row>
    <x:row r="68" ht="44" customHeight="1">
      <x:c r="A68" s="24" t="str">
        <x:v>PPL-305</x:v>
      </x:c>
      <x:c r="B68" s="24" t="str">
        <x:v>Totemic Spirits</x:v>
      </x:c>
      <x:c r="C68" s="24" t="str">
        <x:v>People &amp; Beings</x:v>
      </x:c>
      <x:c r="D68" s="24" t="str">
        <x:v>PPL-300</x:v>
      </x:c>
      <x:c r="E68" s="24" t="str">
        <x:f>IF(D68="","",IFERROR(VLOOKUP(D68,$A$2:$B$1226,2,FALSE),""))</x:f>
        <x:v>Spirits and Elementals</x:v>
      </x:c>
      <x:c r="F68" s="24" t="n">
        <x:v>3</x:v>
      </x:c>
      <x:c r="G68" s="24" t="str">
        <x:v>Spirits representing animal, plant, clan, or cosmological identities and mediating reciprocal obligations.</x:v>
      </x:c>
      <x:c r="H68" s="24" t="str">
        <x:v>Source-specific examples may differ biologically, metaphysically, culturally, and morally; map them as analogues unless equivalence is explicit.</x:v>
      </x:c>
      <x:c r="I68" s="24" t="str">
        <x:v>totem spirit; animal patron; clan spirit</x:v>
      </x:c>
      <x:c r="J68" s="24" t="str">
        <x:v>Cosmological agent, patron, haunting, elemental force, ancestor, or personified idea.</x:v>
      </x:c>
      <x:c r="K68" s="24" t="str">
        <x:v>totem spirit; animal patron; clan spirit</x:v>
      </x:c>
      <x:c r="L68" s="24" t="str">
        <x:v>Preserve each source's ontology, culture, history, and terminology when making comparisons.</x:v>
      </x:c>
      <x:c r="M68" s="24" t="str">
        <x:v>Core Family</x:v>
      </x:c>
    </x:row>
    <x:row r="69" ht="44" customHeight="1">
      <x:c r="A69" s="24" t="str">
        <x:v>PPL-306</x:v>
      </x:c>
      <x:c r="B69" s="24" t="str">
        <x:v>Dream Beings</x:v>
      </x:c>
      <x:c r="C69" s="24" t="str">
        <x:v>People &amp; Beings</x:v>
      </x:c>
      <x:c r="D69" s="24" t="str">
        <x:v>PPL-300</x:v>
      </x:c>
      <x:c r="E69" s="24" t="str">
        <x:f>IF(D69="","",IFERROR(VLOOKUP(D69,$A$2:$B$1226,2,FALSE),""))</x:f>
        <x:v>Spirits and Elementals</x:v>
      </x:c>
      <x:c r="F69" s="24" t="n">
        <x:v>3</x:v>
      </x:c>
      <x:c r="G69" s="24" t="str">
        <x:v>Entities native to dreams, nightmares, imagination, sleep, or collective unconscious domains.</x:v>
      </x:c>
      <x:c r="H69" s="24" t="str">
        <x:v>Source-specific examples may differ biologically, metaphysically, culturally, and morally; map them as analogues unless equivalence is explicit.</x:v>
      </x:c>
      <x:c r="I69" s="24" t="str">
        <x:v>dream spirit; nightmare; oneiroi-like</x:v>
      </x:c>
      <x:c r="J69" s="24" t="str">
        <x:v>Cosmological agent, patron, haunting, elemental force, ancestor, or personified idea.</x:v>
      </x:c>
      <x:c r="K69" s="24" t="str">
        <x:v>dream spirit; nightmare; oneiroi-like</x:v>
      </x:c>
      <x:c r="L69" s="24" t="str">
        <x:v>Preserve each source's ontology, culture, history, and terminology when making comparisons.</x:v>
      </x:c>
      <x:c r="M69" s="24" t="str">
        <x:v>Core Family</x:v>
      </x:c>
    </x:row>
    <x:row r="70" ht="44" customHeight="1">
      <x:c r="A70" s="24" t="str">
        <x:v>PPL-307</x:v>
      </x:c>
      <x:c r="B70" s="24" t="str">
        <x:v>Shadow Beings</x:v>
      </x:c>
      <x:c r="C70" s="24" t="str">
        <x:v>People &amp; Beings</x:v>
      </x:c>
      <x:c r="D70" s="24" t="str">
        <x:v>PPL-300</x:v>
      </x:c>
      <x:c r="E70" s="24" t="str">
        <x:f>IF(D70="","",IFERROR(VLOOKUP(D70,$A$2:$B$1226,2,FALSE),""))</x:f>
        <x:v>Spirits and Elementals</x:v>
      </x:c>
      <x:c r="F70" s="24" t="n">
        <x:v>3</x:v>
      </x:c>
      <x:c r="G70" s="24" t="str">
        <x:v>Creatures made from shadow, absence, reflection, fear, or a dark duplicate of another being.</x:v>
      </x:c>
      <x:c r="H70" s="24" t="str">
        <x:v>Source-specific examples may differ biologically, metaphysically, culturally, and morally; map them as analogues unless equivalence is explicit.</x:v>
      </x:c>
      <x:c r="I70" s="24" t="str">
        <x:v>shadow; shade; shadow person</x:v>
      </x:c>
      <x:c r="J70" s="24" t="str">
        <x:v>Cosmological agent, patron, haunting, elemental force, ancestor, or personified idea.</x:v>
      </x:c>
      <x:c r="K70" s="24" t="str">
        <x:v>shadow; shade; shadow person</x:v>
      </x:c>
      <x:c r="L70" s="24" t="str">
        <x:v>Preserve each source's ontology, culture, history, and terminology when making comparisons.</x:v>
      </x:c>
      <x:c r="M70" s="24" t="str">
        <x:v>Core Family</x:v>
      </x:c>
    </x:row>
    <x:row r="71" ht="44" customHeight="1">
      <x:c r="A71" s="24" t="str">
        <x:v>PPL-308</x:v>
      </x:c>
      <x:c r="B71" s="24" t="str">
        <x:v>Psychopomps</x:v>
      </x:c>
      <x:c r="C71" s="24" t="str">
        <x:v>People &amp; Beings</x:v>
      </x:c>
      <x:c r="D71" s="24" t="str">
        <x:v>PPL-300</x:v>
      </x:c>
      <x:c r="E71" s="24" t="str">
        <x:f>IF(D71="","",IFERROR(VLOOKUP(D71,$A$2:$B$1226,2,FALSE),""))</x:f>
        <x:v>Spirits and Elementals</x:v>
      </x:c>
      <x:c r="F71" s="24" t="n">
        <x:v>3</x:v>
      </x:c>
      <x:c r="G71" s="24" t="str">
        <x:v>Beings whose primary role is escorting, judging, collecting, or guiding souls between life and afterlife.</x:v>
      </x:c>
      <x:c r="H71" s="24" t="str">
        <x:v>Source-specific examples may differ biologically, metaphysically, culturally, and morally; map them as analogues unless equivalence is explicit.</x:v>
      </x:c>
      <x:c r="I71" s="24" t="str">
        <x:v>reaper; ferryman; death guide</x:v>
      </x:c>
      <x:c r="J71" s="24" t="str">
        <x:v>Cosmological agent, patron, haunting, elemental force, ancestor, or personified idea.</x:v>
      </x:c>
      <x:c r="K71" s="24" t="str">
        <x:v>reaper; ferryman; death guide</x:v>
      </x:c>
      <x:c r="L71" s="24" t="str">
        <x:v>Preserve each source's ontology, culture, history, and terminology when making comparisons.</x:v>
      </x:c>
      <x:c r="M71" s="24" t="str">
        <x:v>Core Family</x:v>
      </x:c>
    </x:row>
    <x:row r="72" ht="44" customHeight="1">
      <x:c r="A72" s="24" t="str">
        <x:v>PPL-309</x:v>
      </x:c>
      <x:c r="B72" s="24" t="str">
        <x:v>Haunts and Poltergeists</x:v>
      </x:c>
      <x:c r="C72" s="24" t="str">
        <x:v>People &amp; Beings</x:v>
      </x:c>
      <x:c r="D72" s="24" t="str">
        <x:v>PPL-300</x:v>
      </x:c>
      <x:c r="E72" s="24" t="str">
        <x:f>IF(D72="","",IFERROR(VLOOKUP(D72,$A$2:$B$1226,2,FALSE),""))</x:f>
        <x:v>Spirits and Elementals</x:v>
      </x:c>
      <x:c r="F72" s="24" t="n">
        <x:v>3</x:v>
      </x:c>
      <x:c r="G72" s="24" t="str">
        <x:v>Place-bound or emotionally charged spirits that manifest through repeated disturbances rather than coherent social personhood.</x:v>
      </x:c>
      <x:c r="H72" s="24" t="str">
        <x:v>Source-specific examples may differ biologically, metaphysically, culturally, and morally; map them as analogues unless equivalence is explicit.</x:v>
      </x:c>
      <x:c r="I72" s="24" t="str">
        <x:v>haunt; poltergeist; residual spirit</x:v>
      </x:c>
      <x:c r="J72" s="24" t="str">
        <x:v>Cosmological agent, patron, haunting, elemental force, ancestor, or personified idea.</x:v>
      </x:c>
      <x:c r="K72" s="24" t="str">
        <x:v>haunt; poltergeist; residual spirit</x:v>
      </x:c>
      <x:c r="L72" s="24" t="str">
        <x:v>Preserve each source's ontology, culture, history, and terminology when making comparisons.</x:v>
      </x:c>
      <x:c r="M72" s="24" t="str">
        <x:v>Core Family</x:v>
      </x:c>
    </x:row>
    <x:row r="73" ht="44" customHeight="1">
      <x:c r="A73" s="24" t="str">
        <x:v>PPL-310</x:v>
      </x:c>
      <x:c r="B73" s="24" t="str">
        <x:v>Embodied Concepts</x:v>
      </x:c>
      <x:c r="C73" s="24" t="str">
        <x:v>People &amp; Beings</x:v>
      </x:c>
      <x:c r="D73" s="24" t="str">
        <x:v>PPL-300</x:v>
      </x:c>
      <x:c r="E73" s="24" t="str">
        <x:f>IF(D73="","",IFERROR(VLOOKUP(D73,$A$2:$B$1226,2,FALSE),""))</x:f>
        <x:v>Spirits and Elementals</x:v>
      </x:c>
      <x:c r="F73" s="24" t="n">
        <x:v>3</x:v>
      </x:c>
      <x:c r="G73" s="24" t="str">
        <x:v>Personifications of abstract principles such as death, war, time, justice, plague, or memory.</x:v>
      </x:c>
      <x:c r="H73" s="24" t="str">
        <x:v>Source-specific examples may differ biologically, metaphysically, culturally, and morally; map them as analogues unless equivalence is explicit.</x:v>
      </x:c>
      <x:c r="I73" s="24" t="str">
        <x:v>personification; living concept; anthropomorphic principle</x:v>
      </x:c>
      <x:c r="J73" s="24" t="str">
        <x:v>Cosmological agent, patron, haunting, elemental force, ancestor, or personified idea.</x:v>
      </x:c>
      <x:c r="K73" s="24" t="str">
        <x:v>personification; living concept; anthropomorphic principle</x:v>
      </x:c>
      <x:c r="L73" s="24" t="str">
        <x:v>Preserve each source's ontology, culture, history, and terminology when making comparisons.</x:v>
      </x:c>
      <x:c r="M73" s="24" t="str">
        <x:v>Core Family</x:v>
      </x:c>
    </x:row>
    <x:row r="74" ht="44" customHeight="1">
      <x:c r="A74" s="24" t="str">
        <x:v>PPL-311</x:v>
      </x:c>
      <x:c r="B74" s="24" t="str">
        <x:v>Soul Fragments and Echoes</x:v>
      </x:c>
      <x:c r="C74" s="24" t="str">
        <x:v>People &amp; Beings</x:v>
      </x:c>
      <x:c r="D74" s="24" t="str">
        <x:v>PPL-300</x:v>
      </x:c>
      <x:c r="E74" s="24" t="str">
        <x:f>IF(D74="","",IFERROR(VLOOKUP(D74,$A$2:$B$1226,2,FALSE),""))</x:f>
        <x:v>Spirits and Elementals</x:v>
      </x:c>
      <x:c r="F74" s="24" t="n">
        <x:v>3</x:v>
      </x:c>
      <x:c r="G74" s="24" t="str">
        <x:v>Partial remnants of a person, memory, spell, or event that possess limited agency or incomplete identity.</x:v>
      </x:c>
      <x:c r="H74" s="24" t="str">
        <x:v>Source-specific examples may differ biologically, metaphysically, culturally, and morally; map them as analogues unless equivalence is explicit.</x:v>
      </x:c>
      <x:c r="I74" s="24" t="str">
        <x:v>echo; shade; memory-ghost</x:v>
      </x:c>
      <x:c r="J74" s="24" t="str">
        <x:v>Cosmological agent, patron, haunting, elemental force, ancestor, or personified idea.</x:v>
      </x:c>
      <x:c r="K74" s="24" t="str">
        <x:v>echo; shade; memory-ghost</x:v>
      </x:c>
      <x:c r="L74" s="24" t="str">
        <x:v>Preserve each source's ontology, culture, history, and terminology when making comparisons.</x:v>
      </x:c>
      <x:c r="M74" s="24" t="str">
        <x:v>Core Family</x:v>
      </x:c>
    </x:row>
    <x:row r="75" ht="44" customHeight="1">
      <x:c r="A75" s="24" t="str">
        <x:v>PPL-312</x:v>
      </x:c>
      <x:c r="B75" s="24" t="str">
        <x:v>Kami and Sacred Presences</x:v>
      </x:c>
      <x:c r="C75" s="24" t="str">
        <x:v>People &amp; Beings</x:v>
      </x:c>
      <x:c r="D75" s="24" t="str">
        <x:v>PPL-300</x:v>
      </x:c>
      <x:c r="E75" s="24" t="str">
        <x:f>IF(D75="","",IFERROR(VLOOKUP(D75,$A$2:$B$1226,2,FALSE),""))</x:f>
        <x:v>Spirits and Elementals</x:v>
      </x:c>
      <x:c r="F75" s="24" t="n">
        <x:v>3</x:v>
      </x:c>
      <x:c r="G75" s="24" t="str">
        <x:v>Sacred presences associated with place, natural phenomena, ancestors, objects, or extraordinary beings in Shinto-derived and analogous settings.</x:v>
      </x:c>
      <x:c r="H75" s="24" t="str">
        <x:v>Source-specific examples may differ biologically, metaphysically, culturally, and morally; map them as analogues unless equivalence is explicit.</x:v>
      </x:c>
      <x:c r="I75" s="24" t="str">
        <x:v>kami; sacred presence</x:v>
      </x:c>
      <x:c r="J75" s="24" t="str">
        <x:v>Cosmological agent, patron, haunting, elemental force, ancestor, or personified idea.</x:v>
      </x:c>
      <x:c r="K75" s="24" t="str">
        <x:v>kami; sacred presence</x:v>
      </x:c>
      <x:c r="L75" s="24" t="str">
        <x:v>Kami should not be treated as a simple synonym for Western 'god' or 'spirit.'</x:v>
      </x:c>
      <x:c r="M75" s="24" t="str">
        <x:v>Core Family</x:v>
      </x:c>
    </x:row>
    <x:row r="76" ht="44" customHeight="1">
      <x:c r="A76" s="24" t="str">
        <x:v>PPL-401</x:v>
      </x:c>
      <x:c r="B76" s="24" t="str">
        <x:v>Deities</x:v>
      </x:c>
      <x:c r="C76" s="24" t="str">
        <x:v>People &amp; Beings</x:v>
      </x:c>
      <x:c r="D76" s="24" t="str">
        <x:v>PPL-400</x:v>
      </x:c>
      <x:c r="E76" s="24" t="str">
        <x:f>IF(D76="","",IFERROR(VLOOKUP(D76,$A$2:$B$1226,2,FALSE),""))</x:f>
        <x:v>Divine and Celestial Beings</x:v>
      </x:c>
      <x:c r="F76" s="24" t="n">
        <x:v>3</x:v>
      </x:c>
      <x:c r="G76" s="24" t="str">
        <x:v>Beings worshiped as gods and possessing authority over cosmic, natural, civic, or moral domains.</x:v>
      </x:c>
      <x:c r="H76" s="24" t="str">
        <x:v>Source-specific examples may differ biologically, metaphysically, culturally, and morally; map them as analogues unless equivalence is explicit.</x:v>
      </x:c>
      <x:c r="I76" s="24" t="str">
        <x:v>god; goddess; deity; pantheon member</x:v>
      </x:c>
      <x:c r="J76" s="24" t="str">
        <x:v>Object of worship, cosmic sovereign, patron, judge, source of miracles, or metaphysical ancestor.</x:v>
      </x:c>
      <x:c r="K76" s="24" t="str">
        <x:v>god; goddess; deity; pantheon member</x:v>
      </x:c>
      <x:c r="L76" s="24" t="str">
        <x:v>Preserve each source's ontology, culture, history, and terminology when making comparisons.</x:v>
      </x:c>
      <x:c r="M76" s="24" t="str">
        <x:v>Core Family</x:v>
      </x:c>
    </x:row>
    <x:row r="77" ht="44" customHeight="1">
      <x:c r="A77" s="24" t="str">
        <x:v>PPL-402</x:v>
      </x:c>
      <x:c r="B77" s="24" t="str">
        <x:v>Demigods and Divine-Blooded Beings</x:v>
      </x:c>
      <x:c r="C77" s="24" t="str">
        <x:v>People &amp; Beings</x:v>
      </x:c>
      <x:c r="D77" s="24" t="str">
        <x:v>PPL-400</x:v>
      </x:c>
      <x:c r="E77" s="24" t="str">
        <x:f>IF(D77="","",IFERROR(VLOOKUP(D77,$A$2:$B$1226,2,FALSE),""))</x:f>
        <x:v>Divine and Celestial Beings</x:v>
      </x:c>
      <x:c r="F77" s="24" t="n">
        <x:v>3</x:v>
      </x:c>
      <x:c r="G77" s="24" t="str">
        <x:v>Mortals or lesser immortals descended from, infused by, or partially identical with divine power.</x:v>
      </x:c>
      <x:c r="H77" s="24" t="str">
        <x:v>Source-specific examples may differ biologically, metaphysically, culturally, and morally; map them as analogues unless equivalence is explicit.</x:v>
      </x:c>
      <x:c r="I77" s="24" t="str">
        <x:v>demigod; god-blooded; scion</x:v>
      </x:c>
      <x:c r="J77" s="24" t="str">
        <x:v>Object of worship, cosmic sovereign, patron, judge, source of miracles, or metaphysical ancestor.</x:v>
      </x:c>
      <x:c r="K77" s="24" t="str">
        <x:v>demigod; god-blooded; scion</x:v>
      </x:c>
      <x:c r="L77" s="24" t="str">
        <x:v>Preserve each source's ontology, culture, history, and terminology when making comparisons.</x:v>
      </x:c>
      <x:c r="M77" s="24" t="str">
        <x:v>Core Family</x:v>
      </x:c>
    </x:row>
    <x:row r="78" ht="44" customHeight="1">
      <x:c r="A78" s="24" t="str">
        <x:v>PPL-403</x:v>
      </x:c>
      <x:c r="B78" s="24" t="str">
        <x:v>Avatars and Incarnations</x:v>
      </x:c>
      <x:c r="C78" s="24" t="str">
        <x:v>People &amp; Beings</x:v>
      </x:c>
      <x:c r="D78" s="24" t="str">
        <x:v>PPL-400</x:v>
      </x:c>
      <x:c r="E78" s="24" t="str">
        <x:f>IF(D78="","",IFERROR(VLOOKUP(D78,$A$2:$B$1226,2,FALSE),""))</x:f>
        <x:v>Divine and Celestial Beings</x:v>
      </x:c>
      <x:c r="F78" s="24" t="n">
        <x:v>3</x:v>
      </x:c>
      <x:c r="G78" s="24" t="str">
        <x:v>Embodied manifestations through which a greater deity, principle, or cosmic entity acts in limited form.</x:v>
      </x:c>
      <x:c r="H78" s="24" t="str">
        <x:v>Source-specific examples may differ biologically, metaphysically, culturally, and morally; map them as analogues unless equivalence is explicit.</x:v>
      </x:c>
      <x:c r="I78" s="24" t="str">
        <x:v>avatar; incarnation; vessel</x:v>
      </x:c>
      <x:c r="J78" s="24" t="str">
        <x:v>Object of worship, cosmic sovereign, patron, judge, source of miracles, or metaphysical ancestor.</x:v>
      </x:c>
      <x:c r="K78" s="24" t="str">
        <x:v>avatar; incarnation; vessel</x:v>
      </x:c>
      <x:c r="L78" s="24" t="str">
        <x:v>Preserve each source's ontology, culture, history, and terminology when making comparisons.</x:v>
      </x:c>
      <x:c r="M78" s="24" t="str">
        <x:v>Core Family</x:v>
      </x:c>
    </x:row>
    <x:row r="79" ht="44" customHeight="1">
      <x:c r="A79" s="24" t="str">
        <x:v>PPL-404</x:v>
      </x:c>
      <x:c r="B79" s="24" t="str">
        <x:v>Celestials and Angelic Beings</x:v>
      </x:c>
      <x:c r="C79" s="24" t="str">
        <x:v>People &amp; Beings</x:v>
      </x:c>
      <x:c r="D79" s="24" t="str">
        <x:v>PPL-400</x:v>
      </x:c>
      <x:c r="E79" s="24" t="str">
        <x:f>IF(D79="","",IFERROR(VLOOKUP(D79,$A$2:$B$1226,2,FALSE),""))</x:f>
        <x:v>Divine and Celestial Beings</x:v>
      </x:c>
      <x:c r="F79" s="24" t="n">
        <x:v>3</x:v>
      </x:c>
      <x:c r="G79" s="24" t="str">
        <x:v>Servants or inhabitants of a divine, heavenly, lawful, or luminous realm.</x:v>
      </x:c>
      <x:c r="H79" s="24" t="str">
        <x:v>Source-specific examples may differ biologically, metaphysically, culturally, and morally; map them as analogues unless equivalence is explicit.</x:v>
      </x:c>
      <x:c r="I79" s="24" t="str">
        <x:v>angel; deva-like; celestial; seraph</x:v>
      </x:c>
      <x:c r="J79" s="24" t="str">
        <x:v>Object of worship, cosmic sovereign, patron, judge, source of miracles, or metaphysical ancestor.</x:v>
      </x:c>
      <x:c r="K79" s="24" t="str">
        <x:v>angel; deva-like; celestial; seraph</x:v>
      </x:c>
      <x:c r="L79" s="24" t="str">
        <x:v>Preserve each source's ontology, culture, history, and terminology when making comparisons.</x:v>
      </x:c>
      <x:c r="M79" s="24" t="str">
        <x:v>Core Family</x:v>
      </x:c>
    </x:row>
    <x:row r="80" ht="44" customHeight="1">
      <x:c r="A80" s="24" t="str">
        <x:v>PPL-405</x:v>
      </x:c>
      <x:c r="B80" s="24" t="str">
        <x:v>Divine Servitors</x:v>
      </x:c>
      <x:c r="C80" s="24" t="str">
        <x:v>People &amp; Beings</x:v>
      </x:c>
      <x:c r="D80" s="24" t="str">
        <x:v>PPL-400</x:v>
      </x:c>
      <x:c r="E80" s="24" t="str">
        <x:f>IF(D80="","",IFERROR(VLOOKUP(D80,$A$2:$B$1226,2,FALSE),""))</x:f>
        <x:v>Divine and Celestial Beings</x:v>
      </x:c>
      <x:c r="F80" s="24" t="n">
        <x:v>3</x:v>
      </x:c>
      <x:c r="G80" s="24" t="str">
        <x:v>Created or appointed beings that execute a deity's will without necessarily possessing independent worship.</x:v>
      </x:c>
      <x:c r="H80" s="24" t="str">
        <x:v>Source-specific examples may differ biologically, metaphysically, culturally, and morally; map them as analogues unless equivalence is explicit.</x:v>
      </x:c>
      <x:c r="I80" s="24" t="str">
        <x:v>herald; divine messenger; sacred guardian</x:v>
      </x:c>
      <x:c r="J80" s="24" t="str">
        <x:v>Object of worship, cosmic sovereign, patron, judge, source of miracles, or metaphysical ancestor.</x:v>
      </x:c>
      <x:c r="K80" s="24" t="str">
        <x:v>herald; divine messenger; sacred guardian</x:v>
      </x:c>
      <x:c r="L80" s="24" t="str">
        <x:v>Preserve each source's ontology, culture, history, and terminology when making comparisons.</x:v>
      </x:c>
      <x:c r="M80" s="24" t="str">
        <x:v>Core Family</x:v>
      </x:c>
    </x:row>
    <x:row r="81" ht="44" customHeight="1">
      <x:c r="A81" s="24" t="str">
        <x:v>PPL-406</x:v>
      </x:c>
      <x:c r="B81" s="24" t="str">
        <x:v>Ascended Mortals</x:v>
      </x:c>
      <x:c r="C81" s="24" t="str">
        <x:v>People &amp; Beings</x:v>
      </x:c>
      <x:c r="D81" s="24" t="str">
        <x:v>PPL-400</x:v>
      </x:c>
      <x:c r="E81" s="24" t="str">
        <x:f>IF(D81="","",IFERROR(VLOOKUP(D81,$A$2:$B$1226,2,FALSE),""))</x:f>
        <x:v>Divine and Celestial Beings</x:v>
      </x:c>
      <x:c r="F81" s="24" t="n">
        <x:v>3</x:v>
      </x:c>
      <x:c r="G81" s="24" t="str">
        <x:v>Former mortals transformed into divine, semi-divine, or immortal beings through apotheosis, cultivation, ritual, or recognition.</x:v>
      </x:c>
      <x:c r="H81" s="24" t="str">
        <x:v>Source-specific examples may differ biologically, metaphysically, culturally, and morally; map them as analogues unless equivalence is explicit.</x:v>
      </x:c>
      <x:c r="I81" s="24" t="str">
        <x:v>ascendant; apotheosized hero; immortal</x:v>
      </x:c>
      <x:c r="J81" s="24" t="str">
        <x:v>Object of worship, cosmic sovereign, patron, judge, source of miracles, or metaphysical ancestor.</x:v>
      </x:c>
      <x:c r="K81" s="24" t="str">
        <x:v>ascendant; apotheosized hero; immortal</x:v>
      </x:c>
      <x:c r="L81" s="24" t="str">
        <x:v>Preserve each source's ontology, culture, history, and terminology when making comparisons.</x:v>
      </x:c>
      <x:c r="M81" s="24" t="str">
        <x:v>Core Family</x:v>
      </x:c>
    </x:row>
    <x:row r="82" ht="44" customHeight="1">
      <x:c r="A82" s="24" t="str">
        <x:v>PPL-407</x:v>
      </x:c>
      <x:c r="B82" s="24" t="str">
        <x:v>Living Saints</x:v>
      </x:c>
      <x:c r="C82" s="24" t="str">
        <x:v>People &amp; Beings</x:v>
      </x:c>
      <x:c r="D82" s="24" t="str">
        <x:v>PPL-400</x:v>
      </x:c>
      <x:c r="E82" s="24" t="str">
        <x:f>IF(D82="","",IFERROR(VLOOKUP(D82,$A$2:$B$1226,2,FALSE),""))</x:f>
        <x:v>Divine and Celestial Beings</x:v>
      </x:c>
      <x:c r="F82" s="24" t="n">
        <x:v>3</x:v>
      </x:c>
      <x:c r="G82" s="24" t="str">
        <x:v>Mortals treated as channels of sacred power while alive, often through miracles, relics, or institutional recognition.</x:v>
      </x:c>
      <x:c r="H82" s="24" t="str">
        <x:v>Source-specific examples may differ biologically, metaphysically, culturally, and morally; map them as analogues unless equivalence is explicit.</x:v>
      </x:c>
      <x:c r="I82" s="24" t="str">
        <x:v>saint; holy person; miracle bearer</x:v>
      </x:c>
      <x:c r="J82" s="24" t="str">
        <x:v>Object of worship, cosmic sovereign, patron, judge, source of miracles, or metaphysical ancestor.</x:v>
      </x:c>
      <x:c r="K82" s="24" t="str">
        <x:v>saint; holy person; miracle bearer</x:v>
      </x:c>
      <x:c r="L82" s="24" t="str">
        <x:v>Preserve each source's ontology, culture, history, and terminology when making comparisons.</x:v>
      </x:c>
      <x:c r="M82" s="24" t="str">
        <x:v>Core Family</x:v>
      </x:c>
    </x:row>
    <x:row r="83" ht="44" customHeight="1">
      <x:c r="A83" s="24" t="str">
        <x:v>PPL-408</x:v>
      </x:c>
      <x:c r="B83" s="24" t="str">
        <x:v>World-Souls and Cosmic Titans</x:v>
      </x:c>
      <x:c r="C83" s="24" t="str">
        <x:v>People &amp; Beings</x:v>
      </x:c>
      <x:c r="D83" s="24" t="str">
        <x:v>PPL-400</x:v>
      </x:c>
      <x:c r="E83" s="24" t="str">
        <x:f>IF(D83="","",IFERROR(VLOOKUP(D83,$A$2:$B$1226,2,FALSE),""))</x:f>
        <x:v>Divine and Celestial Beings</x:v>
      </x:c>
      <x:c r="F83" s="24" t="n">
        <x:v>3</x:v>
      </x:c>
      <x:c r="G83" s="24" t="str">
        <x:v>Vast beings identified with a world, cosmic body, primordial landscape, or foundational process.</x:v>
      </x:c>
      <x:c r="H83" s="24" t="str">
        <x:v>Source-specific examples may differ biologically, metaphysically, culturally, and morally; map them as analogues unless equivalence is explicit.</x:v>
      </x:c>
      <x:c r="I83" s="24" t="str">
        <x:v>world soul; primordial titan; earth mother</x:v>
      </x:c>
      <x:c r="J83" s="24" t="str">
        <x:v>Object of worship, cosmic sovereign, patron, judge, source of miracles, or metaphysical ancestor.</x:v>
      </x:c>
      <x:c r="K83" s="24" t="str">
        <x:v>world soul; primordial titan; earth mother</x:v>
      </x:c>
      <x:c r="L83" s="24" t="str">
        <x:v>Preserve each source's ontology, culture, history, and terminology when making comparisons.</x:v>
      </x:c>
      <x:c r="M83" s="24" t="str">
        <x:v>Core Family</x:v>
      </x:c>
    </x:row>
    <x:row r="84" ht="44" customHeight="1">
      <x:c r="A84" s="24" t="str">
        <x:v>PPL-409</x:v>
      </x:c>
      <x:c r="B84" s="24" t="str">
        <x:v>Divine Beasts</x:v>
      </x:c>
      <x:c r="C84" s="24" t="str">
        <x:v>People &amp; Beings</x:v>
      </x:c>
      <x:c r="D84" s="24" t="str">
        <x:v>PPL-400</x:v>
      </x:c>
      <x:c r="E84" s="24" t="str">
        <x:f>IF(D84="","",IFERROR(VLOOKUP(D84,$A$2:$B$1226,2,FALSE),""))</x:f>
        <x:v>Divine and Celestial Beings</x:v>
      </x:c>
      <x:c r="F84" s="24" t="n">
        <x:v>3</x:v>
      </x:c>
      <x:c r="G84" s="24" t="str">
        <x:v>Sacred animals or legendary creatures that serve as gods, mounts, guardians, or embodiments of divine power.</x:v>
      </x:c>
      <x:c r="H84" s="24" t="str">
        <x:v>Source-specific examples may differ biologically, metaphysically, culturally, and morally; map them as analogues unless equivalence is explicit.</x:v>
      </x:c>
      <x:c r="I84" s="24" t="str">
        <x:v>sacred beast; god-beast; celestial animal</x:v>
      </x:c>
      <x:c r="J84" s="24" t="str">
        <x:v>Object of worship, cosmic sovereign, patron, judge, source of miracles, or metaphysical ancestor.</x:v>
      </x:c>
      <x:c r="K84" s="24" t="str">
        <x:v>sacred beast; god-beast; celestial animal</x:v>
      </x:c>
      <x:c r="L84" s="24" t="str">
        <x:v>Preserve each source's ontology, culture, history, and terminology when making comparisons.</x:v>
      </x:c>
      <x:c r="M84" s="24" t="str">
        <x:v>Core Family</x:v>
      </x:c>
    </x:row>
    <x:row r="85" ht="44" customHeight="1">
      <x:c r="A85" s="24" t="str">
        <x:v>PPL-410</x:v>
      </x:c>
      <x:c r="B85" s="24" t="str">
        <x:v>Fallen or Exiled Gods</x:v>
      </x:c>
      <x:c r="C85" s="24" t="str">
        <x:v>People &amp; Beings</x:v>
      </x:c>
      <x:c r="D85" s="24" t="str">
        <x:v>PPL-400</x:v>
      </x:c>
      <x:c r="E85" s="24" t="str">
        <x:f>IF(D85="","",IFERROR(VLOOKUP(D85,$A$2:$B$1226,2,FALSE),""))</x:f>
        <x:v>Divine and Celestial Beings</x:v>
      </x:c>
      <x:c r="F85" s="24" t="n">
        <x:v>3</x:v>
      </x:c>
      <x:c r="G85" s="24" t="str">
        <x:v>Deities deprived of worship, realm, memory, name, or status and operating from marginal or hostile positions.</x:v>
      </x:c>
      <x:c r="H85" s="24" t="str">
        <x:v>Source-specific examples may differ biologically, metaphysically, culturally, and morally; map them as analogues unless equivalence is explicit.</x:v>
      </x:c>
      <x:c r="I85" s="24" t="str">
        <x:v>fallen god; forgotten god; exiled deity</x:v>
      </x:c>
      <x:c r="J85" s="24" t="str">
        <x:v>Object of worship, cosmic sovereign, patron, judge, source of miracles, or metaphysical ancestor.</x:v>
      </x:c>
      <x:c r="K85" s="24" t="str">
        <x:v>fallen god; forgotten god; exiled deity</x:v>
      </x:c>
      <x:c r="L85" s="24" t="str">
        <x:v>Preserve each source's ontology, culture, history, and terminology when making comparisons.</x:v>
      </x:c>
      <x:c r="M85" s="24" t="str">
        <x:v>Core Family</x:v>
      </x:c>
    </x:row>
    <x:row r="86" ht="44" customHeight="1">
      <x:c r="A86" s="24" t="str">
        <x:v>PPL-501</x:v>
      </x:c>
      <x:c r="B86" s="24" t="str">
        <x:v>Demons</x:v>
      </x:c>
      <x:c r="C86" s="24" t="str">
        <x:v>People &amp; Beings</x:v>
      </x:c>
      <x:c r="D86" s="24" t="str">
        <x:v>PPL-500</x:v>
      </x:c>
      <x:c r="E86" s="24" t="str">
        <x:f>IF(D86="","",IFERROR(VLOOKUP(D86,$A$2:$B$1226,2,FALSE),""))</x:f>
        <x:v>Infernal and Corruptive Beings</x:v>
      </x:c>
      <x:c r="F86" s="24" t="n">
        <x:v>3</x:v>
      </x:c>
      <x:c r="G86" s="24" t="str">
        <x:v>Malevolent, chaotic, hungry, or otherworldly beings commonly tied to corruption, violence, possession, or hostile realms.</x:v>
      </x:c>
      <x:c r="H86" s="24" t="str">
        <x:v>Source-specific examples may differ biologically, metaphysically, culturally, and morally; map them as analogues unless equivalence is explicit.</x:v>
      </x:c>
      <x:c r="I86" s="24" t="str">
        <x:v>demon; daemon; yokai-demon analogue</x:v>
      </x:c>
      <x:c r="J86" s="24" t="str">
        <x:v>Antagonist, corrupter, pact source, invader, embodiment of vice, or hostile outsider.</x:v>
      </x:c>
      <x:c r="K86" s="24" t="str">
        <x:v>demon; daemon; yokai-demon analogue</x:v>
      </x:c>
      <x:c r="L86" s="24" t="str">
        <x:v>Preserve each source's ontology, culture, history, and terminology when making comparisons.</x:v>
      </x:c>
      <x:c r="M86" s="24" t="str">
        <x:v>Core Family</x:v>
      </x:c>
    </x:row>
    <x:row r="87" ht="44" customHeight="1">
      <x:c r="A87" s="24" t="str">
        <x:v>PPL-502</x:v>
      </x:c>
      <x:c r="B87" s="24" t="str">
        <x:v>Devils and Contractual Fiends</x:v>
      </x:c>
      <x:c r="C87" s="24" t="str">
        <x:v>People &amp; Beings</x:v>
      </x:c>
      <x:c r="D87" s="24" t="str">
        <x:v>PPL-500</x:v>
      </x:c>
      <x:c r="E87" s="24" t="str">
        <x:f>IF(D87="","",IFERROR(VLOOKUP(D87,$A$2:$B$1226,2,FALSE),""))</x:f>
        <x:v>Infernal and Corruptive Beings</x:v>
      </x:c>
      <x:c r="F87" s="24" t="n">
        <x:v>3</x:v>
      </x:c>
      <x:c r="G87" s="24" t="str">
        <x:v>Ordered or calculating infernal beings associated with hierarchy, bargains, law, temptation, and soul contracts.</x:v>
      </x:c>
      <x:c r="H87" s="24" t="str">
        <x:v>Source-specific examples may differ biologically, metaphysically, culturally, and morally; map them as analogues unless equivalence is explicit.</x:v>
      </x:c>
      <x:c r="I87" s="24" t="str">
        <x:v>devil; infernal; contract fiend</x:v>
      </x:c>
      <x:c r="J87" s="24" t="str">
        <x:v>Antagonist, corrupter, pact source, invader, embodiment of vice, or hostile outsider.</x:v>
      </x:c>
      <x:c r="K87" s="24" t="str">
        <x:v>devil; infernal; contract fiend</x:v>
      </x:c>
      <x:c r="L87" s="24" t="str">
        <x:v>Preserve each source's ontology, culture, history, and terminology when making comparisons.</x:v>
      </x:c>
      <x:c r="M87" s="24" t="str">
        <x:v>Core Family</x:v>
      </x:c>
    </x:row>
    <x:row r="88" ht="44" customHeight="1">
      <x:c r="A88" s="24" t="str">
        <x:v>PPL-503</x:v>
      </x:c>
      <x:c r="B88" s="24" t="str">
        <x:v>General Fiends</x:v>
      </x:c>
      <x:c r="C88" s="24" t="str">
        <x:v>People &amp; Beings</x:v>
      </x:c>
      <x:c r="D88" s="24" t="str">
        <x:v>PPL-500</x:v>
      </x:c>
      <x:c r="E88" s="24" t="str">
        <x:f>IF(D88="","",IFERROR(VLOOKUP(D88,$A$2:$B$1226,2,FALSE),""))</x:f>
        <x:v>Infernal and Corruptive Beings</x:v>
      </x:c>
      <x:c r="F88" s="24" t="n">
        <x:v>3</x:v>
      </x:c>
      <x:c r="G88" s="24" t="str">
        <x:v>A broad family for hostile supernatural outsiders when a source does not distinguish demon, devil, and related kinds.</x:v>
      </x:c>
      <x:c r="H88" s="24" t="str">
        <x:v>Source-specific examples may differ biologically, metaphysically, culturally, and morally; map them as analogues unless equivalence is explicit.</x:v>
      </x:c>
      <x:c r="I88" s="24" t="str">
        <x:v>fiend; infernal creature</x:v>
      </x:c>
      <x:c r="J88" s="24" t="str">
        <x:v>Antagonist, corrupter, pact source, invader, embodiment of vice, or hostile outsider.</x:v>
      </x:c>
      <x:c r="K88" s="24" t="str">
        <x:v>fiend; infernal creature</x:v>
      </x:c>
      <x:c r="L88" s="24" t="str">
        <x:v>Preserve each source's ontology, culture, history, and terminology when making comparisons.</x:v>
      </x:c>
      <x:c r="M88" s="24" t="str">
        <x:v>Core Family</x:v>
      </x:c>
    </x:row>
    <x:row r="89" ht="44" customHeight="1">
      <x:c r="A89" s="24" t="str">
        <x:v>PPL-504</x:v>
      </x:c>
      <x:c r="B89" s="24" t="str">
        <x:v>Fallen Celestials</x:v>
      </x:c>
      <x:c r="C89" s="24" t="str">
        <x:v>People &amp; Beings</x:v>
      </x:c>
      <x:c r="D89" s="24" t="str">
        <x:v>PPL-500</x:v>
      </x:c>
      <x:c r="E89" s="24" t="str">
        <x:f>IF(D89="","",IFERROR(VLOOKUP(D89,$A$2:$B$1226,2,FALSE),""))</x:f>
        <x:v>Infernal and Corruptive Beings</x:v>
      </x:c>
      <x:c r="F89" s="24" t="n">
        <x:v>3</x:v>
      </x:c>
      <x:c r="G89" s="24" t="str">
        <x:v>Formerly divine or celestial beings transformed by rebellion, pride, corruption, exile, or metaphysical inversion.</x:v>
      </x:c>
      <x:c r="H89" s="24" t="str">
        <x:v>Source-specific examples may differ biologically, metaphysically, culturally, and morally; map them as analogues unless equivalence is explicit.</x:v>
      </x:c>
      <x:c r="I89" s="24" t="str">
        <x:v>fallen angel; corrupted celestial</x:v>
      </x:c>
      <x:c r="J89" s="24" t="str">
        <x:v>Antagonist, corrupter, pact source, invader, embodiment of vice, or hostile outsider.</x:v>
      </x:c>
      <x:c r="K89" s="24" t="str">
        <x:v>fallen angel; corrupted celestial</x:v>
      </x:c>
      <x:c r="L89" s="24" t="str">
        <x:v>Preserve each source's ontology, culture, history, and terminology when making comparisons.</x:v>
      </x:c>
      <x:c r="M89" s="24" t="str">
        <x:v>Core Family</x:v>
      </x:c>
    </x:row>
    <x:row r="90" ht="44" customHeight="1">
      <x:c r="A90" s="24" t="str">
        <x:v>PPL-505</x:v>
      </x:c>
      <x:c r="B90" s="24" t="str">
        <x:v>Corrupting Spirits</x:v>
      </x:c>
      <x:c r="C90" s="24" t="str">
        <x:v>People &amp; Beings</x:v>
      </x:c>
      <x:c r="D90" s="24" t="str">
        <x:v>PPL-500</x:v>
      </x:c>
      <x:c r="E90" s="24" t="str">
        <x:f>IF(D90="","",IFERROR(VLOOKUP(D90,$A$2:$B$1226,2,FALSE),""))</x:f>
        <x:v>Infernal and Corruptive Beings</x:v>
      </x:c>
      <x:c r="F90" s="24" t="n">
        <x:v>3</x:v>
      </x:c>
      <x:c r="G90" s="24" t="str">
        <x:v>Entities that spread moral, bodily, magical, ecological, or psychic degradation.</x:v>
      </x:c>
      <x:c r="H90" s="24" t="str">
        <x:v>Source-specific examples may differ biologically, metaphysically, culturally, and morally; map them as analogues unless equivalence is explicit.</x:v>
      </x:c>
      <x:c r="I90" s="24" t="str">
        <x:v>blight spirit; corruption entity; taint bearer</x:v>
      </x:c>
      <x:c r="J90" s="24" t="str">
        <x:v>Antagonist, corrupter, pact source, invader, embodiment of vice, or hostile outsider.</x:v>
      </x:c>
      <x:c r="K90" s="24" t="str">
        <x:v>blight spirit; corruption entity; taint bearer</x:v>
      </x:c>
      <x:c r="L90" s="24" t="str">
        <x:v>Preserve each source's ontology, culture, history, and terminology when making comparisons.</x:v>
      </x:c>
      <x:c r="M90" s="24" t="str">
        <x:v>Core Family</x:v>
      </x:c>
    </x:row>
    <x:row r="91" ht="44" customHeight="1">
      <x:c r="A91" s="24" t="str">
        <x:v>PPL-506</x:v>
      </x:c>
      <x:c r="B91" s="24" t="str">
        <x:v>Possessing Entities</x:v>
      </x:c>
      <x:c r="C91" s="24" t="str">
        <x:v>People &amp; Beings</x:v>
      </x:c>
      <x:c r="D91" s="24" t="str">
        <x:v>PPL-500</x:v>
      </x:c>
      <x:c r="E91" s="24" t="str">
        <x:f>IF(D91="","",IFERROR(VLOOKUP(D91,$A$2:$B$1226,2,FALSE),""))</x:f>
        <x:v>Infernal and Corruptive Beings</x:v>
      </x:c>
      <x:c r="F91" s="24" t="n">
        <x:v>3</x:v>
      </x:c>
      <x:c r="G91" s="24" t="str">
        <x:v>Beings that enter, control, share, or overwrite another creature's body or mind.</x:v>
      </x:c>
      <x:c r="H91" s="24" t="str">
        <x:v>Source-specific examples may differ biologically, metaphysically, culturally, and morally; map them as analogues unless equivalence is explicit.</x:v>
      </x:c>
      <x:c r="I91" s="24" t="str">
        <x:v>possessor; possessing demon; rider</x:v>
      </x:c>
      <x:c r="J91" s="24" t="str">
        <x:v>Antagonist, corrupter, pact source, invader, embodiment of vice, or hostile outsider.</x:v>
      </x:c>
      <x:c r="K91" s="24" t="str">
        <x:v>possessor; possessing demon; rider</x:v>
      </x:c>
      <x:c r="L91" s="24" t="str">
        <x:v>Preserve each source's ontology, culture, history, and terminology when making comparisons.</x:v>
      </x:c>
      <x:c r="M91" s="24" t="str">
        <x:v>Core Family</x:v>
      </x:c>
    </x:row>
    <x:row r="92" ht="44" customHeight="1">
      <x:c r="A92" s="24" t="str">
        <x:v>PPL-507</x:v>
      </x:c>
      <x:c r="B92" s="24" t="str">
        <x:v>Tempters and Bargain-Makers</x:v>
      </x:c>
      <x:c r="C92" s="24" t="str">
        <x:v>People &amp; Beings</x:v>
      </x:c>
      <x:c r="D92" s="24" t="str">
        <x:v>PPL-500</x:v>
      </x:c>
      <x:c r="E92" s="24" t="str">
        <x:f>IF(D92="","",IFERROR(VLOOKUP(D92,$A$2:$B$1226,2,FALSE),""))</x:f>
        <x:v>Infernal and Corruptive Beings</x:v>
      </x:c>
      <x:c r="F92" s="24" t="n">
        <x:v>3</x:v>
      </x:c>
      <x:c r="G92" s="24" t="str">
        <x:v>Supernatural beings whose narrative role centers on offers, tests, loopholes, wishes, and costly exchanges.</x:v>
      </x:c>
      <x:c r="H92" s="24" t="str">
        <x:v>Source-specific examples may differ biologically, metaphysically, culturally, and morally; map them as analogues unless equivalence is explicit.</x:v>
      </x:c>
      <x:c r="I92" s="24" t="str">
        <x:v>tempter; deal-maker; crossroads spirit</x:v>
      </x:c>
      <x:c r="J92" s="24" t="str">
        <x:v>Antagonist, corrupter, pact source, invader, embodiment of vice, or hostile outsider.</x:v>
      </x:c>
      <x:c r="K92" s="24" t="str">
        <x:v>tempter; deal-maker; crossroads spirit</x:v>
      </x:c>
      <x:c r="L92" s="24" t="str">
        <x:v>Preserve each source's ontology, culture, history, and terminology when making comparisons.</x:v>
      </x:c>
      <x:c r="M92" s="24" t="str">
        <x:v>Core Family</x:v>
      </x:c>
    </x:row>
    <x:row r="93" ht="44" customHeight="1">
      <x:c r="A93" s="24" t="str">
        <x:v>PPL-508</x:v>
      </x:c>
      <x:c r="B93" s="24" t="str">
        <x:v>Chaos Spawn and Mutants</x:v>
      </x:c>
      <x:c r="C93" s="24" t="str">
        <x:v>People &amp; Beings</x:v>
      </x:c>
      <x:c r="D93" s="24" t="str">
        <x:v>PPL-500</x:v>
      </x:c>
      <x:c r="E93" s="24" t="str">
        <x:f>IF(D93="","",IFERROR(VLOOKUP(D93,$A$2:$B$1226,2,FALSE),""))</x:f>
        <x:v>Infernal and Corruptive Beings</x:v>
      </x:c>
      <x:c r="F93" s="24" t="n">
        <x:v>3</x:v>
      </x:c>
      <x:c r="G93" s="24" t="str">
        <x:v>Beings reshaped by uncontrolled magic, divine chaos, corruption, or exposure to reality-warping forces.</x:v>
      </x:c>
      <x:c r="H93" s="24" t="str">
        <x:v>Source-specific examples may differ biologically, metaphysically, culturally, and morally; map them as analogues unless equivalence is explicit.</x:v>
      </x:c>
      <x:c r="I93" s="24" t="str">
        <x:v>chaos spawn; warp mutant; corrupted beast</x:v>
      </x:c>
      <x:c r="J93" s="24" t="str">
        <x:v>Antagonist, corrupter, pact source, invader, embodiment of vice, or hostile outsider.</x:v>
      </x:c>
      <x:c r="K93" s="24" t="str">
        <x:v>chaos spawn; warp mutant; corrupted beast</x:v>
      </x:c>
      <x:c r="L93" s="24" t="str">
        <x:v>Preserve each source's ontology, culture, history, and terminology when making comparisons.</x:v>
      </x:c>
      <x:c r="M93" s="24" t="str">
        <x:v>Core Family</x:v>
      </x:c>
    </x:row>
    <x:row r="94" ht="44" customHeight="1">
      <x:c r="A94" s="24" t="str">
        <x:v>PPL-509</x:v>
      </x:c>
      <x:c r="B94" s="24" t="str">
        <x:v>Demon Lords and Archfiends</x:v>
      </x:c>
      <x:c r="C94" s="24" t="str">
        <x:v>People &amp; Beings</x:v>
      </x:c>
      <x:c r="D94" s="24" t="str">
        <x:v>PPL-500</x:v>
      </x:c>
      <x:c r="E94" s="24" t="str">
        <x:f>IF(D94="","",IFERROR(VLOOKUP(D94,$A$2:$B$1226,2,FALSE),""))</x:f>
        <x:v>Infernal and Corruptive Beings</x:v>
      </x:c>
      <x:c r="F94" s="24" t="n">
        <x:v>3</x:v>
      </x:c>
      <x:c r="G94" s="24" t="str">
        <x:v>Sovereign or near-divine fiends who rule infernal realms, cults, armies, or metaphysical principles.</x:v>
      </x:c>
      <x:c r="H94" s="24" t="str">
        <x:v>Source-specific examples may differ biologically, metaphysically, culturally, and morally; map them as analogues unless equivalence is explicit.</x:v>
      </x:c>
      <x:c r="I94" s="24" t="str">
        <x:v>demon lord; archdevil; dark god</x:v>
      </x:c>
      <x:c r="J94" s="24" t="str">
        <x:v>Antagonist, corrupter, pact source, invader, embodiment of vice, or hostile outsider.</x:v>
      </x:c>
      <x:c r="K94" s="24" t="str">
        <x:v>demon lord; archdevil; dark god</x:v>
      </x:c>
      <x:c r="L94" s="24" t="str">
        <x:v>Preserve each source's ontology, culture, history, and terminology when making comparisons.</x:v>
      </x:c>
      <x:c r="M94" s="24" t="str">
        <x:v>Core Family</x:v>
      </x:c>
    </x:row>
    <x:row r="95" ht="44" customHeight="1">
      <x:c r="A95" s="24" t="str">
        <x:v>PPL-510</x:v>
      </x:c>
      <x:c r="B95" s="24" t="str">
        <x:v>Hungry Ghosts and Predatory Spirits</x:v>
      </x:c>
      <x:c r="C95" s="24" t="str">
        <x:v>People &amp; Beings</x:v>
      </x:c>
      <x:c r="D95" s="24" t="str">
        <x:v>PPL-500</x:v>
      </x:c>
      <x:c r="E95" s="24" t="str">
        <x:f>IF(D95="","",IFERROR(VLOOKUP(D95,$A$2:$B$1226,2,FALSE),""))</x:f>
        <x:v>Infernal and Corruptive Beings</x:v>
      </x:c>
      <x:c r="F95" s="24" t="n">
        <x:v>3</x:v>
      </x:c>
      <x:c r="G95" s="24" t="str">
        <x:v>Postmortem or spirit beings driven by insatiable appetite, resentment, or imbalance.</x:v>
      </x:c>
      <x:c r="H95" s="24" t="str">
        <x:v>Source-specific examples may differ biologically, metaphysically, culturally, and morally; map them as analogues unless equivalence is explicit.</x:v>
      </x:c>
      <x:c r="I95" s="24" t="str">
        <x:v>hungry ghost; preta-like; devouring spirit</x:v>
      </x:c>
      <x:c r="J95" s="24" t="str">
        <x:v>Antagonist, corrupter, pact source, invader, embodiment of vice, or hostile outsider.</x:v>
      </x:c>
      <x:c r="K95" s="24" t="str">
        <x:v>hungry ghost; preta-like; devouring spirit</x:v>
      </x:c>
      <x:c r="L95" s="24" t="str">
        <x:v>Respect Buddhist and East Asian religious contexts when using hungry-ghost terminology.</x:v>
      </x:c>
      <x:c r="M95" s="24" t="str">
        <x:v>Core Family</x:v>
      </x:c>
    </x:row>
    <x:row r="96" ht="44" customHeight="1">
      <x:c r="A96" s="24" t="str">
        <x:v>PPL-511</x:v>
      </x:c>
      <x:c r="B96" s="24" t="str">
        <x:v>Oni-Derived Beings</x:v>
      </x:c>
      <x:c r="C96" s="24" t="str">
        <x:v>People &amp; Beings</x:v>
      </x:c>
      <x:c r="D96" s="24" t="str">
        <x:v>PPL-500</x:v>
      </x:c>
      <x:c r="E96" s="24" t="str">
        <x:f>IF(D96="","",IFERROR(VLOOKUP(D96,$A$2:$B$1226,2,FALSE),""))</x:f>
        <x:v>Infernal and Corruptive Beings</x:v>
      </x:c>
      <x:c r="F96" s="24" t="n">
        <x:v>3</x:v>
      </x:c>
      <x:c r="G96" s="24" t="str">
        <x:v>Japanese ogre-demon figures or adaptations marked by horns, clubs, punishment, wildness, or liminality.</x:v>
      </x:c>
      <x:c r="H96" s="24" t="str">
        <x:v>Source-specific examples may differ biologically, metaphysically, culturally, and morally; map them as analogues unless equivalence is explicit.</x:v>
      </x:c>
      <x:c r="I96" s="24" t="str">
        <x:v>oni; ogre-demon</x:v>
      </x:c>
      <x:c r="J96" s="24" t="str">
        <x:v>Antagonist, corrupter, pact source, invader, embodiment of vice, or hostile outsider.</x:v>
      </x:c>
      <x:c r="K96" s="24" t="str">
        <x:v>oni; ogre-demon</x:v>
      </x:c>
      <x:c r="L96" s="24" t="str">
        <x:v>Oni are culturally specific and should not be flattened into a generic Western demon or ogre category.</x:v>
      </x:c>
      <x:c r="M96" s="24" t="str">
        <x:v>Core Family</x:v>
      </x:c>
    </x:row>
    <x:row r="97" ht="44" customHeight="1">
      <x:c r="A97" s="24" t="str">
        <x:v>PPL-601</x:v>
      </x:c>
      <x:c r="B97" s="24" t="str">
        <x:v>Ghosts</x:v>
      </x:c>
      <x:c r="C97" s="24" t="str">
        <x:v>People &amp; Beings</x:v>
      </x:c>
      <x:c r="D97" s="24" t="str">
        <x:v>PPL-600</x:v>
      </x:c>
      <x:c r="E97" s="24" t="str">
        <x:f>IF(D97="","",IFERROR(VLOOKUP(D97,$A$2:$B$1226,2,FALSE),""))</x:f>
        <x:v>Undead Beings</x:v>
      </x:c>
      <x:c r="F97" s="24" t="n">
        <x:v>3</x:v>
      </x:c>
      <x:c r="G97" s="24" t="str">
        <x:v>Disembodied dead whose identity, memory, attachment, duty, or trauma persists after death.</x:v>
      </x:c>
      <x:c r="H97" s="24" t="str">
        <x:v>Source-specific examples may differ biologically, metaphysically, culturally, and morally; map them as analogues unless equivalence is explicit.</x:v>
      </x:c>
      <x:c r="I97" s="24" t="str">
        <x:v>ghost; spirit of the dead; shade</x:v>
      </x:c>
      <x:c r="J97" s="24" t="str">
        <x:v>Horror, tragic persistence, immortal aristocracy, necromantic army, ancestral guardian, or playable condition.</x:v>
      </x:c>
      <x:c r="K97" s="24" t="str">
        <x:v>ghost; spirit of the dead; shade</x:v>
      </x:c>
      <x:c r="L97" s="24" t="str">
        <x:v>Preserve each source's ontology, culture, history, and terminology when making comparisons.</x:v>
      </x:c>
      <x:c r="M97" s="24" t="str">
        <x:v>Core Family</x:v>
      </x:c>
    </x:row>
    <x:row r="98" ht="44" customHeight="1">
      <x:c r="A98" s="24" t="str">
        <x:v>PPL-602</x:v>
      </x:c>
      <x:c r="B98" s="24" t="str">
        <x:v>Revenants</x:v>
      </x:c>
      <x:c r="C98" s="24" t="str">
        <x:v>People &amp; Beings</x:v>
      </x:c>
      <x:c r="D98" s="24" t="str">
        <x:v>PPL-600</x:v>
      </x:c>
      <x:c r="E98" s="24" t="str">
        <x:f>IF(D98="","",IFERROR(VLOOKUP(D98,$A$2:$B$1226,2,FALSE),""))</x:f>
        <x:v>Undead Beings</x:v>
      </x:c>
      <x:c r="F98" s="24" t="n">
        <x:v>3</x:v>
      </x:c>
      <x:c r="G98" s="24" t="str">
        <x:v>Dead individuals who return with purpose, grievance, duty, vengeance, or an unfinished task.</x:v>
      </x:c>
      <x:c r="H98" s="24" t="str">
        <x:v>Source-specific examples may differ biologically, metaphysically, culturally, and morally; map them as analogues unless equivalence is explicit.</x:v>
      </x:c>
      <x:c r="I98" s="24" t="str">
        <x:v>revenant; returned dead; avenger</x:v>
      </x:c>
      <x:c r="J98" s="24" t="str">
        <x:v>Horror, tragic persistence, immortal aristocracy, necromantic army, ancestral guardian, or playable condition.</x:v>
      </x:c>
      <x:c r="K98" s="24" t="str">
        <x:v>revenant; returned dead; avenger</x:v>
      </x:c>
      <x:c r="L98" s="24" t="str">
        <x:v>Preserve each source's ontology, culture, history, and terminology when making comparisons.</x:v>
      </x:c>
      <x:c r="M98" s="24" t="str">
        <x:v>Core Family</x:v>
      </x:c>
    </x:row>
    <x:row r="99" ht="44" customHeight="1">
      <x:c r="A99" s="24" t="str">
        <x:v>PPL-603</x:v>
      </x:c>
      <x:c r="B99" s="24" t="str">
        <x:v>Skeletons</x:v>
      </x:c>
      <x:c r="C99" s="24" t="str">
        <x:v>People &amp; Beings</x:v>
      </x:c>
      <x:c r="D99" s="24" t="str">
        <x:v>PPL-600</x:v>
      </x:c>
      <x:c r="E99" s="24" t="str">
        <x:f>IF(D99="","",IFERROR(VLOOKUP(D99,$A$2:$B$1226,2,FALSE),""))</x:f>
        <x:v>Undead Beings</x:v>
      </x:c>
      <x:c r="F99" s="24" t="n">
        <x:v>3</x:v>
      </x:c>
      <x:c r="G99" s="24" t="str">
        <x:v>Animated bones functioning as servants, soldiers, cursed dead, or autonomous undead peoples.</x:v>
      </x:c>
      <x:c r="H99" s="24" t="str">
        <x:v>Source-specific examples may differ biologically, metaphysically, culturally, and morally; map them as analogues unless equivalence is explicit.</x:v>
      </x:c>
      <x:c r="I99" s="24" t="str">
        <x:v>skeleton; bone warrior</x:v>
      </x:c>
      <x:c r="J99" s="24" t="str">
        <x:v>Horror, tragic persistence, immortal aristocracy, necromantic army, ancestral guardian, or playable condition.</x:v>
      </x:c>
      <x:c r="K99" s="24" t="str">
        <x:v>skeleton; bone warrior</x:v>
      </x:c>
      <x:c r="L99" s="24" t="str">
        <x:v>Preserve each source's ontology, culture, history, and terminology when making comparisons.</x:v>
      </x:c>
      <x:c r="M99" s="24" t="str">
        <x:v>Core Family</x:v>
      </x:c>
    </x:row>
    <x:row r="100" ht="44" customHeight="1">
      <x:c r="A100" s="24" t="str">
        <x:v>PPL-604</x:v>
      </x:c>
      <x:c r="B100" s="24" t="str">
        <x:v>Zombies</x:v>
      </x:c>
      <x:c r="C100" s="24" t="str">
        <x:v>People &amp; Beings</x:v>
      </x:c>
      <x:c r="D100" s="24" t="str">
        <x:v>PPL-600</x:v>
      </x:c>
      <x:c r="E100" s="24" t="str">
        <x:f>IF(D100="","",IFERROR(VLOOKUP(D100,$A$2:$B$1226,2,FALSE),""))</x:f>
        <x:v>Undead Beings</x:v>
      </x:c>
      <x:c r="F100" s="24" t="n">
        <x:v>3</x:v>
      </x:c>
      <x:c r="G100" s="24" t="str">
        <x:v>Animated corpses characterized by decay, diminished agency, infection, hunger, mass threat, or necromantic control.</x:v>
      </x:c>
      <x:c r="H100" s="24" t="str">
        <x:v>Source-specific examples may differ biologically, metaphysically, culturally, and morally; map them as analogues unless equivalence is explicit.</x:v>
      </x:c>
      <x:c r="I100" s="24" t="str">
        <x:v>zombie; walking corpse; shambling dead</x:v>
      </x:c>
      <x:c r="J100" s="24" t="str">
        <x:v>Horror, tragic persistence, immortal aristocracy, necromantic army, ancestral guardian, or playable condition.</x:v>
      </x:c>
      <x:c r="K100" s="24" t="str">
        <x:v>zombie; walking corpse; shambling dead</x:v>
      </x:c>
      <x:c r="L100" s="24" t="str">
        <x:v>Preserve each source's ontology, culture, history, and terminology when making comparisons.</x:v>
      </x:c>
      <x:c r="M100" s="24" t="str">
        <x:v>Core Family</x:v>
      </x:c>
    </x:row>
    <x:row r="101" ht="44" customHeight="1">
      <x:c r="A101" s="24" t="str">
        <x:v>PPL-605</x:v>
      </x:c>
      <x:c r="B101" s="24" t="str">
        <x:v>Ghouls</x:v>
      </x:c>
      <x:c r="C101" s="24" t="str">
        <x:v>People &amp; Beings</x:v>
      </x:c>
      <x:c r="D101" s="24" t="str">
        <x:v>PPL-600</x:v>
      </x:c>
      <x:c r="E101" s="24" t="str">
        <x:f>IF(D101="","",IFERROR(VLOOKUP(D101,$A$2:$B$1226,2,FALSE),""))</x:f>
        <x:v>Undead Beings</x:v>
      </x:c>
      <x:c r="F101" s="24" t="n">
        <x:v>3</x:v>
      </x:c>
      <x:c r="G101" s="24" t="str">
        <x:v>Corpse-eating or grave-associated undead whose identity centers on hunger, degeneration, or predation.</x:v>
      </x:c>
      <x:c r="H101" s="24" t="str">
        <x:v>Source-specific examples may differ biologically, metaphysically, culturally, and morally; map them as analogues unless equivalence is explicit.</x:v>
      </x:c>
      <x:c r="I101" s="24" t="str">
        <x:v>ghoul; grave-eater</x:v>
      </x:c>
      <x:c r="J101" s="24" t="str">
        <x:v>Horror, tragic persistence, immortal aristocracy, necromantic army, ancestral guardian, or playable condition.</x:v>
      </x:c>
      <x:c r="K101" s="24" t="str">
        <x:v>ghoul; grave-eater</x:v>
      </x:c>
      <x:c r="L101" s="24" t="str">
        <x:v>Preserve each source's ontology, culture, history, and terminology when making comparisons.</x:v>
      </x:c>
      <x:c r="M101" s="24" t="str">
        <x:v>Core Family</x:v>
      </x:c>
    </x:row>
    <x:row r="102" ht="44" customHeight="1">
      <x:c r="A102" s="24" t="str">
        <x:v>PPL-606</x:v>
      </x:c>
      <x:c r="B102" s="24" t="str">
        <x:v>Wights and Wraiths</x:v>
      </x:c>
      <x:c r="C102" s="24" t="str">
        <x:v>People &amp; Beings</x:v>
      </x:c>
      <x:c r="D102" s="24" t="str">
        <x:v>PPL-600</x:v>
      </x:c>
      <x:c r="E102" s="24" t="str">
        <x:f>IF(D102="","",IFERROR(VLOOKUP(D102,$A$2:$B$1226,2,FALSE),""))</x:f>
        <x:v>Undead Beings</x:v>
      </x:c>
      <x:c r="F102" s="24" t="n">
        <x:v>3</x:v>
      </x:c>
      <x:c r="G102" s="24" t="str">
        <x:v>Powerful spectral or preserved undead associated with draining life, barrows, cursed kingship, or dark sorcery.</x:v>
      </x:c>
      <x:c r="H102" s="24" t="str">
        <x:v>Source-specific examples may differ biologically, metaphysically, culturally, and morally; map them as analogues unless equivalence is explicit.</x:v>
      </x:c>
      <x:c r="I102" s="24" t="str">
        <x:v>wight; wraith; ringwraith-like</x:v>
      </x:c>
      <x:c r="J102" s="24" t="str">
        <x:v>Horror, tragic persistence, immortal aristocracy, necromantic army, ancestral guardian, or playable condition.</x:v>
      </x:c>
      <x:c r="K102" s="24" t="str">
        <x:v>wight; wraith; ringwraith-like</x:v>
      </x:c>
      <x:c r="L102" s="24" t="str">
        <x:v>Preserve each source's ontology, culture, history, and terminology when making comparisons.</x:v>
      </x:c>
      <x:c r="M102" s="24" t="str">
        <x:v>Core Family</x:v>
      </x:c>
    </x:row>
    <x:row r="103" ht="44" customHeight="1">
      <x:c r="A103" s="24" t="str">
        <x:v>PPL-607</x:v>
      </x:c>
      <x:c r="B103" s="24" t="str">
        <x:v>Vampires</x:v>
      </x:c>
      <x:c r="C103" s="24" t="str">
        <x:v>People &amp; Beings</x:v>
      </x:c>
      <x:c r="D103" s="24" t="str">
        <x:v>PPL-600</x:v>
      </x:c>
      <x:c r="E103" s="24" t="str">
        <x:f>IF(D103="","",IFERROR(VLOOKUP(D103,$A$2:$B$1226,2,FALSE),""))</x:f>
        <x:v>Undead Beings</x:v>
      </x:c>
      <x:c r="F103" s="24" t="n">
        <x:v>3</x:v>
      </x:c>
      <x:c r="G103" s="24" t="str">
        <x:v>Undead, cursed, parasitic, or transformed beings that sustain themselves on blood, life, emotion, or soul essence.</x:v>
      </x:c>
      <x:c r="H103" s="24" t="str">
        <x:v>Source-specific examples may differ biologically, metaphysically, culturally, and morally; map them as analogues unless equivalence is explicit.</x:v>
      </x:c>
      <x:c r="I103" s="24" t="str">
        <x:v>vampire; nosferatu; blood-drinker</x:v>
      </x:c>
      <x:c r="J103" s="24" t="str">
        <x:v>Horror, tragic persistence, immortal aristocracy, necromantic army, ancestral guardian, or playable condition.</x:v>
      </x:c>
      <x:c r="K103" s="24" t="str">
        <x:v>vampire; nosferatu; blood-drinker</x:v>
      </x:c>
      <x:c r="L103" s="24" t="str">
        <x:v>Track whether vampirism is species, disease, curse, aristocratic condition, demonic lineage, or playable template.</x:v>
      </x:c>
      <x:c r="M103" s="24" t="str">
        <x:v>Core Family</x:v>
      </x:c>
    </x:row>
    <x:row r="104" ht="44" customHeight="1">
      <x:c r="A104" s="24" t="str">
        <x:v>PPL-608</x:v>
      </x:c>
      <x:c r="B104" s="24" t="str">
        <x:v>Liches</x:v>
      </x:c>
      <x:c r="C104" s="24" t="str">
        <x:v>People &amp; Beings</x:v>
      </x:c>
      <x:c r="D104" s="24" t="str">
        <x:v>PPL-600</x:v>
      </x:c>
      <x:c r="E104" s="24" t="str">
        <x:f>IF(D104="","",IFERROR(VLOOKUP(D104,$A$2:$B$1226,2,FALSE),""))</x:f>
        <x:v>Undead Beings</x:v>
      </x:c>
      <x:c r="F104" s="24" t="n">
        <x:v>3</x:v>
      </x:c>
      <x:c r="G104" s="24" t="str">
        <x:v>Spellcasters or rulers who deliberately preserve mind and power beyond death, often through a soul vessel or ritual.</x:v>
      </x:c>
      <x:c r="H104" s="24" t="str">
        <x:v>Source-specific examples may differ biologically, metaphysically, culturally, and morally; map them as analogues unless equivalence is explicit.</x:v>
      </x:c>
      <x:c r="I104" s="24" t="str">
        <x:v>lich; phylactery-bound mage; undead sorcerer</x:v>
      </x:c>
      <x:c r="J104" s="24" t="str">
        <x:v>Horror, tragic persistence, immortal aristocracy, necromantic army, ancestral guardian, or playable condition.</x:v>
      </x:c>
      <x:c r="K104" s="24" t="str">
        <x:v>lich; phylactery-bound mage; undead sorcerer</x:v>
      </x:c>
      <x:c r="L104" s="24" t="str">
        <x:v>Preserve each source's ontology, culture, history, and terminology when making comparisons.</x:v>
      </x:c>
      <x:c r="M104" s="24" t="str">
        <x:v>Core Family</x:v>
      </x:c>
    </x:row>
    <x:row r="105" ht="44" customHeight="1">
      <x:c r="A105" s="24" t="str">
        <x:v>PPL-609</x:v>
      </x:c>
      <x:c r="B105" s="24" t="str">
        <x:v>Mummies</x:v>
      </x:c>
      <x:c r="C105" s="24" t="str">
        <x:v>People &amp; Beings</x:v>
      </x:c>
      <x:c r="D105" s="24" t="str">
        <x:v>PPL-600</x:v>
      </x:c>
      <x:c r="E105" s="24" t="str">
        <x:f>IF(D105="","",IFERROR(VLOOKUP(D105,$A$2:$B$1226,2,FALSE),""))</x:f>
        <x:v>Undead Beings</x:v>
      </x:c>
      <x:c r="F105" s="24" t="n">
        <x:v>3</x:v>
      </x:c>
      <x:c r="G105" s="24" t="str">
        <x:v>Preserved dead animated by curse, ritual duty, royal authority, or funerary magic.</x:v>
      </x:c>
      <x:c r="H105" s="24" t="str">
        <x:v>Source-specific examples may differ biologically, metaphysically, culturally, and morally; map them as analogues unless equivalence is explicit.</x:v>
      </x:c>
      <x:c r="I105" s="24" t="str">
        <x:v>mummy; embalmed guardian</x:v>
      </x:c>
      <x:c r="J105" s="24" t="str">
        <x:v>Horror, tragic persistence, immortal aristocracy, necromantic army, ancestral guardian, or playable condition.</x:v>
      </x:c>
      <x:c r="K105" s="24" t="str">
        <x:v>mummy; embalmed guardian</x:v>
      </x:c>
      <x:c r="L105" s="24" t="str">
        <x:v>Preserve each source's ontology, culture, history, and terminology when making comparisons.</x:v>
      </x:c>
      <x:c r="M105" s="24" t="str">
        <x:v>Core Family</x:v>
      </x:c>
    </x:row>
    <x:row r="106" ht="44" customHeight="1">
      <x:c r="A106" s="24" t="str">
        <x:v>PPL-610</x:v>
      </x:c>
      <x:c r="B106" s="24" t="str">
        <x:v>Banshees and Death-Wail Spirits</x:v>
      </x:c>
      <x:c r="C106" s="24" t="str">
        <x:v>People &amp; Beings</x:v>
      </x:c>
      <x:c r="D106" s="24" t="str">
        <x:v>PPL-600</x:v>
      </x:c>
      <x:c r="E106" s="24" t="str">
        <x:f>IF(D106="","",IFERROR(VLOOKUP(D106,$A$2:$B$1226,2,FALSE),""))</x:f>
        <x:v>Undead Beings</x:v>
      </x:c>
      <x:c r="F106" s="24" t="n">
        <x:v>3</x:v>
      </x:c>
      <x:c r="G106" s="24" t="str">
        <x:v>Spectral figures whose cry, grief, or prophecy heralds death or inflicts harm.</x:v>
      </x:c>
      <x:c r="H106" s="24" t="str">
        <x:v>Source-specific examples may differ biologically, metaphysically, culturally, and morally; map them as analogues unless equivalence is explicit.</x:v>
      </x:c>
      <x:c r="I106" s="24" t="str">
        <x:v>banshee; keening spirit</x:v>
      </x:c>
      <x:c r="J106" s="24" t="str">
        <x:v>Horror, tragic persistence, immortal aristocracy, necromantic army, ancestral guardian, or playable condition.</x:v>
      </x:c>
      <x:c r="K106" s="24" t="str">
        <x:v>banshee; keening spirit</x:v>
      </x:c>
      <x:c r="L106" s="24" t="str">
        <x:v>Preserve each source's ontology, culture, history, and terminology when making comparisons.</x:v>
      </x:c>
      <x:c r="M106" s="24" t="str">
        <x:v>Core Family</x:v>
      </x:c>
    </x:row>
    <x:row r="107" ht="44" customHeight="1">
      <x:c r="A107" s="24" t="str">
        <x:v>PPL-611</x:v>
      </x:c>
      <x:c r="B107" s="24" t="str">
        <x:v>Death Knights</x:v>
      </x:c>
      <x:c r="C107" s="24" t="str">
        <x:v>People &amp; Beings</x:v>
      </x:c>
      <x:c r="D107" s="24" t="str">
        <x:v>PPL-600</x:v>
      </x:c>
      <x:c r="E107" s="24" t="str">
        <x:f>IF(D107="","",IFERROR(VLOOKUP(D107,$A$2:$B$1226,2,FALSE),""))</x:f>
        <x:v>Undead Beings</x:v>
      </x:c>
      <x:c r="F107" s="24" t="n">
        <x:v>3</x:v>
      </x:c>
      <x:c r="G107" s="24" t="str">
        <x:v>Armored undead or death-bound champions who retain martial skill, command, and often a corrupted oath.</x:v>
      </x:c>
      <x:c r="H107" s="24" t="str">
        <x:v>Source-specific examples may differ biologically, metaphysically, culturally, and morally; map them as analogues unless equivalence is explicit.</x:v>
      </x:c>
      <x:c r="I107" s="24" t="str">
        <x:v>death knight; black rider; grave knight</x:v>
      </x:c>
      <x:c r="J107" s="24" t="str">
        <x:v>Horror, tragic persistence, immortal aristocracy, necromantic army, ancestral guardian, or playable condition.</x:v>
      </x:c>
      <x:c r="K107" s="24" t="str">
        <x:v>death knight; black rider; grave knight</x:v>
      </x:c>
      <x:c r="L107" s="24" t="str">
        <x:v>Preserve each source's ontology, culture, history, and terminology when making comparisons.</x:v>
      </x:c>
      <x:c r="M107" s="24" t="str">
        <x:v>Core Family</x:v>
      </x:c>
    </x:row>
    <x:row r="108" ht="44" customHeight="1">
      <x:c r="A108" s="24" t="str">
        <x:v>PPL-612</x:v>
      </x:c>
      <x:c r="B108" s="24" t="str">
        <x:v>Draugr and Barrow Dead</x:v>
      </x:c>
      <x:c r="C108" s="24" t="str">
        <x:v>People &amp; Beings</x:v>
      </x:c>
      <x:c r="D108" s="24" t="str">
        <x:v>PPL-600</x:v>
      </x:c>
      <x:c r="E108" s="24" t="str">
        <x:f>IF(D108="","",IFERROR(VLOOKUP(D108,$A$2:$B$1226,2,FALSE),""))</x:f>
        <x:v>Undead Beings</x:v>
      </x:c>
      <x:c r="F108" s="24" t="n">
        <x:v>3</x:v>
      </x:c>
      <x:c r="G108" s="24" t="str">
        <x:v>Weapon-bearing dead bound to tombs, treasure, territory, or ancient obligations.</x:v>
      </x:c>
      <x:c r="H108" s="24" t="str">
        <x:v>Source-specific examples may differ biologically, metaphysically, culturally, and morally; map them as analogues unless equivalence is explicit.</x:v>
      </x:c>
      <x:c r="I108" s="24" t="str">
        <x:v>draugr; barrow-wight; tomb guardian</x:v>
      </x:c>
      <x:c r="J108" s="24" t="str">
        <x:v>Horror, tragic persistence, immortal aristocracy, necromantic army, ancestral guardian, or playable condition.</x:v>
      </x:c>
      <x:c r="K108" s="24" t="str">
        <x:v>draugr; barrow-wight; tomb guardian</x:v>
      </x:c>
      <x:c r="L108" s="24" t="str">
        <x:v>Draugr derive from Old Norse tradition; distinguish them from generic zombies.</x:v>
      </x:c>
      <x:c r="M108" s="24" t="str">
        <x:v>Core Family</x:v>
      </x:c>
    </x:row>
    <x:row r="109" ht="44" customHeight="1">
      <x:c r="A109" s="24" t="str">
        <x:v>PPL-613</x:v>
      </x:c>
      <x:c r="B109" s="24" t="str">
        <x:v>Corpse Swarms and Composite Undead</x:v>
      </x:c>
      <x:c r="C109" s="24" t="str">
        <x:v>People &amp; Beings</x:v>
      </x:c>
      <x:c r="D109" s="24" t="str">
        <x:v>PPL-600</x:v>
      </x:c>
      <x:c r="E109" s="24" t="str">
        <x:f>IF(D109="","",IFERROR(VLOOKUP(D109,$A$2:$B$1226,2,FALSE),""))</x:f>
        <x:v>Undead Beings</x:v>
      </x:c>
      <x:c r="F109" s="24" t="n">
        <x:v>3</x:v>
      </x:c>
      <x:c r="G109" s="24" t="str">
        <x:v>Undead formed from many bodies, bones, souls, or fragments rather than a single deceased individual.</x:v>
      </x:c>
      <x:c r="H109" s="24" t="str">
        <x:v>Source-specific examples may differ biologically, metaphysically, culturally, and morally; map them as analogues unless equivalence is explicit.</x:v>
      </x:c>
      <x:c r="I109" s="24" t="str">
        <x:v>bone mass; corpse amalgam; legion undead</x:v>
      </x:c>
      <x:c r="J109" s="24" t="str">
        <x:v>Horror, tragic persistence, immortal aristocracy, necromantic army, ancestral guardian, or playable condition.</x:v>
      </x:c>
      <x:c r="K109" s="24" t="str">
        <x:v>bone mass; corpse amalgam; legion undead</x:v>
      </x:c>
      <x:c r="L109" s="24" t="str">
        <x:v>Preserve each source's ontology, culture, history, and terminology when making comparisons.</x:v>
      </x:c>
      <x:c r="M109" s="24" t="str">
        <x:v>Core Family</x:v>
      </x:c>
    </x:row>
    <x:row r="110" ht="44" customHeight="1">
      <x:c r="A110" s="24" t="str">
        <x:v>PPL-614</x:v>
      </x:c>
      <x:c r="B110" s="24" t="str">
        <x:v>Soul-Bound Undead</x:v>
      </x:c>
      <x:c r="C110" s="24" t="str">
        <x:v>People &amp; Beings</x:v>
      </x:c>
      <x:c r="D110" s="24" t="str">
        <x:v>PPL-600</x:v>
      </x:c>
      <x:c r="E110" s="24" t="str">
        <x:f>IF(D110="","",IFERROR(VLOOKUP(D110,$A$2:$B$1226,2,FALSE),""))</x:f>
        <x:v>Undead Beings</x:v>
      </x:c>
      <x:c r="F110" s="24" t="n">
        <x:v>3</x:v>
      </x:c>
      <x:c r="G110" s="24" t="str">
        <x:v>Undead whose animation depends on a trapped, divided, transferred, or externally controlled soul.</x:v>
      </x:c>
      <x:c r="H110" s="24" t="str">
        <x:v>Source-specific examples may differ biologically, metaphysically, culturally, and morally; map them as analogues unless equivalence is explicit.</x:v>
      </x:c>
      <x:c r="I110" s="24" t="str">
        <x:v>soul-bound corpse; bound shade</x:v>
      </x:c>
      <x:c r="J110" s="24" t="str">
        <x:v>Horror, tragic persistence, immortal aristocracy, necromantic army, ancestral guardian, or playable condition.</x:v>
      </x:c>
      <x:c r="K110" s="24" t="str">
        <x:v>soul-bound corpse; bound shade</x:v>
      </x:c>
      <x:c r="L110" s="24" t="str">
        <x:v>Preserve each source's ontology, culture, history, and terminology when making comparisons.</x:v>
      </x:c>
      <x:c r="M110" s="24" t="str">
        <x:v>Core Family</x:v>
      </x:c>
    </x:row>
    <x:row r="111" ht="44" customHeight="1">
      <x:c r="A111" s="24" t="str">
        <x:v>PPL-615</x:v>
      </x:c>
      <x:c r="B111" s="24" t="str">
        <x:v>Intelligent Undead Peoples</x:v>
      </x:c>
      <x:c r="C111" s="24" t="str">
        <x:v>People &amp; Beings</x:v>
      </x:c>
      <x:c r="D111" s="24" t="str">
        <x:v>PPL-600</x:v>
      </x:c>
      <x:c r="E111" s="24" t="str">
        <x:f>IF(D111="","",IFERROR(VLOOKUP(D111,$A$2:$B$1226,2,FALSE),""))</x:f>
        <x:v>Undead Beings</x:v>
      </x:c>
      <x:c r="F111" s="24" t="n">
        <x:v>3</x:v>
      </x:c>
      <x:c r="G111" s="24" t="str">
        <x:v>Undead societies whose members possess stable personhood, culture, politics, and reproduction or recruitment.</x:v>
      </x:c>
      <x:c r="H111" s="24" t="str">
        <x:v>Source-specific examples may differ biologically, metaphysically, culturally, and morally; map them as analogues unless equivalence is explicit.</x:v>
      </x:c>
      <x:c r="I111" s="24" t="str">
        <x:v>forsaken-like; undead nation; vampire society</x:v>
      </x:c>
      <x:c r="J111" s="24" t="str">
        <x:v>Horror, tragic persistence, immortal aristocracy, necromantic army, ancestral guardian, or playable condition.</x:v>
      </x:c>
      <x:c r="K111" s="24" t="str">
        <x:v>forsaken-like; undead nation; vampire society</x:v>
      </x:c>
      <x:c r="L111" s="24" t="str">
        <x:v>Preserve each source's ontology, culture, history, and terminology when making comparisons.</x:v>
      </x:c>
      <x:c r="M111" s="24" t="str">
        <x:v>Core Family</x:v>
      </x:c>
    </x:row>
    <x:row r="112" ht="44" customHeight="1">
      <x:c r="A112" s="24" t="str">
        <x:v>PPL-701</x:v>
      </x:c>
      <x:c r="B112" s="24" t="str">
        <x:v>Golems</x:v>
      </x:c>
      <x:c r="C112" s="24" t="str">
        <x:v>People &amp; Beings</x:v>
      </x:c>
      <x:c r="D112" s="24" t="str">
        <x:v>PPL-700</x:v>
      </x:c>
      <x:c r="E112" s="24" t="str">
        <x:f>IF(D112="","",IFERROR(VLOOKUP(D112,$A$2:$B$1226,2,FALSE),""))</x:f>
        <x:v>Constructs and Artificial Life</x:v>
      </x:c>
      <x:c r="F112" s="24" t="n">
        <x:v>3</x:v>
      </x:c>
      <x:c r="G112" s="24" t="str">
        <x:v>Artificial bodies animated by magic, inscription, divine name, elemental core, or command logic.</x:v>
      </x:c>
      <x:c r="H112" s="24" t="str">
        <x:v>Source-specific examples may differ biologically, metaphysically, culturally, and morally; map them as analogues unless equivalence is explicit.</x:v>
      </x:c>
      <x:c r="I112" s="24" t="str">
        <x:v>golem; clay guardian; stone construct</x:v>
      </x:c>
      <x:c r="J112" s="24" t="str">
        <x:v>Servant, soldier, artificial person, ethical test, inherited relic, or technological counterpoint to magic.</x:v>
      </x:c>
      <x:c r="K112" s="24" t="str">
        <x:v>golem; clay guardian; stone construct</x:v>
      </x:c>
      <x:c r="L112" s="24" t="str">
        <x:v>The golem has specific roots in Jewish folklore; distinguish that tradition from generic fantasy constructs.</x:v>
      </x:c>
      <x:c r="M112" s="24" t="str">
        <x:v>Core Family</x:v>
      </x:c>
    </x:row>
    <x:row r="113" ht="44" customHeight="1">
      <x:c r="A113" s="24" t="str">
        <x:v>PPL-702</x:v>
      </x:c>
      <x:c r="B113" s="24" t="str">
        <x:v>Clockwork and Robotic Beings</x:v>
      </x:c>
      <x:c r="C113" s="24" t="str">
        <x:v>People &amp; Beings</x:v>
      </x:c>
      <x:c r="D113" s="24" t="str">
        <x:v>PPL-700</x:v>
      </x:c>
      <x:c r="E113" s="24" t="str">
        <x:f>IF(D113="","",IFERROR(VLOOKUP(D113,$A$2:$B$1226,2,FALSE),""))</x:f>
        <x:v>Constructs and Artificial Life</x:v>
      </x:c>
      <x:c r="F113" s="24" t="n">
        <x:v>3</x:v>
      </x:c>
      <x:c r="G113" s="24" t="str">
        <x:v>Mechanical or magitech persons whose agency emerges from engineering, programming, soul cores, or awakened machinery.</x:v>
      </x:c>
      <x:c r="H113" s="24" t="str">
        <x:v>Source-specific examples may differ biologically, metaphysically, culturally, and morally; map them as analogues unless equivalence is explicit.</x:v>
      </x:c>
      <x:c r="I113" s="24" t="str">
        <x:v>automaton; clockwork person; robot; warforged-like</x:v>
      </x:c>
      <x:c r="J113" s="24" t="str">
        <x:v>Servant, soldier, artificial person, ethical test, inherited relic, or technological counterpoint to magic.</x:v>
      </x:c>
      <x:c r="K113" s="24" t="str">
        <x:v>automaton; clockwork person; robot; warforged-like</x:v>
      </x:c>
      <x:c r="L113" s="24" t="str">
        <x:v>Preserve each source's ontology, culture, history, and terminology when making comparisons.</x:v>
      </x:c>
      <x:c r="M113" s="24" t="str">
        <x:v>Core Family</x:v>
      </x:c>
    </x:row>
    <x:row r="114" ht="44" customHeight="1">
      <x:c r="A114" s="24" t="str">
        <x:v>PPL-703</x:v>
      </x:c>
      <x:c r="B114" s="24" t="str">
        <x:v>Homunculi</x:v>
      </x:c>
      <x:c r="C114" s="24" t="str">
        <x:v>People &amp; Beings</x:v>
      </x:c>
      <x:c r="D114" s="24" t="str">
        <x:v>PPL-700</x:v>
      </x:c>
      <x:c r="E114" s="24" t="str">
        <x:f>IF(D114="","",IFERROR(VLOOKUP(D114,$A$2:$B$1226,2,FALSE),""))</x:f>
        <x:v>Constructs and Artificial Life</x:v>
      </x:c>
      <x:c r="F114" s="24" t="n">
        <x:v>3</x:v>
      </x:c>
      <x:c r="G114" s="24" t="str">
        <x:v>Artificially created humanoids produced through alchemy, magic, laboratory growth, or incomplete imitation of life.</x:v>
      </x:c>
      <x:c r="H114" s="24" t="str">
        <x:v>Source-specific examples may differ biologically, metaphysically, culturally, and morally; map them as analogues unless equivalence is explicit.</x:v>
      </x:c>
      <x:c r="I114" s="24" t="str">
        <x:v>homunculus; artificial human</x:v>
      </x:c>
      <x:c r="J114" s="24" t="str">
        <x:v>Servant, soldier, artificial person, ethical test, inherited relic, or technological counterpoint to magic.</x:v>
      </x:c>
      <x:c r="K114" s="24" t="str">
        <x:v>homunculus; artificial human</x:v>
      </x:c>
      <x:c r="L114" s="24" t="str">
        <x:v>The term has alchemical and literary histories that differ from many modern anime/game uses.</x:v>
      </x:c>
      <x:c r="M114" s="24" t="str">
        <x:v>Core Family</x:v>
      </x:c>
    </x:row>
    <x:row r="115" ht="44" customHeight="1">
      <x:c r="A115" s="24" t="str">
        <x:v>PPL-704</x:v>
      </x:c>
      <x:c r="B115" s="24" t="str">
        <x:v>Animated Objects</x:v>
      </x:c>
      <x:c r="C115" s="24" t="str">
        <x:v>People &amp; Beings</x:v>
      </x:c>
      <x:c r="D115" s="24" t="str">
        <x:v>PPL-700</x:v>
      </x:c>
      <x:c r="E115" s="24" t="str">
        <x:f>IF(D115="","",IFERROR(VLOOKUP(D115,$A$2:$B$1226,2,FALSE),""))</x:f>
        <x:v>Constructs and Artificial Life</x:v>
      </x:c>
      <x:c r="F115" s="24" t="n">
        <x:v>3</x:v>
      </x:c>
      <x:c r="G115" s="24" t="str">
        <x:v>Tools, statues, armor, furniture, books, or buildings given movement and limited or full agency.</x:v>
      </x:c>
      <x:c r="H115" s="24" t="str">
        <x:v>Source-specific examples may differ biologically, metaphysically, culturally, and morally; map them as analogues unless equivalence is explicit.</x:v>
      </x:c>
      <x:c r="I115" s="24" t="str">
        <x:v>animated armor; living statue; dancing sword</x:v>
      </x:c>
      <x:c r="J115" s="24" t="str">
        <x:v>Servant, soldier, artificial person, ethical test, inherited relic, or technological counterpoint to magic.</x:v>
      </x:c>
      <x:c r="K115" s="24" t="str">
        <x:v>animated armor; living statue; dancing sword</x:v>
      </x:c>
      <x:c r="L115" s="24" t="str">
        <x:v>Preserve each source's ontology, culture, history, and terminology when making comparisons.</x:v>
      </x:c>
      <x:c r="M115" s="24" t="str">
        <x:v>Core Family</x:v>
      </x:c>
    </x:row>
    <x:row r="116" ht="44" customHeight="1">
      <x:c r="A116" s="24" t="str">
        <x:v>PPL-705</x:v>
      </x:c>
      <x:c r="B116" s="24" t="str">
        <x:v>Living Weapons</x:v>
      </x:c>
      <x:c r="C116" s="24" t="str">
        <x:v>People &amp; Beings</x:v>
      </x:c>
      <x:c r="D116" s="24" t="str">
        <x:v>PPL-700</x:v>
      </x:c>
      <x:c r="E116" s="24" t="str">
        <x:f>IF(D116="","",IFERROR(VLOOKUP(D116,$A$2:$B$1226,2,FALSE),""))</x:f>
        <x:v>Constructs and Artificial Life</x:v>
      </x:c>
      <x:c r="F116" s="24" t="n">
        <x:v>3</x:v>
      </x:c>
      <x:c r="G116" s="24" t="str">
        <x:v>Sentient or quasi-sentient weapons that act, speak, bond, tempt, transform, or select wielders.</x:v>
      </x:c>
      <x:c r="H116" s="24" t="str">
        <x:v>Source-specific examples may differ biologically, metaphysically, culturally, and morally; map them as analogues unless equivalence is explicit.</x:v>
      </x:c>
      <x:c r="I116" s="24" t="str">
        <x:v>sentient sword; living gun; weapon spirit</x:v>
      </x:c>
      <x:c r="J116" s="24" t="str">
        <x:v>Servant, soldier, artificial person, ethical test, inherited relic, or technological counterpoint to magic.</x:v>
      </x:c>
      <x:c r="K116" s="24" t="str">
        <x:v>sentient sword; living gun; weapon spirit</x:v>
      </x:c>
      <x:c r="L116" s="24" t="str">
        <x:v>Preserve each source's ontology, culture, history, and terminology when making comparisons.</x:v>
      </x:c>
      <x:c r="M116" s="24" t="str">
        <x:v>Core Family</x:v>
      </x:c>
    </x:row>
    <x:row r="117" ht="44" customHeight="1">
      <x:c r="A117" s="24" t="str">
        <x:v>PPL-706</x:v>
      </x:c>
      <x:c r="B117" s="24" t="str">
        <x:v>Clones and Replicants</x:v>
      </x:c>
      <x:c r="C117" s="24" t="str">
        <x:v>People &amp; Beings</x:v>
      </x:c>
      <x:c r="D117" s="24" t="str">
        <x:v>PPL-700</x:v>
      </x:c>
      <x:c r="E117" s="24" t="str">
        <x:f>IF(D117="","",IFERROR(VLOOKUP(D117,$A$2:$B$1226,2,FALSE),""))</x:f>
        <x:v>Constructs and Artificial Life</x:v>
      </x:c>
      <x:c r="F117" s="24" t="n">
        <x:v>3</x:v>
      </x:c>
      <x:c r="G117" s="24" t="str">
        <x:v>Deliberately copied bodies or persons whose identity raises questions of memory, soul, ownership, and continuity.</x:v>
      </x:c>
      <x:c r="H117" s="24" t="str">
        <x:v>Source-specific examples may differ biologically, metaphysically, culturally, and morally; map them as analogues unless equivalence is explicit.</x:v>
      </x:c>
      <x:c r="I117" s="24" t="str">
        <x:v>clone; duplicate; replica</x:v>
      </x:c>
      <x:c r="J117" s="24" t="str">
        <x:v>Servant, soldier, artificial person, ethical test, inherited relic, or technological counterpoint to magic.</x:v>
      </x:c>
      <x:c r="K117" s="24" t="str">
        <x:v>clone; duplicate; replica</x:v>
      </x:c>
      <x:c r="L117" s="24" t="str">
        <x:v>Preserve each source's ontology, culture, history, and terminology when making comparisons.</x:v>
      </x:c>
      <x:c r="M117" s="24" t="str">
        <x:v>Core Family</x:v>
      </x:c>
    </x:row>
    <x:row r="118" ht="44" customHeight="1">
      <x:c r="A118" s="24" t="str">
        <x:v>PPL-707</x:v>
      </x:c>
      <x:c r="B118" s="24" t="str">
        <x:v>Magical Puppets and Dolls</x:v>
      </x:c>
      <x:c r="C118" s="24" t="str">
        <x:v>People &amp; Beings</x:v>
      </x:c>
      <x:c r="D118" s="24" t="str">
        <x:v>PPL-700</x:v>
      </x:c>
      <x:c r="E118" s="24" t="str">
        <x:f>IF(D118="","",IFERROR(VLOOKUP(D118,$A$2:$B$1226,2,FALSE),""))</x:f>
        <x:v>Constructs and Artificial Life</x:v>
      </x:c>
      <x:c r="F118" s="24" t="n">
        <x:v>3</x:v>
      </x:c>
      <x:c r="G118" s="24" t="str">
        <x:v>Constructed bodies controlled by strings, spells, spirits, artisans, or autonomous awakening.</x:v>
      </x:c>
      <x:c r="H118" s="24" t="str">
        <x:v>Source-specific examples may differ biologically, metaphysically, culturally, and morally; map them as analogues unless equivalence is explicit.</x:v>
      </x:c>
      <x:c r="I118" s="24" t="str">
        <x:v>puppet; doll person; marionette</x:v>
      </x:c>
      <x:c r="J118" s="24" t="str">
        <x:v>Servant, soldier, artificial person, ethical test, inherited relic, or technological counterpoint to magic.</x:v>
      </x:c>
      <x:c r="K118" s="24" t="str">
        <x:v>puppet; doll person; marionette</x:v>
      </x:c>
      <x:c r="L118" s="24" t="str">
        <x:v>Preserve each source's ontology, culture, history, and terminology when making comparisons.</x:v>
      </x:c>
      <x:c r="M118" s="24" t="str">
        <x:v>Core Family</x:v>
      </x:c>
    </x:row>
    <x:row r="119" ht="44" customHeight="1">
      <x:c r="A119" s="24" t="str">
        <x:v>PPL-708</x:v>
      </x:c>
      <x:c r="B119" s="24" t="str">
        <x:v>Artificial Familiars</x:v>
      </x:c>
      <x:c r="C119" s="24" t="str">
        <x:v>People &amp; Beings</x:v>
      </x:c>
      <x:c r="D119" s="24" t="str">
        <x:v>PPL-700</x:v>
      </x:c>
      <x:c r="E119" s="24" t="str">
        <x:f>IF(D119="","",IFERROR(VLOOKUP(D119,$A$2:$B$1226,2,FALSE),""))</x:f>
        <x:v>Constructs and Artificial Life</x:v>
      </x:c>
      <x:c r="F119" s="24" t="n">
        <x:v>3</x:v>
      </x:c>
      <x:c r="G119" s="24" t="str">
        <x:v>Created companion beings designed to assist, scout, channel power, or embody a creator's mind.</x:v>
      </x:c>
      <x:c r="H119" s="24" t="str">
        <x:v>Source-specific examples may differ biologically, metaphysically, culturally, and morally; map them as analogues unless equivalence is explicit.</x:v>
      </x:c>
      <x:c r="I119" s="24" t="str">
        <x:v>artificial familiar; homuncular assistant</x:v>
      </x:c>
      <x:c r="J119" s="24" t="str">
        <x:v>Servant, soldier, artificial person, ethical test, inherited relic, or technological counterpoint to magic.</x:v>
      </x:c>
      <x:c r="K119" s="24" t="str">
        <x:v>artificial familiar; homuncular assistant</x:v>
      </x:c>
      <x:c r="L119" s="24" t="str">
        <x:v>Preserve each source's ontology, culture, history, and terminology when making comparisons.</x:v>
      </x:c>
      <x:c r="M119" s="24" t="str">
        <x:v>Core Family</x:v>
      </x:c>
    </x:row>
    <x:row r="120" ht="44" customHeight="1">
      <x:c r="A120" s="24" t="str">
        <x:v>PPL-709</x:v>
      </x:c>
      <x:c r="B120" s="24" t="str">
        <x:v>Engineered Species</x:v>
      </x:c>
      <x:c r="C120" s="24" t="str">
        <x:v>People &amp; Beings</x:v>
      </x:c>
      <x:c r="D120" s="24" t="str">
        <x:v>PPL-700</x:v>
      </x:c>
      <x:c r="E120" s="24" t="str">
        <x:f>IF(D120="","",IFERROR(VLOOKUP(D120,$A$2:$B$1226,2,FALSE),""))</x:f>
        <x:v>Constructs and Artificial Life</x:v>
      </x:c>
      <x:c r="F120" s="24" t="n">
        <x:v>3</x:v>
      </x:c>
      <x:c r="G120" s="24" t="str">
        <x:v>Populations deliberately designed or altered to serve military, labor, ecological, or ideological purposes.</x:v>
      </x:c>
      <x:c r="H120" s="24" t="str">
        <x:v>Source-specific examples may differ biologically, metaphysically, culturally, and morally; map them as analogues unless equivalence is explicit.</x:v>
      </x:c>
      <x:c r="I120" s="24" t="str">
        <x:v>created race; bred soldier species; uplift</x:v>
      </x:c>
      <x:c r="J120" s="24" t="str">
        <x:v>Servant, soldier, artificial person, ethical test, inherited relic, or technological counterpoint to magic.</x:v>
      </x:c>
      <x:c r="K120" s="24" t="str">
        <x:v>created race; bred soldier species; uplift</x:v>
      </x:c>
      <x:c r="L120" s="24" t="str">
        <x:v>Preserve each source's ontology, culture, history, and terminology when making comparisons.</x:v>
      </x:c>
      <x:c r="M120" s="24" t="str">
        <x:v>Core Family</x:v>
      </x:c>
    </x:row>
    <x:row r="121" ht="44" customHeight="1">
      <x:c r="A121" s="24" t="str">
        <x:v>PPL-710</x:v>
      </x:c>
      <x:c r="B121" s="24" t="str">
        <x:v>Sentient Structures and Vehicles</x:v>
      </x:c>
      <x:c r="C121" s="24" t="str">
        <x:v>People &amp; Beings</x:v>
      </x:c>
      <x:c r="D121" s="24" t="str">
        <x:v>PPL-700</x:v>
      </x:c>
      <x:c r="E121" s="24" t="str">
        <x:f>IF(D121="","",IFERROR(VLOOKUP(D121,$A$2:$B$1226,2,FALSE),""))</x:f>
        <x:v>Constructs and Artificial Life</x:v>
      </x:c>
      <x:c r="F121" s="24" t="n">
        <x:v>3</x:v>
      </x:c>
      <x:c r="G121" s="24" t="str">
        <x:v>Buildings, ships, cities, dungeons, or machines that possess agency, appetite, personality, or a soul.</x:v>
      </x:c>
      <x:c r="H121" s="24" t="str">
        <x:v>Source-specific examples may differ biologically, metaphysically, culturally, and morally; map them as analogues unless equivalence is explicit.</x:v>
      </x:c>
      <x:c r="I121" s="24" t="str">
        <x:v>living castle; sentient ship; dungeon core</x:v>
      </x:c>
      <x:c r="J121" s="24" t="str">
        <x:v>Servant, soldier, artificial person, ethical test, inherited relic, or technological counterpoint to magic.</x:v>
      </x:c>
      <x:c r="K121" s="24" t="str">
        <x:v>living castle; sentient ship; dungeon core</x:v>
      </x:c>
      <x:c r="L121" s="24" t="str">
        <x:v>Preserve each source's ontology, culture, history, and terminology when making comparisons.</x:v>
      </x:c>
      <x:c r="M121" s="24" t="str">
        <x:v>Core Family</x:v>
      </x:c>
    </x:row>
    <x:row r="122" ht="44" customHeight="1">
      <x:c r="A122" s="24" t="str">
        <x:v>PPL-711</x:v>
      </x:c>
      <x:c r="B122" s="24" t="str">
        <x:v>Soul-Vessel Constructs</x:v>
      </x:c>
      <x:c r="C122" s="24" t="str">
        <x:v>People &amp; Beings</x:v>
      </x:c>
      <x:c r="D122" s="24" t="str">
        <x:v>PPL-700</x:v>
      </x:c>
      <x:c r="E122" s="24" t="str">
        <x:f>IF(D122="","",IFERROR(VLOOKUP(D122,$A$2:$B$1226,2,FALSE),""))</x:f>
        <x:v>Constructs and Artificial Life</x:v>
      </x:c>
      <x:c r="F122" s="24" t="n">
        <x:v>3</x:v>
      </x:c>
      <x:c r="G122" s="24" t="str">
        <x:v>Artificial bodies inhabited by transferred, imprisoned, resurrected, or voluntarily housed souls.</x:v>
      </x:c>
      <x:c r="H122" s="24" t="str">
        <x:v>Source-specific examples may differ biologically, metaphysically, culturally, and morally; map them as analogues unless equivalence is explicit.</x:v>
      </x:c>
      <x:c r="I122" s="24" t="str">
        <x:v>soul armor; vessel body; spirit machine</x:v>
      </x:c>
      <x:c r="J122" s="24" t="str">
        <x:v>Servant, soldier, artificial person, ethical test, inherited relic, or technological counterpoint to magic.</x:v>
      </x:c>
      <x:c r="K122" s="24" t="str">
        <x:v>soul armor; vessel body; spirit machine</x:v>
      </x:c>
      <x:c r="L122" s="24" t="str">
        <x:v>Preserve each source's ontology, culture, history, and terminology when making comparisons.</x:v>
      </x:c>
      <x:c r="M122" s="24" t="str">
        <x:v>Core Family</x:v>
      </x:c>
    </x:row>
    <x:row r="123" ht="44" customHeight="1">
      <x:c r="A123" s="24" t="str">
        <x:v>PPL-712</x:v>
      </x:c>
      <x:c r="B123" s="24" t="str">
        <x:v>Rune-Bound Guardians</x:v>
      </x:c>
      <x:c r="C123" s="24" t="str">
        <x:v>People &amp; Beings</x:v>
      </x:c>
      <x:c r="D123" s="24" t="str">
        <x:v>PPL-700</x:v>
      </x:c>
      <x:c r="E123" s="24" t="str">
        <x:f>IF(D123="","",IFERROR(VLOOKUP(D123,$A$2:$B$1226,2,FALSE),""))</x:f>
        <x:v>Constructs and Artificial Life</x:v>
      </x:c>
      <x:c r="F123" s="24" t="n">
        <x:v>3</x:v>
      </x:c>
      <x:c r="G123" s="24" t="str">
        <x:v>Constructs whose behavior and identity are encoded through runes, seals, commands, or geasa.</x:v>
      </x:c>
      <x:c r="H123" s="24" t="str">
        <x:v>Source-specific examples may differ biologically, metaphysically, culturally, and morally; map them as analogues unless equivalence is explicit.</x:v>
      </x:c>
      <x:c r="I123" s="24" t="str">
        <x:v>rune guardian; ward construct</x:v>
      </x:c>
      <x:c r="J123" s="24" t="str">
        <x:v>Servant, soldier, artificial person, ethical test, inherited relic, or technological counterpoint to magic.</x:v>
      </x:c>
      <x:c r="K123" s="24" t="str">
        <x:v>rune guardian; ward construct</x:v>
      </x:c>
      <x:c r="L123" s="24" t="str">
        <x:v>Preserve each source's ontology, culture, history, and terminology when making comparisons.</x:v>
      </x:c>
      <x:c r="M123" s="24" t="str">
        <x:v>Core Family</x:v>
      </x:c>
    </x:row>
    <x:row r="124" ht="44" customHeight="1">
      <x:c r="A124" s="24" t="str">
        <x:v>PPL-801</x:v>
      </x:c>
      <x:c r="B124" s="24" t="str">
        <x:v>True Dragons</x:v>
      </x:c>
      <x:c r="C124" s="24" t="str">
        <x:v>People &amp; Beings</x:v>
      </x:c>
      <x:c r="D124" s="24" t="str">
        <x:v>PPL-800</x:v>
      </x:c>
      <x:c r="E124" s="24" t="str">
        <x:f>IF(D124="","",IFERROR(VLOOKUP(D124,$A$2:$B$1226,2,FALSE),""))</x:f>
        <x:v>Dragons and Legendary Beasts</x:v>
      </x:c>
      <x:c r="F124" s="24" t="n">
        <x:v>3</x:v>
      </x:c>
      <x:c r="G124" s="24" t="str">
        <x:v>Great draconic beings typically combining immense power, intelligence, longevity, treasure, elemental breath, sovereignty, or cosmic significance.</x:v>
      </x:c>
      <x:c r="H124" s="24" t="str">
        <x:v>Source-specific examples may differ biologically, metaphysically, culturally, and morally; map them as analogues unless equivalence is explicit.</x:v>
      </x:c>
      <x:c r="I124" s="24" t="str">
        <x:v>dragon; great wyrm; elder dragon</x:v>
      </x:c>
      <x:c r="J124" s="24" t="str">
        <x:v>Boss, mount, guardian, sovereign, ecological apex, heraldic symbol, or embodiment of primal power.</x:v>
      </x:c>
      <x:c r="K124" s="24" t="str">
        <x:v>dragon; great wyrm; elder dragon</x:v>
      </x:c>
      <x:c r="L124" s="24" t="str">
        <x:v>Preserve each source's ontology, culture, history, and terminology when making comparisons.</x:v>
      </x:c>
      <x:c r="M124" s="24" t="str">
        <x:v>Core Family</x:v>
      </x:c>
    </x:row>
    <x:row r="125" ht="44" customHeight="1">
      <x:c r="A125" s="24" t="str">
        <x:v>PPL-802</x:v>
      </x:c>
      <x:c r="B125" s="24" t="str">
        <x:v>Wyverns</x:v>
      </x:c>
      <x:c r="C125" s="24" t="str">
        <x:v>People &amp; Beings</x:v>
      </x:c>
      <x:c r="D125" s="24" t="str">
        <x:v>PPL-800</x:v>
      </x:c>
      <x:c r="E125" s="24" t="str">
        <x:f>IF(D125="","",IFERROR(VLOOKUP(D125,$A$2:$B$1226,2,FALSE),""))</x:f>
        <x:v>Dragons and Legendary Beasts</x:v>
      </x:c>
      <x:c r="F125" s="24" t="n">
        <x:v>3</x:v>
      </x:c>
      <x:c r="G125" s="24" t="str">
        <x:v>Two-legged winged draconic predators, often less sapient or less magically sovereign than true dragons.</x:v>
      </x:c>
      <x:c r="H125" s="24" t="str">
        <x:v>Source-specific examples may differ biologically, metaphysically, culturally, and morally; map them as analogues unless equivalence is explicit.</x:v>
      </x:c>
      <x:c r="I125" s="24" t="str">
        <x:v>wyvern</x:v>
      </x:c>
      <x:c r="J125" s="24" t="str">
        <x:v>Boss, mount, guardian, sovereign, ecological apex, heraldic symbol, or embodiment of primal power.</x:v>
      </x:c>
      <x:c r="K125" s="24" t="str">
        <x:v>wyvern</x:v>
      </x:c>
      <x:c r="L125" s="24" t="str">
        <x:v>Preserve each source's ontology, culture, history, and terminology when making comparisons.</x:v>
      </x:c>
      <x:c r="M125" s="24" t="str">
        <x:v>Core Family</x:v>
      </x:c>
    </x:row>
    <x:row r="126" ht="44" customHeight="1">
      <x:c r="A126" s="24" t="str">
        <x:v>PPL-803</x:v>
      </x:c>
      <x:c r="B126" s="24" t="str">
        <x:v>Drakes</x:v>
      </x:c>
      <x:c r="C126" s="24" t="str">
        <x:v>People &amp; Beings</x:v>
      </x:c>
      <x:c r="D126" s="24" t="str">
        <x:v>PPL-800</x:v>
      </x:c>
      <x:c r="E126" s="24" t="str">
        <x:f>IF(D126="","",IFERROR(VLOOKUP(D126,$A$2:$B$1226,2,FALSE),""))</x:f>
        <x:v>Dragons and Legendary Beasts</x:v>
      </x:c>
      <x:c r="F126" s="24" t="n">
        <x:v>3</x:v>
      </x:c>
      <x:c r="G126" s="24" t="str">
        <x:v>Wingless or lesser draconic beasts, frequently terrestrial, elemental, or domesticated.</x:v>
      </x:c>
      <x:c r="H126" s="24" t="str">
        <x:v>Source-specific examples may differ biologically, metaphysically, culturally, and morally; map them as analogues unless equivalence is explicit.</x:v>
      </x:c>
      <x:c r="I126" s="24" t="str">
        <x:v>drake; lesser dragon</x:v>
      </x:c>
      <x:c r="J126" s="24" t="str">
        <x:v>Boss, mount, guardian, sovereign, ecological apex, heraldic symbol, or embodiment of primal power.</x:v>
      </x:c>
      <x:c r="K126" s="24" t="str">
        <x:v>drake; lesser dragon</x:v>
      </x:c>
      <x:c r="L126" s="24" t="str">
        <x:v>Preserve each source's ontology, culture, history, and terminology when making comparisons.</x:v>
      </x:c>
      <x:c r="M126" s="24" t="str">
        <x:v>Core Family</x:v>
      </x:c>
    </x:row>
    <x:row r="127" ht="44" customHeight="1">
      <x:c r="A127" s="24" t="str">
        <x:v>PPL-804</x:v>
      </x:c>
      <x:c r="B127" s="24" t="str">
        <x:v>World Serpents and Great Wyrms</x:v>
      </x:c>
      <x:c r="C127" s="24" t="str">
        <x:v>People &amp; Beings</x:v>
      </x:c>
      <x:c r="D127" s="24" t="str">
        <x:v>PPL-800</x:v>
      </x:c>
      <x:c r="E127" s="24" t="str">
        <x:f>IF(D127="","",IFERROR(VLOOKUP(D127,$A$2:$B$1226,2,FALSE),""))</x:f>
        <x:v>Dragons and Legendary Beasts</x:v>
      </x:c>
      <x:c r="F127" s="24" t="n">
        <x:v>3</x:v>
      </x:c>
      <x:c r="G127" s="24" t="str">
        <x:v>Serpentine dragons or cosmic snakes whose bodies encircle, uphold, poison, or threaten the world.</x:v>
      </x:c>
      <x:c r="H127" s="24" t="str">
        <x:v>Source-specific examples may differ biologically, metaphysically, culturally, and morally; map them as analogues unless equivalence is explicit.</x:v>
      </x:c>
      <x:c r="I127" s="24" t="str">
        <x:v>world serpent; lindworm; great wyrm</x:v>
      </x:c>
      <x:c r="J127" s="24" t="str">
        <x:v>Boss, mount, guardian, sovereign, ecological apex, heraldic symbol, or embodiment of primal power.</x:v>
      </x:c>
      <x:c r="K127" s="24" t="str">
        <x:v>world serpent; lindworm; great wyrm</x:v>
      </x:c>
      <x:c r="L127" s="24" t="str">
        <x:v>Preserve each source's ontology, culture, history, and terminology when making comparisons.</x:v>
      </x:c>
      <x:c r="M127" s="24" t="str">
        <x:v>Core Family</x:v>
      </x:c>
    </x:row>
    <x:row r="128" ht="44" customHeight="1">
      <x:c r="A128" s="24" t="str">
        <x:v>PPL-805</x:v>
      </x:c>
      <x:c r="B128" s="24" t="str">
        <x:v>Hydras</x:v>
      </x:c>
      <x:c r="C128" s="24" t="str">
        <x:v>People &amp; Beings</x:v>
      </x:c>
      <x:c r="D128" s="24" t="str">
        <x:v>PPL-800</x:v>
      </x:c>
      <x:c r="E128" s="24" t="str">
        <x:f>IF(D128="","",IFERROR(VLOOKUP(D128,$A$2:$B$1226,2,FALSE),""))</x:f>
        <x:v>Dragons and Legendary Beasts</x:v>
      </x:c>
      <x:c r="F128" s="24" t="n">
        <x:v>3</x:v>
      </x:c>
      <x:c r="G128" s="24" t="str">
        <x:v>Multi-headed reptilian monsters whose regenerative or proliferating heads create an escalating combat problem.</x:v>
      </x:c>
      <x:c r="H128" s="24" t="str">
        <x:v>Source-specific examples may differ biologically, metaphysically, culturally, and morally; map them as analogues unless equivalence is explicit.</x:v>
      </x:c>
      <x:c r="I128" s="24" t="str">
        <x:v>hydra</x:v>
      </x:c>
      <x:c r="J128" s="24" t="str">
        <x:v>Boss, mount, guardian, sovereign, ecological apex, heraldic symbol, or embodiment of primal power.</x:v>
      </x:c>
      <x:c r="K128" s="24" t="str">
        <x:v>hydra</x:v>
      </x:c>
      <x:c r="L128" s="24" t="str">
        <x:v>Preserve each source's ontology, culture, history, and terminology when making comparisons.</x:v>
      </x:c>
      <x:c r="M128" s="24" t="str">
        <x:v>Core Family</x:v>
      </x:c>
    </x:row>
    <x:row r="129" ht="44" customHeight="1">
      <x:c r="A129" s="24" t="str">
        <x:v>PPL-806</x:v>
      </x:c>
      <x:c r="B129" s="24" t="str">
        <x:v>Phoenixes and Firebirds</x:v>
      </x:c>
      <x:c r="C129" s="24" t="str">
        <x:v>People &amp; Beings</x:v>
      </x:c>
      <x:c r="D129" s="24" t="str">
        <x:v>PPL-800</x:v>
      </x:c>
      <x:c r="E129" s="24" t="str">
        <x:f>IF(D129="","",IFERROR(VLOOKUP(D129,$A$2:$B$1226,2,FALSE),""))</x:f>
        <x:v>Dragons and Legendary Beasts</x:v>
      </x:c>
      <x:c r="F129" s="24" t="n">
        <x:v>3</x:v>
      </x:c>
      <x:c r="G129" s="24" t="str">
        <x:v>Sacred or magical birds associated with flame, rebirth, cyclical time, kingship, or immortality.</x:v>
      </x:c>
      <x:c r="H129" s="24" t="str">
        <x:v>Source-specific examples may differ biologically, metaphysically, culturally, and morally; map them as analogues unless equivalence is explicit.</x:v>
      </x:c>
      <x:c r="I129" s="24" t="str">
        <x:v>phoenix; firebird; bennu-like</x:v>
      </x:c>
      <x:c r="J129" s="24" t="str">
        <x:v>Boss, mount, guardian, sovereign, ecological apex, heraldic symbol, or embodiment of primal power.</x:v>
      </x:c>
      <x:c r="K129" s="24" t="str">
        <x:v>phoenix; firebird; bennu-like</x:v>
      </x:c>
      <x:c r="L129" s="24" t="str">
        <x:v>Preserve each source's ontology, culture, history, and terminology when making comparisons.</x:v>
      </x:c>
      <x:c r="M129" s="24" t="str">
        <x:v>Core Family</x:v>
      </x:c>
    </x:row>
    <x:row r="130" ht="44" customHeight="1">
      <x:c r="A130" s="24" t="str">
        <x:v>PPL-807</x:v>
      </x:c>
      <x:c r="B130" s="24" t="str">
        <x:v>Griffins and Hippogriffs</x:v>
      </x:c>
      <x:c r="C130" s="24" t="str">
        <x:v>People &amp; Beings</x:v>
      </x:c>
      <x:c r="D130" s="24" t="str">
        <x:v>PPL-800</x:v>
      </x:c>
      <x:c r="E130" s="24" t="str">
        <x:f>IF(D130="","",IFERROR(VLOOKUP(D130,$A$2:$B$1226,2,FALSE),""))</x:f>
        <x:v>Dragons and Legendary Beasts</x:v>
      </x:c>
      <x:c r="F130" s="24" t="n">
        <x:v>3</x:v>
      </x:c>
      <x:c r="G130" s="24" t="str">
        <x:v>Hybrid aerial beasts combining eagle and lion or horse traits, often used as guardians, mounts, or heraldic creatures.</x:v>
      </x:c>
      <x:c r="H130" s="24" t="str">
        <x:v>Source-specific examples may differ biologically, metaphysically, culturally, and morally; map them as analogues unless equivalence is explicit.</x:v>
      </x:c>
      <x:c r="I130" s="24" t="str">
        <x:v>griffin; gryphon; hippogriff</x:v>
      </x:c>
      <x:c r="J130" s="24" t="str">
        <x:v>Boss, mount, guardian, sovereign, ecological apex, heraldic symbol, or embodiment of primal power.</x:v>
      </x:c>
      <x:c r="K130" s="24" t="str">
        <x:v>griffin; gryphon; hippogriff</x:v>
      </x:c>
      <x:c r="L130" s="24" t="str">
        <x:v>Preserve each source's ontology, culture, history, and terminology when making comparisons.</x:v>
      </x:c>
      <x:c r="M130" s="24" t="str">
        <x:v>Core Family</x:v>
      </x:c>
    </x:row>
    <x:row r="131" ht="44" customHeight="1">
      <x:c r="A131" s="24" t="str">
        <x:v>PPL-808</x:v>
      </x:c>
      <x:c r="B131" s="24" t="str">
        <x:v>Unicorns</x:v>
      </x:c>
      <x:c r="C131" s="24" t="str">
        <x:v>People &amp; Beings</x:v>
      </x:c>
      <x:c r="D131" s="24" t="str">
        <x:v>PPL-800</x:v>
      </x:c>
      <x:c r="E131" s="24" t="str">
        <x:f>IF(D131="","",IFERROR(VLOOKUP(D131,$A$2:$B$1226,2,FALSE),""))</x:f>
        <x:v>Dragons and Legendary Beasts</x:v>
      </x:c>
      <x:c r="F131" s="24" t="n">
        <x:v>3</x:v>
      </x:c>
      <x:c r="G131" s="24" t="str">
        <x:v>Horned equine beings associated with purity, healing, wilderness, sovereignty, danger, or selective trust.</x:v>
      </x:c>
      <x:c r="H131" s="24" t="str">
        <x:v>Source-specific examples may differ biologically, metaphysically, culturally, and morally; map them as analogues unless equivalence is explicit.</x:v>
      </x:c>
      <x:c r="I131" s="24" t="str">
        <x:v>unicorn; kirin-like comparison</x:v>
      </x:c>
      <x:c r="J131" s="24" t="str">
        <x:v>Boss, mount, guardian, sovereign, ecological apex, heraldic symbol, or embodiment of primal power.</x:v>
      </x:c>
      <x:c r="K131" s="24" t="str">
        <x:v>unicorn; kirin-like comparison</x:v>
      </x:c>
      <x:c r="L131" s="24" t="str">
        <x:v>Preserve each source's ontology, culture, history, and terminology when making comparisons.</x:v>
      </x:c>
      <x:c r="M131" s="24" t="str">
        <x:v>Core Family</x:v>
      </x:c>
    </x:row>
    <x:row r="132" ht="44" customHeight="1">
      <x:c r="A132" s="24" t="str">
        <x:v>PPL-809</x:v>
      </x:c>
      <x:c r="B132" s="24" t="str">
        <x:v>Pegasi and Winged Horses</x:v>
      </x:c>
      <x:c r="C132" s="24" t="str">
        <x:v>People &amp; Beings</x:v>
      </x:c>
      <x:c r="D132" s="24" t="str">
        <x:v>PPL-800</x:v>
      </x:c>
      <x:c r="E132" s="24" t="str">
        <x:f>IF(D132="","",IFERROR(VLOOKUP(D132,$A$2:$B$1226,2,FALSE),""))</x:f>
        <x:v>Dragons and Legendary Beasts</x:v>
      </x:c>
      <x:c r="F132" s="24" t="n">
        <x:v>3</x:v>
      </x:c>
      <x:c r="G132" s="24" t="str">
        <x:v>Winged equines serving as mounts, divine animals, symbols of inspiration, or sky peoples' companions.</x:v>
      </x:c>
      <x:c r="H132" s="24" t="str">
        <x:v>Source-specific examples may differ biologically, metaphysically, culturally, and morally; map them as analogues unless equivalence is explicit.</x:v>
      </x:c>
      <x:c r="I132" s="24" t="str">
        <x:v>pegasus; winged horse</x:v>
      </x:c>
      <x:c r="J132" s="24" t="str">
        <x:v>Boss, mount, guardian, sovereign, ecological apex, heraldic symbol, or embodiment of primal power.</x:v>
      </x:c>
      <x:c r="K132" s="24" t="str">
        <x:v>pegasus; winged horse</x:v>
      </x:c>
      <x:c r="L132" s="24" t="str">
        <x:v>Preserve each source's ontology, culture, history, and terminology when making comparisons.</x:v>
      </x:c>
      <x:c r="M132" s="24" t="str">
        <x:v>Core Family</x:v>
      </x:c>
    </x:row>
    <x:row r="133" ht="44" customHeight="1">
      <x:c r="A133" s="24" t="str">
        <x:v>PPL-810</x:v>
      </x:c>
      <x:c r="B133" s="24" t="str">
        <x:v>Sphinxes</x:v>
      </x:c>
      <x:c r="C133" s="24" t="str">
        <x:v>People &amp; Beings</x:v>
      </x:c>
      <x:c r="D133" s="24" t="str">
        <x:v>PPL-800</x:v>
      </x:c>
      <x:c r="E133" s="24" t="str">
        <x:f>IF(D133="","",IFERROR(VLOOKUP(D133,$A$2:$B$1226,2,FALSE),""))</x:f>
        <x:v>Dragons and Legendary Beasts</x:v>
      </x:c>
      <x:c r="F133" s="24" t="n">
        <x:v>3</x:v>
      </x:c>
      <x:c r="G133" s="24" t="str">
        <x:v>Hybrid lion-human or lion-bird beings associated with riddles, thresholds, royal power, tombs, or ancient knowledge.</x:v>
      </x:c>
      <x:c r="H133" s="24" t="str">
        <x:v>Source-specific examples may differ biologically, metaphysically, culturally, and morally; map them as analogues unless equivalence is explicit.</x:v>
      </x:c>
      <x:c r="I133" s="24" t="str">
        <x:v>sphinx</x:v>
      </x:c>
      <x:c r="J133" s="24" t="str">
        <x:v>Boss, mount, guardian, sovereign, ecological apex, heraldic symbol, or embodiment of primal power.</x:v>
      </x:c>
      <x:c r="K133" s="24" t="str">
        <x:v>sphinx</x:v>
      </x:c>
      <x:c r="L133" s="24" t="str">
        <x:v>Preserve each source's ontology, culture, history, and terminology when making comparisons.</x:v>
      </x:c>
      <x:c r="M133" s="24" t="str">
        <x:v>Core Family</x:v>
      </x:c>
    </x:row>
    <x:row r="134" ht="44" customHeight="1">
      <x:c r="A134" s="24" t="str">
        <x:v>PPL-811</x:v>
      </x:c>
      <x:c r="B134" s="24" t="str">
        <x:v>Chimeras</x:v>
      </x:c>
      <x:c r="C134" s="24" t="str">
        <x:v>People &amp; Beings</x:v>
      </x:c>
      <x:c r="D134" s="24" t="str">
        <x:v>PPL-800</x:v>
      </x:c>
      <x:c r="E134" s="24" t="str">
        <x:f>IF(D134="","",IFERROR(VLOOKUP(D134,$A$2:$B$1226,2,FALSE),""))</x:f>
        <x:v>Dragons and Legendary Beasts</x:v>
      </x:c>
      <x:c r="F134" s="24" t="n">
        <x:v>3</x:v>
      </x:c>
      <x:c r="G134" s="24" t="str">
        <x:v>Composite monsters whose bodies combine multiple animals and often signify unnatural creation or mythic threat.</x:v>
      </x:c>
      <x:c r="H134" s="24" t="str">
        <x:v>Source-specific examples may differ biologically, metaphysically, culturally, and morally; map them as analogues unless equivalence is explicit.</x:v>
      </x:c>
      <x:c r="I134" s="24" t="str">
        <x:v>chimera; composite beast</x:v>
      </x:c>
      <x:c r="J134" s="24" t="str">
        <x:v>Boss, mount, guardian, sovereign, ecological apex, heraldic symbol, or embodiment of primal power.</x:v>
      </x:c>
      <x:c r="K134" s="24" t="str">
        <x:v>chimera; composite beast</x:v>
      </x:c>
      <x:c r="L134" s="24" t="str">
        <x:v>Preserve each source's ontology, culture, history, and terminology when making comparisons.</x:v>
      </x:c>
      <x:c r="M134" s="24" t="str">
        <x:v>Core Family</x:v>
      </x:c>
    </x:row>
    <x:row r="135" ht="44" customHeight="1">
      <x:c r="A135" s="24" t="str">
        <x:v>PPL-812</x:v>
      </x:c>
      <x:c r="B135" s="24" t="str">
        <x:v>Manticores</x:v>
      </x:c>
      <x:c r="C135" s="24" t="str">
        <x:v>People &amp; Beings</x:v>
      </x:c>
      <x:c r="D135" s="24" t="str">
        <x:v>PPL-800</x:v>
      </x:c>
      <x:c r="E135" s="24" t="str">
        <x:f>IF(D135="","",IFERROR(VLOOKUP(D135,$A$2:$B$1226,2,FALSE),""))</x:f>
        <x:v>Dragons and Legendary Beasts</x:v>
      </x:c>
      <x:c r="F135" s="24" t="n">
        <x:v>3</x:v>
      </x:c>
      <x:c r="G135" s="24" t="str">
        <x:v>Human-faced or otherwise hybrid leonine predators, often equipped with venomous tails or projectile spines.</x:v>
      </x:c>
      <x:c r="H135" s="24" t="str">
        <x:v>Source-specific examples may differ biologically, metaphysically, culturally, and morally; map them as analogues unless equivalence is explicit.</x:v>
      </x:c>
      <x:c r="I135" s="24" t="str">
        <x:v>manticore</x:v>
      </x:c>
      <x:c r="J135" s="24" t="str">
        <x:v>Boss, mount, guardian, sovereign, ecological apex, heraldic symbol, or embodiment of primal power.</x:v>
      </x:c>
      <x:c r="K135" s="24" t="str">
        <x:v>manticore</x:v>
      </x:c>
      <x:c r="L135" s="24" t="str">
        <x:v>Preserve each source's ontology, culture, history, and terminology when making comparisons.</x:v>
      </x:c>
      <x:c r="M135" s="24" t="str">
        <x:v>Core Family</x:v>
      </x:c>
    </x:row>
    <x:row r="136" ht="44" customHeight="1">
      <x:c r="A136" s="24" t="str">
        <x:v>PPL-813</x:v>
      </x:c>
      <x:c r="B136" s="24" t="str">
        <x:v>Basilisks and Cockatrices</x:v>
      </x:c>
      <x:c r="C136" s="24" t="str">
        <x:v>People &amp; Beings</x:v>
      </x:c>
      <x:c r="D136" s="24" t="str">
        <x:v>PPL-800</x:v>
      </x:c>
      <x:c r="E136" s="24" t="str">
        <x:f>IF(D136="","",IFERROR(VLOOKUP(D136,$A$2:$B$1226,2,FALSE),""))</x:f>
        <x:v>Dragons and Legendary Beasts</x:v>
      </x:c>
      <x:c r="F136" s="24" t="n">
        <x:v>3</x:v>
      </x:c>
      <x:c r="G136" s="24" t="str">
        <x:v>Reptilian or rooster-serpent monsters whose gaze, breath, venom, or presence petrifies or kills.</x:v>
      </x:c>
      <x:c r="H136" s="24" t="str">
        <x:v>Source-specific examples may differ biologically, metaphysically, culturally, and morally; map them as analogues unless equivalence is explicit.</x:v>
      </x:c>
      <x:c r="I136" s="24" t="str">
        <x:v>basilisk; cockatrice</x:v>
      </x:c>
      <x:c r="J136" s="24" t="str">
        <x:v>Boss, mount, guardian, sovereign, ecological apex, heraldic symbol, or embodiment of primal power.</x:v>
      </x:c>
      <x:c r="K136" s="24" t="str">
        <x:v>basilisk; cockatrice</x:v>
      </x:c>
      <x:c r="L136" s="24" t="str">
        <x:v>Preserve each source's ontology, culture, history, and terminology when making comparisons.</x:v>
      </x:c>
      <x:c r="M136" s="24" t="str">
        <x:v>Core Family</x:v>
      </x:c>
    </x:row>
    <x:row r="137" ht="44" customHeight="1">
      <x:c r="A137" s="24" t="str">
        <x:v>PPL-814</x:v>
      </x:c>
      <x:c r="B137" s="24" t="str">
        <x:v>Rocs and Thunderbirds</x:v>
      </x:c>
      <x:c r="C137" s="24" t="str">
        <x:v>People &amp; Beings</x:v>
      </x:c>
      <x:c r="D137" s="24" t="str">
        <x:v>PPL-800</x:v>
      </x:c>
      <x:c r="E137" s="24" t="str">
        <x:f>IF(D137="","",IFERROR(VLOOKUP(D137,$A$2:$B$1226,2,FALSE),""))</x:f>
        <x:v>Dragons and Legendary Beasts</x:v>
      </x:c>
      <x:c r="F137" s="24" t="n">
        <x:v>3</x:v>
      </x:c>
      <x:c r="G137" s="24" t="str">
        <x:v>Enormous birds capable of carrying great prey and associated with storms, mountains, sky power, or divine omens.</x:v>
      </x:c>
      <x:c r="H137" s="24" t="str">
        <x:v>Source-specific examples may differ biologically, metaphysically, culturally, and morally; map them as analogues unless equivalence is explicit.</x:v>
      </x:c>
      <x:c r="I137" s="24" t="str">
        <x:v>roc; thunderbird analogue</x:v>
      </x:c>
      <x:c r="J137" s="24" t="str">
        <x:v>Boss, mount, guardian, sovereign, ecological apex, heraldic symbol, or embodiment of primal power.</x:v>
      </x:c>
      <x:c r="K137" s="24" t="str">
        <x:v>roc; thunderbird analogue</x:v>
      </x:c>
      <x:c r="L137" s="24" t="str">
        <x:v>Thunderbird belongs to specific Indigenous North American traditions; avoid using it as a generic giant bird without context.</x:v>
      </x:c>
      <x:c r="M137" s="24" t="str">
        <x:v>Core Family</x:v>
      </x:c>
    </x:row>
    <x:row r="138" ht="44" customHeight="1">
      <x:c r="A138" s="24" t="str">
        <x:v>PPL-815</x:v>
      </x:c>
      <x:c r="B138" s="24" t="str">
        <x:v>Krakens and Leviathans</x:v>
      </x:c>
      <x:c r="C138" s="24" t="str">
        <x:v>People &amp; Beings</x:v>
      </x:c>
      <x:c r="D138" s="24" t="str">
        <x:v>PPL-800</x:v>
      </x:c>
      <x:c r="E138" s="24" t="str">
        <x:f>IF(D138="","",IFERROR(VLOOKUP(D138,$A$2:$B$1226,2,FALSE),""))</x:f>
        <x:v>Dragons and Legendary Beasts</x:v>
      </x:c>
      <x:c r="F138" s="24" t="n">
        <x:v>3</x:v>
      </x:c>
      <x:c r="G138" s="24" t="str">
        <x:v>Vast marine beings that threaten ships, coastlines, civilizations, or cosmic order.</x:v>
      </x:c>
      <x:c r="H138" s="24" t="str">
        <x:v>Source-specific examples may differ biologically, metaphysically, culturally, and morally; map them as analogues unless equivalence is explicit.</x:v>
      </x:c>
      <x:c r="I138" s="24" t="str">
        <x:v>kraken; leviathan; sea titan</x:v>
      </x:c>
      <x:c r="J138" s="24" t="str">
        <x:v>Boss, mount, guardian, sovereign, ecological apex, heraldic symbol, or embodiment of primal power.</x:v>
      </x:c>
      <x:c r="K138" s="24" t="str">
        <x:v>kraken; leviathan; sea titan</x:v>
      </x:c>
      <x:c r="L138" s="24" t="str">
        <x:v>Preserve each source's ontology, culture, history, and terminology when making comparisons.</x:v>
      </x:c>
      <x:c r="M138" s="24" t="str">
        <x:v>Core Family</x:v>
      </x:c>
    </x:row>
    <x:row r="139" ht="44" customHeight="1">
      <x:c r="A139" s="24" t="str">
        <x:v>PPL-816</x:v>
      </x:c>
      <x:c r="B139" s="24" t="str">
        <x:v>Sea Serpents</x:v>
      </x:c>
      <x:c r="C139" s="24" t="str">
        <x:v>People &amp; Beings</x:v>
      </x:c>
      <x:c r="D139" s="24" t="str">
        <x:v>PPL-800</x:v>
      </x:c>
      <x:c r="E139" s="24" t="str">
        <x:f>IF(D139="","",IFERROR(VLOOKUP(D139,$A$2:$B$1226,2,FALSE),""))</x:f>
        <x:v>Dragons and Legendary Beasts</x:v>
      </x:c>
      <x:c r="F139" s="24" t="n">
        <x:v>3</x:v>
      </x:c>
      <x:c r="G139" s="24" t="str">
        <x:v>Long-bodied marine dragons or monsters that haunt trade routes, depths, and liminal waters.</x:v>
      </x:c>
      <x:c r="H139" s="24" t="str">
        <x:v>Source-specific examples may differ biologically, metaphysically, culturally, and morally; map them as analogues unless equivalence is explicit.</x:v>
      </x:c>
      <x:c r="I139" s="24" t="str">
        <x:v>sea serpent; sea dragon</x:v>
      </x:c>
      <x:c r="J139" s="24" t="str">
        <x:v>Boss, mount, guardian, sovereign, ecological apex, heraldic symbol, or embodiment of primal power.</x:v>
      </x:c>
      <x:c r="K139" s="24" t="str">
        <x:v>sea serpent; sea dragon</x:v>
      </x:c>
      <x:c r="L139" s="24" t="str">
        <x:v>Preserve each source's ontology, culture, history, and terminology when making comparisons.</x:v>
      </x:c>
      <x:c r="M139" s="24" t="str">
        <x:v>Core Family</x:v>
      </x:c>
    </x:row>
    <x:row r="140" ht="44" customHeight="1">
      <x:c r="A140" s="24" t="str">
        <x:v>PPL-817</x:v>
      </x:c>
      <x:c r="B140" s="24" t="str">
        <x:v>World Beasts and Kaiju</x:v>
      </x:c>
      <x:c r="C140" s="24" t="str">
        <x:v>People &amp; Beings</x:v>
      </x:c>
      <x:c r="D140" s="24" t="str">
        <x:v>PPL-800</x:v>
      </x:c>
      <x:c r="E140" s="24" t="str">
        <x:f>IF(D140="","",IFERROR(VLOOKUP(D140,$A$2:$B$1226,2,FALSE),""))</x:f>
        <x:v>Dragons and Legendary Beasts</x:v>
      </x:c>
      <x:c r="F140" s="24" t="n">
        <x:v>3</x:v>
      </x:c>
      <x:c r="G140" s="24" t="str">
        <x:v>Creatures of landscape or city-destroying scale whose bodies function as disasters, ecosystems, gods, or final bosses.</x:v>
      </x:c>
      <x:c r="H140" s="24" t="str">
        <x:v>Source-specific examples may differ biologically, metaphysically, culturally, and morally; map them as analogues unless equivalence is explicit.</x:v>
      </x:c>
      <x:c r="I140" s="24" t="str">
        <x:v>kaiju; world beast; colossal monster</x:v>
      </x:c>
      <x:c r="J140" s="24" t="str">
        <x:v>Boss, mount, guardian, sovereign, ecological apex, heraldic symbol, or embodiment of primal power.</x:v>
      </x:c>
      <x:c r="K140" s="24" t="str">
        <x:v>kaiju; world beast; colossal monster</x:v>
      </x:c>
      <x:c r="L140" s="24" t="str">
        <x:v>Preserve each source's ontology, culture, history, and terminology when making comparisons.</x:v>
      </x:c>
      <x:c r="M140" s="24" t="str">
        <x:v>Core Family</x:v>
      </x:c>
    </x:row>
    <x:row r="141" ht="44" customHeight="1">
      <x:c r="A141" s="24" t="str">
        <x:v>PPL-818</x:v>
      </x:c>
      <x:c r="B141" s="24" t="str">
        <x:v>Giant Spiders and Web Sovereigns</x:v>
      </x:c>
      <x:c r="C141" s="24" t="str">
        <x:v>People &amp; Beings</x:v>
      </x:c>
      <x:c r="D141" s="24" t="str">
        <x:v>PPL-800</x:v>
      </x:c>
      <x:c r="E141" s="24" t="str">
        <x:f>IF(D141="","",IFERROR(VLOOKUP(D141,$A$2:$B$1226,2,FALSE),""))</x:f>
        <x:v>Dragons and Legendary Beasts</x:v>
      </x:c>
      <x:c r="F141" s="24" t="n">
        <x:v>3</x:v>
      </x:c>
      <x:c r="G141" s="24" t="str">
        <x:v>Oversized or supernatural arachnids associated with caves, forests, predation, weaving, corruption, or ancient intelligence.</x:v>
      </x:c>
      <x:c r="H141" s="24" t="str">
        <x:v>Source-specific examples may differ biologically, metaphysically, culturally, and morally; map them as analogues unless equivalence is explicit.</x:v>
      </x:c>
      <x:c r="I141" s="24" t="str">
        <x:v>giant spider; spider queen</x:v>
      </x:c>
      <x:c r="J141" s="24" t="str">
        <x:v>Boss, mount, guardian, sovereign, ecological apex, heraldic symbol, or embodiment of primal power.</x:v>
      </x:c>
      <x:c r="K141" s="24" t="str">
        <x:v>giant spider; spider queen</x:v>
      </x:c>
      <x:c r="L141" s="24" t="str">
        <x:v>Preserve each source's ontology, culture, history, and terminology when making comparisons.</x:v>
      </x:c>
      <x:c r="M141" s="24" t="str">
        <x:v>Core Family</x:v>
      </x:c>
    </x:row>
    <x:row r="142" ht="44" customHeight="1">
      <x:c r="A142" s="24" t="str">
        <x:v>PPL-819</x:v>
      </x:c>
      <x:c r="B142" s="24" t="str">
        <x:v>Dire and Mythic Megafauna</x:v>
      </x:c>
      <x:c r="C142" s="24" t="str">
        <x:v>People &amp; Beings</x:v>
      </x:c>
      <x:c r="D142" s="24" t="str">
        <x:v>PPL-800</x:v>
      </x:c>
      <x:c r="E142" s="24" t="str">
        <x:f>IF(D142="","",IFERROR(VLOOKUP(D142,$A$2:$B$1226,2,FALSE),""))</x:f>
        <x:v>Dragons and Legendary Beasts</x:v>
      </x:c>
      <x:c r="F142" s="24" t="n">
        <x:v>3</x:v>
      </x:c>
      <x:c r="G142" s="24" t="str">
        <x:v>Exaggerated versions of natural animals used as mounts, guardians, predators, ancestral symbols, or remnants of an older world.</x:v>
      </x:c>
      <x:c r="H142" s="24" t="str">
        <x:v>Source-specific examples may differ biologically, metaphysically, culturally, and morally; map them as analogues unless equivalence is explicit.</x:v>
      </x:c>
      <x:c r="I142" s="24" t="str">
        <x:v>dire wolf; great bear; mammoth; giant boar</x:v>
      </x:c>
      <x:c r="J142" s="24" t="str">
        <x:v>Boss, mount, guardian, sovereign, ecological apex, heraldic symbol, or embodiment of primal power.</x:v>
      </x:c>
      <x:c r="K142" s="24" t="str">
        <x:v>dire wolf; great bear; mammoth; giant boar</x:v>
      </x:c>
      <x:c r="L142" s="24" t="str">
        <x:v>Preserve each source's ontology, culture, history, and terminology when making comparisons.</x:v>
      </x:c>
      <x:c r="M142" s="24" t="str">
        <x:v>Core Family</x:v>
      </x:c>
    </x:row>
    <x:row r="143" ht="44" customHeight="1">
      <x:c r="A143" s="24" t="str">
        <x:v>PPL-820</x:v>
      </x:c>
      <x:c r="B143" s="24" t="str">
        <x:v>Sacred Guardian Beasts</x:v>
      </x:c>
      <x:c r="C143" s="24" t="str">
        <x:v>People &amp; Beings</x:v>
      </x:c>
      <x:c r="D143" s="24" t="str">
        <x:v>PPL-800</x:v>
      </x:c>
      <x:c r="E143" s="24" t="str">
        <x:f>IF(D143="","",IFERROR(VLOOKUP(D143,$A$2:$B$1226,2,FALSE),""))</x:f>
        <x:v>Dragons and Legendary Beasts</x:v>
      </x:c>
      <x:c r="F143" s="24" t="n">
        <x:v>3</x:v>
      </x:c>
      <x:c r="G143" s="24" t="str">
        <x:v>Legendary animals bound to temples, rulers, elements, directions, or sacred geographies.</x:v>
      </x:c>
      <x:c r="H143" s="24" t="str">
        <x:v>Source-specific examples may differ biologically, metaphysically, culturally, and morally; map them as analogues unless equivalence is explicit.</x:v>
      </x:c>
      <x:c r="I143" s="24" t="str">
        <x:v>guardian lion; temple beast; divine mount</x:v>
      </x:c>
      <x:c r="J143" s="24" t="str">
        <x:v>Boss, mount, guardian, sovereign, ecological apex, heraldic symbol, or embodiment of primal power.</x:v>
      </x:c>
      <x:c r="K143" s="24" t="str">
        <x:v>guardian lion; temple beast; divine mount</x:v>
      </x:c>
      <x:c r="L143" s="24" t="str">
        <x:v>Preserve each source's ontology, culture, history, and terminology when making comparisons.</x:v>
      </x:c>
      <x:c r="M143" s="24" t="str">
        <x:v>Core Family</x:v>
      </x:c>
    </x:row>
    <x:row r="144" ht="44" customHeight="1">
      <x:c r="A144" s="24" t="str">
        <x:v>PPL-901</x:v>
      </x:c>
      <x:c r="B144" s="24" t="str">
        <x:v>Plantfolk</x:v>
      </x:c>
      <x:c r="C144" s="24" t="str">
        <x:v>People &amp; Beings</x:v>
      </x:c>
      <x:c r="D144" s="24" t="str">
        <x:v>PPL-900</x:v>
      </x:c>
      <x:c r="E144" s="24" t="str">
        <x:f>IF(D144="","",IFERROR(VLOOKUP(D144,$A$2:$B$1226,2,FALSE),""))</x:f>
        <x:v>Plant, Fungal, Ooze, and Collective Life</x:v>
      </x:c>
      <x:c r="F144" s="24" t="n">
        <x:v>3</x:v>
      </x:c>
      <x:c r="G144" s="24" t="str">
        <x:v>Sentient plants or plant-humanoid peoples whose bodies, reproduction, memory, and societies derive from vegetal life.</x:v>
      </x:c>
      <x:c r="H144" s="24" t="str">
        <x:v>Source-specific examples may differ biologically, metaphysically, culturally, and morally; map them as analogues unless equivalence is explicit.</x:v>
      </x:c>
      <x:c r="I144" s="24" t="str">
        <x:v>plantfolk; leshy-like; sylvari-like</x:v>
      </x:c>
      <x:c r="J144" s="24" t="str">
        <x:v>Ecological other, distributed intelligence, body-horror threat, unusual playable ancestry, or setting-scale organism.</x:v>
      </x:c>
      <x:c r="K144" s="24" t="str">
        <x:v>plantfolk; leshy-like; sylvari-like</x:v>
      </x:c>
      <x:c r="L144" s="24" t="str">
        <x:v>Preserve each source's ontology, culture, history, and terminology when making comparisons.</x:v>
      </x:c>
      <x:c r="M144" s="24" t="str">
        <x:v>Core Family</x:v>
      </x:c>
    </x:row>
    <x:row r="145" ht="44" customHeight="1">
      <x:c r="A145" s="24" t="str">
        <x:v>PPL-902</x:v>
      </x:c>
      <x:c r="B145" s="24" t="str">
        <x:v>Fungal Peoples</x:v>
      </x:c>
      <x:c r="C145" s="24" t="str">
        <x:v>People &amp; Beings</x:v>
      </x:c>
      <x:c r="D145" s="24" t="str">
        <x:v>PPL-900</x:v>
      </x:c>
      <x:c r="E145" s="24" t="str">
        <x:f>IF(D145="","",IFERROR(VLOOKUP(D145,$A$2:$B$1226,2,FALSE),""))</x:f>
        <x:v>Plant, Fungal, Ooze, and Collective Life</x:v>
      </x:c>
      <x:c r="F145" s="24" t="n">
        <x:v>3</x:v>
      </x:c>
      <x:c r="G145" s="24" t="str">
        <x:v>Mushroom- or mycelium-based beings emphasizing spores, decomposition, networks, symbiosis, or subterranean ecologies.</x:v>
      </x:c>
      <x:c r="H145" s="24" t="str">
        <x:v>Source-specific examples may differ biologically, metaphysically, culturally, and morally; map them as analogues unless equivalence is explicit.</x:v>
      </x:c>
      <x:c r="I145" s="24" t="str">
        <x:v>mushroom folk; myconid-like; fungal collective</x:v>
      </x:c>
      <x:c r="J145" s="24" t="str">
        <x:v>Ecological other, distributed intelligence, body-horror threat, unusual playable ancestry, or setting-scale organism.</x:v>
      </x:c>
      <x:c r="K145" s="24" t="str">
        <x:v>mushroom folk; myconid-like; fungal collective</x:v>
      </x:c>
      <x:c r="L145" s="24" t="str">
        <x:v>Preserve each source's ontology, culture, history, and terminology when making comparisons.</x:v>
      </x:c>
      <x:c r="M145" s="24" t="str">
        <x:v>Core Family</x:v>
      </x:c>
    </x:row>
    <x:row r="146" ht="44" customHeight="1">
      <x:c r="A146" s="24" t="str">
        <x:v>PPL-903</x:v>
      </x:c>
      <x:c r="B146" s="24" t="str">
        <x:v>Oozes and Slimes</x:v>
      </x:c>
      <x:c r="C146" s="24" t="str">
        <x:v>People &amp; Beings</x:v>
      </x:c>
      <x:c r="D146" s="24" t="str">
        <x:v>PPL-900</x:v>
      </x:c>
      <x:c r="E146" s="24" t="str">
        <x:f>IF(D146="","",IFERROR(VLOOKUP(D146,$A$2:$B$1226,2,FALSE),""))</x:f>
        <x:v>Plant, Fungal, Ooze, and Collective Life</x:v>
      </x:c>
      <x:c r="F146" s="24" t="n">
        <x:v>3</x:v>
      </x:c>
      <x:c r="G146" s="24" t="str">
        <x:v>Amorphous beings whose bodies flow, absorb, divide, dissolve, imitate, or evolve without fixed anatomy.</x:v>
      </x:c>
      <x:c r="H146" s="24" t="str">
        <x:v>Source-specific examples may differ biologically, metaphysically, culturally, and morally; map them as analogues unless equivalence is explicit.</x:v>
      </x:c>
      <x:c r="I146" s="24" t="str">
        <x:v>slime; ooze; gelatinous being</x:v>
      </x:c>
      <x:c r="J146" s="24" t="str">
        <x:v>Ecological other, distributed intelligence, body-horror threat, unusual playable ancestry, or setting-scale organism.</x:v>
      </x:c>
      <x:c r="K146" s="24" t="str">
        <x:v>slime; ooze; gelatinous being</x:v>
      </x:c>
      <x:c r="L146" s="24" t="str">
        <x:v>Preserve each source's ontology, culture, history, and terminology when making comparisons.</x:v>
      </x:c>
      <x:c r="M146" s="24" t="str">
        <x:v>Core Family</x:v>
      </x:c>
    </x:row>
    <x:row r="147" ht="44" customHeight="1">
      <x:c r="A147" s="24" t="str">
        <x:v>PPL-904</x:v>
      </x:c>
      <x:c r="B147" s="24" t="str">
        <x:v>Swarm Collectives</x:v>
      </x:c>
      <x:c r="C147" s="24" t="str">
        <x:v>People &amp; Beings</x:v>
      </x:c>
      <x:c r="D147" s="24" t="str">
        <x:v>PPL-900</x:v>
      </x:c>
      <x:c r="E147" s="24" t="str">
        <x:f>IF(D147="","",IFERROR(VLOOKUP(D147,$A$2:$B$1226,2,FALSE),""))</x:f>
        <x:v>Plant, Fungal, Ooze, and Collective Life</x:v>
      </x:c>
      <x:c r="F147" s="24" t="n">
        <x:v>3</x:v>
      </x:c>
      <x:c r="G147" s="24" t="str">
        <x:v>A person or creature constituted by many small organisms acting as a coordinated whole.</x:v>
      </x:c>
      <x:c r="H147" s="24" t="str">
        <x:v>Source-specific examples may differ biologically, metaphysically, culturally, and morally; map them as analogues unless equivalence is explicit.</x:v>
      </x:c>
      <x:c r="I147" s="24" t="str">
        <x:v>swarm person; insect cloud; rat king</x:v>
      </x:c>
      <x:c r="J147" s="24" t="str">
        <x:v>Ecological other, distributed intelligence, body-horror threat, unusual playable ancestry, or setting-scale organism.</x:v>
      </x:c>
      <x:c r="K147" s="24" t="str">
        <x:v>swarm person; insect cloud; rat king</x:v>
      </x:c>
      <x:c r="L147" s="24" t="str">
        <x:v>Preserve each source's ontology, culture, history, and terminology when making comparisons.</x:v>
      </x:c>
      <x:c r="M147" s="24" t="str">
        <x:v>Core Family</x:v>
      </x:c>
    </x:row>
    <x:row r="148" ht="44" customHeight="1">
      <x:c r="A148" s="24" t="str">
        <x:v>PPL-905</x:v>
      </x:c>
      <x:c r="B148" s="24" t="str">
        <x:v>Hive Minds</x:v>
      </x:c>
      <x:c r="C148" s="24" t="str">
        <x:v>People &amp; Beings</x:v>
      </x:c>
      <x:c r="D148" s="24" t="str">
        <x:v>PPL-900</x:v>
      </x:c>
      <x:c r="E148" s="24" t="str">
        <x:f>IF(D148="","",IFERROR(VLOOKUP(D148,$A$2:$B$1226,2,FALSE),""))</x:f>
        <x:v>Plant, Fungal, Ooze, and Collective Life</x:v>
      </x:c>
      <x:c r="F148" s="24" t="n">
        <x:v>3</x:v>
      </x:c>
      <x:c r="G148" s="24" t="str">
        <x:v>Populations sharing consciousness, command, memory, or telepathy across multiple bodies.</x:v>
      </x:c>
      <x:c r="H148" s="24" t="str">
        <x:v>Source-specific examples may differ biologically, metaphysically, culturally, and morally; map them as analogues unless equivalence is explicit.</x:v>
      </x:c>
      <x:c r="I148" s="24" t="str">
        <x:v>hive mind; collective consciousness</x:v>
      </x:c>
      <x:c r="J148" s="24" t="str">
        <x:v>Ecological other, distributed intelligence, body-horror threat, unusual playable ancestry, or setting-scale organism.</x:v>
      </x:c>
      <x:c r="K148" s="24" t="str">
        <x:v>hive mind; collective consciousness</x:v>
      </x:c>
      <x:c r="L148" s="24" t="str">
        <x:v>Preserve each source's ontology, culture, history, and terminology when making comparisons.</x:v>
      </x:c>
      <x:c r="M148" s="24" t="str">
        <x:v>Core Family</x:v>
      </x:c>
    </x:row>
    <x:row r="149" ht="44" customHeight="1">
      <x:c r="A149" s="24" t="str">
        <x:v>PPL-906</x:v>
      </x:c>
      <x:c r="B149" s="24" t="str">
        <x:v>Colony Organisms</x:v>
      </x:c>
      <x:c r="C149" s="24" t="str">
        <x:v>People &amp; Beings</x:v>
      </x:c>
      <x:c r="D149" s="24" t="str">
        <x:v>PPL-900</x:v>
      </x:c>
      <x:c r="E149" s="24" t="str">
        <x:f>IF(D149="","",IFERROR(VLOOKUP(D149,$A$2:$B$1226,2,FALSE),""))</x:f>
        <x:v>Plant, Fungal, Ooze, and Collective Life</x:v>
      </x:c>
      <x:c r="F149" s="24" t="n">
        <x:v>3</x:v>
      </x:c>
      <x:c r="G149" s="24" t="str">
        <x:v>Distributed beings whose apparently separate bodies are modules of one organism or society-person.</x:v>
      </x:c>
      <x:c r="H149" s="24" t="str">
        <x:v>Source-specific examples may differ biologically, metaphysically, culturally, and morally; map them as analogues unless equivalence is explicit.</x:v>
      </x:c>
      <x:c r="I149" s="24" t="str">
        <x:v>colony being; coral intelligence</x:v>
      </x:c>
      <x:c r="J149" s="24" t="str">
        <x:v>Ecological other, distributed intelligence, body-horror threat, unusual playable ancestry, or setting-scale organism.</x:v>
      </x:c>
      <x:c r="K149" s="24" t="str">
        <x:v>colony being; coral intelligence</x:v>
      </x:c>
      <x:c r="L149" s="24" t="str">
        <x:v>Preserve each source's ontology, culture, history, and terminology when making comparisons.</x:v>
      </x:c>
      <x:c r="M149" s="24" t="str">
        <x:v>Core Family</x:v>
      </x:c>
    </x:row>
    <x:row r="150" ht="44" customHeight="1">
      <x:c r="A150" s="24" t="str">
        <x:v>PPL-907</x:v>
      </x:c>
      <x:c r="B150" s="24" t="str">
        <x:v>Parasitic Symbiotes</x:v>
      </x:c>
      <x:c r="C150" s="24" t="str">
        <x:v>People &amp; Beings</x:v>
      </x:c>
      <x:c r="D150" s="24" t="str">
        <x:v>PPL-900</x:v>
      </x:c>
      <x:c r="E150" s="24" t="str">
        <x:f>IF(D150="","",IFERROR(VLOOKUP(D150,$A$2:$B$1226,2,FALSE),""))</x:f>
        <x:v>Plant, Fungal, Ooze, and Collective Life</x:v>
      </x:c>
      <x:c r="F150" s="24" t="n">
        <x:v>3</x:v>
      </x:c>
      <x:c r="G150" s="24" t="str">
        <x:v>Beings that require or share a host body, ranging from cooperative partners to identity-erasing parasites.</x:v>
      </x:c>
      <x:c r="H150" s="24" t="str">
        <x:v>Source-specific examples may differ biologically, metaphysically, culturally, and morally; map them as analogues unless equivalence is explicit.</x:v>
      </x:c>
      <x:c r="I150" s="24" t="str">
        <x:v>symbiote; parasite; bonded organism</x:v>
      </x:c>
      <x:c r="J150" s="24" t="str">
        <x:v>Ecological other, distributed intelligence, body-horror threat, unusual playable ancestry, or setting-scale organism.</x:v>
      </x:c>
      <x:c r="K150" s="24" t="str">
        <x:v>symbiote; parasite; bonded organism</x:v>
      </x:c>
      <x:c r="L150" s="24" t="str">
        <x:v>Preserve each source's ontology, culture, history, and terminology when making comparisons.</x:v>
      </x:c>
      <x:c r="M150" s="24" t="str">
        <x:v>Core Family</x:v>
      </x:c>
    </x:row>
    <x:row r="151" ht="44" customHeight="1">
      <x:c r="A151" s="24" t="str">
        <x:v>PPL-908</x:v>
      </x:c>
      <x:c r="B151" s="24" t="str">
        <x:v>Living Ecosystems</x:v>
      </x:c>
      <x:c r="C151" s="24" t="str">
        <x:v>People &amp; Beings</x:v>
      </x:c>
      <x:c r="D151" s="24" t="str">
        <x:v>PPL-900</x:v>
      </x:c>
      <x:c r="E151" s="24" t="str">
        <x:f>IF(D151="","",IFERROR(VLOOKUP(D151,$A$2:$B$1226,2,FALSE),""))</x:f>
        <x:v>Plant, Fungal, Ooze, and Collective Life</x:v>
      </x:c>
      <x:c r="F151" s="24" t="n">
        <x:v>3</x:v>
      </x:c>
      <x:c r="G151" s="24" t="str">
        <x:v>Forests, reefs, dungeons, planets, or biomes possessing unified agency or consciousness.</x:v>
      </x:c>
      <x:c r="H151" s="24" t="str">
        <x:v>Source-specific examples may differ biologically, metaphysically, culturally, and morally; map them as analogues unless equivalence is explicit.</x:v>
      </x:c>
      <x:c r="I151" s="24" t="str">
        <x:v>sentient forest; living dungeon; world organism</x:v>
      </x:c>
      <x:c r="J151" s="24" t="str">
        <x:v>Ecological other, distributed intelligence, body-horror threat, unusual playable ancestry, or setting-scale organism.</x:v>
      </x:c>
      <x:c r="K151" s="24" t="str">
        <x:v>sentient forest; living dungeon; world organism</x:v>
      </x:c>
      <x:c r="L151" s="24" t="str">
        <x:v>Preserve each source's ontology, culture, history, and terminology when making comparisons.</x:v>
      </x:c>
      <x:c r="M151" s="24" t="str">
        <x:v>Core Family</x:v>
      </x:c>
    </x:row>
    <x:row r="152" ht="44" customHeight="1">
      <x:c r="A152" s="24" t="str">
        <x:v>PPL-909</x:v>
      </x:c>
      <x:c r="B152" s="24" t="str">
        <x:v>Mimetic Organic Beings</x:v>
      </x:c>
      <x:c r="C152" s="24" t="str">
        <x:v>People &amp; Beings</x:v>
      </x:c>
      <x:c r="D152" s="24" t="str">
        <x:v>PPL-900</x:v>
      </x:c>
      <x:c r="E152" s="24" t="str">
        <x:f>IF(D152="","",IFERROR(VLOOKUP(D152,$A$2:$B$1226,2,FALSE),""))</x:f>
        <x:v>Plant, Fungal, Ooze, and Collective Life</x:v>
      </x:c>
      <x:c r="F152" s="24" t="n">
        <x:v>3</x:v>
      </x:c>
      <x:c r="G152" s="24" t="str">
        <x:v>Life-forms that copy bodies, voices, objects, or environments as a primary survival and identity strategy.</x:v>
      </x:c>
      <x:c r="H152" s="24" t="str">
        <x:v>Source-specific examples may differ biologically, metaphysically, culturally, and morally; map them as analogues unless equivalence is explicit.</x:v>
      </x:c>
      <x:c r="I152" s="24" t="str">
        <x:v>mimic organism; body copier</x:v>
      </x:c>
      <x:c r="J152" s="24" t="str">
        <x:v>Ecological other, distributed intelligence, body-horror threat, unusual playable ancestry, or setting-scale organism.</x:v>
      </x:c>
      <x:c r="K152" s="24" t="str">
        <x:v>mimic organism; body copier</x:v>
      </x:c>
      <x:c r="L152" s="24" t="str">
        <x:v>Preserve each source's ontology, culture, history, and terminology when making comparisons.</x:v>
      </x:c>
      <x:c r="M152" s="24" t="str">
        <x:v>Core Family</x:v>
      </x:c>
    </x:row>
    <x:row r="153" ht="44" customHeight="1">
      <x:c r="A153" s="24" t="str">
        <x:v>PPL-910</x:v>
      </x:c>
      <x:c r="B153" s="24" t="str">
        <x:v>Spore and Infection Intelligences</x:v>
      </x:c>
      <x:c r="C153" s="24" t="str">
        <x:v>People &amp; Beings</x:v>
      </x:c>
      <x:c r="D153" s="24" t="str">
        <x:v>PPL-900</x:v>
      </x:c>
      <x:c r="E153" s="24" t="str">
        <x:f>IF(D153="","",IFERROR(VLOOKUP(D153,$A$2:$B$1226,2,FALSE),""))</x:f>
        <x:v>Plant, Fungal, Ooze, and Collective Life</x:v>
      </x:c>
      <x:c r="F153" s="24" t="n">
        <x:v>3</x:v>
      </x:c>
      <x:c r="G153" s="24" t="str">
        <x:v>Distributed organisms that spread through infection and create shared bodies, memories, or behavioral control.</x:v>
      </x:c>
      <x:c r="H153" s="24" t="str">
        <x:v>Source-specific examples may differ biologically, metaphysically, culturally, and morally; map them as analogues unless equivalence is explicit.</x:v>
      </x:c>
      <x:c r="I153" s="24" t="str">
        <x:v>spore mind; fungal infection; assimilator</x:v>
      </x:c>
      <x:c r="J153" s="24" t="str">
        <x:v>Ecological other, distributed intelligence, body-horror threat, unusual playable ancestry, or setting-scale organism.</x:v>
      </x:c>
      <x:c r="K153" s="24" t="str">
        <x:v>spore mind; fungal infection; assimilator</x:v>
      </x:c>
      <x:c r="L153" s="24" t="str">
        <x:v>Preserve each source's ontology, culture, history, and terminology when making comparisons.</x:v>
      </x:c>
      <x:c r="M153" s="24" t="str">
        <x:v>Core Family</x:v>
      </x:c>
    </x:row>
    <x:row r="154" ht="44" customHeight="1">
      <x:c r="A154" s="24" t="str">
        <x:v>PPL-1001</x:v>
      </x:c>
      <x:c r="B154" s="24" t="str">
        <x:v>General Shapeshifters</x:v>
      </x:c>
      <x:c r="C154" s="24" t="str">
        <x:v>People &amp; Beings</x:v>
      </x:c>
      <x:c r="D154" s="24" t="str">
        <x:v>PPL-1000</x:v>
      </x:c>
      <x:c r="E154" s="24" t="str">
        <x:f>IF(D154="","",IFERROR(VLOOKUP(D154,$A$2:$B$1226,2,FALSE),""))</x:f>
        <x:v>Shapeshifters, Hybrids, and Mutable Peoples</x:v>
      </x:c>
      <x:c r="F154" s="24" t="n">
        <x:v>3</x:v>
      </x:c>
      <x:c r="G154" s="24" t="str">
        <x:v>Beings able to change body, species, age, sex, scale, or material form as an innate or learned capacity.</x:v>
      </x:c>
      <x:c r="H154" s="24" t="str">
        <x:v>Source-specific examples may differ biologically, metaphysically, culturally, and morally; map them as analogues unless equivalence is explicit.</x:v>
      </x:c>
      <x:c r="I154" s="24" t="str">
        <x:v>shapeshifter; metamorph; shapechanger</x:v>
      </x:c>
      <x:c r="J154" s="24" t="str">
        <x:v>Identity mystery, boundary crossing, infiltration, curse narrative, mixed heritage, or transformational heroism.</x:v>
      </x:c>
      <x:c r="K154" s="24" t="str">
        <x:v>shapeshifter; metamorph; shapechanger</x:v>
      </x:c>
      <x:c r="L154" s="24" t="str">
        <x:v>Preserve each source's ontology, culture, history, and terminology when making comparisons.</x:v>
      </x:c>
      <x:c r="M154" s="24" t="str">
        <x:v>Core Family</x:v>
      </x:c>
    </x:row>
    <x:row r="155" ht="44" customHeight="1">
      <x:c r="A155" s="24" t="str">
        <x:v>PPL-1002</x:v>
      </x:c>
      <x:c r="B155" s="24" t="str">
        <x:v>Doppelgangers and Identity Mimics</x:v>
      </x:c>
      <x:c r="C155" s="24" t="str">
        <x:v>People &amp; Beings</x:v>
      </x:c>
      <x:c r="D155" s="24" t="str">
        <x:v>PPL-1000</x:v>
      </x:c>
      <x:c r="E155" s="24" t="str">
        <x:f>IF(D155="","",IFERROR(VLOOKUP(D155,$A$2:$B$1226,2,FALSE),""))</x:f>
        <x:v>Shapeshifters, Hybrids, and Mutable Peoples</x:v>
      </x:c>
      <x:c r="F155" s="24" t="n">
        <x:v>3</x:v>
      </x:c>
      <x:c r="G155" s="24" t="str">
        <x:v>Beings specialized in copying another person's appearance, voice, memories, or social role.</x:v>
      </x:c>
      <x:c r="H155" s="24" t="str">
        <x:v>Source-specific examples may differ biologically, metaphysically, culturally, and morally; map them as analogues unless equivalence is explicit.</x:v>
      </x:c>
      <x:c r="I155" s="24" t="str">
        <x:v>doppelganger; faceless mimic; changeling spy</x:v>
      </x:c>
      <x:c r="J155" s="24" t="str">
        <x:v>Identity mystery, boundary crossing, infiltration, curse narrative, mixed heritage, or transformational heroism.</x:v>
      </x:c>
      <x:c r="K155" s="24" t="str">
        <x:v>doppelganger; faceless mimic; changeling spy</x:v>
      </x:c>
      <x:c r="L155" s="24" t="str">
        <x:v>Preserve each source's ontology, culture, history, and terminology when making comparisons.</x:v>
      </x:c>
      <x:c r="M155" s="24" t="str">
        <x:v>Core Family</x:v>
      </x:c>
    </x:row>
    <x:row r="156" ht="44" customHeight="1">
      <x:c r="A156" s="24" t="str">
        <x:v>PPL-1003</x:v>
      </x:c>
      <x:c r="B156" s="24" t="str">
        <x:v>Therianthropes</x:v>
      </x:c>
      <x:c r="C156" s="24" t="str">
        <x:v>People &amp; Beings</x:v>
      </x:c>
      <x:c r="D156" s="24" t="str">
        <x:v>PPL-1000</x:v>
      </x:c>
      <x:c r="E156" s="24" t="str">
        <x:f>IF(D156="","",IFERROR(VLOOKUP(D156,$A$2:$B$1226,2,FALSE),""))</x:f>
        <x:v>Shapeshifters, Hybrids, and Mutable Peoples</x:v>
      </x:c>
      <x:c r="F156" s="24" t="n">
        <x:v>3</x:v>
      </x:c>
      <x:c r="G156" s="24" t="str">
        <x:v>Humans or humanoids who transform into animals or hybrid forms through curse, inheritance, infection, ritual, or choice.</x:v>
      </x:c>
      <x:c r="H156" s="24" t="str">
        <x:v>Source-specific examples may differ biologically, metaphysically, culturally, and morally; map them as analogues unless equivalence is explicit.</x:v>
      </x:c>
      <x:c r="I156" s="24" t="str">
        <x:v>werewolf; werebear; lycanthrope; beast transformation</x:v>
      </x:c>
      <x:c r="J156" s="24" t="str">
        <x:v>Identity mystery, boundary crossing, infiltration, curse narrative, mixed heritage, or transformational heroism.</x:v>
      </x:c>
      <x:c r="K156" s="24" t="str">
        <x:v>werewolf; werebear; lycanthrope; beast transformation</x:v>
      </x:c>
      <x:c r="L156" s="24" t="str">
        <x:v>Preserve each source's ontology, culture, history, and terminology when making comparisons.</x:v>
      </x:c>
      <x:c r="M156" s="24" t="str">
        <x:v>Core Family</x:v>
      </x:c>
    </x:row>
    <x:row r="157" ht="44" customHeight="1">
      <x:c r="A157" s="24" t="str">
        <x:v>PPL-1004</x:v>
      </x:c>
      <x:c r="B157" s="24" t="str">
        <x:v>Animal-Form Peoples</x:v>
      </x:c>
      <x:c r="C157" s="24" t="str">
        <x:v>People &amp; Beings</x:v>
      </x:c>
      <x:c r="D157" s="24" t="str">
        <x:v>PPL-1000</x:v>
      </x:c>
      <x:c r="E157" s="24" t="str">
        <x:f>IF(D157="","",IFERROR(VLOOKUP(D157,$A$2:$B$1226,2,FALSE),""))</x:f>
        <x:v>Shapeshifters, Hybrids, and Mutable Peoples</x:v>
      </x:c>
      <x:c r="F157" s="24" t="n">
        <x:v>3</x:v>
      </x:c>
      <x:c r="G157" s="24" t="str">
        <x:v>Peoples whose normal identity includes switching between humanoid and animal bodies without necessarily being cursed.</x:v>
      </x:c>
      <x:c r="H157" s="24" t="str">
        <x:v>Source-specific examples may differ biologically, metaphysically, culturally, and morally; map them as analogues unless equivalence is explicit.</x:v>
      </x:c>
      <x:c r="I157" s="24" t="str">
        <x:v>fox spirit; selkie; swan maiden; animal shifter</x:v>
      </x:c>
      <x:c r="J157" s="24" t="str">
        <x:v>Identity mystery, boundary crossing, infiltration, curse narrative, mixed heritage, or transformational heroism.</x:v>
      </x:c>
      <x:c r="K157" s="24" t="str">
        <x:v>fox spirit; selkie; swan maiden; animal shifter</x:v>
      </x:c>
      <x:c r="L157" s="24" t="str">
        <x:v>Preserve each source's ontology, culture, history, and terminology when making comparisons.</x:v>
      </x:c>
      <x:c r="M157" s="24" t="str">
        <x:v>Core Family</x:v>
      </x:c>
    </x:row>
    <x:row r="158" ht="44" customHeight="1">
      <x:c r="A158" s="24" t="str">
        <x:v>PPL-1005</x:v>
      </x:c>
      <x:c r="B158" s="24" t="str">
        <x:v>Hybrid and Chimera Peoples</x:v>
      </x:c>
      <x:c r="C158" s="24" t="str">
        <x:v>People &amp; Beings</x:v>
      </x:c>
      <x:c r="D158" s="24" t="str">
        <x:v>PPL-1000</x:v>
      </x:c>
      <x:c r="E158" s="24" t="str">
        <x:f>IF(D158="","",IFERROR(VLOOKUP(D158,$A$2:$B$1226,2,FALSE),""))</x:f>
        <x:v>Shapeshifters, Hybrids, and Mutable Peoples</x:v>
      </x:c>
      <x:c r="F158" s="24" t="n">
        <x:v>3</x:v>
      </x:c>
      <x:c r="G158" s="24" t="str">
        <x:v>Stable peoples or individuals combining traits from multiple species, engineered lineages, or mythic parentage.</x:v>
      </x:c>
      <x:c r="H158" s="24" t="str">
        <x:v>Source-specific examples may differ biologically, metaphysically, culturally, and morally; map them as analogues unless equivalence is explicit.</x:v>
      </x:c>
      <x:c r="I158" s="24" t="str">
        <x:v>chimera person; hybrid species; splice</x:v>
      </x:c>
      <x:c r="J158" s="24" t="str">
        <x:v>Identity mystery, boundary crossing, infiltration, curse narrative, mixed heritage, or transformational heroism.</x:v>
      </x:c>
      <x:c r="K158" s="24" t="str">
        <x:v>chimera person; hybrid species; splice</x:v>
      </x:c>
      <x:c r="L158" s="24" t="str">
        <x:v>Preserve each source's ontology, culture, history, and terminology when making comparisons.</x:v>
      </x:c>
      <x:c r="M158" s="24" t="str">
        <x:v>Core Family</x:v>
      </x:c>
    </x:row>
    <x:row r="159" ht="44" customHeight="1">
      <x:c r="A159" s="24" t="str">
        <x:v>PPL-1006</x:v>
      </x:c>
      <x:c r="B159" s="24" t="str">
        <x:v>Mixed-Ancestry and Half-Blood Peoples</x:v>
      </x:c>
      <x:c r="C159" s="24" t="str">
        <x:v>People &amp; Beings</x:v>
      </x:c>
      <x:c r="D159" s="24" t="str">
        <x:v>PPL-1000</x:v>
      </x:c>
      <x:c r="E159" s="24" t="str">
        <x:f>IF(D159="","",IFERROR(VLOOKUP(D159,$A$2:$B$1226,2,FALSE),""))</x:f>
        <x:v>Shapeshifters, Hybrids, and Mutable Peoples</x:v>
      </x:c>
      <x:c r="F159" s="24" t="n">
        <x:v>3</x:v>
      </x:c>
      <x:c r="G159" s="24" t="str">
        <x:v>Individuals or populations descended from multiple recognized peoples, lineages, or metaphysical kinds.</x:v>
      </x:c>
      <x:c r="H159" s="24" t="str">
        <x:v>Source-specific examples may differ biologically, metaphysically, culturally, and morally; map them as analogues unless equivalence is explicit.</x:v>
      </x:c>
      <x:c r="I159" s="24" t="str">
        <x:v>half-elf; half-orc; mixed lineage</x:v>
      </x:c>
      <x:c r="J159" s="24" t="str">
        <x:v>Identity mystery, boundary crossing, infiltration, curse narrative, mixed heritage, or transformational heroism.</x:v>
      </x:c>
      <x:c r="K159" s="24" t="str">
        <x:v>half-elf; half-orc; mixed lineage</x:v>
      </x:c>
      <x:c r="L159" s="24" t="str">
        <x:v>Preserve each source's ontology, culture, history, and terminology when making comparisons.</x:v>
      </x:c>
      <x:c r="M159" s="24" t="str">
        <x:v>Core Family</x:v>
      </x:c>
    </x:row>
    <x:row r="160" ht="44" customHeight="1">
      <x:c r="A160" s="24" t="str">
        <x:v>PPL-1007</x:v>
      </x:c>
      <x:c r="B160" s="24" t="str">
        <x:v>Possessed Hosts</x:v>
      </x:c>
      <x:c r="C160" s="24" t="str">
        <x:v>People &amp; Beings</x:v>
      </x:c>
      <x:c r="D160" s="24" t="str">
        <x:v>PPL-1000</x:v>
      </x:c>
      <x:c r="E160" s="24" t="str">
        <x:f>IF(D160="","",IFERROR(VLOOKUP(D160,$A$2:$B$1226,2,FALSE),""))</x:f>
        <x:v>Shapeshifters, Hybrids, and Mutable Peoples</x:v>
      </x:c>
      <x:c r="F160" s="24" t="n">
        <x:v>3</x:v>
      </x:c>
      <x:c r="G160" s="24" t="str">
        <x:v>Bodies inhabited or shared by an external spirit, demon, deity, ancestor, or alien mind.</x:v>
      </x:c>
      <x:c r="H160" s="24" t="str">
        <x:v>Source-specific examples may differ biologically, metaphysically, culturally, and morally; map them as analogues unless equivalence is explicit.</x:v>
      </x:c>
      <x:c r="I160" s="24" t="str">
        <x:v>host; vessel; ridden person</x:v>
      </x:c>
      <x:c r="J160" s="24" t="str">
        <x:v>Identity mystery, boundary crossing, infiltration, curse narrative, mixed heritage, or transformational heroism.</x:v>
      </x:c>
      <x:c r="K160" s="24" t="str">
        <x:v>host; vessel; ridden person</x:v>
      </x:c>
      <x:c r="L160" s="24" t="str">
        <x:v>Preserve each source's ontology, culture, history, and terminology when making comparisons.</x:v>
      </x:c>
      <x:c r="M160" s="24" t="str">
        <x:v>Core Family</x:v>
      </x:c>
    </x:row>
    <x:row r="161" ht="44" customHeight="1">
      <x:c r="A161" s="24" t="str">
        <x:v>PPL-1008</x:v>
      </x:c>
      <x:c r="B161" s="24" t="str">
        <x:v>Body-Hoppers</x:v>
      </x:c>
      <x:c r="C161" s="24" t="str">
        <x:v>People &amp; Beings</x:v>
      </x:c>
      <x:c r="D161" s="24" t="str">
        <x:v>PPL-1000</x:v>
      </x:c>
      <x:c r="E161" s="24" t="str">
        <x:f>IF(D161="","",IFERROR(VLOOKUP(D161,$A$2:$B$1226,2,FALSE),""))</x:f>
        <x:v>Shapeshifters, Hybrids, and Mutable Peoples</x:v>
      </x:c>
      <x:c r="F161" s="24" t="n">
        <x:v>3</x:v>
      </x:c>
      <x:c r="G161" s="24" t="str">
        <x:v>Entities that transfer consciousness between bodies, temporarily or permanently.</x:v>
      </x:c>
      <x:c r="H161" s="24" t="str">
        <x:v>Source-specific examples may differ biologically, metaphysically, culturally, and morally; map them as analogues unless equivalence is explicit.</x:v>
      </x:c>
      <x:c r="I161" s="24" t="str">
        <x:v>body hopper; soul transfer; possessing immortal</x:v>
      </x:c>
      <x:c r="J161" s="24" t="str">
        <x:v>Identity mystery, boundary crossing, infiltration, curse narrative, mixed heritage, or transformational heroism.</x:v>
      </x:c>
      <x:c r="K161" s="24" t="str">
        <x:v>body hopper; soul transfer; possessing immortal</x:v>
      </x:c>
      <x:c r="L161" s="24" t="str">
        <x:v>Preserve each source's ontology, culture, history, and terminology when making comparisons.</x:v>
      </x:c>
      <x:c r="M161" s="24" t="str">
        <x:v>Core Family</x:v>
      </x:c>
    </x:row>
    <x:row r="162" ht="44" customHeight="1">
      <x:c r="A162" s="24" t="str">
        <x:v>PPL-1009</x:v>
      </x:c>
      <x:c r="B162" s="24" t="str">
        <x:v>Skin-Wearers and Body Thieves</x:v>
      </x:c>
      <x:c r="C162" s="24" t="str">
        <x:v>People &amp; Beings</x:v>
      </x:c>
      <x:c r="D162" s="24" t="str">
        <x:v>PPL-1000</x:v>
      </x:c>
      <x:c r="E162" s="24" t="str">
        <x:f>IF(D162="","",IFERROR(VLOOKUP(D162,$A$2:$B$1226,2,FALSE),""))</x:f>
        <x:v>Shapeshifters, Hybrids, and Mutable Peoples</x:v>
      </x:c>
      <x:c r="F162" s="24" t="n">
        <x:v>3</x:v>
      </x:c>
      <x:c r="G162" s="24" t="str">
        <x:v>Beings that assume identity through stolen skin, consumed bodies, masks, or direct replacement.</x:v>
      </x:c>
      <x:c r="H162" s="24" t="str">
        <x:v>Source-specific examples may differ biologically, metaphysically, culturally, and morally; map them as analogues unless equivalence is explicit.</x:v>
      </x:c>
      <x:c r="I162" s="24" t="str">
        <x:v>skin-walker analogue; body thief; corpse wearer</x:v>
      </x:c>
      <x:c r="J162" s="24" t="str">
        <x:v>Identity mystery, boundary crossing, infiltration, curse narrative, mixed heritage, or transformational heroism.</x:v>
      </x:c>
      <x:c r="K162" s="24" t="str">
        <x:v>skin-walker analogue; body thief; corpse wearer</x:v>
      </x:c>
      <x:c r="L162" s="24" t="str">
        <x:v>Avoid applying culturally specific 'skinwalker' terminology outside its Diné context.</x:v>
      </x:c>
      <x:c r="M162" s="24" t="str">
        <x:v>Core Family</x:v>
      </x:c>
    </x:row>
    <x:row r="163" ht="44" customHeight="1">
      <x:c r="A163" s="24" t="str">
        <x:v>PPL-1010</x:v>
      </x:c>
      <x:c r="B163" s="24" t="str">
        <x:v>Metamorphic Species</x:v>
      </x:c>
      <x:c r="C163" s="24" t="str">
        <x:v>People &amp; Beings</x:v>
      </x:c>
      <x:c r="D163" s="24" t="str">
        <x:v>PPL-1000</x:v>
      </x:c>
      <x:c r="E163" s="24" t="str">
        <x:f>IF(D163="","",IFERROR(VLOOKUP(D163,$A$2:$B$1226,2,FALSE),""))</x:f>
        <x:v>Shapeshifters, Hybrids, and Mutable Peoples</x:v>
      </x:c>
      <x:c r="F163" s="24" t="n">
        <x:v>3</x:v>
      </x:c>
      <x:c r="G163" s="24" t="str">
        <x:v>Peoples whose bodies naturally pass through multiple forms or life stages with major changes in capability and identity.</x:v>
      </x:c>
      <x:c r="H163" s="24" t="str">
        <x:v>Source-specific examples may differ biologically, metaphysically, culturally, and morally; map them as analogues unless equivalence is explicit.</x:v>
      </x:c>
      <x:c r="I163" s="24" t="str">
        <x:v>metamorph; larval/adult people; chrysalis species</x:v>
      </x:c>
      <x:c r="J163" s="24" t="str">
        <x:v>Identity mystery, boundary crossing, infiltration, curse narrative, mixed heritage, or transformational heroism.</x:v>
      </x:c>
      <x:c r="K163" s="24" t="str">
        <x:v>metamorph; larval/adult people; chrysalis species</x:v>
      </x:c>
      <x:c r="L163" s="24" t="str">
        <x:v>Preserve each source's ontology, culture, history, and terminology when making comparisons.</x:v>
      </x:c>
      <x:c r="M163" s="24" t="str">
        <x:v>Core Family</x:v>
      </x:c>
    </x:row>
    <x:row r="164" ht="44" customHeight="1">
      <x:c r="A164" s="24" t="str">
        <x:v>PPL-1011</x:v>
      </x:c>
      <x:c r="B164" s="24" t="str">
        <x:v>Gender-Fluid or Form-Fluid Beings</x:v>
      </x:c>
      <x:c r="C164" s="24" t="str">
        <x:v>People &amp; Beings</x:v>
      </x:c>
      <x:c r="D164" s="24" t="str">
        <x:v>PPL-1000</x:v>
      </x:c>
      <x:c r="E164" s="24" t="str">
        <x:f>IF(D164="","",IFERROR(VLOOKUP(D164,$A$2:$B$1226,2,FALSE),""))</x:f>
        <x:v>Shapeshifters, Hybrids, and Mutable Peoples</x:v>
      </x:c>
      <x:c r="F164" s="24" t="n">
        <x:v>3</x:v>
      </x:c>
      <x:c r="G164" s="24" t="str">
        <x:v>Beings whose physical sex, gendered embodiment, or social presentation changes through magic or biology.</x:v>
      </x:c>
      <x:c r="H164" s="24" t="str">
        <x:v>Source-specific examples may differ biologically, metaphysically, culturally, and morally; map them as analogues unless equivalence is explicit.</x:v>
      </x:c>
      <x:c r="I164" s="24" t="str">
        <x:v>form-fluid; sex-changing species</x:v>
      </x:c>
      <x:c r="J164" s="24" t="str">
        <x:v>Identity mystery, boundary crossing, infiltration, curse narrative, mixed heritage, or transformational heroism.</x:v>
      </x:c>
      <x:c r="K164" s="24" t="str">
        <x:v>form-fluid; sex-changing species</x:v>
      </x:c>
      <x:c r="L164" s="24" t="str">
        <x:v>Preserve each source's ontology, culture, history, and terminology when making comparisons.</x:v>
      </x:c>
      <x:c r="M164" s="24" t="str">
        <x:v>Core Family</x:v>
      </x:c>
    </x:row>
    <x:row r="165" ht="44" customHeight="1">
      <x:c r="A165" s="24" t="str">
        <x:v>PPL-1012</x:v>
      </x:c>
      <x:c r="B165" s="24" t="str">
        <x:v>Composite Souls</x:v>
      </x:c>
      <x:c r="C165" s="24" t="str">
        <x:v>People &amp; Beings</x:v>
      </x:c>
      <x:c r="D165" s="24" t="str">
        <x:v>PPL-1000</x:v>
      </x:c>
      <x:c r="E165" s="24" t="str">
        <x:f>IF(D165="","",IFERROR(VLOOKUP(D165,$A$2:$B$1226,2,FALSE),""))</x:f>
        <x:v>Shapeshifters, Hybrids, and Mutable Peoples</x:v>
      </x:c>
      <x:c r="F165" s="24" t="n">
        <x:v>3</x:v>
      </x:c>
      <x:c r="G165" s="24" t="str">
        <x:v>Persons formed by fused souls, inherited memories, reincarnated identities, or many minds sharing one body.</x:v>
      </x:c>
      <x:c r="H165" s="24" t="str">
        <x:v>Source-specific examples may differ biologically, metaphysically, culturally, and morally; map them as analogues unless equivalence is explicit.</x:v>
      </x:c>
      <x:c r="I165" s="24" t="str">
        <x:v>soul fusion; gestalt person; multiple-self being</x:v>
      </x:c>
      <x:c r="J165" s="24" t="str">
        <x:v>Identity mystery, boundary crossing, infiltration, curse narrative, mixed heritage, or transformational heroism.</x:v>
      </x:c>
      <x:c r="K165" s="24" t="str">
        <x:v>soul fusion; gestalt person; multiple-self being</x:v>
      </x:c>
      <x:c r="L165" s="24" t="str">
        <x:v>Preserve each source's ontology, culture, history, and terminology when making comparisons.</x:v>
      </x:c>
      <x:c r="M165" s="24" t="str">
        <x:v>Core Family</x:v>
      </x:c>
    </x:row>
    <x:row r="166" ht="44" customHeight="1">
      <x:c r="A166" s="24" t="str">
        <x:v>PPL-1101</x:v>
      </x:c>
      <x:c r="B166" s="24" t="str">
        <x:v>Aberrations</x:v>
      </x:c>
      <x:c r="C166" s="24" t="str">
        <x:v>People &amp; Beings</x:v>
      </x:c>
      <x:c r="D166" s="24" t="str">
        <x:v>PPL-1100</x:v>
      </x:c>
      <x:c r="E166" s="24" t="str">
        <x:f>IF(D166="","",IFERROR(VLOOKUP(D166,$A$2:$B$1226,2,FALSE),""))</x:f>
        <x:v>Cosmic, Aberrant, and Otherworldly Beings</x:v>
      </x:c>
      <x:c r="F166" s="24" t="n">
        <x:v>3</x:v>
      </x:c>
      <x:c r="G166" s="24" t="str">
        <x:v>Beings whose anatomy, cognition, magic, or origin violates the setting's ordinary taxonomies.</x:v>
      </x:c>
      <x:c r="H166" s="24" t="str">
        <x:v>Source-specific examples may differ biologically, metaphysically, culturally, and morally; map them as analogues unless equivalence is explicit.</x:v>
      </x:c>
      <x:c r="I166" s="24" t="str">
        <x:v>aberration; anomalous creature</x:v>
      </x:c>
      <x:c r="J166" s="24" t="str">
        <x:v>Cosmic threat, reality challenge, alien civilization, metaphysical mystery, or boundary of comprehension.</x:v>
      </x:c>
      <x:c r="K166" s="24" t="str">
        <x:v>aberration; anomalous creature</x:v>
      </x:c>
      <x:c r="L166" s="24" t="str">
        <x:v>Preserve each source's ontology, culture, history, and terminology when making comparisons.</x:v>
      </x:c>
      <x:c r="M166" s="24" t="str">
        <x:v>Core Family</x:v>
      </x:c>
    </x:row>
    <x:row r="167" ht="44" customHeight="1">
      <x:c r="A167" s="24" t="str">
        <x:v>PPL-1102</x:v>
      </x:c>
      <x:c r="B167" s="24" t="str">
        <x:v>Alien and Otherworlder Peoples</x:v>
      </x:c>
      <x:c r="C167" s="24" t="str">
        <x:v>People &amp; Beings</x:v>
      </x:c>
      <x:c r="D167" s="24" t="str">
        <x:v>PPL-1100</x:v>
      </x:c>
      <x:c r="E167" s="24" t="str">
        <x:f>IF(D167="","",IFERROR(VLOOKUP(D167,$A$2:$B$1226,2,FALSE),""))</x:f>
        <x:v>Cosmic, Aberrant, and Otherworldly Beings</x:v>
      </x:c>
      <x:c r="F167" s="24" t="n">
        <x:v>3</x:v>
      </x:c>
      <x:c r="G167" s="24" t="str">
        <x:v>Beings from another planet, plane, realm, timeline, or cosmos who remain intelligible as persons or societies.</x:v>
      </x:c>
      <x:c r="H167" s="24" t="str">
        <x:v>Source-specific examples may differ biologically, metaphysically, culturally, and morally; map them as analogues unless equivalence is explicit.</x:v>
      </x:c>
      <x:c r="I167" s="24" t="str">
        <x:v>alien; outsider; extraplanar people</x:v>
      </x:c>
      <x:c r="J167" s="24" t="str">
        <x:v>Cosmic threat, reality challenge, alien civilization, metaphysical mystery, or boundary of comprehension.</x:v>
      </x:c>
      <x:c r="K167" s="24" t="str">
        <x:v>alien; outsider; extraplanar people</x:v>
      </x:c>
      <x:c r="L167" s="24" t="str">
        <x:v>Preserve each source's ontology, culture, history, and terminology when making comparisons.</x:v>
      </x:c>
      <x:c r="M167" s="24" t="str">
        <x:v>Core Family</x:v>
      </x:c>
    </x:row>
    <x:row r="168" ht="44" customHeight="1">
      <x:c r="A168" s="24" t="str">
        <x:v>PPL-1103</x:v>
      </x:c>
      <x:c r="B168" s="24" t="str">
        <x:v>Eldritch Gods</x:v>
      </x:c>
      <x:c r="C168" s="24" t="str">
        <x:v>People &amp; Beings</x:v>
      </x:c>
      <x:c r="D168" s="24" t="str">
        <x:v>PPL-1100</x:v>
      </x:c>
      <x:c r="E168" s="24" t="str">
        <x:f>IF(D168="","",IFERROR(VLOOKUP(D168,$A$2:$B$1226,2,FALSE),""))</x:f>
        <x:v>Cosmic, Aberrant, and Otherworldly Beings</x:v>
      </x:c>
      <x:c r="F168" s="24" t="n">
        <x:v>3</x:v>
      </x:c>
      <x:c r="G168" s="24" t="str">
        <x:v>Vast incomprehensible entities whose scale, ontology, or perception makes ordinary religion and morality inadequate.</x:v>
      </x:c>
      <x:c r="H168" s="24" t="str">
        <x:v>Source-specific examples may differ biologically, metaphysically, culturally, and morally; map them as analogues unless equivalence is explicit.</x:v>
      </x:c>
      <x:c r="I168" s="24" t="str">
        <x:v>eldritch god; Great Old One-like being</x:v>
      </x:c>
      <x:c r="J168" s="24" t="str">
        <x:v>Cosmic threat, reality challenge, alien civilization, metaphysical mystery, or boundary of comprehension.</x:v>
      </x:c>
      <x:c r="K168" s="24" t="str">
        <x:v>eldritch god; Great Old One-like being</x:v>
      </x:c>
      <x:c r="L168" s="24" t="str">
        <x:v>Preserve each source's ontology, culture, history, and terminology when making comparisons.</x:v>
      </x:c>
      <x:c r="M168" s="24" t="str">
        <x:v>Core Family</x:v>
      </x:c>
    </x:row>
    <x:row r="169" ht="44" customHeight="1">
      <x:c r="A169" s="24" t="str">
        <x:v>PPL-1104</x:v>
      </x:c>
      <x:c r="B169" s="24" t="str">
        <x:v>Void Beings</x:v>
      </x:c>
      <x:c r="C169" s="24" t="str">
        <x:v>People &amp; Beings</x:v>
      </x:c>
      <x:c r="D169" s="24" t="str">
        <x:v>PPL-1100</x:v>
      </x:c>
      <x:c r="E169" s="24" t="str">
        <x:f>IF(D169="","",IFERROR(VLOOKUP(D169,$A$2:$B$1226,2,FALSE),""))</x:f>
        <x:v>Cosmic, Aberrant, and Otherworldly Beings</x:v>
      </x:c>
      <x:c r="F169" s="24" t="n">
        <x:v>3</x:v>
      </x:c>
      <x:c r="G169" s="24" t="str">
        <x:v>Entities constituted by emptiness, negation, anti-reality, cosmic darkness, or a realm outside creation.</x:v>
      </x:c>
      <x:c r="H169" s="24" t="str">
        <x:v>Source-specific examples may differ biologically, metaphysically, culturally, and morally; map them as analogues unless equivalence is explicit.</x:v>
      </x:c>
      <x:c r="I169" s="24" t="str">
        <x:v>voidborn; null entity; abyssal being</x:v>
      </x:c>
      <x:c r="J169" s="24" t="str">
        <x:v>Cosmic threat, reality challenge, alien civilization, metaphysical mystery, or boundary of comprehension.</x:v>
      </x:c>
      <x:c r="K169" s="24" t="str">
        <x:v>voidborn; null entity; abyssal being</x:v>
      </x:c>
      <x:c r="L169" s="24" t="str">
        <x:v>Preserve each source's ontology, culture, history, and terminology when making comparisons.</x:v>
      </x:c>
      <x:c r="M169" s="24" t="str">
        <x:v>Core Family</x:v>
      </x:c>
    </x:row>
    <x:row r="170" ht="44" customHeight="1">
      <x:c r="A170" s="24" t="str">
        <x:v>PPL-1105</x:v>
      </x:c>
      <x:c r="B170" s="24" t="str">
        <x:v>Star Beings</x:v>
      </x:c>
      <x:c r="C170" s="24" t="str">
        <x:v>People &amp; Beings</x:v>
      </x:c>
      <x:c r="D170" s="24" t="str">
        <x:v>PPL-1100</x:v>
      </x:c>
      <x:c r="E170" s="24" t="str">
        <x:f>IF(D170="","",IFERROR(VLOOKUP(D170,$A$2:$B$1226,2,FALSE),""))</x:f>
        <x:v>Cosmic, Aberrant, and Otherworldly Beings</x:v>
      </x:c>
      <x:c r="F170" s="24" t="n">
        <x:v>3</x:v>
      </x:c>
      <x:c r="G170" s="24" t="str">
        <x:v>Celestial intelligences, fallen stars, constellations, or people whose bodies and power derive from stellar phenomena.</x:v>
      </x:c>
      <x:c r="H170" s="24" t="str">
        <x:v>Source-specific examples may differ biologically, metaphysically, culturally, and morally; map them as analogues unless equivalence is explicit.</x:v>
      </x:c>
      <x:c r="I170" s="24" t="str">
        <x:v>star child; living constellation; astral being</x:v>
      </x:c>
      <x:c r="J170" s="24" t="str">
        <x:v>Cosmic threat, reality challenge, alien civilization, metaphysical mystery, or boundary of comprehension.</x:v>
      </x:c>
      <x:c r="K170" s="24" t="str">
        <x:v>star child; living constellation; astral being</x:v>
      </x:c>
      <x:c r="L170" s="24" t="str">
        <x:v>Preserve each source's ontology, culture, history, and terminology when making comparisons.</x:v>
      </x:c>
      <x:c r="M170" s="24" t="str">
        <x:v>Core Family</x:v>
      </x:c>
    </x:row>
    <x:row r="171" ht="44" customHeight="1">
      <x:c r="A171" s="24" t="str">
        <x:v>PPL-1106</x:v>
      </x:c>
      <x:c r="B171" s="24" t="str">
        <x:v>Time-Displaced Peoples</x:v>
      </x:c>
      <x:c r="C171" s="24" t="str">
        <x:v>People &amp; Beings</x:v>
      </x:c>
      <x:c r="D171" s="24" t="str">
        <x:v>PPL-1100</x:v>
      </x:c>
      <x:c r="E171" s="24" t="str">
        <x:f>IF(D171="","",IFERROR(VLOOKUP(D171,$A$2:$B$1226,2,FALSE),""))</x:f>
        <x:v>Cosmic, Aberrant, and Otherworldly Beings</x:v>
      </x:c>
      <x:c r="F171" s="24" t="n">
        <x:v>3</x:v>
      </x:c>
      <x:c r="G171" s="24" t="str">
        <x:v>Beings originating in another era or existing nonlinearly across time.</x:v>
      </x:c>
      <x:c r="H171" s="24" t="str">
        <x:v>Source-specific examples may differ biologically, metaphysically, culturally, and morally; map them as analogues unless equivalence is explicit.</x:v>
      </x:c>
      <x:c r="I171" s="24" t="str">
        <x:v>future exile; ancient survivor; temporal being</x:v>
      </x:c>
      <x:c r="J171" s="24" t="str">
        <x:v>Cosmic threat, reality challenge, alien civilization, metaphysical mystery, or boundary of comprehension.</x:v>
      </x:c>
      <x:c r="K171" s="24" t="str">
        <x:v>future exile; ancient survivor; temporal being</x:v>
      </x:c>
      <x:c r="L171" s="24" t="str">
        <x:v>Preserve each source's ontology, culture, history, and terminology when making comparisons.</x:v>
      </x:c>
      <x:c r="M171" s="24" t="str">
        <x:v>Core Family</x:v>
      </x:c>
    </x:row>
    <x:row r="172" ht="44" customHeight="1">
      <x:c r="A172" s="24" t="str">
        <x:v>PPL-1107</x:v>
      </x:c>
      <x:c r="B172" s="24" t="str">
        <x:v>Dimensional Exiles</x:v>
      </x:c>
      <x:c r="C172" s="24" t="str">
        <x:v>People &amp; Beings</x:v>
      </x:c>
      <x:c r="D172" s="24" t="str">
        <x:v>PPL-1100</x:v>
      </x:c>
      <x:c r="E172" s="24" t="str">
        <x:f>IF(D172="","",IFERROR(VLOOKUP(D172,$A$2:$B$1226,2,FALSE),""))</x:f>
        <x:v>Cosmic, Aberrant, and Otherworldly Beings</x:v>
      </x:c>
      <x:c r="F172" s="24" t="n">
        <x:v>3</x:v>
      </x:c>
      <x:c r="G172" s="24" t="str">
        <x:v>Peoples stranded, banished, or displaced from another plane and transformed by their new reality.</x:v>
      </x:c>
      <x:c r="H172" s="24" t="str">
        <x:v>Source-specific examples may differ biologically, metaphysically, culturally, and morally; map them as analogues unless equivalence is explicit.</x:v>
      </x:c>
      <x:c r="I172" s="24" t="str">
        <x:v>planar refugee; exile from another realm</x:v>
      </x:c>
      <x:c r="J172" s="24" t="str">
        <x:v>Cosmic threat, reality challenge, alien civilization, metaphysical mystery, or boundary of comprehension.</x:v>
      </x:c>
      <x:c r="K172" s="24" t="str">
        <x:v>planar refugee; exile from another realm</x:v>
      </x:c>
      <x:c r="L172" s="24" t="str">
        <x:v>Preserve each source's ontology, culture, history, and terminology when making comparisons.</x:v>
      </x:c>
      <x:c r="M172" s="24" t="str">
        <x:v>Core Family</x:v>
      </x:c>
    </x:row>
    <x:row r="173" ht="44" customHeight="1">
      <x:c r="A173" s="24" t="str">
        <x:v>PPL-1108</x:v>
      </x:c>
      <x:c r="B173" s="24" t="str">
        <x:v>Living Paradoxes</x:v>
      </x:c>
      <x:c r="C173" s="24" t="str">
        <x:v>People &amp; Beings</x:v>
      </x:c>
      <x:c r="D173" s="24" t="str">
        <x:v>PPL-1100</x:v>
      </x:c>
      <x:c r="E173" s="24" t="str">
        <x:f>IF(D173="","",IFERROR(VLOOKUP(D173,$A$2:$B$1226,2,FALSE),""))</x:f>
        <x:v>Cosmic, Aberrant, and Otherworldly Beings</x:v>
      </x:c>
      <x:c r="F173" s="24" t="n">
        <x:v>3</x:v>
      </x:c>
      <x:c r="G173" s="24" t="str">
        <x:v>Entities whose existence depends on contradiction, recursive causality, impossible identity, or broken natural law.</x:v>
      </x:c>
      <x:c r="H173" s="24" t="str">
        <x:v>Source-specific examples may differ biologically, metaphysically, culturally, and morally; map them as analogues unless equivalence is explicit.</x:v>
      </x:c>
      <x:c r="I173" s="24" t="str">
        <x:v>paradox being; impossible person</x:v>
      </x:c>
      <x:c r="J173" s="24" t="str">
        <x:v>Cosmic threat, reality challenge, alien civilization, metaphysical mystery, or boundary of comprehension.</x:v>
      </x:c>
      <x:c r="K173" s="24" t="str">
        <x:v>paradox being; impossible person</x:v>
      </x:c>
      <x:c r="L173" s="24" t="str">
        <x:v>Preserve each source's ontology, culture, history, and terminology when making comparisons.</x:v>
      </x:c>
      <x:c r="M173" s="24" t="str">
        <x:v>Core Family</x:v>
      </x:c>
    </x:row>
    <x:row r="174" ht="44" customHeight="1">
      <x:c r="A174" s="24" t="str">
        <x:v>PPL-1109</x:v>
      </x:c>
      <x:c r="B174" s="24" t="str">
        <x:v>Mimic Predators</x:v>
      </x:c>
      <x:c r="C174" s="24" t="str">
        <x:v>People &amp; Beings</x:v>
      </x:c>
      <x:c r="D174" s="24" t="str">
        <x:v>PPL-1100</x:v>
      </x:c>
      <x:c r="E174" s="24" t="str">
        <x:f>IF(D174="","",IFERROR(VLOOKUP(D174,$A$2:$B$1226,2,FALSE),""))</x:f>
        <x:v>Cosmic, Aberrant, and Otherworldly Beings</x:v>
      </x:c>
      <x:c r="F174" s="24" t="n">
        <x:v>3</x:v>
      </x:c>
      <x:c r="G174" s="24" t="str">
        <x:v>Creatures that imitate objects, architecture, terrain, or social forms to ambush prey.</x:v>
      </x:c>
      <x:c r="H174" s="24" t="str">
        <x:v>Source-specific examples may differ biologically, metaphysically, culturally, and morally; map them as analogues unless equivalence is explicit.</x:v>
      </x:c>
      <x:c r="I174" s="24" t="str">
        <x:v>mimic; false chest; living door</x:v>
      </x:c>
      <x:c r="J174" s="24" t="str">
        <x:v>Cosmic threat, reality challenge, alien civilization, metaphysical mystery, or boundary of comprehension.</x:v>
      </x:c>
      <x:c r="K174" s="24" t="str">
        <x:v>mimic; false chest; living door</x:v>
      </x:c>
      <x:c r="L174" s="24" t="str">
        <x:v>Preserve each source's ontology, culture, history, and terminology when making comparisons.</x:v>
      </x:c>
      <x:c r="M174" s="24" t="str">
        <x:v>Core Family</x:v>
      </x:c>
    </x:row>
    <x:row r="175" ht="44" customHeight="1">
      <x:c r="A175" s="24" t="str">
        <x:v>PPL-1110</x:v>
      </x:c>
      <x:c r="B175" s="24" t="str">
        <x:v>Reality Parasites</x:v>
      </x:c>
      <x:c r="C175" s="24" t="str">
        <x:v>People &amp; Beings</x:v>
      </x:c>
      <x:c r="D175" s="24" t="str">
        <x:v>PPL-1100</x:v>
      </x:c>
      <x:c r="E175" s="24" t="str">
        <x:f>IF(D175="","",IFERROR(VLOOKUP(D175,$A$2:$B$1226,2,FALSE),""))</x:f>
        <x:v>Cosmic, Aberrant, and Otherworldly Beings</x:v>
      </x:c>
      <x:c r="F175" s="24" t="n">
        <x:v>3</x:v>
      </x:c>
      <x:c r="G175" s="24" t="str">
        <x:v>Entities that feed on laws, memories, timelines, stories, dimensions, or the existence of other worlds.</x:v>
      </x:c>
      <x:c r="H175" s="24" t="str">
        <x:v>Source-specific examples may differ biologically, metaphysically, culturally, and morally; map them as analogues unless equivalence is explicit.</x:v>
      </x:c>
      <x:c r="I175" s="24" t="str">
        <x:v>reality eater; concept parasite</x:v>
      </x:c>
      <x:c r="J175" s="24" t="str">
        <x:v>Cosmic threat, reality challenge, alien civilization, metaphysical mystery, or boundary of comprehension.</x:v>
      </x:c>
      <x:c r="K175" s="24" t="str">
        <x:v>reality eater; concept parasite</x:v>
      </x:c>
      <x:c r="L175" s="24" t="str">
        <x:v>Preserve each source's ontology, culture, history, and terminology when making comparisons.</x:v>
      </x:c>
      <x:c r="M175" s="24" t="str">
        <x:v>Core Family</x:v>
      </x:c>
    </x:row>
    <x:row r="176" ht="44" customHeight="1">
      <x:c r="A176" s="24" t="str">
        <x:v>PPL-1111</x:v>
      </x:c>
      <x:c r="B176" s="24" t="str">
        <x:v>Dreaming World-Minds</x:v>
      </x:c>
      <x:c r="C176" s="24" t="str">
        <x:v>People &amp; Beings</x:v>
      </x:c>
      <x:c r="D176" s="24" t="str">
        <x:v>PPL-1100</x:v>
      </x:c>
      <x:c r="E176" s="24" t="str">
        <x:f>IF(D176="","",IFERROR(VLOOKUP(D176,$A$2:$B$1226,2,FALSE),""))</x:f>
        <x:v>Cosmic, Aberrant, and Otherworldly Beings</x:v>
      </x:c>
      <x:c r="F176" s="24" t="n">
        <x:v>3</x:v>
      </x:c>
      <x:c r="G176" s="24" t="str">
        <x:v>Cosmic entities whose dreams, thoughts, or sleep generate or destabilize reality.</x:v>
      </x:c>
      <x:c r="H176" s="24" t="str">
        <x:v>Source-specific examples may differ biologically, metaphysically, culturally, and morally; map them as analogues unless equivalence is explicit.</x:v>
      </x:c>
      <x:c r="I176" s="24" t="str">
        <x:v>dreaming god; world dreamer</x:v>
      </x:c>
      <x:c r="J176" s="24" t="str">
        <x:v>Cosmic threat, reality challenge, alien civilization, metaphysical mystery, or boundary of comprehension.</x:v>
      </x:c>
      <x:c r="K176" s="24" t="str">
        <x:v>dreaming god; world dreamer</x:v>
      </x:c>
      <x:c r="L176" s="24" t="str">
        <x:v>Preserve each source's ontology, culture, history, and terminology when making comparisons.</x:v>
      </x:c>
      <x:c r="M176" s="24" t="str">
        <x:v>Core Family</x:v>
      </x:c>
    </x:row>
    <x:row r="177" ht="44" customHeight="1">
      <x:c r="A177" s="24" t="str">
        <x:v>PPL-1112</x:v>
      </x:c>
      <x:c r="B177" s="24" t="str">
        <x:v>Incomprehensible Collective Intelligences</x:v>
      </x:c>
      <x:c r="C177" s="24" t="str">
        <x:v>People &amp; Beings</x:v>
      </x:c>
      <x:c r="D177" s="24" t="str">
        <x:v>PPL-1100</x:v>
      </x:c>
      <x:c r="E177" s="24" t="str">
        <x:f>IF(D177="","",IFERROR(VLOOKUP(D177,$A$2:$B$1226,2,FALSE),""))</x:f>
        <x:v>Cosmic, Aberrant, and Otherworldly Beings</x:v>
      </x:c>
      <x:c r="F177" s="24" t="n">
        <x:v>3</x:v>
      </x:c>
      <x:c r="G177" s="24" t="str">
        <x:v>Vast minds distributed across species, dimensions, stars, or informational systems beyond individual-scale personhood.</x:v>
      </x:c>
      <x:c r="H177" s="24" t="str">
        <x:v>Source-specific examples may differ biologically, metaphysically, culturally, and morally; map them as analogues unless equivalence is explicit.</x:v>
      </x:c>
      <x:c r="I177" s="24" t="str">
        <x:v>cosmic hive mind; overmind</x:v>
      </x:c>
      <x:c r="J177" s="24" t="str">
        <x:v>Cosmic threat, reality challenge, alien civilization, metaphysical mystery, or boundary of comprehension.</x:v>
      </x:c>
      <x:c r="K177" s="24" t="str">
        <x:v>cosmic hive mind; overmind</x:v>
      </x:c>
      <x:c r="L177" s="24" t="str">
        <x:v>Preserve each source's ontology, culture, history, and terminology when making comparisons.</x:v>
      </x:c>
      <x:c r="M177" s="24" t="str">
        <x:v>Core Family</x:v>
      </x:c>
    </x:row>
    <x:row r="178" ht="44" customHeight="1">
      <x:c r="A178" s="24" t="str">
        <x:v>ROL-100</x:v>
      </x:c>
      <x:c r="B178" s="24" t="str">
        <x:v>Martial Roles</x:v>
      </x:c>
      <x:c r="C178" s="24" t="str">
        <x:v>Roles &amp; Vocations</x:v>
      </x:c>
      <x:c r="D178" s="24" t="str">
        <x:v>ROL-000</x:v>
      </x:c>
      <x:c r="E178" s="24" t="str">
        <x:f>IF(D178="","",IFERROR(VLOOKUP(D178,$A$2:$B$1226,2,FALSE),""))</x:f>
        <x:v>Roles &amp; Vocations</x:v>
      </x:c>
      <x:c r="F178" s="24" t="n">
        <x:v>2</x:v>
      </x:c>
      <x:c r="G178" s="24" t="str">
        <x:v>Combatants whose primary expertise is weapons, armor, physical discipline, command, or battlefield endurance.</x:v>
      </x:c>
      <x:c r="H178" s="24" t="str">
        <x:v>A role may be a profession, class, office, order, build, or narrative identity; record the native type separately.</x:v>
      </x:c>
      <x:c r="I178" s="24" t="str"/>
      <x:c r="J178" s="24" t="str">
        <x:v>Groups source-specific classes and vocations by practical and symbolic function.</x:v>
      </x:c>
      <x:c r="K178" s="24" t="str">
        <x:v>Martial Roles</x:v>
      </x:c>
      <x:c r="L178" s="24" t="str">
        <x:v>Preserve each source's ontology, culture, history, and terminology when making comparisons.</x:v>
      </x:c>
      <x:c r="M178" s="24" t="str">
        <x:v>Category</x:v>
      </x:c>
    </x:row>
    <x:row r="179" ht="44" customHeight="1">
      <x:c r="A179" s="24" t="str">
        <x:v>ROL-200</x:v>
      </x:c>
      <x:c r="B179" s="24" t="str">
        <x:v>Rogue and Underworld Roles</x:v>
      </x:c>
      <x:c r="C179" s="24" t="str">
        <x:v>Roles &amp; Vocations</x:v>
      </x:c>
      <x:c r="D179" s="24" t="str">
        <x:v>ROL-000</x:v>
      </x:c>
      <x:c r="E179" s="24" t="str">
        <x:f>IF(D179="","",IFERROR(VLOOKUP(D179,$A$2:$B$1226,2,FALSE),""))</x:f>
        <x:v>Roles &amp; Vocations</x:v>
      </x:c>
      <x:c r="F179" s="24" t="n">
        <x:v>2</x:v>
      </x:c>
      <x:c r="G179" s="24" t="str">
        <x:v>Stealth, infiltration, theft, assassination, deception, sabotage, and informal survival professions.</x:v>
      </x:c>
      <x:c r="H179" s="24" t="str">
        <x:v>A role may be a profession, class, office, order, build, or narrative identity; record the native type separately.</x:v>
      </x:c>
      <x:c r="I179" s="24" t="str"/>
      <x:c r="J179" s="24" t="str">
        <x:v>Groups source-specific classes and vocations by practical and symbolic function.</x:v>
      </x:c>
      <x:c r="K179" s="24" t="str">
        <x:v>Rogue and Underworld Roles</x:v>
      </x:c>
      <x:c r="L179" s="24" t="str">
        <x:v>Preserve each source's ontology, culture, history, and terminology when making comparisons.</x:v>
      </x:c>
      <x:c r="M179" s="24" t="str">
        <x:v>Category</x:v>
      </x:c>
    </x:row>
    <x:row r="180" ht="44" customHeight="1">
      <x:c r="A180" s="24" t="str">
        <x:v>ROL-300</x:v>
      </x:c>
      <x:c r="B180" s="24" t="str">
        <x:v>Arcane and Scholarly Magic Roles</x:v>
      </x:c>
      <x:c r="C180" s="24" t="str">
        <x:v>Roles &amp; Vocations</x:v>
      </x:c>
      <x:c r="D180" s="24" t="str">
        <x:v>ROL-000</x:v>
      </x:c>
      <x:c r="E180" s="24" t="str">
        <x:f>IF(D180="","",IFERROR(VLOOKUP(D180,$A$2:$B$1226,2,FALSE),""))</x:f>
        <x:v>Roles &amp; Vocations</x:v>
      </x:c>
      <x:c r="F180" s="24" t="n">
        <x:v>2</x:v>
      </x:c>
      <x:c r="G180" s="24" t="str">
        <x:v>Practitioners whose extraordinary abilities are framed as learned, innate, technical, symbolic, or occult magic.</x:v>
      </x:c>
      <x:c r="H180" s="24" t="str">
        <x:v>A role may be a profession, class, office, order, build, or narrative identity; record the native type separately.</x:v>
      </x:c>
      <x:c r="I180" s="24" t="str"/>
      <x:c r="J180" s="24" t="str">
        <x:v>Groups source-specific classes and vocations by practical and symbolic function.</x:v>
      </x:c>
      <x:c r="K180" s="24" t="str">
        <x:v>Arcane and Scholarly Magic Roles</x:v>
      </x:c>
      <x:c r="L180" s="24" t="str">
        <x:v>Preserve each source's ontology, culture, history, and terminology when making comparisons.</x:v>
      </x:c>
      <x:c r="M180" s="24" t="str">
        <x:v>Category</x:v>
      </x:c>
    </x:row>
    <x:row r="181" ht="44" customHeight="1">
      <x:c r="A181" s="24" t="str">
        <x:v>ROL-400</x:v>
      </x:c>
      <x:c r="B181" s="24" t="str">
        <x:v>Divine and Religious Roles</x:v>
      </x:c>
      <x:c r="C181" s="24" t="str">
        <x:v>Roles &amp; Vocations</x:v>
      </x:c>
      <x:c r="D181" s="24" t="str">
        <x:v>ROL-000</x:v>
      </x:c>
      <x:c r="E181" s="24" t="str">
        <x:f>IF(D181="","",IFERROR(VLOOKUP(D181,$A$2:$B$1226,2,FALSE),""))</x:f>
        <x:v>Roles &amp; Vocations</x:v>
      </x:c>
      <x:c r="F181" s="24" t="n">
        <x:v>2</x:v>
      </x:c>
      <x:c r="G181" s="24" t="str">
        <x:v>Vocations grounded in worship, sacred authority, miracles, prophecy, ritual office, or opposition to spiritual threats.</x:v>
      </x:c>
      <x:c r="H181" s="24" t="str">
        <x:v>A role may be a profession, class, office, order, build, or narrative identity; record the native type separately.</x:v>
      </x:c>
      <x:c r="I181" s="24" t="str"/>
      <x:c r="J181" s="24" t="str">
        <x:v>Groups source-specific classes and vocations by practical and symbolic function.</x:v>
      </x:c>
      <x:c r="K181" s="24" t="str">
        <x:v>Divine and Religious Roles</x:v>
      </x:c>
      <x:c r="L181" s="24" t="str">
        <x:v>Preserve each source's ontology, culture, history, and terminology when making comparisons.</x:v>
      </x:c>
      <x:c r="M181" s="24" t="str">
        <x:v>Category</x:v>
      </x:c>
    </x:row>
    <x:row r="182" ht="44" customHeight="1">
      <x:c r="A182" s="24" t="str">
        <x:v>ROL-500</x:v>
      </x:c>
      <x:c r="B182" s="24" t="str">
        <x:v>Nature and Spirit Roles</x:v>
      </x:c>
      <x:c r="C182" s="24" t="str">
        <x:v>Roles &amp; Vocations</x:v>
      </x:c>
      <x:c r="D182" s="24" t="str">
        <x:v>ROL-000</x:v>
      </x:c>
      <x:c r="E182" s="24" t="str">
        <x:f>IF(D182="","",IFERROR(VLOOKUP(D182,$A$2:$B$1226,2,FALSE),""))</x:f>
        <x:v>Roles &amp; Vocations</x:v>
      </x:c>
      <x:c r="F182" s="24" t="n">
        <x:v>2</x:v>
      </x:c>
      <x:c r="G182" s="24" t="str">
        <x:v>Vocations that mediate wilderness, animals, elements, ancestors, land spirits, or ecological reciprocity.</x:v>
      </x:c>
      <x:c r="H182" s="24" t="str">
        <x:v>A role may be a profession, class, office, order, build, or narrative identity; record the native type separately.</x:v>
      </x:c>
      <x:c r="I182" s="24" t="str"/>
      <x:c r="J182" s="24" t="str">
        <x:v>Groups source-specific classes and vocations by practical and symbolic function.</x:v>
      </x:c>
      <x:c r="K182" s="24" t="str">
        <x:v>Nature and Spirit Roles</x:v>
      </x:c>
      <x:c r="L182" s="24" t="str">
        <x:v>Preserve each source's ontology, culture, history, and terminology when making comparisons.</x:v>
      </x:c>
      <x:c r="M182" s="24" t="str">
        <x:v>Category</x:v>
      </x:c>
    </x:row>
    <x:row r="183" ht="44" customHeight="1">
      <x:c r="A183" s="24" t="str">
        <x:v>ROL-600</x:v>
      </x:c>
      <x:c r="B183" s="24" t="str">
        <x:v>Healing, Craft, and Knowledge Roles</x:v>
      </x:c>
      <x:c r="C183" s="24" t="str">
        <x:v>Roles &amp; Vocations</x:v>
      </x:c>
      <x:c r="D183" s="24" t="str">
        <x:v>ROL-000</x:v>
      </x:c>
      <x:c r="E183" s="24" t="str">
        <x:f>IF(D183="","",IFERROR(VLOOKUP(D183,$A$2:$B$1226,2,FALSE),""))</x:f>
        <x:v>Roles &amp; Vocations</x:v>
      </x:c>
      <x:c r="F183" s="24" t="n">
        <x:v>2</x:v>
      </x:c>
      <x:c r="G183" s="24" t="str">
        <x:v>Supportive, productive, scholarly, artistic, and technical professions that sustain people and institutions.</x:v>
      </x:c>
      <x:c r="H183" s="24" t="str">
        <x:v>A role may be a profession, class, office, order, build, or narrative identity; record the native type separately.</x:v>
      </x:c>
      <x:c r="I183" s="24" t="str"/>
      <x:c r="J183" s="24" t="str">
        <x:v>Groups source-specific classes and vocations by practical and symbolic function.</x:v>
      </x:c>
      <x:c r="K183" s="24" t="str">
        <x:v>Healing, Craft, and Knowledge Roles</x:v>
      </x:c>
      <x:c r="L183" s="24" t="str">
        <x:v>Preserve each source's ontology, culture, history, and terminology when making comparisons.</x:v>
      </x:c>
      <x:c r="M183" s="24" t="str">
        <x:v>Category</x:v>
      </x:c>
    </x:row>
    <x:row r="184" ht="44" customHeight="1">
      <x:c r="A184" s="24" t="str">
        <x:v>ROL-700</x:v>
      </x:c>
      <x:c r="B184" s="24" t="str">
        <x:v>Leadership and Social Office Roles</x:v>
      </x:c>
      <x:c r="C184" s="24" t="str">
        <x:v>Roles &amp; Vocations</x:v>
      </x:c>
      <x:c r="D184" s="24" t="str">
        <x:v>ROL-000</x:v>
      </x:c>
      <x:c r="E184" s="24" t="str">
        <x:f>IF(D184="","",IFERROR(VLOOKUP(D184,$A$2:$B$1226,2,FALSE),""))</x:f>
        <x:v>Roles &amp; Vocations</x:v>
      </x:c>
      <x:c r="F184" s="24" t="n">
        <x:v>2</x:v>
      </x:c>
      <x:c r="G184" s="24" t="str">
        <x:v>Roles defined by authority, status, governance, diplomacy, lineage, administration, or command.</x:v>
      </x:c>
      <x:c r="H184" s="24" t="str">
        <x:v>A role may be a profession, class, office, order, build, or narrative identity; record the native type separately.</x:v>
      </x:c>
      <x:c r="I184" s="24" t="str"/>
      <x:c r="J184" s="24" t="str">
        <x:v>Groups source-specific classes and vocations by practical and symbolic function.</x:v>
      </x:c>
      <x:c r="K184" s="24" t="str">
        <x:v>Leadership and Social Office Roles</x:v>
      </x:c>
      <x:c r="L184" s="24" t="str">
        <x:v>Preserve each source's ontology, culture, history, and terminology when making comparisons.</x:v>
      </x:c>
      <x:c r="M184" s="24" t="str">
        <x:v>Category</x:v>
      </x:c>
    </x:row>
    <x:row r="185" ht="44" customHeight="1">
      <x:c r="A185" s="24" t="str">
        <x:v>ROL-800</x:v>
      </x:c>
      <x:c r="B185" s="24" t="str">
        <x:v>Hybrid and Specialist Fantasy Roles</x:v>
      </x:c>
      <x:c r="C185" s="24" t="str">
        <x:v>Roles &amp; Vocations</x:v>
      </x:c>
      <x:c r="D185" s="24" t="str">
        <x:v>ROL-000</x:v>
      </x:c>
      <x:c r="E185" s="24" t="str">
        <x:f>IF(D185="","",IFERROR(VLOOKUP(D185,$A$2:$B$1226,2,FALSE),""))</x:f>
        <x:v>Roles &amp; Vocations</x:v>
      </x:c>
      <x:c r="F185" s="24" t="n">
        <x:v>2</x:v>
      </x:c>
      <x:c r="G185" s="24" t="str">
        <x:v>Composite, setting-specific, transformational, or strongly genre-coded roles that combine multiple domains.</x:v>
      </x:c>
      <x:c r="H185" s="24" t="str">
        <x:v>A role may be a profession, class, office, order, build, or narrative identity; record the native type separately.</x:v>
      </x:c>
      <x:c r="I185" s="24" t="str"/>
      <x:c r="J185" s="24" t="str">
        <x:v>Groups source-specific classes and vocations by practical and symbolic function.</x:v>
      </x:c>
      <x:c r="K185" s="24" t="str">
        <x:v>Hybrid and Specialist Fantasy Roles</x:v>
      </x:c>
      <x:c r="L185" s="24" t="str">
        <x:v>Preserve each source's ontology, culture, history, and terminology when making comparisons.</x:v>
      </x:c>
      <x:c r="M185" s="24" t="str">
        <x:v>Category</x:v>
      </x:c>
    </x:row>
    <x:row r="186" ht="44" customHeight="1">
      <x:c r="A186" s="24" t="str">
        <x:v>ROL-900</x:v>
      </x:c>
      <x:c r="B186" s="24" t="str">
        <x:v>Progression, Cultivation, and Adventure Roles</x:v>
      </x:c>
      <x:c r="C186" s="24" t="str">
        <x:v>Roles &amp; Vocations</x:v>
      </x:c>
      <x:c r="D186" s="24" t="str">
        <x:v>ROL-000</x:v>
      </x:c>
      <x:c r="E186" s="24" t="str">
        <x:f>IF(D186="","",IFERROR(VLOOKUP(D186,$A$2:$B$1226,2,FALSE),""))</x:f>
        <x:v>Roles &amp; Vocations</x:v>
      </x:c>
      <x:c r="F186" s="24" t="n">
        <x:v>2</x:v>
      </x:c>
      <x:c r="G186" s="24" t="str">
        <x:v>Roles defined by advancement systems, guild ranks, cultivation paths, reincarnation structures, or exploratory play.</x:v>
      </x:c>
      <x:c r="H186" s="24" t="str">
        <x:v>A role may be a profession, class, office, order, build, or narrative identity; record the native type separately.</x:v>
      </x:c>
      <x:c r="I186" s="24" t="str"/>
      <x:c r="J186" s="24" t="str">
        <x:v>Groups source-specific classes and vocations by practical and symbolic function.</x:v>
      </x:c>
      <x:c r="K186" s="24" t="str">
        <x:v>Progression, Cultivation, and Adventure Roles</x:v>
      </x:c>
      <x:c r="L186" s="24" t="str">
        <x:v>Preserve each source's ontology, culture, history, and terminology when making comparisons.</x:v>
      </x:c>
      <x:c r="M186" s="24" t="str">
        <x:v>Category</x:v>
      </x:c>
    </x:row>
    <x:row r="187" ht="44" customHeight="1">
      <x:c r="A187" s="24" t="str">
        <x:v>ROL-101</x:v>
      </x:c>
      <x:c r="B187" s="24" t="str">
        <x:v>Warrior or Fighter</x:v>
      </x:c>
      <x:c r="C187" s="24" t="str">
        <x:v>Roles &amp; Vocations</x:v>
      </x:c>
      <x:c r="D187" s="24" t="str">
        <x:v>ROL-100</x:v>
      </x:c>
      <x:c r="E187" s="24" t="str">
        <x:f>IF(D187="","",IFERROR(VLOOKUP(D187,$A$2:$B$1226,2,FALSE),""))</x:f>
        <x:v>Martial Roles</x:v>
      </x:c>
      <x:c r="F187" s="24" t="n">
        <x:v>3</x:v>
      </x:c>
      <x:c r="G187" s="24" t="str">
        <x:v>Broad weapon-using combatant whose competence is defined by martial training rather than a narrower social office or weapon style.</x:v>
      </x:c>
      <x:c r="H187" s="24" t="str">
        <x:v>Do not assume identical training, social status, powers, or mechanics across settings.</x:v>
      </x:c>
      <x:c r="I187" s="24" t="str">
        <x:v>warrior; fighter; man-at-arms; combatant</x:v>
      </x:c>
      <x:c r="J187" s="24" t="str">
        <x:v>Front-line combat, defense, mobility, command, hunting, or weapon mastery.</x:v>
      </x:c>
      <x:c r="K187" s="24" t="str">
        <x:v>warrior; fighter; man-at-arms; combatant</x:v>
      </x:c>
      <x:c r="L187" s="24" t="str">
        <x:v>Preserve each source's ontology, culture, history, and terminology when making comparisons.</x:v>
      </x:c>
      <x:c r="M187" s="24" t="str">
        <x:v>Core Family</x:v>
      </x:c>
    </x:row>
    <x:row r="188" ht="44" customHeight="1">
      <x:c r="A188" s="24" t="str">
        <x:v>ROL-102</x:v>
      </x:c>
      <x:c r="B188" s="24" t="str">
        <x:v>Soldier</x:v>
      </x:c>
      <x:c r="C188" s="24" t="str">
        <x:v>Roles &amp; Vocations</x:v>
      </x:c>
      <x:c r="D188" s="24" t="str">
        <x:v>ROL-100</x:v>
      </x:c>
      <x:c r="E188" s="24" t="str">
        <x:f>IF(D188="","",IFERROR(VLOOKUP(D188,$A$2:$B$1226,2,FALSE),""))</x:f>
        <x:v>Martial Roles</x:v>
      </x:c>
      <x:c r="F188" s="24" t="n">
        <x:v>3</x:v>
      </x:c>
      <x:c r="G188" s="24" t="str">
        <x:v>Combatant trained and organized as part of a formal military institution.</x:v>
      </x:c>
      <x:c r="H188" s="24" t="str">
        <x:v>Do not assume identical training, social status, powers, or mechanics across settings.</x:v>
      </x:c>
      <x:c r="I188" s="24" t="str">
        <x:v>soldier; trooper; legionary; regular</x:v>
      </x:c>
      <x:c r="J188" s="24" t="str">
        <x:v>Front-line combat, defense, mobility, command, hunting, or weapon mastery.</x:v>
      </x:c>
      <x:c r="K188" s="24" t="str">
        <x:v>soldier; trooper; legionary; regular</x:v>
      </x:c>
      <x:c r="L188" s="24" t="str">
        <x:v>Preserve each source's ontology, culture, history, and terminology when making comparisons.</x:v>
      </x:c>
      <x:c r="M188" s="24" t="str">
        <x:v>Core Family</x:v>
      </x:c>
    </x:row>
    <x:row r="189" ht="44" customHeight="1">
      <x:c r="A189" s="24" t="str">
        <x:v>ROL-103</x:v>
      </x:c>
      <x:c r="B189" s="24" t="str">
        <x:v>Militia and Levy</x:v>
      </x:c>
      <x:c r="C189" s="24" t="str">
        <x:v>Roles &amp; Vocations</x:v>
      </x:c>
      <x:c r="D189" s="24" t="str">
        <x:v>ROL-100</x:v>
      </x:c>
      <x:c r="E189" s="24" t="str">
        <x:f>IF(D189="","",IFERROR(VLOOKUP(D189,$A$2:$B$1226,2,FALSE),""))</x:f>
        <x:v>Martial Roles</x:v>
      </x:c>
      <x:c r="F189" s="24" t="n">
        <x:v>3</x:v>
      </x:c>
      <x:c r="G189" s="24" t="str">
        <x:v>Part-time or conscripted defender mobilized from civilian society.</x:v>
      </x:c>
      <x:c r="H189" s="24" t="str">
        <x:v>Do not assume identical training, social status, powers, or mechanics across settings.</x:v>
      </x:c>
      <x:c r="I189" s="24" t="str">
        <x:v>militia; levy; town guard</x:v>
      </x:c>
      <x:c r="J189" s="24" t="str">
        <x:v>Front-line combat, defense, mobility, command, hunting, or weapon mastery.</x:v>
      </x:c>
      <x:c r="K189" s="24" t="str">
        <x:v>militia; levy; town guard</x:v>
      </x:c>
      <x:c r="L189" s="24" t="str">
        <x:v>Preserve each source's ontology, culture, history, and terminology when making comparisons.</x:v>
      </x:c>
      <x:c r="M189" s="24" t="str">
        <x:v>Core Family</x:v>
      </x:c>
    </x:row>
    <x:row r="190" ht="44" customHeight="1">
      <x:c r="A190" s="24" t="str">
        <x:v>ROL-104</x:v>
      </x:c>
      <x:c r="B190" s="24" t="str">
        <x:v>Heavy Infantry</x:v>
      </x:c>
      <x:c r="C190" s="24" t="str">
        <x:v>Roles &amp; Vocations</x:v>
      </x:c>
      <x:c r="D190" s="24" t="str">
        <x:v>ROL-100</x:v>
      </x:c>
      <x:c r="E190" s="24" t="str">
        <x:f>IF(D190="","",IFERROR(VLOOKUP(D190,$A$2:$B$1226,2,FALSE),""))</x:f>
        <x:v>Martial Roles</x:v>
      </x:c>
      <x:c r="F190" s="24" t="n">
        <x:v>3</x:v>
      </x:c>
      <x:c r="G190" s="24" t="str">
        <x:v>Armored foot soldier designed to hold ground, absorb pressure, and fight in formation.</x:v>
      </x:c>
      <x:c r="H190" s="24" t="str">
        <x:v>Do not assume identical training, social status, powers, or mechanics across settings.</x:v>
      </x:c>
      <x:c r="I190" s="24" t="str">
        <x:v>heavy infantry; armored foot; linebreaker</x:v>
      </x:c>
      <x:c r="J190" s="24" t="str">
        <x:v>Front-line combat, defense, mobility, command, hunting, or weapon mastery.</x:v>
      </x:c>
      <x:c r="K190" s="24" t="str">
        <x:v>heavy infantry; armored foot; linebreaker</x:v>
      </x:c>
      <x:c r="L190" s="24" t="str">
        <x:v>Preserve each source's ontology, culture, history, and terminology when making comparisons.</x:v>
      </x:c>
      <x:c r="M190" s="24" t="str">
        <x:v>Core Family</x:v>
      </x:c>
    </x:row>
    <x:row r="191" ht="44" customHeight="1">
      <x:c r="A191" s="24" t="str">
        <x:v>ROL-105</x:v>
      </x:c>
      <x:c r="B191" s="24" t="str">
        <x:v>Light Infantry and Skirmisher</x:v>
      </x:c>
      <x:c r="C191" s="24" t="str">
        <x:v>Roles &amp; Vocations</x:v>
      </x:c>
      <x:c r="D191" s="24" t="str">
        <x:v>ROL-100</x:v>
      </x:c>
      <x:c r="E191" s="24" t="str">
        <x:f>IF(D191="","",IFERROR(VLOOKUP(D191,$A$2:$B$1226,2,FALSE),""))</x:f>
        <x:v>Martial Roles</x:v>
      </x:c>
      <x:c r="F191" s="24" t="n">
        <x:v>3</x:v>
      </x:c>
      <x:c r="G191" s="24" t="str">
        <x:v>Mobile foot soldier specializing in harassment, screening, scouting, or flexible engagement.</x:v>
      </x:c>
      <x:c r="H191" s="24" t="str">
        <x:v>Do not assume identical training, social status, powers, or mechanics across settings.</x:v>
      </x:c>
      <x:c r="I191" s="24" t="str">
        <x:v>skirmisher; light infantry; peltast-like</x:v>
      </x:c>
      <x:c r="J191" s="24" t="str">
        <x:v>Front-line combat, defense, mobility, command, hunting, or weapon mastery.</x:v>
      </x:c>
      <x:c r="K191" s="24" t="str">
        <x:v>skirmisher; light infantry; peltast-like</x:v>
      </x:c>
      <x:c r="L191" s="24" t="str">
        <x:v>Preserve each source's ontology, culture, history, and terminology when making comparisons.</x:v>
      </x:c>
      <x:c r="M191" s="24" t="str">
        <x:v>Core Family</x:v>
      </x:c>
    </x:row>
    <x:row r="192" ht="44" customHeight="1">
      <x:c r="A192" s="24" t="str">
        <x:v>ROL-106</x:v>
      </x:c>
      <x:c r="B192" s="24" t="str">
        <x:v>Spearfighter and Pikeman</x:v>
      </x:c>
      <x:c r="C192" s="24" t="str">
        <x:v>Roles &amp; Vocations</x:v>
      </x:c>
      <x:c r="D192" s="24" t="str">
        <x:v>ROL-100</x:v>
      </x:c>
      <x:c r="E192" s="24" t="str">
        <x:f>IF(D192="","",IFERROR(VLOOKUP(D192,$A$2:$B$1226,2,FALSE),""))</x:f>
        <x:v>Martial Roles</x:v>
      </x:c>
      <x:c r="F192" s="24" t="n">
        <x:v>3</x:v>
      </x:c>
      <x:c r="G192" s="24" t="str">
        <x:v>Combatant specializing in spears, polearms, pikes, reach, formation fighting, or anti-cavalry tactics.</x:v>
      </x:c>
      <x:c r="H192" s="24" t="str">
        <x:v>Do not assume identical training, social status, powers, or mechanics across settings.</x:v>
      </x:c>
      <x:c r="I192" s="24" t="str">
        <x:v>spearman; pikeman; lancer; polearm master</x:v>
      </x:c>
      <x:c r="J192" s="24" t="str">
        <x:v>Front-line combat, defense, mobility, command, hunting, or weapon mastery.</x:v>
      </x:c>
      <x:c r="K192" s="24" t="str">
        <x:v>spearman; pikeman; lancer; polearm master</x:v>
      </x:c>
      <x:c r="L192" s="24" t="str">
        <x:v>Preserve each source's ontology, culture, history, and terminology when making comparisons.</x:v>
      </x:c>
      <x:c r="M192" s="24" t="str">
        <x:v>Core Family</x:v>
      </x:c>
    </x:row>
    <x:row r="193" ht="44" customHeight="1">
      <x:c r="A193" s="24" t="str">
        <x:v>ROL-107</x:v>
      </x:c>
      <x:c r="B193" s="24" t="str">
        <x:v>Swordsman</x:v>
      </x:c>
      <x:c r="C193" s="24" t="str">
        <x:v>Roles &amp; Vocations</x:v>
      </x:c>
      <x:c r="D193" s="24" t="str">
        <x:v>ROL-100</x:v>
      </x:c>
      <x:c r="E193" s="24" t="str">
        <x:f>IF(D193="","",IFERROR(VLOOKUP(D193,$A$2:$B$1226,2,FALSE),""))</x:f>
        <x:v>Martial Roles</x:v>
      </x:c>
      <x:c r="F193" s="24" t="n">
        <x:v>3</x:v>
      </x:c>
      <x:c r="G193" s="24" t="str">
        <x:v>Combatant whose identity centers on sword mastery, often as a generalized heroic martial archetype.</x:v>
      </x:c>
      <x:c r="H193" s="24" t="str">
        <x:v>Do not assume identical training, social status, powers, or mechanics across settings.</x:v>
      </x:c>
      <x:c r="I193" s="24" t="str">
        <x:v>swordsman; swordfighter; blade master</x:v>
      </x:c>
      <x:c r="J193" s="24" t="str">
        <x:v>Front-line combat, defense, mobility, command, hunting, or weapon mastery.</x:v>
      </x:c>
      <x:c r="K193" s="24" t="str">
        <x:v>swordsman; swordfighter; blade master</x:v>
      </x:c>
      <x:c r="L193" s="24" t="str">
        <x:v>Preserve each source's ontology, culture, history, and terminology when making comparisons.</x:v>
      </x:c>
      <x:c r="M193" s="24" t="str">
        <x:v>Core Family</x:v>
      </x:c>
    </x:row>
    <x:row r="194" ht="44" customHeight="1">
      <x:c r="A194" s="24" t="str">
        <x:v>ROL-108</x:v>
      </x:c>
      <x:c r="B194" s="24" t="str">
        <x:v>Axefighter</x:v>
      </x:c>
      <x:c r="C194" s="24" t="str">
        <x:v>Roles &amp; Vocations</x:v>
      </x:c>
      <x:c r="D194" s="24" t="str">
        <x:v>ROL-100</x:v>
      </x:c>
      <x:c r="E194" s="24" t="str">
        <x:f>IF(D194="","",IFERROR(VLOOKUP(D194,$A$2:$B$1226,2,FALSE),""))</x:f>
        <x:v>Martial Roles</x:v>
      </x:c>
      <x:c r="F194" s="24" t="n">
        <x:v>3</x:v>
      </x:c>
      <x:c r="G194" s="24" t="str">
        <x:v>Combatant specializing in axes and commonly framed through power, aggression, woodcraft, or northern warrior imagery.</x:v>
      </x:c>
      <x:c r="H194" s="24" t="str">
        <x:v>Do not assume identical training, social status, powers, or mechanics across settings.</x:v>
      </x:c>
      <x:c r="I194" s="24" t="str">
        <x:v>axeman; axe warrior</x:v>
      </x:c>
      <x:c r="J194" s="24" t="str">
        <x:v>Front-line combat, defense, mobility, command, hunting, or weapon mastery.</x:v>
      </x:c>
      <x:c r="K194" s="24" t="str">
        <x:v>axeman; axe warrior</x:v>
      </x:c>
      <x:c r="L194" s="24" t="str">
        <x:v>Preserve each source's ontology, culture, history, and terminology when making comparisons.</x:v>
      </x:c>
      <x:c r="M194" s="24" t="str">
        <x:v>Core Family</x:v>
      </x:c>
    </x:row>
    <x:row r="195" ht="44" customHeight="1">
      <x:c r="A195" s="24" t="str">
        <x:v>ROL-109</x:v>
      </x:c>
      <x:c r="B195" s="24" t="str">
        <x:v>Hammer and Mace Fighter</x:v>
      </x:c>
      <x:c r="C195" s="24" t="str">
        <x:v>Roles &amp; Vocations</x:v>
      </x:c>
      <x:c r="D195" s="24" t="str">
        <x:v>ROL-100</x:v>
      </x:c>
      <x:c r="E195" s="24" t="str">
        <x:f>IF(D195="","",IFERROR(VLOOKUP(D195,$A$2:$B$1226,2,FALSE),""))</x:f>
        <x:v>Martial Roles</x:v>
      </x:c>
      <x:c r="F195" s="24" t="n">
        <x:v>3</x:v>
      </x:c>
      <x:c r="G195" s="24" t="str">
        <x:v>Blunt-weapon specialist associated with armor-breaking, sacred warfare, smithing cultures, or crushing force.</x:v>
      </x:c>
      <x:c r="H195" s="24" t="str">
        <x:v>Do not assume identical training, social status, powers, or mechanics across settings.</x:v>
      </x:c>
      <x:c r="I195" s="24" t="str">
        <x:v>hammerer; mace fighter; maul warrior</x:v>
      </x:c>
      <x:c r="J195" s="24" t="str">
        <x:v>Front-line combat, defense, mobility, command, hunting, or weapon mastery.</x:v>
      </x:c>
      <x:c r="K195" s="24" t="str">
        <x:v>hammerer; mace fighter; maul warrior</x:v>
      </x:c>
      <x:c r="L195" s="24" t="str">
        <x:v>Preserve each source's ontology, culture, history, and terminology when making comparisons.</x:v>
      </x:c>
      <x:c r="M195" s="24" t="str">
        <x:v>Core Family</x:v>
      </x:c>
    </x:row>
    <x:row r="196" ht="44" customHeight="1">
      <x:c r="A196" s="24" t="str">
        <x:v>ROL-110</x:v>
      </x:c>
      <x:c r="B196" s="24" t="str">
        <x:v>Shieldbearer and Guardian</x:v>
      </x:c>
      <x:c r="C196" s="24" t="str">
        <x:v>Roles &amp; Vocations</x:v>
      </x:c>
      <x:c r="D196" s="24" t="str">
        <x:v>ROL-100</x:v>
      </x:c>
      <x:c r="E196" s="24" t="str">
        <x:f>IF(D196="","",IFERROR(VLOOKUP(D196,$A$2:$B$1226,2,FALSE),""))</x:f>
        <x:v>Martial Roles</x:v>
      </x:c>
      <x:c r="F196" s="24" t="n">
        <x:v>3</x:v>
      </x:c>
      <x:c r="G196" s="24" t="str">
        <x:v>Defensive combatant who protects allies, controls space, or embodies duty through shield and armor.</x:v>
      </x:c>
      <x:c r="H196" s="24" t="str">
        <x:v>Do not assume identical training, social status, powers, or mechanics across settings.</x:v>
      </x:c>
      <x:c r="I196" s="24" t="str">
        <x:v>shieldbearer; guardian; defender; sentinel</x:v>
      </x:c>
      <x:c r="J196" s="24" t="str">
        <x:v>Front-line combat, defense, mobility, command, hunting, or weapon mastery.</x:v>
      </x:c>
      <x:c r="K196" s="24" t="str">
        <x:v>shieldbearer; guardian; defender; sentinel</x:v>
      </x:c>
      <x:c r="L196" s="24" t="str">
        <x:v>Preserve each source's ontology, culture, history, and terminology when making comparisons.</x:v>
      </x:c>
      <x:c r="M196" s="24" t="str">
        <x:v>Core Family</x:v>
      </x:c>
    </x:row>
    <x:row r="197" ht="44" customHeight="1">
      <x:c r="A197" s="24" t="str">
        <x:v>ROL-111</x:v>
      </x:c>
      <x:c r="B197" s="24" t="str">
        <x:v>Berserker</x:v>
      </x:c>
      <x:c r="C197" s="24" t="str">
        <x:v>Roles &amp; Vocations</x:v>
      </x:c>
      <x:c r="D197" s="24" t="str">
        <x:v>ROL-100</x:v>
      </x:c>
      <x:c r="E197" s="24" t="str">
        <x:f>IF(D197="","",IFERROR(VLOOKUP(D197,$A$2:$B$1226,2,FALSE),""))</x:f>
        <x:v>Martial Roles</x:v>
      </x:c>
      <x:c r="F197" s="24" t="n">
        <x:v>3</x:v>
      </x:c>
      <x:c r="G197" s="24" t="str">
        <x:v>Warrior who enters a heightened state of rage, trance, pain suppression, possession, or self-destructive power.</x:v>
      </x:c>
      <x:c r="H197" s="24" t="str">
        <x:v>Do not assume identical training, social status, powers, or mechanics across settings.</x:v>
      </x:c>
      <x:c r="I197" s="24" t="str">
        <x:v>berserker; rager; frenzy warrior</x:v>
      </x:c>
      <x:c r="J197" s="24" t="str">
        <x:v>Front-line combat, defense, mobility, command, hunting, or weapon mastery.</x:v>
      </x:c>
      <x:c r="K197" s="24" t="str">
        <x:v>berserker; rager; frenzy warrior</x:v>
      </x:c>
      <x:c r="L197" s="24" t="str">
        <x:v>The historical Norse term and modern game mechanic are related but not interchangeable.</x:v>
      </x:c>
      <x:c r="M197" s="24" t="str">
        <x:v>Core Family</x:v>
      </x:c>
    </x:row>
    <x:row r="198" ht="44" customHeight="1">
      <x:c r="A198" s="24" t="str">
        <x:v>ROL-112</x:v>
      </x:c>
      <x:c r="B198" s="24" t="str">
        <x:v>Barbarian</x:v>
      </x:c>
      <x:c r="C198" s="24" t="str">
        <x:v>Roles &amp; Vocations</x:v>
      </x:c>
      <x:c r="D198" s="24" t="str">
        <x:v>ROL-100</x:v>
      </x:c>
      <x:c r="E198" s="24" t="str">
        <x:f>IF(D198="","",IFERROR(VLOOKUP(D198,$A$2:$B$1226,2,FALSE),""))</x:f>
        <x:v>Martial Roles</x:v>
      </x:c>
      <x:c r="F198" s="24" t="n">
        <x:v>3</x:v>
      </x:c>
      <x:c r="G198" s="24" t="str">
        <x:v>Warrior archetype coded as outside urban civilization and associated with physical prowess, survival, rage, or anti-imperial freedom.</x:v>
      </x:c>
      <x:c r="H198" s="24" t="str">
        <x:v>Do not assume identical training, social status, powers, or mechanics across settings.</x:v>
      </x:c>
      <x:c r="I198" s="24" t="str">
        <x:v>barbarian; wild warrior</x:v>
      </x:c>
      <x:c r="J198" s="24" t="str">
        <x:v>Front-line combat, defense, mobility, command, hunting, or weapon mastery.</x:v>
      </x:c>
      <x:c r="K198" s="24" t="str">
        <x:v>barbarian; wild warrior</x:v>
      </x:c>
      <x:c r="L198" s="24" t="str">
        <x:v>The label often carries colonial or civilizational bias; prefer source-specific cultural terms where possible.</x:v>
      </x:c>
      <x:c r="M198" s="24" t="str">
        <x:v>Core Family</x:v>
      </x:c>
    </x:row>
    <x:row r="199" ht="44" customHeight="1">
      <x:c r="A199" s="24" t="str">
        <x:v>ROL-113</x:v>
      </x:c>
      <x:c r="B199" s="24" t="str">
        <x:v>Gladiator and Arena Fighter</x:v>
      </x:c>
      <x:c r="C199" s="24" t="str">
        <x:v>Roles &amp; Vocations</x:v>
      </x:c>
      <x:c r="D199" s="24" t="str">
        <x:v>ROL-100</x:v>
      </x:c>
      <x:c r="E199" s="24" t="str">
        <x:f>IF(D199="","",IFERROR(VLOOKUP(D199,$A$2:$B$1226,2,FALSE),""))</x:f>
        <x:v>Martial Roles</x:v>
      </x:c>
      <x:c r="F199" s="24" t="n">
        <x:v>3</x:v>
      </x:c>
      <x:c r="G199" s="24" t="str">
        <x:v>Professional combatant shaped by spectacle, captivity, sport, ritualized duels, or public reputation.</x:v>
      </x:c>
      <x:c r="H199" s="24" t="str">
        <x:v>Do not assume identical training, social status, powers, or mechanics across settings.</x:v>
      </x:c>
      <x:c r="I199" s="24" t="str">
        <x:v>gladiator; arena fighter; pit fighter</x:v>
      </x:c>
      <x:c r="J199" s="24" t="str">
        <x:v>Front-line combat, defense, mobility, command, hunting, or weapon mastery.</x:v>
      </x:c>
      <x:c r="K199" s="24" t="str">
        <x:v>gladiator; arena fighter; pit fighter</x:v>
      </x:c>
      <x:c r="L199" s="24" t="str">
        <x:v>Preserve each source's ontology, culture, history, and terminology when making comparisons.</x:v>
      </x:c>
      <x:c r="M199" s="24" t="str">
        <x:v>Core Family</x:v>
      </x:c>
    </x:row>
    <x:row r="200" ht="44" customHeight="1">
      <x:c r="A200" s="24" t="str">
        <x:v>ROL-114</x:v>
      </x:c>
      <x:c r="B200" s="24" t="str">
        <x:v>Duelist and Fencer</x:v>
      </x:c>
      <x:c r="C200" s="24" t="str">
        <x:v>Roles &amp; Vocations</x:v>
      </x:c>
      <x:c r="D200" s="24" t="str">
        <x:v>ROL-100</x:v>
      </x:c>
      <x:c r="E200" s="24" t="str">
        <x:f>IF(D200="","",IFERROR(VLOOKUP(D200,$A$2:$B$1226,2,FALSE),""))</x:f>
        <x:v>Martial Roles</x:v>
      </x:c>
      <x:c r="F200" s="24" t="n">
        <x:v>3</x:v>
      </x:c>
      <x:c r="G200" s="24" t="str">
        <x:v>Agile specialist in formal single combat, precision, timing, honor codes, or aristocratic weapon culture.</x:v>
      </x:c>
      <x:c r="H200" s="24" t="str">
        <x:v>Do not assume identical training, social status, powers, or mechanics across settings.</x:v>
      </x:c>
      <x:c r="I200" s="24" t="str">
        <x:v>duelist; fencer; swashbuckler</x:v>
      </x:c>
      <x:c r="J200" s="24" t="str">
        <x:v>Front-line combat, defense, mobility, command, hunting, or weapon mastery.</x:v>
      </x:c>
      <x:c r="K200" s="24" t="str">
        <x:v>duelist; fencer; swashbuckler</x:v>
      </x:c>
      <x:c r="L200" s="24" t="str">
        <x:v>Preserve each source's ontology, culture, history, and terminology when making comparisons.</x:v>
      </x:c>
      <x:c r="M200" s="24" t="str">
        <x:v>Core Family</x:v>
      </x:c>
    </x:row>
    <x:row r="201" ht="44" customHeight="1">
      <x:c r="A201" s="24" t="str">
        <x:v>ROL-115</x:v>
      </x:c>
      <x:c r="B201" s="24" t="str">
        <x:v>Knight</x:v>
      </x:c>
      <x:c r="C201" s="24" t="str">
        <x:v>Roles &amp; Vocations</x:v>
      </x:c>
      <x:c r="D201" s="24" t="str">
        <x:v>ROL-100</x:v>
      </x:c>
      <x:c r="E201" s="24" t="str">
        <x:f>IF(D201="","",IFERROR(VLOOKUP(D201,$A$2:$B$1226,2,FALSE),""))</x:f>
        <x:v>Martial Roles</x:v>
      </x:c>
      <x:c r="F201" s="24" t="n">
        <x:v>3</x:v>
      </x:c>
      <x:c r="G201" s="24" t="str">
        <x:v>Mounted or armored elite warrior defined by oath, feudal status, chivalric ideology, order membership, or noble service.</x:v>
      </x:c>
      <x:c r="H201" s="24" t="str">
        <x:v>Do not assume identical training, social status, powers, or mechanics across settings.</x:v>
      </x:c>
      <x:c r="I201" s="24" t="str">
        <x:v>knight; chevalier; cavalier</x:v>
      </x:c>
      <x:c r="J201" s="24" t="str">
        <x:v>Front-line combat, defense, mobility, command, hunting, or weapon mastery.</x:v>
      </x:c>
      <x:c r="K201" s="24" t="str">
        <x:v>knight; chevalier; cavalier</x:v>
      </x:c>
      <x:c r="L201" s="24" t="str">
        <x:v>Preserve each source's ontology, culture, history, and terminology when making comparisons.</x:v>
      </x:c>
      <x:c r="M201" s="24" t="str">
        <x:v>Core Family</x:v>
      </x:c>
    </x:row>
    <x:row r="202" ht="44" customHeight="1">
      <x:c r="A202" s="24" t="str">
        <x:v>ROL-116</x:v>
      </x:c>
      <x:c r="B202" s="24" t="str">
        <x:v>Cavalier and Mounted Knight</x:v>
      </x:c>
      <x:c r="C202" s="24" t="str">
        <x:v>Roles &amp; Vocations</x:v>
      </x:c>
      <x:c r="D202" s="24" t="str">
        <x:v>ROL-100</x:v>
      </x:c>
      <x:c r="E202" s="24" t="str">
        <x:f>IF(D202="","",IFERROR(VLOOKUP(D202,$A$2:$B$1226,2,FALSE),""))</x:f>
        <x:v>Martial Roles</x:v>
      </x:c>
      <x:c r="F202" s="24" t="n">
        <x:v>3</x:v>
      </x:c>
      <x:c r="G202" s="24" t="str">
        <x:v>Combatant whose primary identity is shock cavalry, horsemanship, mounted command, or noble war service.</x:v>
      </x:c>
      <x:c r="H202" s="24" t="str">
        <x:v>Do not assume identical training, social status, powers, or mechanics across settings.</x:v>
      </x:c>
      <x:c r="I202" s="24" t="str">
        <x:v>cavalier; horse knight; cataphract analogue</x:v>
      </x:c>
      <x:c r="J202" s="24" t="str">
        <x:v>Front-line combat, defense, mobility, command, hunting, or weapon mastery.</x:v>
      </x:c>
      <x:c r="K202" s="24" t="str">
        <x:v>cavalier; horse knight; cataphract analogue</x:v>
      </x:c>
      <x:c r="L202" s="24" t="str">
        <x:v>Preserve each source's ontology, culture, history, and terminology when making comparisons.</x:v>
      </x:c>
      <x:c r="M202" s="24" t="str">
        <x:v>Core Family</x:v>
      </x:c>
    </x:row>
    <x:row r="203" ht="44" customHeight="1">
      <x:c r="A203" s="24" t="str">
        <x:v>ROL-117</x:v>
      </x:c>
      <x:c r="B203" s="24" t="str">
        <x:v>Paladin and Holy Knight</x:v>
      </x:c>
      <x:c r="C203" s="24" t="str">
        <x:v>Roles &amp; Vocations</x:v>
      </x:c>
      <x:c r="D203" s="24" t="str">
        <x:v>ROL-100</x:v>
      </x:c>
      <x:c r="E203" s="24" t="str">
        <x:f>IF(D203="","",IFERROR(VLOOKUP(D203,$A$2:$B$1226,2,FALSE),""))</x:f>
        <x:v>Martial Roles</x:v>
      </x:c>
      <x:c r="F203" s="24" t="n">
        <x:v>3</x:v>
      </x:c>
      <x:c r="G203" s="24" t="str">
        <x:v>Martial champion empowered or authorized by sacred oath, deity, moral code, or religious institution.</x:v>
      </x:c>
      <x:c r="H203" s="24" t="str">
        <x:v>Do not assume identical training, social status, powers, or mechanics across settings.</x:v>
      </x:c>
      <x:c r="I203" s="24" t="str">
        <x:v>paladin; holy knight; sacred champion</x:v>
      </x:c>
      <x:c r="J203" s="24" t="str">
        <x:v>Front-line combat, defense, mobility, command, hunting, or weapon mastery.</x:v>
      </x:c>
      <x:c r="K203" s="24" t="str">
        <x:v>paladin; holy knight; sacred champion</x:v>
      </x:c>
      <x:c r="L203" s="24" t="str">
        <x:v>Preserve each source's ontology, culture, history, and terminology when making comparisons.</x:v>
      </x:c>
      <x:c r="M203" s="24" t="str">
        <x:v>Core Family</x:v>
      </x:c>
    </x:row>
    <x:row r="204" ht="44" customHeight="1">
      <x:c r="A204" s="24" t="str">
        <x:v>ROL-118</x:v>
      </x:c>
      <x:c r="B204" s="24" t="str">
        <x:v>Dark Knight and Blackguard</x:v>
      </x:c>
      <x:c r="C204" s="24" t="str">
        <x:v>Roles &amp; Vocations</x:v>
      </x:c>
      <x:c r="D204" s="24" t="str">
        <x:v>ROL-100</x:v>
      </x:c>
      <x:c r="E204" s="24" t="str">
        <x:f>IF(D204="","",IFERROR(VLOOKUP(D204,$A$2:$B$1226,2,FALSE),""))</x:f>
        <x:v>Martial Roles</x:v>
      </x:c>
      <x:c r="F204" s="24" t="n">
        <x:v>3</x:v>
      </x:c>
      <x:c r="G204" s="24" t="str">
        <x:v>Martial champion whose power, imagery, or oath is tied to darkness, curse, sacrifice, taboo, or antiheroic inversion.</x:v>
      </x:c>
      <x:c r="H204" s="24" t="str">
        <x:v>Do not assume identical training, social status, powers, or mechanics across settings.</x:v>
      </x:c>
      <x:c r="I204" s="24" t="str">
        <x:v>dark knight; blackguard; doom knight</x:v>
      </x:c>
      <x:c r="J204" s="24" t="str">
        <x:v>Front-line combat, defense, mobility, command, hunting, or weapon mastery.</x:v>
      </x:c>
      <x:c r="K204" s="24" t="str">
        <x:v>dark knight; blackguard; doom knight</x:v>
      </x:c>
      <x:c r="L204" s="24" t="str">
        <x:v>Preserve each source's ontology, culture, history, and terminology when making comparisons.</x:v>
      </x:c>
      <x:c r="M204" s="24" t="str">
        <x:v>Core Family</x:v>
      </x:c>
    </x:row>
    <x:row r="205" ht="44" customHeight="1">
      <x:c r="A205" s="24" t="str">
        <x:v>ROL-119</x:v>
      </x:c>
      <x:c r="B205" s="24" t="str">
        <x:v>Terror Knight and Fear Warrior</x:v>
      </x:c>
      <x:c r="C205" s="24" t="str">
        <x:v>Roles &amp; Vocations</x:v>
      </x:c>
      <x:c r="D205" s="24" t="str">
        <x:v>ROL-100</x:v>
      </x:c>
      <x:c r="E205" s="24" t="str">
        <x:f>IF(D205="","",IFERROR(VLOOKUP(D205,$A$2:$B$1226,2,FALSE),""))</x:f>
        <x:v>Martial Roles</x:v>
      </x:c>
      <x:c r="F205" s="24" t="n">
        <x:v>3</x:v>
      </x:c>
      <x:c r="G205" s="24" t="str">
        <x:v>Armored warrior who weaponizes dread, intimidation, curse, death imagery, or battlefield morale.</x:v>
      </x:c>
      <x:c r="H205" s="24" t="str">
        <x:v>Do not assume identical training, social status, powers, or mechanics across settings.</x:v>
      </x:c>
      <x:c r="I205" s="24" t="str">
        <x:v>terror knight; dread knight; fear warrior</x:v>
      </x:c>
      <x:c r="J205" s="24" t="str">
        <x:v>Front-line combat, defense, mobility, command, hunting, or weapon mastery.</x:v>
      </x:c>
      <x:c r="K205" s="24" t="str">
        <x:v>terror knight; dread knight; fear warrior</x:v>
      </x:c>
      <x:c r="L205" s="24" t="str">
        <x:v>Preserve each source's ontology, culture, history, and terminology when making comparisons.</x:v>
      </x:c>
      <x:c r="M205" s="24" t="str">
        <x:v>Core Family</x:v>
      </x:c>
    </x:row>
    <x:row r="206" ht="44" customHeight="1">
      <x:c r="A206" s="24" t="str">
        <x:v>ROL-120</x:v>
      </x:c>
      <x:c r="B206" s="24" t="str">
        <x:v>Samurai-Derived Warrior</x:v>
      </x:c>
      <x:c r="C206" s="24" t="str">
        <x:v>Roles &amp; Vocations</x:v>
      </x:c>
      <x:c r="D206" s="24" t="str">
        <x:v>ROL-100</x:v>
      </x:c>
      <x:c r="E206" s="24" t="str">
        <x:f>IF(D206="","",IFERROR(VLOOKUP(D206,$A$2:$B$1226,2,FALSE),""))</x:f>
        <x:v>Martial Roles</x:v>
      </x:c>
      <x:c r="F206" s="24" t="n">
        <x:v>3</x:v>
      </x:c>
      <x:c r="G206" s="24" t="str">
        <x:v>Warrior role drawing on Japanese bushi traditions, sword discipline, service, status, and later romanticized honor codes.</x:v>
      </x:c>
      <x:c r="H206" s="24" t="str">
        <x:v>Do not assume identical training, social status, powers, or mechanics across settings.</x:v>
      </x:c>
      <x:c r="I206" s="24" t="str">
        <x:v>samurai; bushi; sword retainer</x:v>
      </x:c>
      <x:c r="J206" s="24" t="str">
        <x:v>Front-line combat, defense, mobility, command, hunting, or weapon mastery.</x:v>
      </x:c>
      <x:c r="K206" s="24" t="str">
        <x:v>samurai; bushi; sword retainer</x:v>
      </x:c>
      <x:c r="L206" s="24" t="str">
        <x:v>Separate historical samurai from fantasy class conventions and pan-Asian sword-warrior amalgams.</x:v>
      </x:c>
      <x:c r="M206" s="24" t="str">
        <x:v>Core Family</x:v>
      </x:c>
    </x:row>
    <x:row r="207" ht="44" customHeight="1">
      <x:c r="A207" s="24" t="str">
        <x:v>ROL-121</x:v>
      </x:c>
      <x:c r="B207" s="24" t="str">
        <x:v>Ronin and Masterless Retainer</x:v>
      </x:c>
      <x:c r="C207" s="24" t="str">
        <x:v>Roles &amp; Vocations</x:v>
      </x:c>
      <x:c r="D207" s="24" t="str">
        <x:v>ROL-100</x:v>
      </x:c>
      <x:c r="E207" s="24" t="str">
        <x:f>IF(D207="","",IFERROR(VLOOKUP(D207,$A$2:$B$1226,2,FALSE),""))</x:f>
        <x:v>Martial Roles</x:v>
      </x:c>
      <x:c r="F207" s="24" t="n">
        <x:v>3</x:v>
      </x:c>
      <x:c r="G207" s="24" t="str">
        <x:v>Former retainer or wandering warrior defined by broken service, independence, dispossession, or moral ambiguity.</x:v>
      </x:c>
      <x:c r="H207" s="24" t="str">
        <x:v>Do not assume identical training, social status, powers, or mechanics across settings.</x:v>
      </x:c>
      <x:c r="I207" s="24" t="str">
        <x:v>ronin; wandering swordsman</x:v>
      </x:c>
      <x:c r="J207" s="24" t="str">
        <x:v>Front-line combat, defense, mobility, command, hunting, or weapon mastery.</x:v>
      </x:c>
      <x:c r="K207" s="24" t="str">
        <x:v>ronin; wandering swordsman</x:v>
      </x:c>
      <x:c r="L207" s="24" t="str">
        <x:v>Preserve each source's ontology, culture, history, and terminology when making comparisons.</x:v>
      </x:c>
      <x:c r="M207" s="24" t="str">
        <x:v>Core Family</x:v>
      </x:c>
    </x:row>
    <x:row r="208" ht="44" customHeight="1">
      <x:c r="A208" s="24" t="str">
        <x:v>ROL-122</x:v>
      </x:c>
      <x:c r="B208" s="24" t="str">
        <x:v>Dragoon and Leaping Lancer</x:v>
      </x:c>
      <x:c r="C208" s="24" t="str">
        <x:v>Roles &amp; Vocations</x:v>
      </x:c>
      <x:c r="D208" s="24" t="str">
        <x:v>ROL-100</x:v>
      </x:c>
      <x:c r="E208" s="24" t="str">
        <x:f>IF(D208="","",IFERROR(VLOOKUP(D208,$A$2:$B$1226,2,FALSE),""))</x:f>
        <x:v>Martial Roles</x:v>
      </x:c>
      <x:c r="F208" s="24" t="n">
        <x:v>3</x:v>
      </x:c>
      <x:c r="G208" s="24" t="str">
        <x:v>Lance-wielding elite associated in fantasy games with aerial leaps, dragon hunting, dragon bonds, or shock assault.</x:v>
      </x:c>
      <x:c r="H208" s="24" t="str">
        <x:v>Do not assume identical training, social status, powers, or mechanics across settings.</x:v>
      </x:c>
      <x:c r="I208" s="24" t="str">
        <x:v>dragoon; dragon knight; jump lancer</x:v>
      </x:c>
      <x:c r="J208" s="24" t="str">
        <x:v>Front-line combat, defense, mobility, command, hunting, or weapon mastery.</x:v>
      </x:c>
      <x:c r="K208" s="24" t="str">
        <x:v>dragoon; dragon knight; jump lancer</x:v>
      </x:c>
      <x:c r="L208" s="24" t="str">
        <x:v>Preserve each source's ontology, culture, history, and terminology when making comparisons.</x:v>
      </x:c>
      <x:c r="M208" s="24" t="str">
        <x:v>Core Family</x:v>
      </x:c>
    </x:row>
    <x:row r="209" ht="44" customHeight="1">
      <x:c r="A209" s="24" t="str">
        <x:v>ROL-123</x:v>
      </x:c>
      <x:c r="B209" s="24" t="str">
        <x:v>Monk and Martial Artist</x:v>
      </x:c>
      <x:c r="C209" s="24" t="str">
        <x:v>Roles &amp; Vocations</x:v>
      </x:c>
      <x:c r="D209" s="24" t="str">
        <x:v>ROL-100</x:v>
      </x:c>
      <x:c r="E209" s="24" t="str">
        <x:f>IF(D209="","",IFERROR(VLOOKUP(D209,$A$2:$B$1226,2,FALSE),""))</x:f>
        <x:v>Martial Roles</x:v>
      </x:c>
      <x:c r="F209" s="24" t="n">
        <x:v>3</x:v>
      </x:c>
      <x:c r="G209" s="24" t="str">
        <x:v>Combatant who develops body, breath, mind, and technique through disciplined training, often within a religious or philosophical order.</x:v>
      </x:c>
      <x:c r="H209" s="24" t="str">
        <x:v>Do not assume identical training, social status, powers, or mechanics across settings.</x:v>
      </x:c>
      <x:c r="I209" s="24" t="str">
        <x:v>monk; martial artist; pugilist</x:v>
      </x:c>
      <x:c r="J209" s="24" t="str">
        <x:v>Front-line combat, defense, mobility, command, hunting, or weapon mastery.</x:v>
      </x:c>
      <x:c r="K209" s="24" t="str">
        <x:v>monk; martial artist; pugilist</x:v>
      </x:c>
      <x:c r="L209" s="24" t="str">
        <x:v>Preserve each source's ontology, culture, history, and terminology when making comparisons.</x:v>
      </x:c>
      <x:c r="M209" s="24" t="str">
        <x:v>Core Family</x:v>
      </x:c>
    </x:row>
    <x:row r="210" ht="44" customHeight="1">
      <x:c r="A210" s="24" t="str">
        <x:v>ROL-124</x:v>
      </x:c>
      <x:c r="B210" s="24" t="str">
        <x:v>Brawler and Pugilist</x:v>
      </x:c>
      <x:c r="C210" s="24" t="str">
        <x:v>Roles &amp; Vocations</x:v>
      </x:c>
      <x:c r="D210" s="24" t="str">
        <x:v>ROL-100</x:v>
      </x:c>
      <x:c r="E210" s="24" t="str">
        <x:f>IF(D210="","",IFERROR(VLOOKUP(D210,$A$2:$B$1226,2,FALSE),""))</x:f>
        <x:v>Martial Roles</x:v>
      </x:c>
      <x:c r="F210" s="24" t="n">
        <x:v>3</x:v>
      </x:c>
      <x:c r="G210" s="24" t="str">
        <x:v>Unarmed or close-range fighter emphasizing toughness, improvised technique, street experience, or raw physicality.</x:v>
      </x:c>
      <x:c r="H210" s="24" t="str">
        <x:v>Do not assume identical training, social status, powers, or mechanics across settings.</x:v>
      </x:c>
      <x:c r="I210" s="24" t="str">
        <x:v>brawler; pugilist; fistfighter</x:v>
      </x:c>
      <x:c r="J210" s="24" t="str">
        <x:v>Front-line combat, defense, mobility, command, hunting, or weapon mastery.</x:v>
      </x:c>
      <x:c r="K210" s="24" t="str">
        <x:v>brawler; pugilist; fistfighter</x:v>
      </x:c>
      <x:c r="L210" s="24" t="str">
        <x:v>Preserve each source's ontology, culture, history, and terminology when making comparisons.</x:v>
      </x:c>
      <x:c r="M210" s="24" t="str">
        <x:v>Core Family</x:v>
      </x:c>
    </x:row>
    <x:row r="211" ht="44" customHeight="1">
      <x:c r="A211" s="24" t="str">
        <x:v>ROL-125</x:v>
      </x:c>
      <x:c r="B211" s="24" t="str">
        <x:v>Ranger</x:v>
      </x:c>
      <x:c r="C211" s="24" t="str">
        <x:v>Roles &amp; Vocations</x:v>
      </x:c>
      <x:c r="D211" s="24" t="str">
        <x:v>ROL-100</x:v>
      </x:c>
      <x:c r="E211" s="24" t="str">
        <x:f>IF(D211="","",IFERROR(VLOOKUP(D211,$A$2:$B$1226,2,FALSE),""))</x:f>
        <x:v>Martial Roles</x:v>
      </x:c>
      <x:c r="F211" s="24" t="n">
        <x:v>3</x:v>
      </x:c>
      <x:c r="G211" s="24" t="str">
        <x:v>Wilderness-oriented combatant combining tracking, mobility, archery, survival, scouting, or guardianship.</x:v>
      </x:c>
      <x:c r="H211" s="24" t="str">
        <x:v>Do not assume identical training, social status, powers, or mechanics across settings.</x:v>
      </x:c>
      <x:c r="I211" s="24" t="str">
        <x:v>ranger; warden; borderer</x:v>
      </x:c>
      <x:c r="J211" s="24" t="str">
        <x:v>Front-line combat, defense, mobility, command, hunting, or weapon mastery.</x:v>
      </x:c>
      <x:c r="K211" s="24" t="str">
        <x:v>ranger; warden; borderer</x:v>
      </x:c>
      <x:c r="L211" s="24" t="str">
        <x:v>Preserve each source's ontology, culture, history, and terminology when making comparisons.</x:v>
      </x:c>
      <x:c r="M211" s="24" t="str">
        <x:v>Core Family</x:v>
      </x:c>
    </x:row>
    <x:row r="212" ht="44" customHeight="1">
      <x:c r="A212" s="24" t="str">
        <x:v>ROL-126</x:v>
      </x:c>
      <x:c r="B212" s="24" t="str">
        <x:v>Hunter</x:v>
      </x:c>
      <x:c r="C212" s="24" t="str">
        <x:v>Roles &amp; Vocations</x:v>
      </x:c>
      <x:c r="D212" s="24" t="str">
        <x:v>ROL-100</x:v>
      </x:c>
      <x:c r="E212" s="24" t="str">
        <x:f>IF(D212="","",IFERROR(VLOOKUP(D212,$A$2:$B$1226,2,FALSE),""))</x:f>
        <x:v>Martial Roles</x:v>
      </x:c>
      <x:c r="F212" s="24" t="n">
        <x:v>3</x:v>
      </x:c>
      <x:c r="G212" s="24" t="str">
        <x:v>Tracker and killer of animals, monsters, people, or supernatural quarry, using environmental knowledge and preparation.</x:v>
      </x:c>
      <x:c r="H212" s="24" t="str">
        <x:v>Do not assume identical training, social status, powers, or mechanics across settings.</x:v>
      </x:c>
      <x:c r="I212" s="24" t="str">
        <x:v>hunter; huntsman; tracker</x:v>
      </x:c>
      <x:c r="J212" s="24" t="str">
        <x:v>Front-line combat, defense, mobility, command, hunting, or weapon mastery.</x:v>
      </x:c>
      <x:c r="K212" s="24" t="str">
        <x:v>hunter; huntsman; tracker</x:v>
      </x:c>
      <x:c r="L212" s="24" t="str">
        <x:v>Preserve each source's ontology, culture, history, and terminology when making comparisons.</x:v>
      </x:c>
      <x:c r="M212" s="24" t="str">
        <x:v>Core Family</x:v>
      </x:c>
    </x:row>
    <x:row r="213" ht="44" customHeight="1">
      <x:c r="A213" s="24" t="str">
        <x:v>ROL-127</x:v>
      </x:c>
      <x:c r="B213" s="24" t="str">
        <x:v>Archer</x:v>
      </x:c>
      <x:c r="C213" s="24" t="str">
        <x:v>Roles &amp; Vocations</x:v>
      </x:c>
      <x:c r="D213" s="24" t="str">
        <x:v>ROL-100</x:v>
      </x:c>
      <x:c r="E213" s="24" t="str">
        <x:f>IF(D213="","",IFERROR(VLOOKUP(D213,$A$2:$B$1226,2,FALSE),""))</x:f>
        <x:v>Martial Roles</x:v>
      </x:c>
      <x:c r="F213" s="24" t="n">
        <x:v>3</x:v>
      </x:c>
      <x:c r="G213" s="24" t="str">
        <x:v>Ranged combatant specializing in bows, accuracy, positioning, volleys, or mounted archery.</x:v>
      </x:c>
      <x:c r="H213" s="24" t="str">
        <x:v>Do not assume identical training, social status, powers, or mechanics across settings.</x:v>
      </x:c>
      <x:c r="I213" s="24" t="str">
        <x:v>archer; bowman; marksman</x:v>
      </x:c>
      <x:c r="J213" s="24" t="str">
        <x:v>Front-line combat, defense, mobility, command, hunting, or weapon mastery.</x:v>
      </x:c>
      <x:c r="K213" s="24" t="str">
        <x:v>archer; bowman; marksman</x:v>
      </x:c>
      <x:c r="L213" s="24" t="str">
        <x:v>Preserve each source's ontology, culture, history, and terminology when making comparisons.</x:v>
      </x:c>
      <x:c r="M213" s="24" t="str">
        <x:v>Core Family</x:v>
      </x:c>
    </x:row>
    <x:row r="214" ht="44" customHeight="1">
      <x:c r="A214" s="24" t="str">
        <x:v>ROL-128</x:v>
      </x:c>
      <x:c r="B214" s="24" t="str">
        <x:v>Crossbowman</x:v>
      </x:c>
      <x:c r="C214" s="24" t="str">
        <x:v>Roles &amp; Vocations</x:v>
      </x:c>
      <x:c r="D214" s="24" t="str">
        <x:v>ROL-100</x:v>
      </x:c>
      <x:c r="E214" s="24" t="str">
        <x:f>IF(D214="","",IFERROR(VLOOKUP(D214,$A$2:$B$1226,2,FALSE),""))</x:f>
        <x:v>Martial Roles</x:v>
      </x:c>
      <x:c r="F214" s="24" t="n">
        <x:v>3</x:v>
      </x:c>
      <x:c r="G214" s="24" t="str">
        <x:v>Ranged combatant specializing in crossbows, armor penetration, disciplined volleys, or accessible mechanical weaponry.</x:v>
      </x:c>
      <x:c r="H214" s="24" t="str">
        <x:v>Do not assume identical training, social status, powers, or mechanics across settings.</x:v>
      </x:c>
      <x:c r="I214" s="24" t="str">
        <x:v>crossbowman; arbalester</x:v>
      </x:c>
      <x:c r="J214" s="24" t="str">
        <x:v>Front-line combat, defense, mobility, command, hunting, or weapon mastery.</x:v>
      </x:c>
      <x:c r="K214" s="24" t="str">
        <x:v>crossbowman; arbalester</x:v>
      </x:c>
      <x:c r="L214" s="24" t="str">
        <x:v>Preserve each source's ontology, culture, history, and terminology when making comparisons.</x:v>
      </x:c>
      <x:c r="M214" s="24" t="str">
        <x:v>Core Family</x:v>
      </x:c>
    </x:row>
    <x:row r="215" ht="44" customHeight="1">
      <x:c r="A215" s="24" t="str">
        <x:v>ROL-129</x:v>
      </x:c>
      <x:c r="B215" s="24" t="str">
        <x:v>Gunner and Fusilier</x:v>
      </x:c>
      <x:c r="C215" s="24" t="str">
        <x:v>Roles &amp; Vocations</x:v>
      </x:c>
      <x:c r="D215" s="24" t="str">
        <x:v>ROL-100</x:v>
      </x:c>
      <x:c r="E215" s="24" t="str">
        <x:f>IF(D215="","",IFERROR(VLOOKUP(D215,$A$2:$B$1226,2,FALSE),""))</x:f>
        <x:v>Martial Roles</x:v>
      </x:c>
      <x:c r="F215" s="24" t="n">
        <x:v>3</x:v>
      </x:c>
      <x:c r="G215" s="24" t="str">
        <x:v>Combatant defined by firearms or magitech guns, often marking a technological shift within fantasy warfare.</x:v>
      </x:c>
      <x:c r="H215" s="24" t="str">
        <x:v>Do not assume identical training, social status, powers, or mechanics across settings.</x:v>
      </x:c>
      <x:c r="I215" s="24" t="str">
        <x:v>gunner; fusilier; musketeer; cannoneer</x:v>
      </x:c>
      <x:c r="J215" s="24" t="str">
        <x:v>Front-line combat, defense, mobility, command, hunting, or weapon mastery.</x:v>
      </x:c>
      <x:c r="K215" s="24" t="str">
        <x:v>gunner; fusilier; musketeer; cannoneer</x:v>
      </x:c>
      <x:c r="L215" s="24" t="str">
        <x:v>Preserve each source's ontology, culture, history, and terminology when making comparisons.</x:v>
      </x:c>
      <x:c r="M215" s="24" t="str">
        <x:v>Core Family</x:v>
      </x:c>
    </x:row>
    <x:row r="216" ht="44" customHeight="1">
      <x:c r="A216" s="24" t="str">
        <x:v>ROL-130</x:v>
      </x:c>
      <x:c r="B216" s="24" t="str">
        <x:v>Scout</x:v>
      </x:c>
      <x:c r="C216" s="24" t="str">
        <x:v>Roles &amp; Vocations</x:v>
      </x:c>
      <x:c r="D216" s="24" t="str">
        <x:v>ROL-100</x:v>
      </x:c>
      <x:c r="E216" s="24" t="str">
        <x:f>IF(D216="","",IFERROR(VLOOKUP(D216,$A$2:$B$1226,2,FALSE),""))</x:f>
        <x:v>Martial Roles</x:v>
      </x:c>
      <x:c r="F216" s="24" t="n">
        <x:v>3</x:v>
      </x:c>
      <x:c r="G216" s="24" t="str">
        <x:v>Mobile observer who gathers intelligence, screens forces, navigates terrain, and avoids decisive engagement.</x:v>
      </x:c>
      <x:c r="H216" s="24" t="str">
        <x:v>Do not assume identical training, social status, powers, or mechanics across settings.</x:v>
      </x:c>
      <x:c r="I216" s="24" t="str">
        <x:v>scout; outrider; pathfinder</x:v>
      </x:c>
      <x:c r="J216" s="24" t="str">
        <x:v>Front-line combat, defense, mobility, command, hunting, or weapon mastery.</x:v>
      </x:c>
      <x:c r="K216" s="24" t="str">
        <x:v>scout; outrider; pathfinder</x:v>
      </x:c>
      <x:c r="L216" s="24" t="str">
        <x:v>Preserve each source's ontology, culture, history, and terminology when making comparisons.</x:v>
      </x:c>
      <x:c r="M216" s="24" t="str">
        <x:v>Core Family</x:v>
      </x:c>
    </x:row>
    <x:row r="217" ht="44" customHeight="1">
      <x:c r="A217" s="24" t="str">
        <x:v>ROL-131</x:v>
      </x:c>
      <x:c r="B217" s="24" t="str">
        <x:v>Beast Rider</x:v>
      </x:c>
      <x:c r="C217" s="24" t="str">
        <x:v>Roles &amp; Vocations</x:v>
      </x:c>
      <x:c r="D217" s="24" t="str">
        <x:v>ROL-100</x:v>
      </x:c>
      <x:c r="E217" s="24" t="str">
        <x:f>IF(D217="","",IFERROR(VLOOKUP(D217,$A$2:$B$1226,2,FALSE),""))</x:f>
        <x:v>Martial Roles</x:v>
      </x:c>
      <x:c r="F217" s="24" t="n">
        <x:v>3</x:v>
      </x:c>
      <x:c r="G217" s="24" t="str">
        <x:v>Warrior whose identity and tactics depend on a bonded or trained nonhuman mount.</x:v>
      </x:c>
      <x:c r="H217" s="24" t="str">
        <x:v>Do not assume identical training, social status, powers, or mechanics across settings.</x:v>
      </x:c>
      <x:c r="I217" s="24" t="str">
        <x:v>beast rider; wolf rider; gryphon rider</x:v>
      </x:c>
      <x:c r="J217" s="24" t="str">
        <x:v>Front-line combat, defense, mobility, command, hunting, or weapon mastery.</x:v>
      </x:c>
      <x:c r="K217" s="24" t="str">
        <x:v>beast rider; wolf rider; gryphon rider</x:v>
      </x:c>
      <x:c r="L217" s="24" t="str">
        <x:v>Preserve each source's ontology, culture, history, and terminology when making comparisons.</x:v>
      </x:c>
      <x:c r="M217" s="24" t="str">
        <x:v>Core Family</x:v>
      </x:c>
    </x:row>
    <x:row r="218" ht="44" customHeight="1">
      <x:c r="A218" s="24" t="str">
        <x:v>ROL-132</x:v>
      </x:c>
      <x:c r="B218" s="24" t="str">
        <x:v>Mounted Archer</x:v>
      </x:c>
      <x:c r="C218" s="24" t="str">
        <x:v>Roles &amp; Vocations</x:v>
      </x:c>
      <x:c r="D218" s="24" t="str">
        <x:v>ROL-100</x:v>
      </x:c>
      <x:c r="E218" s="24" t="str">
        <x:f>IF(D218="","",IFERROR(VLOOKUP(D218,$A$2:$B$1226,2,FALSE),""))</x:f>
        <x:v>Martial Roles</x:v>
      </x:c>
      <x:c r="F218" s="24" t="n">
        <x:v>3</x:v>
      </x:c>
      <x:c r="G218" s="24" t="str">
        <x:v>Mobile ranged combatant combining horsemanship or beast-riding with archery.</x:v>
      </x:c>
      <x:c r="H218" s="24" t="str">
        <x:v>Do not assume identical training, social status, powers, or mechanics across settings.</x:v>
      </x:c>
      <x:c r="I218" s="24" t="str">
        <x:v>horse archer; mounted bowman</x:v>
      </x:c>
      <x:c r="J218" s="24" t="str">
        <x:v>Front-line combat, defense, mobility, command, hunting, or weapon mastery.</x:v>
      </x:c>
      <x:c r="K218" s="24" t="str">
        <x:v>horse archer; mounted bowman</x:v>
      </x:c>
      <x:c r="L218" s="24" t="str">
        <x:v>Preserve each source's ontology, culture, history, and terminology when making comparisons.</x:v>
      </x:c>
      <x:c r="M218" s="24" t="str">
        <x:v>Core Family</x:v>
      </x:c>
    </x:row>
    <x:row r="219" ht="44" customHeight="1">
      <x:c r="A219" s="24" t="str">
        <x:v>ROL-133</x:v>
      </x:c>
      <x:c r="B219" s="24" t="str">
        <x:v>Charioteer</x:v>
      </x:c>
      <x:c r="C219" s="24" t="str">
        <x:v>Roles &amp; Vocations</x:v>
      </x:c>
      <x:c r="D219" s="24" t="str">
        <x:v>ROL-100</x:v>
      </x:c>
      <x:c r="E219" s="24" t="str">
        <x:f>IF(D219="","",IFERROR(VLOOKUP(D219,$A$2:$B$1226,2,FALSE),""))</x:f>
        <x:v>Martial Roles</x:v>
      </x:c>
      <x:c r="F219" s="24" t="n">
        <x:v>3</x:v>
      </x:c>
      <x:c r="G219" s="24" t="str">
        <x:v>Combatant or elite driver using a chariot for mobility, prestige, missile fire, or shock action.</x:v>
      </x:c>
      <x:c r="H219" s="24" t="str">
        <x:v>Do not assume identical training, social status, powers, or mechanics across settings.</x:v>
      </x:c>
      <x:c r="I219" s="24" t="str">
        <x:v>charioteer; war-cart fighter</x:v>
      </x:c>
      <x:c r="J219" s="24" t="str">
        <x:v>Front-line combat, defense, mobility, command, hunting, or weapon mastery.</x:v>
      </x:c>
      <x:c r="K219" s="24" t="str">
        <x:v>charioteer; war-cart fighter</x:v>
      </x:c>
      <x:c r="L219" s="24" t="str">
        <x:v>Preserve each source's ontology, culture, history, and terminology when making comparisons.</x:v>
      </x:c>
      <x:c r="M219" s="24" t="str">
        <x:v>Core Family</x:v>
      </x:c>
    </x:row>
    <x:row r="220" ht="44" customHeight="1">
      <x:c r="A220" s="24" t="str">
        <x:v>ROL-134</x:v>
      </x:c>
      <x:c r="B220" s="24" t="str">
        <x:v>Marine and Naval Warrior</x:v>
      </x:c>
      <x:c r="C220" s="24" t="str">
        <x:v>Roles &amp; Vocations</x:v>
      </x:c>
      <x:c r="D220" s="24" t="str">
        <x:v>ROL-100</x:v>
      </x:c>
      <x:c r="E220" s="24" t="str">
        <x:f>IF(D220="","",IFERROR(VLOOKUP(D220,$A$2:$B$1226,2,FALSE),""))</x:f>
        <x:v>Martial Roles</x:v>
      </x:c>
      <x:c r="F220" s="24" t="n">
        <x:v>3</x:v>
      </x:c>
      <x:c r="G220" s="24" t="str">
        <x:v>Combatant trained for ships, boarding, amphibious assault, and maritime defense.</x:v>
      </x:c>
      <x:c r="H220" s="24" t="str">
        <x:v>Do not assume identical training, social status, powers, or mechanics across settings.</x:v>
      </x:c>
      <x:c r="I220" s="24" t="str">
        <x:v>marine; sailor-soldier; corsair</x:v>
      </x:c>
      <x:c r="J220" s="24" t="str">
        <x:v>Front-line combat, defense, mobility, command, hunting, or weapon mastery.</x:v>
      </x:c>
      <x:c r="K220" s="24" t="str">
        <x:v>marine; sailor-soldier; corsair</x:v>
      </x:c>
      <x:c r="L220" s="24" t="str">
        <x:v>Preserve each source's ontology, culture, history, and terminology when making comparisons.</x:v>
      </x:c>
      <x:c r="M220" s="24" t="str">
        <x:v>Core Family</x:v>
      </x:c>
    </x:row>
    <x:row r="221" ht="44" customHeight="1">
      <x:c r="A221" s="24" t="str">
        <x:v>ROL-135</x:v>
      </x:c>
      <x:c r="B221" s="24" t="str">
        <x:v>Pirate and Corsair</x:v>
      </x:c>
      <x:c r="C221" s="24" t="str">
        <x:v>Roles &amp; Vocations</x:v>
      </x:c>
      <x:c r="D221" s="24" t="str">
        <x:v>ROL-100</x:v>
      </x:c>
      <x:c r="E221" s="24" t="str">
        <x:f>IF(D221="","",IFERROR(VLOOKUP(D221,$A$2:$B$1226,2,FALSE),""))</x:f>
        <x:v>Martial Roles</x:v>
      </x:c>
      <x:c r="F221" s="24" t="n">
        <x:v>3</x:v>
      </x:c>
      <x:c r="G221" s="24" t="str">
        <x:v>Maritime raider combining combat, navigation, plunder, smuggling, and outlaw social organization.</x:v>
      </x:c>
      <x:c r="H221" s="24" t="str">
        <x:v>Do not assume identical training, social status, powers, or mechanics across settings.</x:v>
      </x:c>
      <x:c r="I221" s="24" t="str">
        <x:v>pirate; corsair; buccaneer</x:v>
      </x:c>
      <x:c r="J221" s="24" t="str">
        <x:v>Front-line combat, defense, mobility, command, hunting, or weapon mastery.</x:v>
      </x:c>
      <x:c r="K221" s="24" t="str">
        <x:v>pirate; corsair; buccaneer</x:v>
      </x:c>
      <x:c r="L221" s="24" t="str">
        <x:v>Preserve each source's ontology, culture, history, and terminology when making comparisons.</x:v>
      </x:c>
      <x:c r="M221" s="24" t="str">
        <x:v>Core Family</x:v>
      </x:c>
    </x:row>
    <x:row r="222" ht="44" customHeight="1">
      <x:c r="A222" s="24" t="str">
        <x:v>ROL-136</x:v>
      </x:c>
      <x:c r="B222" s="24" t="str">
        <x:v>Raider</x:v>
      </x:c>
      <x:c r="C222" s="24" t="str">
        <x:v>Roles &amp; Vocations</x:v>
      </x:c>
      <x:c r="D222" s="24" t="str">
        <x:v>ROL-100</x:v>
      </x:c>
      <x:c r="E222" s="24" t="str">
        <x:f>IF(D222="","",IFERROR(VLOOKUP(D222,$A$2:$B$1226,2,FALSE),""))</x:f>
        <x:v>Martial Roles</x:v>
      </x:c>
      <x:c r="F222" s="24" t="n">
        <x:v>3</x:v>
      </x:c>
      <x:c r="G222" s="24" t="str">
        <x:v>Mobile warrior who obtains resources, prestige, or territory through sudden attacks and withdrawal.</x:v>
      </x:c>
      <x:c r="H222" s="24" t="str">
        <x:v>Do not assume identical training, social status, powers, or mechanics across settings.</x:v>
      </x:c>
      <x:c r="I222" s="24" t="str">
        <x:v>raider; reaver; pillager</x:v>
      </x:c>
      <x:c r="J222" s="24" t="str">
        <x:v>Front-line combat, defense, mobility, command, hunting, or weapon mastery.</x:v>
      </x:c>
      <x:c r="K222" s="24" t="str">
        <x:v>raider; reaver; pillager</x:v>
      </x:c>
      <x:c r="L222" s="24" t="str">
        <x:v>Preserve each source's ontology, culture, history, and terminology when making comparisons.</x:v>
      </x:c>
      <x:c r="M222" s="24" t="str">
        <x:v>Core Family</x:v>
      </x:c>
    </x:row>
    <x:row r="223" ht="44" customHeight="1">
      <x:c r="A223" s="24" t="str">
        <x:v>ROL-137</x:v>
      </x:c>
      <x:c r="B223" s="24" t="str">
        <x:v>Mercenary</x:v>
      </x:c>
      <x:c r="C223" s="24" t="str">
        <x:v>Roles &amp; Vocations</x:v>
      </x:c>
      <x:c r="D223" s="24" t="str">
        <x:v>ROL-100</x:v>
      </x:c>
      <x:c r="E223" s="24" t="str">
        <x:f>IF(D223="","",IFERROR(VLOOKUP(D223,$A$2:$B$1226,2,FALSE),""))</x:f>
        <x:v>Martial Roles</x:v>
      </x:c>
      <x:c r="F223" s="24" t="n">
        <x:v>3</x:v>
      </x:c>
      <x:c r="G223" s="24" t="str">
        <x:v>Professional combatant whose service is contractual, commercial, or politically independent.</x:v>
      </x:c>
      <x:c r="H223" s="24" t="str">
        <x:v>Do not assume identical training, social status, powers, or mechanics across settings.</x:v>
      </x:c>
      <x:c r="I223" s="24" t="str">
        <x:v>mercenary; sellsword; free company soldier</x:v>
      </x:c>
      <x:c r="J223" s="24" t="str">
        <x:v>Front-line combat, defense, mobility, command, hunting, or weapon mastery.</x:v>
      </x:c>
      <x:c r="K223" s="24" t="str">
        <x:v>mercenary; sellsword; free company soldier</x:v>
      </x:c>
      <x:c r="L223" s="24" t="str">
        <x:v>Preserve each source's ontology, culture, history, and terminology when making comparisons.</x:v>
      </x:c>
      <x:c r="M223" s="24" t="str">
        <x:v>Core Family</x:v>
      </x:c>
    </x:row>
    <x:row r="224" ht="44" customHeight="1">
      <x:c r="A224" s="24" t="str">
        <x:v>ROL-138</x:v>
      </x:c>
      <x:c r="B224" s="24" t="str">
        <x:v>Bodyguard</x:v>
      </x:c>
      <x:c r="C224" s="24" t="str">
        <x:v>Roles &amp; Vocations</x:v>
      </x:c>
      <x:c r="D224" s="24" t="str">
        <x:v>ROL-100</x:v>
      </x:c>
      <x:c r="E224" s="24" t="str">
        <x:f>IF(D224="","",IFERROR(VLOOKUP(D224,$A$2:$B$1226,2,FALSE),""))</x:f>
        <x:v>Martial Roles</x:v>
      </x:c>
      <x:c r="F224" s="24" t="n">
        <x:v>3</x:v>
      </x:c>
      <x:c r="G224" s="24" t="str">
        <x:v>Protective specialist responsible for the survival of a particular person or group.</x:v>
      </x:c>
      <x:c r="H224" s="24" t="str">
        <x:v>Do not assume identical training, social status, powers, or mechanics across settings.</x:v>
      </x:c>
      <x:c r="I224" s="24" t="str">
        <x:v>bodyguard; sworn shield; protector</x:v>
      </x:c>
      <x:c r="J224" s="24" t="str">
        <x:v>Front-line combat, defense, mobility, command, hunting, or weapon mastery.</x:v>
      </x:c>
      <x:c r="K224" s="24" t="str">
        <x:v>bodyguard; sworn shield; protector</x:v>
      </x:c>
      <x:c r="L224" s="24" t="str">
        <x:v>Preserve each source's ontology, culture, history, and terminology when making comparisons.</x:v>
      </x:c>
      <x:c r="M224" s="24" t="str">
        <x:v>Core Family</x:v>
      </x:c>
    </x:row>
    <x:row r="225" ht="44" customHeight="1">
      <x:c r="A225" s="24" t="str">
        <x:v>ROL-139</x:v>
      </x:c>
      <x:c r="B225" s="24" t="str">
        <x:v>Champion</x:v>
      </x:c>
      <x:c r="C225" s="24" t="str">
        <x:v>Roles &amp; Vocations</x:v>
      </x:c>
      <x:c r="D225" s="24" t="str">
        <x:v>ROL-100</x:v>
      </x:c>
      <x:c r="E225" s="24" t="str">
        <x:f>IF(D225="","",IFERROR(VLOOKUP(D225,$A$2:$B$1226,2,FALSE),""))</x:f>
        <x:v>Martial Roles</x:v>
      </x:c>
      <x:c r="F225" s="24" t="n">
        <x:v>3</x:v>
      </x:c>
      <x:c r="G225" s="24" t="str">
        <x:v>Recognized elite who represents a ruler, deity, people, cause, or faction through personal combat.</x:v>
      </x:c>
      <x:c r="H225" s="24" t="str">
        <x:v>Do not assume identical training, social status, powers, or mechanics across settings.</x:v>
      </x:c>
      <x:c r="I225" s="24" t="str">
        <x:v>champion; chosen warrior; exemplar</x:v>
      </x:c>
      <x:c r="J225" s="24" t="str">
        <x:v>Front-line combat, defense, mobility, command, hunting, or weapon mastery.</x:v>
      </x:c>
      <x:c r="K225" s="24" t="str">
        <x:v>champion; chosen warrior; exemplar</x:v>
      </x:c>
      <x:c r="L225" s="24" t="str">
        <x:v>Preserve each source's ontology, culture, history, and terminology when making comparisons.</x:v>
      </x:c>
      <x:c r="M225" s="24" t="str">
        <x:v>Core Family</x:v>
      </x:c>
    </x:row>
    <x:row r="226" ht="44" customHeight="1">
      <x:c r="A226" s="24" t="str">
        <x:v>ROL-140</x:v>
      </x:c>
      <x:c r="B226" s="24" t="str">
        <x:v>Warlord</x:v>
      </x:c>
      <x:c r="C226" s="24" t="str">
        <x:v>Roles &amp; Vocations</x:v>
      </x:c>
      <x:c r="D226" s="24" t="str">
        <x:v>ROL-100</x:v>
      </x:c>
      <x:c r="E226" s="24" t="str">
        <x:f>IF(D226="","",IFERROR(VLOOKUP(D226,$A$2:$B$1226,2,FALSE),""))</x:f>
        <x:v>Martial Roles</x:v>
      </x:c>
      <x:c r="F226" s="24" t="n">
        <x:v>3</x:v>
      </x:c>
      <x:c r="G226" s="24" t="str">
        <x:v>Martial leader whose authority rests on force, personal loyalty, conquest, or fragmented political conditions.</x:v>
      </x:c>
      <x:c r="H226" s="24" t="str">
        <x:v>Do not assume identical training, social status, powers, or mechanics across settings.</x:v>
      </x:c>
      <x:c r="I226" s="24" t="str">
        <x:v>warlord; war chief</x:v>
      </x:c>
      <x:c r="J226" s="24" t="str">
        <x:v>Front-line combat, defense, mobility, command, hunting, or weapon mastery.</x:v>
      </x:c>
      <x:c r="K226" s="24" t="str">
        <x:v>warlord; war chief</x:v>
      </x:c>
      <x:c r="L226" s="24" t="str">
        <x:v>Preserve each source's ontology, culture, history, and terminology when making comparisons.</x:v>
      </x:c>
      <x:c r="M226" s="24" t="str">
        <x:v>Core Family</x:v>
      </x:c>
    </x:row>
    <x:row r="227" ht="44" customHeight="1">
      <x:c r="A227" s="24" t="str">
        <x:v>ROL-141</x:v>
      </x:c>
      <x:c r="B227" s="24" t="str">
        <x:v>Commander and General</x:v>
      </x:c>
      <x:c r="C227" s="24" t="str">
        <x:v>Roles &amp; Vocations</x:v>
      </x:c>
      <x:c r="D227" s="24" t="str">
        <x:v>ROL-100</x:v>
      </x:c>
      <x:c r="E227" s="24" t="str">
        <x:f>IF(D227="","",IFERROR(VLOOKUP(D227,$A$2:$B$1226,2,FALSE),""))</x:f>
        <x:v>Martial Roles</x:v>
      </x:c>
      <x:c r="F227" s="24" t="n">
        <x:v>3</x:v>
      </x:c>
      <x:c r="G227" s="24" t="str">
        <x:v>Leader who directs troops, strategy, logistics, and battlefield coordination rather than fighting only as an individual.</x:v>
      </x:c>
      <x:c r="H227" s="24" t="str">
        <x:v>Do not assume identical training, social status, powers, or mechanics across settings.</x:v>
      </x:c>
      <x:c r="I227" s="24" t="str">
        <x:v>commander; general; marshal</x:v>
      </x:c>
      <x:c r="J227" s="24" t="str">
        <x:v>Front-line combat, defense, mobility, command, hunting, or weapon mastery.</x:v>
      </x:c>
      <x:c r="K227" s="24" t="str">
        <x:v>commander; general; marshal</x:v>
      </x:c>
      <x:c r="L227" s="24" t="str">
        <x:v>Preserve each source's ontology, culture, history, and terminology when making comparisons.</x:v>
      </x:c>
      <x:c r="M227" s="24" t="str">
        <x:v>Core Family</x:v>
      </x:c>
    </x:row>
    <x:row r="228" ht="44" customHeight="1">
      <x:c r="A228" s="24" t="str">
        <x:v>ROL-142</x:v>
      </x:c>
      <x:c r="B228" s="24" t="str">
        <x:v>Tactician and Strategist</x:v>
      </x:c>
      <x:c r="C228" s="24" t="str">
        <x:v>Roles &amp; Vocations</x:v>
      </x:c>
      <x:c r="D228" s="24" t="str">
        <x:v>ROL-100</x:v>
      </x:c>
      <x:c r="E228" s="24" t="str">
        <x:f>IF(D228="","",IFERROR(VLOOKUP(D228,$A$2:$B$1226,2,FALSE),""))</x:f>
        <x:v>Martial Roles</x:v>
      </x:c>
      <x:c r="F228" s="24" t="n">
        <x:v>3</x:v>
      </x:c>
      <x:c r="G228" s="24" t="str">
        <x:v>Specialist whose primary contribution is planning, prediction, formation, information, and exploitation of battlefield systems.</x:v>
      </x:c>
      <x:c r="H228" s="24" t="str">
        <x:v>Do not assume identical training, social status, powers, or mechanics across settings.</x:v>
      </x:c>
      <x:c r="I228" s="24" t="str">
        <x:v>tactician; strategist; battle planner</x:v>
      </x:c>
      <x:c r="J228" s="24" t="str">
        <x:v>Front-line combat, defense, mobility, command, hunting, or weapon mastery.</x:v>
      </x:c>
      <x:c r="K228" s="24" t="str">
        <x:v>tactician; strategist; battle planner</x:v>
      </x:c>
      <x:c r="L228" s="24" t="str">
        <x:v>Preserve each source's ontology, culture, history, and terminology when making comparisons.</x:v>
      </x:c>
      <x:c r="M228" s="24" t="str">
        <x:v>Core Family</x:v>
      </x:c>
    </x:row>
    <x:row r="229" ht="44" customHeight="1">
      <x:c r="A229" s="24" t="str">
        <x:v>ROL-143</x:v>
      </x:c>
      <x:c r="B229" s="24" t="str">
        <x:v>Weapon Master</x:v>
      </x:c>
      <x:c r="C229" s="24" t="str">
        <x:v>Roles &amp; Vocations</x:v>
      </x:c>
      <x:c r="D229" s="24" t="str">
        <x:v>ROL-100</x:v>
      </x:c>
      <x:c r="E229" s="24" t="str">
        <x:f>IF(D229="","",IFERROR(VLOOKUP(D229,$A$2:$B$1226,2,FALSE),""))</x:f>
        <x:v>Martial Roles</x:v>
      </x:c>
      <x:c r="F229" s="24" t="n">
        <x:v>3</x:v>
      </x:c>
      <x:c r="G229" s="24" t="str">
        <x:v>Martial expert defined by mastery of many weapons or near-supernatural perfection with one weapon.</x:v>
      </x:c>
      <x:c r="H229" s="24" t="str">
        <x:v>Do not assume identical training, social status, powers, or mechanics across settings.</x:v>
      </x:c>
      <x:c r="I229" s="24" t="str">
        <x:v>weapon master; blade saint; arms master</x:v>
      </x:c>
      <x:c r="J229" s="24" t="str">
        <x:v>Front-line combat, defense, mobility, command, hunting, or weapon mastery.</x:v>
      </x:c>
      <x:c r="K229" s="24" t="str">
        <x:v>weapon master; blade saint; arms master</x:v>
      </x:c>
      <x:c r="L229" s="24" t="str">
        <x:v>Preserve each source's ontology, culture, history, and terminology when making comparisons.</x:v>
      </x:c>
      <x:c r="M229" s="24" t="str">
        <x:v>Core Family</x:v>
      </x:c>
    </x:row>
    <x:row r="230" ht="44" customHeight="1">
      <x:c r="A230" s="24" t="str">
        <x:v>ROL-144</x:v>
      </x:c>
      <x:c r="B230" s="24" t="str">
        <x:v>Monster Hunter</x:v>
      </x:c>
      <x:c r="C230" s="24" t="str">
        <x:v>Roles &amp; Vocations</x:v>
      </x:c>
      <x:c r="D230" s="24" t="str">
        <x:v>ROL-100</x:v>
      </x:c>
      <x:c r="E230" s="24" t="str">
        <x:f>IF(D230="","",IFERROR(VLOOKUP(D230,$A$2:$B$1226,2,FALSE),""))</x:f>
        <x:v>Martial Roles</x:v>
      </x:c>
      <x:c r="F230" s="24" t="n">
        <x:v>3</x:v>
      </x:c>
      <x:c r="G230" s="24" t="str">
        <x:v>Professional who studies, tracks, prepares for, and kills dangerous nonhuman creatures.</x:v>
      </x:c>
      <x:c r="H230" s="24" t="str">
        <x:v>Do not assume identical training, social status, powers, or mechanics across settings.</x:v>
      </x:c>
      <x:c r="I230" s="24" t="str">
        <x:v>monster hunter; slayer; witcher-like hunter</x:v>
      </x:c>
      <x:c r="J230" s="24" t="str">
        <x:v>Front-line combat, defense, mobility, command, hunting, or weapon mastery.</x:v>
      </x:c>
      <x:c r="K230" s="24" t="str">
        <x:v>monster hunter; slayer; witcher-like hunter</x:v>
      </x:c>
      <x:c r="L230" s="24" t="str">
        <x:v>Preserve each source's ontology, culture, history, and terminology when making comparisons.</x:v>
      </x:c>
      <x:c r="M230" s="24" t="str">
        <x:v>Core Family</x:v>
      </x:c>
    </x:row>
    <x:row r="231" ht="44" customHeight="1">
      <x:c r="A231" s="24" t="str">
        <x:v>ROL-145</x:v>
      </x:c>
      <x:c r="B231" s="24" t="str">
        <x:v>Dragon Slayer</x:v>
      </x:c>
      <x:c r="C231" s="24" t="str">
        <x:v>Roles &amp; Vocations</x:v>
      </x:c>
      <x:c r="D231" s="24" t="str">
        <x:v>ROL-100</x:v>
      </x:c>
      <x:c r="E231" s="24" t="str">
        <x:f>IF(D231="","",IFERROR(VLOOKUP(D231,$A$2:$B$1226,2,FALSE),""))</x:f>
        <x:v>Martial Roles</x:v>
      </x:c>
      <x:c r="F231" s="24" t="n">
        <x:v>3</x:v>
      </x:c>
      <x:c r="G231" s="24" t="str">
        <x:v>Specialist or heroic identity centered on defeating dragons, often with dedicated weapons, vows, or biological adaptations.</x:v>
      </x:c>
      <x:c r="H231" s="24" t="str">
        <x:v>Do not assume identical training, social status, powers, or mechanics across settings.</x:v>
      </x:c>
      <x:c r="I231" s="24" t="str">
        <x:v>dragon slayer; dragoon; wyrm hunter</x:v>
      </x:c>
      <x:c r="J231" s="24" t="str">
        <x:v>Front-line combat, defense, mobility, command, hunting, or weapon mastery.</x:v>
      </x:c>
      <x:c r="K231" s="24" t="str">
        <x:v>dragon slayer; dragoon; wyrm hunter</x:v>
      </x:c>
      <x:c r="L231" s="24" t="str">
        <x:v>Preserve each source's ontology, culture, history, and terminology when making comparisons.</x:v>
      </x:c>
      <x:c r="M231" s="24" t="str">
        <x:v>Core Family</x:v>
      </x:c>
    </x:row>
    <x:row r="232" ht="44" customHeight="1">
      <x:c r="A232" s="24" t="str">
        <x:v>ROL-146</x:v>
      </x:c>
      <x:c r="B232" s="24" t="str">
        <x:v>Demon Hunter</x:v>
      </x:c>
      <x:c r="C232" s="24" t="str">
        <x:v>Roles &amp; Vocations</x:v>
      </x:c>
      <x:c r="D232" s="24" t="str">
        <x:v>ROL-100</x:v>
      </x:c>
      <x:c r="E232" s="24" t="str">
        <x:f>IF(D232="","",IFERROR(VLOOKUP(D232,$A$2:$B$1226,2,FALSE),""))</x:f>
        <x:v>Martial Roles</x:v>
      </x:c>
      <x:c r="F232" s="24" t="n">
        <x:v>3</x:v>
      </x:c>
      <x:c r="G232" s="24" t="str">
        <x:v>Warrior trained to identify and destroy fiends, possessed beings, cults, or corruptive magic.</x:v>
      </x:c>
      <x:c r="H232" s="24" t="str">
        <x:v>Do not assume identical training, social status, powers, or mechanics across settings.</x:v>
      </x:c>
      <x:c r="I232" s="24" t="str">
        <x:v>demon hunter; fiend slayer</x:v>
      </x:c>
      <x:c r="J232" s="24" t="str">
        <x:v>Front-line combat, defense, mobility, command, hunting, or weapon mastery.</x:v>
      </x:c>
      <x:c r="K232" s="24" t="str">
        <x:v>demon hunter; fiend slayer</x:v>
      </x:c>
      <x:c r="L232" s="24" t="str">
        <x:v>Preserve each source's ontology, culture, history, and terminology when making comparisons.</x:v>
      </x:c>
      <x:c r="M232" s="24" t="str">
        <x:v>Core Family</x:v>
      </x:c>
    </x:row>
    <x:row r="233" ht="44" customHeight="1">
      <x:c r="A233" s="24" t="str">
        <x:v>ROL-147</x:v>
      </x:c>
      <x:c r="B233" s="24" t="str">
        <x:v>Mage Hunter and Witch Hunter</x:v>
      </x:c>
      <x:c r="C233" s="24" t="str">
        <x:v>Roles &amp; Vocations</x:v>
      </x:c>
      <x:c r="D233" s="24" t="str">
        <x:v>ROL-100</x:v>
      </x:c>
      <x:c r="E233" s="24" t="str">
        <x:f>IF(D233="","",IFERROR(VLOOKUP(D233,$A$2:$B$1226,2,FALSE),""))</x:f>
        <x:v>Martial Roles</x:v>
      </x:c>
      <x:c r="F233" s="24" t="n">
        <x:v>3</x:v>
      </x:c>
      <x:c r="G233" s="24" t="str">
        <x:v>Combatant or official specialized in tracking, suppressing, policing, or killing magic users.</x:v>
      </x:c>
      <x:c r="H233" s="24" t="str">
        <x:v>Do not assume identical training, social status, powers, or mechanics across settings.</x:v>
      </x:c>
      <x:c r="I233" s="24" t="str">
        <x:v>mage hunter; witch hunter; spellbreaker</x:v>
      </x:c>
      <x:c r="J233" s="24" t="str">
        <x:v>Front-line combat, defense, mobility, command, hunting, or weapon mastery.</x:v>
      </x:c>
      <x:c r="K233" s="24" t="str">
        <x:v>mage hunter; witch hunter; spellbreaker</x:v>
      </x:c>
      <x:c r="L233" s="24" t="str">
        <x:v>Preserve each source's ontology, culture, history, and terminology when making comparisons.</x:v>
      </x:c>
      <x:c r="M233" s="24" t="str">
        <x:v>Core Family</x:v>
      </x:c>
    </x:row>
    <x:row r="234" ht="44" customHeight="1">
      <x:c r="A234" s="24" t="str">
        <x:v>ROL-148</x:v>
      </x:c>
      <x:c r="B234" s="24" t="str">
        <x:v>Anti-Magic Warrior</x:v>
      </x:c>
      <x:c r="C234" s="24" t="str">
        <x:v>Roles &amp; Vocations</x:v>
      </x:c>
      <x:c r="D234" s="24" t="str">
        <x:v>ROL-100</x:v>
      </x:c>
      <x:c r="E234" s="24" t="str">
        <x:f>IF(D234="","",IFERROR(VLOOKUP(D234,$A$2:$B$1226,2,FALSE),""))</x:f>
        <x:v>Martial Roles</x:v>
      </x:c>
      <x:c r="F234" s="24" t="n">
        <x:v>3</x:v>
      </x:c>
      <x:c r="G234" s="24" t="str">
        <x:v>Martial specialist whose abilities nullify, resist, reflect, or disrupt supernatural power.</x:v>
      </x:c>
      <x:c r="H234" s="24" t="str">
        <x:v>Do not assume identical training, social status, powers, or mechanics across settings.</x:v>
      </x:c>
      <x:c r="I234" s="24" t="str">
        <x:v>spellbreaker; null knight; templar analogue</x:v>
      </x:c>
      <x:c r="J234" s="24" t="str">
        <x:v>Front-line combat, defense, mobility, command, hunting, or weapon mastery.</x:v>
      </x:c>
      <x:c r="K234" s="24" t="str">
        <x:v>spellbreaker; null knight; templar analogue</x:v>
      </x:c>
      <x:c r="L234" s="24" t="str">
        <x:v>Preserve each source's ontology, culture, history, and terminology when making comparisons.</x:v>
      </x:c>
      <x:c r="M234" s="24" t="str">
        <x:v>Core Family</x:v>
      </x:c>
    </x:row>
    <x:row r="235" ht="44" customHeight="1">
      <x:c r="A235" s="24" t="str">
        <x:v>ROL-149</x:v>
      </x:c>
      <x:c r="B235" s="24" t="str">
        <x:v>Siege Specialist</x:v>
      </x:c>
      <x:c r="C235" s="24" t="str">
        <x:v>Roles &amp; Vocations</x:v>
      </x:c>
      <x:c r="D235" s="24" t="str">
        <x:v>ROL-100</x:v>
      </x:c>
      <x:c r="E235" s="24" t="str">
        <x:f>IF(D235="","",IFERROR(VLOOKUP(D235,$A$2:$B$1226,2,FALSE),""))</x:f>
        <x:v>Martial Roles</x:v>
      </x:c>
      <x:c r="F235" s="24" t="n">
        <x:v>3</x:v>
      </x:c>
      <x:c r="G235" s="24" t="str">
        <x:v>Warrior-engineer who operates siege engines, demolitions, fortifications, or battlefield construction.</x:v>
      </x:c>
      <x:c r="H235" s="24" t="str">
        <x:v>Do not assume identical training, social status, powers, or mechanics across settings.</x:v>
      </x:c>
      <x:c r="I235" s="24" t="str">
        <x:v>siege engineer; sapper; artillerist</x:v>
      </x:c>
      <x:c r="J235" s="24" t="str">
        <x:v>Front-line combat, defense, mobility, command, hunting, or weapon mastery.</x:v>
      </x:c>
      <x:c r="K235" s="24" t="str">
        <x:v>siege engineer; sapper; artillerist</x:v>
      </x:c>
      <x:c r="L235" s="24" t="str">
        <x:v>Preserve each source's ontology, culture, history, and terminology when making comparisons.</x:v>
      </x:c>
      <x:c r="M235" s="24" t="str">
        <x:v>Core Family</x:v>
      </x:c>
    </x:row>
    <x:row r="236" ht="44" customHeight="1">
      <x:c r="A236" s="24" t="str">
        <x:v>ROL-150</x:v>
      </x:c>
      <x:c r="B236" s="24" t="str">
        <x:v>Dragon Rider</x:v>
      </x:c>
      <x:c r="C236" s="24" t="str">
        <x:v>Roles &amp; Vocations</x:v>
      </x:c>
      <x:c r="D236" s="24" t="str">
        <x:v>ROL-100</x:v>
      </x:c>
      <x:c r="E236" s="24" t="str">
        <x:f>IF(D236="","",IFERROR(VLOOKUP(D236,$A$2:$B$1226,2,FALSE),""))</x:f>
        <x:v>Martial Roles</x:v>
      </x:c>
      <x:c r="F236" s="24" t="n">
        <x:v>3</x:v>
      </x:c>
      <x:c r="G236" s="24" t="str">
        <x:v>Elite combatant whose social and military identity is built around a bonded dragon mount.</x:v>
      </x:c>
      <x:c r="H236" s="24" t="str">
        <x:v>Do not assume identical training, social status, powers, or mechanics across settings.</x:v>
      </x:c>
      <x:c r="I236" s="24" t="str">
        <x:v>dragon rider; dragon knight; wyvern rider</x:v>
      </x:c>
      <x:c r="J236" s="24" t="str">
        <x:v>Front-line combat, defense, mobility, command, hunting, or weapon mastery.</x:v>
      </x:c>
      <x:c r="K236" s="24" t="str">
        <x:v>dragon rider; dragon knight; wyvern rider</x:v>
      </x:c>
      <x:c r="L236" s="24" t="str">
        <x:v>Preserve each source's ontology, culture, history, and terminology when making comparisons.</x:v>
      </x:c>
      <x:c r="M236" s="24" t="str">
        <x:v>Core Family</x:v>
      </x:c>
    </x:row>
    <x:row r="237" ht="44" customHeight="1">
      <x:c r="A237" s="24" t="str">
        <x:v>ROL-201</x:v>
      </x:c>
      <x:c r="B237" s="24" t="str">
        <x:v>Thief</x:v>
      </x:c>
      <x:c r="C237" s="24" t="str">
        <x:v>Roles &amp; Vocations</x:v>
      </x:c>
      <x:c r="D237" s="24" t="str">
        <x:v>ROL-200</x:v>
      </x:c>
      <x:c r="E237" s="24" t="str">
        <x:f>IF(D237="","",IFERROR(VLOOKUP(D237,$A$2:$B$1226,2,FALSE),""))</x:f>
        <x:v>Rogue and Underworld Roles</x:v>
      </x:c>
      <x:c r="F237" s="24" t="n">
        <x:v>3</x:v>
      </x:c>
      <x:c r="G237" s="24" t="str">
        <x:v>Person who acquires property through stealth, deception, access, or opportunism, often formalized as an adventuring class.</x:v>
      </x:c>
      <x:c r="H237" s="24" t="str">
        <x:v>Do not assume identical training, social status, powers, or mechanics across settings.</x:v>
      </x:c>
      <x:c r="I237" s="24" t="str">
        <x:v>thief; rogue; cutpurse</x:v>
      </x:c>
      <x:c r="J237" s="24" t="str">
        <x:v>Stealth, access, information, precision damage, deception, crime, or social manipulation.</x:v>
      </x:c>
      <x:c r="K237" s="24" t="str">
        <x:v>thief; rogue; cutpurse</x:v>
      </x:c>
      <x:c r="L237" s="24" t="str">
        <x:v>Preserve each source's ontology, culture, history, and terminology when making comparisons.</x:v>
      </x:c>
      <x:c r="M237" s="24" t="str">
        <x:v>Core Family</x:v>
      </x:c>
    </x:row>
    <x:row r="238" ht="44" customHeight="1">
      <x:c r="A238" s="24" t="str">
        <x:v>ROL-202</x:v>
      </x:c>
      <x:c r="B238" s="24" t="str">
        <x:v>Burglar and Infiltrator</x:v>
      </x:c>
      <x:c r="C238" s="24" t="str">
        <x:v>Roles &amp; Vocations</x:v>
      </x:c>
      <x:c r="D238" s="24" t="str">
        <x:v>ROL-200</x:v>
      </x:c>
      <x:c r="E238" s="24" t="str">
        <x:f>IF(D238="","",IFERROR(VLOOKUP(D238,$A$2:$B$1226,2,FALSE),""))</x:f>
        <x:v>Rogue and Underworld Roles</x:v>
      </x:c>
      <x:c r="F238" s="24" t="n">
        <x:v>3</x:v>
      </x:c>
      <x:c r="G238" s="24" t="str">
        <x:v>Specialist in bypassing locks, traps, walls, guards, and secure spaces.</x:v>
      </x:c>
      <x:c r="H238" s="24" t="str">
        <x:v>Do not assume identical training, social status, powers, or mechanics across settings.</x:v>
      </x:c>
      <x:c r="I238" s="24" t="str">
        <x:v>burglar; infiltrator; second-story thief</x:v>
      </x:c>
      <x:c r="J238" s="24" t="str">
        <x:v>Stealth, access, information, precision damage, deception, crime, or social manipulation.</x:v>
      </x:c>
      <x:c r="K238" s="24" t="str">
        <x:v>burglar; infiltrator; second-story thief</x:v>
      </x:c>
      <x:c r="L238" s="24" t="str">
        <x:v>Preserve each source's ontology, culture, history, and terminology when making comparisons.</x:v>
      </x:c>
      <x:c r="M238" s="24" t="str">
        <x:v>Core Family</x:v>
      </x:c>
    </x:row>
    <x:row r="239" ht="44" customHeight="1">
      <x:c r="A239" s="24" t="str">
        <x:v>ROL-203</x:v>
      </x:c>
      <x:c r="B239" s="24" t="str">
        <x:v>Pickpocket</x:v>
      </x:c>
      <x:c r="C239" s="24" t="str">
        <x:v>Roles &amp; Vocations</x:v>
      </x:c>
      <x:c r="D239" s="24" t="str">
        <x:v>ROL-200</x:v>
      </x:c>
      <x:c r="E239" s="24" t="str">
        <x:f>IF(D239="","",IFERROR(VLOOKUP(D239,$A$2:$B$1226,2,FALSE),""))</x:f>
        <x:v>Rogue and Underworld Roles</x:v>
      </x:c>
      <x:c r="F239" s="24" t="n">
        <x:v>3</x:v>
      </x:c>
      <x:c r="G239" s="24" t="str">
        <x:v>Close-contact thief specializing in unnoticed personal theft.</x:v>
      </x:c>
      <x:c r="H239" s="24" t="str">
        <x:v>Do not assume identical training, social status, powers, or mechanics across settings.</x:v>
      </x:c>
      <x:c r="I239" s="24" t="str">
        <x:v>pickpocket; cutpurse</x:v>
      </x:c>
      <x:c r="J239" s="24" t="str">
        <x:v>Stealth, access, information, precision damage, deception, crime, or social manipulation.</x:v>
      </x:c>
      <x:c r="K239" s="24" t="str">
        <x:v>pickpocket; cutpurse</x:v>
      </x:c>
      <x:c r="L239" s="24" t="str">
        <x:v>Preserve each source's ontology, culture, history, and terminology when making comparisons.</x:v>
      </x:c>
      <x:c r="M239" s="24" t="str">
        <x:v>Core Family</x:v>
      </x:c>
    </x:row>
    <x:row r="240" ht="44" customHeight="1">
      <x:c r="A240" s="24" t="str">
        <x:v>ROL-204</x:v>
      </x:c>
      <x:c r="B240" s="24" t="str">
        <x:v>Bandit and Outlaw</x:v>
      </x:c>
      <x:c r="C240" s="24" t="str">
        <x:v>Roles &amp; Vocations</x:v>
      </x:c>
      <x:c r="D240" s="24" t="str">
        <x:v>ROL-200</x:v>
      </x:c>
      <x:c r="E240" s="24" t="str">
        <x:f>IF(D240="","",IFERROR(VLOOKUP(D240,$A$2:$B$1226,2,FALSE),""))</x:f>
        <x:v>Rogue and Underworld Roles</x:v>
      </x:c>
      <x:c r="F240" s="24" t="n">
        <x:v>3</x:v>
      </x:c>
      <x:c r="G240" s="24" t="str">
        <x:v>Armed criminal or rebel operating outside recognized law, often from roads, forests, or borderlands.</x:v>
      </x:c>
      <x:c r="H240" s="24" t="str">
        <x:v>Do not assume identical training, social status, powers, or mechanics across settings.</x:v>
      </x:c>
      <x:c r="I240" s="24" t="str">
        <x:v>bandit; outlaw; brigand</x:v>
      </x:c>
      <x:c r="J240" s="24" t="str">
        <x:v>Stealth, access, information, precision damage, deception, crime, or social manipulation.</x:v>
      </x:c>
      <x:c r="K240" s="24" t="str">
        <x:v>bandit; outlaw; brigand</x:v>
      </x:c>
      <x:c r="L240" s="24" t="str">
        <x:v>Preserve each source's ontology, culture, history, and terminology when making comparisons.</x:v>
      </x:c>
      <x:c r="M240" s="24" t="str">
        <x:v>Core Family</x:v>
      </x:c>
    </x:row>
    <x:row r="241" ht="44" customHeight="1">
      <x:c r="A241" s="24" t="str">
        <x:v>ROL-205</x:v>
      </x:c>
      <x:c r="B241" s="24" t="str">
        <x:v>Rogue</x:v>
      </x:c>
      <x:c r="C241" s="24" t="str">
        <x:v>Roles &amp; Vocations</x:v>
      </x:c>
      <x:c r="D241" s="24" t="str">
        <x:v>ROL-200</x:v>
      </x:c>
      <x:c r="E241" s="24" t="str">
        <x:f>IF(D241="","",IFERROR(VLOOKUP(D241,$A$2:$B$1226,2,FALSE),""))</x:f>
        <x:v>Rogue and Underworld Roles</x:v>
      </x:c>
      <x:c r="F241" s="24" t="n">
        <x:v>3</x:v>
      </x:c>
      <x:c r="G241" s="24" t="str">
        <x:v>Flexible adventurer archetype combining stealth, expertise, opportunistic combat, and underworld skills.</x:v>
      </x:c>
      <x:c r="H241" s="24" t="str">
        <x:v>Do not assume identical training, social status, powers, or mechanics across settings.</x:v>
      </x:c>
      <x:c r="I241" s="24" t="str">
        <x:v>rogue; scoundrel; knave</x:v>
      </x:c>
      <x:c r="J241" s="24" t="str">
        <x:v>Stealth, access, information, precision damage, deception, crime, or social manipulation.</x:v>
      </x:c>
      <x:c r="K241" s="24" t="str">
        <x:v>rogue; scoundrel; knave</x:v>
      </x:c>
      <x:c r="L241" s="24" t="str">
        <x:v>Preserve each source's ontology, culture, history, and terminology when making comparisons.</x:v>
      </x:c>
      <x:c r="M241" s="24" t="str">
        <x:v>Core Family</x:v>
      </x:c>
    </x:row>
    <x:row r="242" ht="44" customHeight="1">
      <x:c r="A242" s="24" t="str">
        <x:v>ROL-206</x:v>
      </x:c>
      <x:c r="B242" s="24" t="str">
        <x:v>Spy</x:v>
      </x:c>
      <x:c r="C242" s="24" t="str">
        <x:v>Roles &amp; Vocations</x:v>
      </x:c>
      <x:c r="D242" s="24" t="str">
        <x:v>ROL-200</x:v>
      </x:c>
      <x:c r="E242" s="24" t="str">
        <x:f>IF(D242="","",IFERROR(VLOOKUP(D242,$A$2:$B$1226,2,FALSE),""))</x:f>
        <x:v>Rogue and Underworld Roles</x:v>
      </x:c>
      <x:c r="F242" s="24" t="n">
        <x:v>3</x:v>
      </x:c>
      <x:c r="G242" s="24" t="str">
        <x:v>Agent who secretly gathers political, military, magical, or personal intelligence.</x:v>
      </x:c>
      <x:c r="H242" s="24" t="str">
        <x:v>Do not assume identical training, social status, powers, or mechanics across settings.</x:v>
      </x:c>
      <x:c r="I242" s="24" t="str">
        <x:v>spy; intelligence agent; secret agent</x:v>
      </x:c>
      <x:c r="J242" s="24" t="str">
        <x:v>Stealth, access, information, precision damage, deception, crime, or social manipulation.</x:v>
      </x:c>
      <x:c r="K242" s="24" t="str">
        <x:v>spy; intelligence agent; secret agent</x:v>
      </x:c>
      <x:c r="L242" s="24" t="str">
        <x:v>Preserve each source's ontology, culture, history, and terminology when making comparisons.</x:v>
      </x:c>
      <x:c r="M242" s="24" t="str">
        <x:v>Core Family</x:v>
      </x:c>
    </x:row>
    <x:row r="243" ht="44" customHeight="1">
      <x:c r="A243" s="24" t="str">
        <x:v>ROL-207</x:v>
      </x:c>
      <x:c r="B243" s="24" t="str">
        <x:v>Scout-Infiltrator</x:v>
      </x:c>
      <x:c r="C243" s="24" t="str">
        <x:v>Roles &amp; Vocations</x:v>
      </x:c>
      <x:c r="D243" s="24" t="str">
        <x:v>ROL-200</x:v>
      </x:c>
      <x:c r="E243" s="24" t="str">
        <x:f>IF(D243="","",IFERROR(VLOOKUP(D243,$A$2:$B$1226,2,FALSE),""))</x:f>
        <x:v>Rogue and Underworld Roles</x:v>
      </x:c>
      <x:c r="F243" s="24" t="n">
        <x:v>3</x:v>
      </x:c>
      <x:c r="G243" s="24" t="str">
        <x:v>Operative combining reconnaissance, stealth, pathfinding, and covert entry.</x:v>
      </x:c>
      <x:c r="H243" s="24" t="str">
        <x:v>Do not assume identical training, social status, powers, or mechanics across settings.</x:v>
      </x:c>
      <x:c r="I243" s="24" t="str">
        <x:v>infiltrator; forward scout; covert ranger</x:v>
      </x:c>
      <x:c r="J243" s="24" t="str">
        <x:v>Stealth, access, information, precision damage, deception, crime, or social manipulation.</x:v>
      </x:c>
      <x:c r="K243" s="24" t="str">
        <x:v>infiltrator; forward scout; covert ranger</x:v>
      </x:c>
      <x:c r="L243" s="24" t="str">
        <x:v>Preserve each source's ontology, culture, history, and terminology when making comparisons.</x:v>
      </x:c>
      <x:c r="M243" s="24" t="str">
        <x:v>Core Family</x:v>
      </x:c>
    </x:row>
    <x:row r="244" ht="44" customHeight="1">
      <x:c r="A244" s="24" t="str">
        <x:v>ROL-208</x:v>
      </x:c>
      <x:c r="B244" s="24" t="str">
        <x:v>Assassin</x:v>
      </x:c>
      <x:c r="C244" s="24" t="str">
        <x:v>Roles &amp; Vocations</x:v>
      </x:c>
      <x:c r="D244" s="24" t="str">
        <x:v>ROL-200</x:v>
      </x:c>
      <x:c r="E244" s="24" t="str">
        <x:f>IF(D244="","",IFERROR(VLOOKUP(D244,$A$2:$B$1226,2,FALSE),""))</x:f>
        <x:v>Rogue and Underworld Roles</x:v>
      </x:c>
      <x:c r="F244" s="24" t="n">
        <x:v>3</x:v>
      </x:c>
      <x:c r="G244" s="24" t="str">
        <x:v>Professional killer defined by secrecy, precision, poison, ritual, politics, or institutional training.</x:v>
      </x:c>
      <x:c r="H244" s="24" t="str">
        <x:v>Do not assume identical training, social status, powers, or mechanics across settings.</x:v>
      </x:c>
      <x:c r="I244" s="24" t="str">
        <x:v>assassin; killer; hitman</x:v>
      </x:c>
      <x:c r="J244" s="24" t="str">
        <x:v>Stealth, access, information, precision damage, deception, crime, or social manipulation.</x:v>
      </x:c>
      <x:c r="K244" s="24" t="str">
        <x:v>assassin; killer; hitman</x:v>
      </x:c>
      <x:c r="L244" s="24" t="str">
        <x:v>Preserve each source's ontology, culture, history, and terminology when making comparisons.</x:v>
      </x:c>
      <x:c r="M244" s="24" t="str">
        <x:v>Core Family</x:v>
      </x:c>
    </x:row>
    <x:row r="245" ht="44" customHeight="1">
      <x:c r="A245" s="24" t="str">
        <x:v>ROL-209</x:v>
      </x:c>
      <x:c r="B245" s="24" t="str">
        <x:v>Poisoner</x:v>
      </x:c>
      <x:c r="C245" s="24" t="str">
        <x:v>Roles &amp; Vocations</x:v>
      </x:c>
      <x:c r="D245" s="24" t="str">
        <x:v>ROL-200</x:v>
      </x:c>
      <x:c r="E245" s="24" t="str">
        <x:f>IF(D245="","",IFERROR(VLOOKUP(D245,$A$2:$B$1226,2,FALSE),""))</x:f>
        <x:v>Rogue and Underworld Roles</x:v>
      </x:c>
      <x:c r="F245" s="24" t="n">
        <x:v>3</x:v>
      </x:c>
      <x:c r="G245" s="24" t="str">
        <x:v>Specialist in toxins, venoms, contamination, antidotes, and covert delivery.</x:v>
      </x:c>
      <x:c r="H245" s="24" t="str">
        <x:v>Do not assume identical training, social status, powers, or mechanics across settings.</x:v>
      </x:c>
      <x:c r="I245" s="24" t="str">
        <x:v>poisoner; toxicologist; venom master</x:v>
      </x:c>
      <x:c r="J245" s="24" t="str">
        <x:v>Stealth, access, information, precision damage, deception, crime, or social manipulation.</x:v>
      </x:c>
      <x:c r="K245" s="24" t="str">
        <x:v>poisoner; toxicologist; venom master</x:v>
      </x:c>
      <x:c r="L245" s="24" t="str">
        <x:v>Preserve each source's ontology, culture, history, and terminology when making comparisons.</x:v>
      </x:c>
      <x:c r="M245" s="24" t="str">
        <x:v>Core Family</x:v>
      </x:c>
    </x:row>
    <x:row r="246" ht="44" customHeight="1">
      <x:c r="A246" s="24" t="str">
        <x:v>ROL-210</x:v>
      </x:c>
      <x:c r="B246" s="24" t="str">
        <x:v>Ninja-Derived Operative</x:v>
      </x:c>
      <x:c r="C246" s="24" t="str">
        <x:v>Roles &amp; Vocations</x:v>
      </x:c>
      <x:c r="D246" s="24" t="str">
        <x:v>ROL-200</x:v>
      </x:c>
      <x:c r="E246" s="24" t="str">
        <x:f>IF(D246="","",IFERROR(VLOOKUP(D246,$A$2:$B$1226,2,FALSE),""))</x:f>
        <x:v>Rogue and Underworld Roles</x:v>
      </x:c>
      <x:c r="F246" s="24" t="n">
        <x:v>3</x:v>
      </x:c>
      <x:c r="G246" s="24" t="str">
        <x:v>Fantasy role combining covert movement, espionage, assassination, martial arts, tools, and supernatural techniques.</x:v>
      </x:c>
      <x:c r="H246" s="24" t="str">
        <x:v>Do not assume identical training, social status, powers, or mechanics across settings.</x:v>
      </x:c>
      <x:c r="I246" s="24" t="str">
        <x:v>ninja; shinobi; kunoichi</x:v>
      </x:c>
      <x:c r="J246" s="24" t="str">
        <x:v>Stealth, access, information, precision damage, deception, crime, or social manipulation.</x:v>
      </x:c>
      <x:c r="K246" s="24" t="str">
        <x:v>ninja; shinobi; kunoichi</x:v>
      </x:c>
      <x:c r="L246" s="24" t="str">
        <x:v>Distinguish historical shinobi practices from modern fantasy ninja iconography.</x:v>
      </x:c>
      <x:c r="M246" s="24" t="str">
        <x:v>Core Family</x:v>
      </x:c>
    </x:row>
    <x:row r="247" ht="44" customHeight="1">
      <x:c r="A247" s="24" t="str">
        <x:v>ROL-211</x:v>
      </x:c>
      <x:c r="B247" s="24" t="str">
        <x:v>Saboteur</x:v>
      </x:c>
      <x:c r="C247" s="24" t="str">
        <x:v>Roles &amp; Vocations</x:v>
      </x:c>
      <x:c r="D247" s="24" t="str">
        <x:v>ROL-200</x:v>
      </x:c>
      <x:c r="E247" s="24" t="str">
        <x:f>IF(D247="","",IFERROR(VLOOKUP(D247,$A$2:$B$1226,2,FALSE),""))</x:f>
        <x:v>Rogue and Underworld Roles</x:v>
      </x:c>
      <x:c r="F247" s="24" t="n">
        <x:v>3</x:v>
      </x:c>
      <x:c r="G247" s="24" t="str">
        <x:v>Operative who disrupts infrastructure, logistics, rituals, machines, fortifications, or morale.</x:v>
      </x:c>
      <x:c r="H247" s="24" t="str">
        <x:v>Do not assume identical training, social status, powers, or mechanics across settings.</x:v>
      </x:c>
      <x:c r="I247" s="24" t="str">
        <x:v>saboteur; demolitionist; disruptor</x:v>
      </x:c>
      <x:c r="J247" s="24" t="str">
        <x:v>Stealth, access, information, precision damage, deception, crime, or social manipulation.</x:v>
      </x:c>
      <x:c r="K247" s="24" t="str">
        <x:v>saboteur; demolitionist; disruptor</x:v>
      </x:c>
      <x:c r="L247" s="24" t="str">
        <x:v>Preserve each source's ontology, culture, history, and terminology when making comparisons.</x:v>
      </x:c>
      <x:c r="M247" s="24" t="str">
        <x:v>Core Family</x:v>
      </x:c>
    </x:row>
    <x:row r="248" ht="44" customHeight="1">
      <x:c r="A248" s="24" t="str">
        <x:v>ROL-212</x:v>
      </x:c>
      <x:c r="B248" s="24" t="str">
        <x:v>Smuggler</x:v>
      </x:c>
      <x:c r="C248" s="24" t="str">
        <x:v>Roles &amp; Vocations</x:v>
      </x:c>
      <x:c r="D248" s="24" t="str">
        <x:v>ROL-200</x:v>
      </x:c>
      <x:c r="E248" s="24" t="str">
        <x:f>IF(D248="","",IFERROR(VLOOKUP(D248,$A$2:$B$1226,2,FALSE),""))</x:f>
        <x:v>Rogue and Underworld Roles</x:v>
      </x:c>
      <x:c r="F248" s="24" t="n">
        <x:v>3</x:v>
      </x:c>
      <x:c r="G248" s="24" t="str">
        <x:v>Specialist in moving people or goods across borders, blockades, laws, or magical barriers.</x:v>
      </x:c>
      <x:c r="H248" s="24" t="str">
        <x:v>Do not assume identical training, social status, powers, or mechanics across settings.</x:v>
      </x:c>
      <x:c r="I248" s="24" t="str">
        <x:v>smuggler; runner; contraband trader</x:v>
      </x:c>
      <x:c r="J248" s="24" t="str">
        <x:v>Stealth, access, information, precision damage, deception, crime, or social manipulation.</x:v>
      </x:c>
      <x:c r="K248" s="24" t="str">
        <x:v>smuggler; runner; contraband trader</x:v>
      </x:c>
      <x:c r="L248" s="24" t="str">
        <x:v>Preserve each source's ontology, culture, history, and terminology when making comparisons.</x:v>
      </x:c>
      <x:c r="M248" s="24" t="str">
        <x:v>Core Family</x:v>
      </x:c>
    </x:row>
    <x:row r="249" ht="44" customHeight="1">
      <x:c r="A249" s="24" t="str">
        <x:v>ROL-213</x:v>
      </x:c>
      <x:c r="B249" s="24" t="str">
        <x:v>Bounty Hunter</x:v>
      </x:c>
      <x:c r="C249" s="24" t="str">
        <x:v>Roles &amp; Vocations</x:v>
      </x:c>
      <x:c r="D249" s="24" t="str">
        <x:v>ROL-200</x:v>
      </x:c>
      <x:c r="E249" s="24" t="str">
        <x:f>IF(D249="","",IFERROR(VLOOKUP(D249,$A$2:$B$1226,2,FALSE),""))</x:f>
        <x:v>Rogue and Underworld Roles</x:v>
      </x:c>
      <x:c r="F249" s="24" t="n">
        <x:v>3</x:v>
      </x:c>
      <x:c r="G249" s="24" t="str">
        <x:v>Tracker who captures or kills designated targets for payment, law, or private contract.</x:v>
      </x:c>
      <x:c r="H249" s="24" t="str">
        <x:v>Do not assume identical training, social status, powers, or mechanics across settings.</x:v>
      </x:c>
      <x:c r="I249" s="24" t="str">
        <x:v>bounty hunter; pursuer</x:v>
      </x:c>
      <x:c r="J249" s="24" t="str">
        <x:v>Stealth, access, information, precision damage, deception, crime, or social manipulation.</x:v>
      </x:c>
      <x:c r="K249" s="24" t="str">
        <x:v>bounty hunter; pursuer</x:v>
      </x:c>
      <x:c r="L249" s="24" t="str">
        <x:v>Preserve each source's ontology, culture, history, and terminology when making comparisons.</x:v>
      </x:c>
      <x:c r="M249" s="24" t="str">
        <x:v>Core Family</x:v>
      </x:c>
    </x:row>
    <x:row r="250" ht="44" customHeight="1">
      <x:c r="A250" s="24" t="str">
        <x:v>ROL-214</x:v>
      </x:c>
      <x:c r="B250" s="24" t="str">
        <x:v>Treasure Hunter</x:v>
      </x:c>
      <x:c r="C250" s="24" t="str">
        <x:v>Roles &amp; Vocations</x:v>
      </x:c>
      <x:c r="D250" s="24" t="str">
        <x:v>ROL-200</x:v>
      </x:c>
      <x:c r="E250" s="24" t="str">
        <x:f>IF(D250="","",IFERROR(VLOOKUP(D250,$A$2:$B$1226,2,FALSE),""))</x:f>
        <x:v>Rogue and Underworld Roles</x:v>
      </x:c>
      <x:c r="F250" s="24" t="n">
        <x:v>3</x:v>
      </x:c>
      <x:c r="G250" s="24" t="str">
        <x:v>Explorer-thief specializing in ruins, relics, traps, maps, and contested artifacts.</x:v>
      </x:c>
      <x:c r="H250" s="24" t="str">
        <x:v>Do not assume identical training, social status, powers, or mechanics across settings.</x:v>
      </x:c>
      <x:c r="I250" s="24" t="str">
        <x:v>treasure hunter; relic seeker; tomb raider</x:v>
      </x:c>
      <x:c r="J250" s="24" t="str">
        <x:v>Stealth, access, information, precision damage, deception, crime, or social manipulation.</x:v>
      </x:c>
      <x:c r="K250" s="24" t="str">
        <x:v>treasure hunter; relic seeker; tomb raider</x:v>
      </x:c>
      <x:c r="L250" s="24" t="str">
        <x:v>Preserve each source's ontology, culture, history, and terminology when making comparisons.</x:v>
      </x:c>
      <x:c r="M250" s="24" t="str">
        <x:v>Core Family</x:v>
      </x:c>
    </x:row>
    <x:row r="251" ht="44" customHeight="1">
      <x:c r="A251" s="24" t="str">
        <x:v>ROL-215</x:v>
      </x:c>
      <x:c r="B251" s="24" t="str">
        <x:v>Gambler and Luck-Fighter</x:v>
      </x:c>
      <x:c r="C251" s="24" t="str">
        <x:v>Roles &amp; Vocations</x:v>
      </x:c>
      <x:c r="D251" s="24" t="str">
        <x:v>ROL-200</x:v>
      </x:c>
      <x:c r="E251" s="24" t="str">
        <x:f>IF(D251="","",IFERROR(VLOOKUP(D251,$A$2:$B$1226,2,FALSE),""))</x:f>
        <x:v>Rogue and Underworld Roles</x:v>
      </x:c>
      <x:c r="F251" s="24" t="n">
        <x:v>3</x:v>
      </x:c>
      <x:c r="G251" s="24" t="str">
        <x:v>Risk-based specialist whose success depends on chance, wagers, cards, dice, or probabilistic magic.</x:v>
      </x:c>
      <x:c r="H251" s="24" t="str">
        <x:v>Do not assume identical training, social status, powers, or mechanics across settings.</x:v>
      </x:c>
      <x:c r="I251" s="24" t="str">
        <x:v>gambler; cardsharp; luck mage</x:v>
      </x:c>
      <x:c r="J251" s="24" t="str">
        <x:v>Stealth, access, information, precision damage, deception, crime, or social manipulation.</x:v>
      </x:c>
      <x:c r="K251" s="24" t="str">
        <x:v>gambler; cardsharp; luck mage</x:v>
      </x:c>
      <x:c r="L251" s="24" t="str">
        <x:v>Preserve each source's ontology, culture, history, and terminology when making comparisons.</x:v>
      </x:c>
      <x:c r="M251" s="24" t="str">
        <x:v>Core Family</x:v>
      </x:c>
    </x:row>
    <x:row r="252" ht="44" customHeight="1">
      <x:c r="A252" s="24" t="str">
        <x:v>ROL-216</x:v>
      </x:c>
      <x:c r="B252" s="24" t="str">
        <x:v>Con Artist and Grifter</x:v>
      </x:c>
      <x:c r="C252" s="24" t="str">
        <x:v>Roles &amp; Vocations</x:v>
      </x:c>
      <x:c r="D252" s="24" t="str">
        <x:v>ROL-200</x:v>
      </x:c>
      <x:c r="E252" s="24" t="str">
        <x:f>IF(D252="","",IFERROR(VLOOKUP(D252,$A$2:$B$1226,2,FALSE),""))</x:f>
        <x:v>Rogue and Underworld Roles</x:v>
      </x:c>
      <x:c r="F252" s="24" t="n">
        <x:v>3</x:v>
      </x:c>
      <x:c r="G252" s="24" t="str">
        <x:v>Deceiver who manipulates trust, identity, desire, or social expectations for gain.</x:v>
      </x:c>
      <x:c r="H252" s="24" t="str">
        <x:v>Do not assume identical training, social status, powers, or mechanics across settings.</x:v>
      </x:c>
      <x:c r="I252" s="24" t="str">
        <x:v>con artist; grifter; swindler</x:v>
      </x:c>
      <x:c r="J252" s="24" t="str">
        <x:v>Stealth, access, information, precision damage, deception, crime, or social manipulation.</x:v>
      </x:c>
      <x:c r="K252" s="24" t="str">
        <x:v>con artist; grifter; swindler</x:v>
      </x:c>
      <x:c r="L252" s="24" t="str">
        <x:v>Preserve each source's ontology, culture, history, and terminology when making comparisons.</x:v>
      </x:c>
      <x:c r="M252" s="24" t="str">
        <x:v>Core Family</x:v>
      </x:c>
    </x:row>
    <x:row r="253" ht="44" customHeight="1">
      <x:c r="A253" s="24" t="str">
        <x:v>ROL-217</x:v>
      </x:c>
      <x:c r="B253" s="24" t="str">
        <x:v>Trickster</x:v>
      </x:c>
      <x:c r="C253" s="24" t="str">
        <x:v>Roles &amp; Vocations</x:v>
      </x:c>
      <x:c r="D253" s="24" t="str">
        <x:v>ROL-200</x:v>
      </x:c>
      <x:c r="E253" s="24" t="str">
        <x:f>IF(D253="","",IFERROR(VLOOKUP(D253,$A$2:$B$1226,2,FALSE),""))</x:f>
        <x:v>Rogue and Underworld Roles</x:v>
      </x:c>
      <x:c r="F253" s="24" t="n">
        <x:v>3</x:v>
      </x:c>
      <x:c r="G253" s="24" t="str">
        <x:v>Role defined by misdirection, pranks, reversals, improvisation, and rule-breaking rather than direct force.</x:v>
      </x:c>
      <x:c r="H253" s="24" t="str">
        <x:v>Do not assume identical training, social status, powers, or mechanics across settings.</x:v>
      </x:c>
      <x:c r="I253" s="24" t="str">
        <x:v>trickster; jester rogue; deceiver</x:v>
      </x:c>
      <x:c r="J253" s="24" t="str">
        <x:v>Stealth, access, information, precision damage, deception, crime, or social manipulation.</x:v>
      </x:c>
      <x:c r="K253" s="24" t="str">
        <x:v>trickster; jester rogue; deceiver</x:v>
      </x:c>
      <x:c r="L253" s="24" t="str">
        <x:v>Preserve each source's ontology, culture, history, and terminology when making comparisons.</x:v>
      </x:c>
      <x:c r="M253" s="24" t="str">
        <x:v>Core Family</x:v>
      </x:c>
    </x:row>
    <x:row r="254" ht="44" customHeight="1">
      <x:c r="A254" s="24" t="str">
        <x:v>ROL-218</x:v>
      </x:c>
      <x:c r="B254" s="24" t="str">
        <x:v>Acrobat and Mobility Specialist</x:v>
      </x:c>
      <x:c r="C254" s="24" t="str">
        <x:v>Roles &amp; Vocations</x:v>
      </x:c>
      <x:c r="D254" s="24" t="str">
        <x:v>ROL-200</x:v>
      </x:c>
      <x:c r="E254" s="24" t="str">
        <x:f>IF(D254="","",IFERROR(VLOOKUP(D254,$A$2:$B$1226,2,FALSE),""))</x:f>
        <x:v>Rogue and Underworld Roles</x:v>
      </x:c>
      <x:c r="F254" s="24" t="n">
        <x:v>3</x:v>
      </x:c>
      <x:c r="G254" s="24" t="str">
        <x:v>Operative whose exceptional movement, balance, climbing, tumbling, or performance enables infiltration and combat.</x:v>
      </x:c>
      <x:c r="H254" s="24" t="str">
        <x:v>Do not assume identical training, social status, powers, or mechanics across settings.</x:v>
      </x:c>
      <x:c r="I254" s="24" t="str">
        <x:v>acrobat; tumbler; aerialist</x:v>
      </x:c>
      <x:c r="J254" s="24" t="str">
        <x:v>Stealth, access, information, precision damage, deception, crime, or social manipulation.</x:v>
      </x:c>
      <x:c r="K254" s="24" t="str">
        <x:v>acrobat; tumbler; aerialist</x:v>
      </x:c>
      <x:c r="L254" s="24" t="str">
        <x:v>Preserve each source's ontology, culture, history, and terminology when making comparisons.</x:v>
      </x:c>
      <x:c r="M254" s="24" t="str">
        <x:v>Core Family</x:v>
      </x:c>
    </x:row>
    <x:row r="255" ht="44" customHeight="1">
      <x:c r="A255" s="24" t="str">
        <x:v>ROL-219</x:v>
      </x:c>
      <x:c r="B255" s="24" t="str">
        <x:v>Shadowblade</x:v>
      </x:c>
      <x:c r="C255" s="24" t="str">
        <x:v>Roles &amp; Vocations</x:v>
      </x:c>
      <x:c r="D255" s="24" t="str">
        <x:v>ROL-200</x:v>
      </x:c>
      <x:c r="E255" s="24" t="str">
        <x:f>IF(D255="","",IFERROR(VLOOKUP(D255,$A$2:$B$1226,2,FALSE),""))</x:f>
        <x:v>Rogue and Underworld Roles</x:v>
      </x:c>
      <x:c r="F255" s="24" t="n">
        <x:v>3</x:v>
      </x:c>
      <x:c r="G255" s="24" t="str">
        <x:v>Stealth combatant augmented by shadow, teleportation, illusion, curse, or magical concealment.</x:v>
      </x:c>
      <x:c r="H255" s="24" t="str">
        <x:v>Do not assume identical training, social status, powers, or mechanics across settings.</x:v>
      </x:c>
      <x:c r="I255" s="24" t="str">
        <x:v>shadowblade; nightblade; arcane assassin</x:v>
      </x:c>
      <x:c r="J255" s="24" t="str">
        <x:v>Stealth, access, information, precision damage, deception, crime, or social manipulation.</x:v>
      </x:c>
      <x:c r="K255" s="24" t="str">
        <x:v>shadowblade; nightblade; arcane assassin</x:v>
      </x:c>
      <x:c r="L255" s="24" t="str">
        <x:v>Preserve each source's ontology, culture, history, and terminology when making comparisons.</x:v>
      </x:c>
      <x:c r="M255" s="24" t="str">
        <x:v>Core Family</x:v>
      </x:c>
    </x:row>
    <x:row r="256" ht="44" customHeight="1">
      <x:c r="A256" s="24" t="str">
        <x:v>ROL-220</x:v>
      </x:c>
      <x:c r="B256" s="24" t="str">
        <x:v>Pirate Rogue</x:v>
      </x:c>
      <x:c r="C256" s="24" t="str">
        <x:v>Roles &amp; Vocations</x:v>
      </x:c>
      <x:c r="D256" s="24" t="str">
        <x:v>ROL-200</x:v>
      </x:c>
      <x:c r="E256" s="24" t="str">
        <x:f>IF(D256="","",IFERROR(VLOOKUP(D256,$A$2:$B$1226,2,FALSE),""))</x:f>
        <x:v>Rogue and Underworld Roles</x:v>
      </x:c>
      <x:c r="F256" s="24" t="n">
        <x:v>3</x:v>
      </x:c>
      <x:c r="G256" s="24" t="str">
        <x:v>Maritime outlaw emphasizing boarding, trickery, pistols, knives, treasure, and charismatic command.</x:v>
      </x:c>
      <x:c r="H256" s="24" t="str">
        <x:v>Do not assume identical training, social status, powers, or mechanics across settings.</x:v>
      </x:c>
      <x:c r="I256" s="24" t="str">
        <x:v>pirate rogue; swashbuckler</x:v>
      </x:c>
      <x:c r="J256" s="24" t="str">
        <x:v>Stealth, access, information, precision damage, deception, crime, or social manipulation.</x:v>
      </x:c>
      <x:c r="K256" s="24" t="str">
        <x:v>pirate rogue; swashbuckler</x:v>
      </x:c>
      <x:c r="L256" s="24" t="str">
        <x:v>Preserve each source's ontology, culture, history, and terminology when making comparisons.</x:v>
      </x:c>
      <x:c r="M256" s="24" t="str">
        <x:v>Core Family</x:v>
      </x:c>
    </x:row>
    <x:row r="257" ht="44" customHeight="1">
      <x:c r="A257" s="24" t="str">
        <x:v>ROL-221</x:v>
      </x:c>
      <x:c r="B257" s="24" t="str">
        <x:v>Information Broker</x:v>
      </x:c>
      <x:c r="C257" s="24" t="str">
        <x:v>Roles &amp; Vocations</x:v>
      </x:c>
      <x:c r="D257" s="24" t="str">
        <x:v>ROL-200</x:v>
      </x:c>
      <x:c r="E257" s="24" t="str">
        <x:f>IF(D257="","",IFERROR(VLOOKUP(D257,$A$2:$B$1226,2,FALSE),""))</x:f>
        <x:v>Rogue and Underworld Roles</x:v>
      </x:c>
      <x:c r="F257" s="24" t="n">
        <x:v>3</x:v>
      </x:c>
      <x:c r="G257" s="24" t="str">
        <x:v>Underworld professional who trades secrets, rumors, identities, and access.</x:v>
      </x:c>
      <x:c r="H257" s="24" t="str">
        <x:v>Do not assume identical training, social status, powers, or mechanics across settings.</x:v>
      </x:c>
      <x:c r="I257" s="24" t="str">
        <x:v>information broker; fixer; whisper merchant</x:v>
      </x:c>
      <x:c r="J257" s="24" t="str">
        <x:v>Stealth, access, information, precision damage, deception, crime, or social manipulation.</x:v>
      </x:c>
      <x:c r="K257" s="24" t="str">
        <x:v>information broker; fixer; whisper merchant</x:v>
      </x:c>
      <x:c r="L257" s="24" t="str">
        <x:v>Preserve each source's ontology, culture, history, and terminology when making comparisons.</x:v>
      </x:c>
      <x:c r="M257" s="24" t="str">
        <x:v>Core Family</x:v>
      </x:c>
    </x:row>
    <x:row r="258" ht="44" customHeight="1">
      <x:c r="A258" s="24" t="str">
        <x:v>ROL-222</x:v>
      </x:c>
      <x:c r="B258" s="24" t="str">
        <x:v>Mastermind</x:v>
      </x:c>
      <x:c r="C258" s="24" t="str">
        <x:v>Roles &amp; Vocations</x:v>
      </x:c>
      <x:c r="D258" s="24" t="str">
        <x:v>ROL-200</x:v>
      </x:c>
      <x:c r="E258" s="24" t="str">
        <x:f>IF(D258="","",IFERROR(VLOOKUP(D258,$A$2:$B$1226,2,FALSE),""))</x:f>
        <x:v>Rogue and Underworld Roles</x:v>
      </x:c>
      <x:c r="F258" s="24" t="n">
        <x:v>3</x:v>
      </x:c>
      <x:c r="G258" s="24" t="str">
        <x:v>Planner who coordinates crimes, manipulations, agents, and contingencies from a strategic position.</x:v>
      </x:c>
      <x:c r="H258" s="24" t="str">
        <x:v>Do not assume identical training, social status, powers, or mechanics across settings.</x:v>
      </x:c>
      <x:c r="I258" s="24" t="str">
        <x:v>mastermind; criminal planner</x:v>
      </x:c>
      <x:c r="J258" s="24" t="str">
        <x:v>Stealth, access, information, precision damage, deception, crime, or social manipulation.</x:v>
      </x:c>
      <x:c r="K258" s="24" t="str">
        <x:v>mastermind; criminal planner</x:v>
      </x:c>
      <x:c r="L258" s="24" t="str">
        <x:v>Preserve each source's ontology, culture, history, and terminology when making comparisons.</x:v>
      </x:c>
      <x:c r="M258" s="24" t="str">
        <x:v>Core Family</x:v>
      </x:c>
    </x:row>
    <x:row r="259" ht="44" customHeight="1">
      <x:c r="A259" s="24" t="str">
        <x:v>ROL-223</x:v>
      </x:c>
      <x:c r="B259" s="24" t="str">
        <x:v>Noble Rogue</x:v>
      </x:c>
      <x:c r="C259" s="24" t="str">
        <x:v>Roles &amp; Vocations</x:v>
      </x:c>
      <x:c r="D259" s="24" t="str">
        <x:v>ROL-200</x:v>
      </x:c>
      <x:c r="E259" s="24" t="str">
        <x:f>IF(D259="","",IFERROR(VLOOKUP(D259,$A$2:$B$1226,2,FALSE),""))</x:f>
        <x:v>Rogue and Underworld Roles</x:v>
      </x:c>
      <x:c r="F259" s="24" t="n">
        <x:v>3</x:v>
      </x:c>
      <x:c r="G259" s="24" t="str">
        <x:v>Privileged or courtly figure who uses charm, fencing, scandal, and covert action rather than conventional rule.</x:v>
      </x:c>
      <x:c r="H259" s="24" t="str">
        <x:v>Do not assume identical training, social status, powers, or mechanics across settings.</x:v>
      </x:c>
      <x:c r="I259" s="24" t="str">
        <x:v>gentleman thief; court rogue; masked avenger</x:v>
      </x:c>
      <x:c r="J259" s="24" t="str">
        <x:v>Stealth, access, information, precision damage, deception, crime, or social manipulation.</x:v>
      </x:c>
      <x:c r="K259" s="24" t="str">
        <x:v>gentleman thief; court rogue; masked avenger</x:v>
      </x:c>
      <x:c r="L259" s="24" t="str">
        <x:v>Preserve each source's ontology, culture, history, and terminology when making comparisons.</x:v>
      </x:c>
      <x:c r="M259" s="24" t="str">
        <x:v>Core Family</x:v>
      </x:c>
    </x:row>
    <x:row r="260" ht="44" customHeight="1">
      <x:c r="A260" s="24" t="str">
        <x:v>ROL-301</x:v>
      </x:c>
      <x:c r="B260" s="24" t="str">
        <x:v>Mage and Wizard</x:v>
      </x:c>
      <x:c r="C260" s="24" t="str">
        <x:v>Roles &amp; Vocations</x:v>
      </x:c>
      <x:c r="D260" s="24" t="str">
        <x:v>ROL-300</x:v>
      </x:c>
      <x:c r="E260" s="24" t="str">
        <x:f>IF(D260="","",IFERROR(VLOOKUP(D260,$A$2:$B$1226,2,FALSE),""))</x:f>
        <x:v>Arcane and Scholarly Magic Roles</x:v>
      </x:c>
      <x:c r="F260" s="24" t="n">
        <x:v>3</x:v>
      </x:c>
      <x:c r="G260" s="24" t="str">
        <x:v>Broad practitioner of magic through study, training, formulae, language, or disciplined technique.</x:v>
      </x:c>
      <x:c r="H260" s="24" t="str">
        <x:v>Do not assume identical training, social status, powers, or mechanics across settings.</x:v>
      </x:c>
      <x:c r="I260" s="24" t="str">
        <x:v>mage; wizard; magic-user</x:v>
      </x:c>
      <x:c r="J260" s="24" t="str">
        <x:v>Spellcasting, magical research, battlefield control, transformation, summoning, or supernatural problem solving.</x:v>
      </x:c>
      <x:c r="K260" s="24" t="str">
        <x:v>mage; wizard; magic-user</x:v>
      </x:c>
      <x:c r="L260" s="24" t="str">
        <x:v>Preserve each source's ontology, culture, history, and terminology when making comparisons.</x:v>
      </x:c>
      <x:c r="M260" s="24" t="str">
        <x:v>Core Family</x:v>
      </x:c>
    </x:row>
    <x:row r="261" ht="44" customHeight="1">
      <x:c r="A261" s="24" t="str">
        <x:v>ROL-302</x:v>
      </x:c>
      <x:c r="B261" s="24" t="str">
        <x:v>Sorcerer</x:v>
      </x:c>
      <x:c r="C261" s="24" t="str">
        <x:v>Roles &amp; Vocations</x:v>
      </x:c>
      <x:c r="D261" s="24" t="str">
        <x:v>ROL-300</x:v>
      </x:c>
      <x:c r="E261" s="24" t="str">
        <x:f>IF(D261="","",IFERROR(VLOOKUP(D261,$A$2:$B$1226,2,FALSE),""))</x:f>
        <x:v>Arcane and Scholarly Magic Roles</x:v>
      </x:c>
      <x:c r="F261" s="24" t="n">
        <x:v>3</x:v>
      </x:c>
      <x:c r="G261" s="24" t="str">
        <x:v>Magic user whose power is innate, inherited, bodily, emotional, or spontaneously expressed.</x:v>
      </x:c>
      <x:c r="H261" s="24" t="str">
        <x:v>Do not assume identical training, social status, powers, or mechanics across settings.</x:v>
      </x:c>
      <x:c r="I261" s="24" t="str">
        <x:v>sorcerer; sorceress; innate caster</x:v>
      </x:c>
      <x:c r="J261" s="24" t="str">
        <x:v>Spellcasting, magical research, battlefield control, transformation, summoning, or supernatural problem solving.</x:v>
      </x:c>
      <x:c r="K261" s="24" t="str">
        <x:v>sorcerer; sorceress; innate caster</x:v>
      </x:c>
      <x:c r="L261" s="24" t="str">
        <x:v>Preserve each source's ontology, culture, history, and terminology when making comparisons.</x:v>
      </x:c>
      <x:c r="M261" s="24" t="str">
        <x:v>Core Family</x:v>
      </x:c>
    </x:row>
    <x:row r="262" ht="44" customHeight="1">
      <x:c r="A262" s="24" t="str">
        <x:v>ROL-303</x:v>
      </x:c>
      <x:c r="B262" s="24" t="str">
        <x:v>Witch</x:v>
      </x:c>
      <x:c r="C262" s="24" t="str">
        <x:v>Roles &amp; Vocations</x:v>
      </x:c>
      <x:c r="D262" s="24" t="str">
        <x:v>ROL-300</x:v>
      </x:c>
      <x:c r="E262" s="24" t="str">
        <x:f>IF(D262="","",IFERROR(VLOOKUP(D262,$A$2:$B$1226,2,FALSE),""))</x:f>
        <x:v>Arcane and Scholarly Magic Roles</x:v>
      </x:c>
      <x:c r="F262" s="24" t="n">
        <x:v>3</x:v>
      </x:c>
      <x:c r="G262" s="24" t="str">
        <x:v>Magic practitioner associated with folk knowledge, taboo power, curses, healing, covens, spirits, gendered persecution, or ambiguous social status.</x:v>
      </x:c>
      <x:c r="H262" s="24" t="str">
        <x:v>Do not assume identical training, social status, powers, or mechanics across settings.</x:v>
      </x:c>
      <x:c r="I262" s="24" t="str">
        <x:v>witch; hedge witch; wise woman</x:v>
      </x:c>
      <x:c r="J262" s="24" t="str">
        <x:v>Spellcasting, magical research, battlefield control, transformation, summoning, or supernatural problem solving.</x:v>
      </x:c>
      <x:c r="K262" s="24" t="str">
        <x:v>witch; hedge witch; wise woman</x:v>
      </x:c>
      <x:c r="L262" s="24" t="str">
        <x:v>The term spans historical accusation, folk practitioner, religious identity, and fantasy class; record source context.</x:v>
      </x:c>
      <x:c r="M262" s="24" t="str">
        <x:v>Core Family</x:v>
      </x:c>
    </x:row>
    <x:row r="263" ht="44" customHeight="1">
      <x:c r="A263" s="24" t="str">
        <x:v>ROL-304</x:v>
      </x:c>
      <x:c r="B263" s="24" t="str">
        <x:v>Warlock</x:v>
      </x:c>
      <x:c r="C263" s="24" t="str">
        <x:v>Roles &amp; Vocations</x:v>
      </x:c>
      <x:c r="D263" s="24" t="str">
        <x:v>ROL-300</x:v>
      </x:c>
      <x:c r="E263" s="24" t="str">
        <x:f>IF(D263="","",IFERROR(VLOOKUP(D263,$A$2:$B$1226,2,FALSE),""))</x:f>
        <x:v>Arcane and Scholarly Magic Roles</x:v>
      </x:c>
      <x:c r="F263" s="24" t="n">
        <x:v>3</x:v>
      </x:c>
      <x:c r="G263" s="24" t="str">
        <x:v>Magic user whose identity often involves pacts, forbidden study, male witchcraft, or socially suspect power.</x:v>
      </x:c>
      <x:c r="H263" s="24" t="str">
        <x:v>Do not assume identical training, social status, powers, or mechanics across settings.</x:v>
      </x:c>
      <x:c r="I263" s="24" t="str">
        <x:v>warlock; pact mage; forbidden caster</x:v>
      </x:c>
      <x:c r="J263" s="24" t="str">
        <x:v>Spellcasting, magical research, battlefield control, transformation, summoning, or supernatural problem solving.</x:v>
      </x:c>
      <x:c r="K263" s="24" t="str">
        <x:v>warlock; pact mage; forbidden caster</x:v>
      </x:c>
      <x:c r="L263" s="24" t="str">
        <x:v>Preserve each source's ontology, culture, history, and terminology when making comparisons.</x:v>
      </x:c>
      <x:c r="M263" s="24" t="str">
        <x:v>Core Family</x:v>
      </x:c>
    </x:row>
    <x:row r="264" ht="44" customHeight="1">
      <x:c r="A264" s="24" t="str">
        <x:v>ROL-305</x:v>
      </x:c>
      <x:c r="B264" s="24" t="str">
        <x:v>Arcanist</x:v>
      </x:c>
      <x:c r="C264" s="24" t="str">
        <x:v>Roles &amp; Vocations</x:v>
      </x:c>
      <x:c r="D264" s="24" t="str">
        <x:v>ROL-300</x:v>
      </x:c>
      <x:c r="E264" s="24" t="str">
        <x:f>IF(D264="","",IFERROR(VLOOKUP(D264,$A$2:$B$1226,2,FALSE),""))</x:f>
        <x:v>Arcane and Scholarly Magic Roles</x:v>
      </x:c>
      <x:c r="F264" s="24" t="n">
        <x:v>3</x:v>
      </x:c>
      <x:c r="G264" s="24" t="str">
        <x:v>Technical specialist in abstract magical theory, formulae, and controlled application.</x:v>
      </x:c>
      <x:c r="H264" s="24" t="str">
        <x:v>Do not assume identical training, social status, powers, or mechanics across settings.</x:v>
      </x:c>
      <x:c r="I264" s="24" t="str">
        <x:v>arcanist; arcane scholar</x:v>
      </x:c>
      <x:c r="J264" s="24" t="str">
        <x:v>Spellcasting, magical research, battlefield control, transformation, summoning, or supernatural problem solving.</x:v>
      </x:c>
      <x:c r="K264" s="24" t="str">
        <x:v>arcanist; arcane scholar</x:v>
      </x:c>
      <x:c r="L264" s="24" t="str">
        <x:v>Preserve each source's ontology, culture, history, and terminology when making comparisons.</x:v>
      </x:c>
      <x:c r="M264" s="24" t="str">
        <x:v>Core Family</x:v>
      </x:c>
    </x:row>
    <x:row r="265" ht="44" customHeight="1">
      <x:c r="A265" s="24" t="str">
        <x:v>ROL-306</x:v>
      </x:c>
      <x:c r="B265" s="24" t="str">
        <x:v>Magical Scholar</x:v>
      </x:c>
      <x:c r="C265" s="24" t="str">
        <x:v>Roles &amp; Vocations</x:v>
      </x:c>
      <x:c r="D265" s="24" t="str">
        <x:v>ROL-300</x:v>
      </x:c>
      <x:c r="E265" s="24" t="str">
        <x:f>IF(D265="","",IFERROR(VLOOKUP(D265,$A$2:$B$1226,2,FALSE),""))</x:f>
        <x:v>Arcane and Scholarly Magic Roles</x:v>
      </x:c>
      <x:c r="F265" s="24" t="n">
        <x:v>3</x:v>
      </x:c>
      <x:c r="G265" s="24" t="str">
        <x:v>Researcher who studies magic historically, experimentally, or philologically without necessarily serving as a combat caster.</x:v>
      </x:c>
      <x:c r="H265" s="24" t="str">
        <x:v>Do not assume identical training, social status, powers, or mechanics across settings.</x:v>
      </x:c>
      <x:c r="I265" s="24" t="str">
        <x:v>magic scholar; researcher; occult academic</x:v>
      </x:c>
      <x:c r="J265" s="24" t="str">
        <x:v>Spellcasting, magical research, battlefield control, transformation, summoning, or supernatural problem solving.</x:v>
      </x:c>
      <x:c r="K265" s="24" t="str">
        <x:v>magic scholar; researcher; occult academic</x:v>
      </x:c>
      <x:c r="L265" s="24" t="str">
        <x:v>Preserve each source's ontology, culture, history, and terminology when making comparisons.</x:v>
      </x:c>
      <x:c r="M265" s="24" t="str">
        <x:v>Core Family</x:v>
      </x:c>
    </x:row>
    <x:row r="266" ht="44" customHeight="1">
      <x:c r="A266" s="24" t="str">
        <x:v>ROL-307</x:v>
      </x:c>
      <x:c r="B266" s="24" t="str">
        <x:v>Sage</x:v>
      </x:c>
      <x:c r="C266" s="24" t="str">
        <x:v>Roles &amp; Vocations</x:v>
      </x:c>
      <x:c r="D266" s="24" t="str">
        <x:v>ROL-300</x:v>
      </x:c>
      <x:c r="E266" s="24" t="str">
        <x:f>IF(D266="","",IFERROR(VLOOKUP(D266,$A$2:$B$1226,2,FALSE),""))</x:f>
        <x:v>Arcane and Scholarly Magic Roles</x:v>
      </x:c>
      <x:c r="F266" s="24" t="n">
        <x:v>3</x:v>
      </x:c>
      <x:c r="G266" s="24" t="str">
        <x:v>High-level learned figure combining broad magical, historical, philosophical, and advisory expertise.</x:v>
      </x:c>
      <x:c r="H266" s="24" t="str">
        <x:v>Do not assume identical training, social status, powers, or mechanics across settings.</x:v>
      </x:c>
      <x:c r="I266" s="24" t="str">
        <x:v>sage; loremaster; wise one</x:v>
      </x:c>
      <x:c r="J266" s="24" t="str">
        <x:v>Spellcasting, magical research, battlefield control, transformation, summoning, or supernatural problem solving.</x:v>
      </x:c>
      <x:c r="K266" s="24" t="str">
        <x:v>sage; loremaster; wise one</x:v>
      </x:c>
      <x:c r="L266" s="24" t="str">
        <x:v>Preserve each source's ontology, culture, history, and terminology when making comparisons.</x:v>
      </x:c>
      <x:c r="M266" s="24" t="str">
        <x:v>Core Family</x:v>
      </x:c>
    </x:row>
    <x:row r="267" ht="44" customHeight="1">
      <x:c r="A267" s="24" t="str">
        <x:v>ROL-308</x:v>
      </x:c>
      <x:c r="B267" s="24" t="str">
        <x:v>Ritualist</x:v>
      </x:c>
      <x:c r="C267" s="24" t="str">
        <x:v>Roles &amp; Vocations</x:v>
      </x:c>
      <x:c r="D267" s="24" t="str">
        <x:v>ROL-300</x:v>
      </x:c>
      <x:c r="E267" s="24" t="str">
        <x:f>IF(D267="","",IFERROR(VLOOKUP(D267,$A$2:$B$1226,2,FALSE),""))</x:f>
        <x:v>Arcane and Scholarly Magic Roles</x:v>
      </x:c>
      <x:c r="F267" s="24" t="n">
        <x:v>3</x:v>
      </x:c>
      <x:c r="G267" s="24" t="str">
        <x:v>Practitioner whose power depends on prepared ceremonies, symbols, participants, timing, and material components.</x:v>
      </x:c>
      <x:c r="H267" s="24" t="str">
        <x:v>Do not assume identical training, social status, powers, or mechanics across settings.</x:v>
      </x:c>
      <x:c r="I267" s="24" t="str">
        <x:v>ritualist; ceremonial magician</x:v>
      </x:c>
      <x:c r="J267" s="24" t="str">
        <x:v>Spellcasting, magical research, battlefield control, transformation, summoning, or supernatural problem solving.</x:v>
      </x:c>
      <x:c r="K267" s="24" t="str">
        <x:v>ritualist; ceremonial magician</x:v>
      </x:c>
      <x:c r="L267" s="24" t="str">
        <x:v>Preserve each source's ontology, culture, history, and terminology when making comparisons.</x:v>
      </x:c>
      <x:c r="M267" s="24" t="str">
        <x:v>Core Family</x:v>
      </x:c>
    </x:row>
    <x:row r="268" ht="44" customHeight="1">
      <x:c r="A268" s="24" t="str">
        <x:v>ROL-309</x:v>
      </x:c>
      <x:c r="B268" s="24" t="str">
        <x:v>Hedge Mage</x:v>
      </x:c>
      <x:c r="C268" s="24" t="str">
        <x:v>Roles &amp; Vocations</x:v>
      </x:c>
      <x:c r="D268" s="24" t="str">
        <x:v>ROL-300</x:v>
      </x:c>
      <x:c r="E268" s="24" t="str">
        <x:f>IF(D268="","",IFERROR(VLOOKUP(D268,$A$2:$B$1226,2,FALSE),""))</x:f>
        <x:v>Arcane and Scholarly Magic Roles</x:v>
      </x:c>
      <x:c r="F268" s="24" t="n">
        <x:v>3</x:v>
      </x:c>
      <x:c r="G268" s="24" t="str">
        <x:v>Locally trained or self-taught practitioner working outside elite institutions.</x:v>
      </x:c>
      <x:c r="H268" s="24" t="str">
        <x:v>Do not assume identical training, social status, powers, or mechanics across settings.</x:v>
      </x:c>
      <x:c r="I268" s="24" t="str">
        <x:v>hedge mage; village magician; hedge wizard</x:v>
      </x:c>
      <x:c r="J268" s="24" t="str">
        <x:v>Spellcasting, magical research, battlefield control, transformation, summoning, or supernatural problem solving.</x:v>
      </x:c>
      <x:c r="K268" s="24" t="str">
        <x:v>hedge mage; village magician; hedge wizard</x:v>
      </x:c>
      <x:c r="L268" s="24" t="str">
        <x:v>Preserve each source's ontology, culture, history, and terminology when making comparisons.</x:v>
      </x:c>
      <x:c r="M268" s="24" t="str">
        <x:v>Core Family</x:v>
      </x:c>
    </x:row>
    <x:row r="269" ht="44" customHeight="1">
      <x:c r="A269" s="24" t="str">
        <x:v>ROL-310</x:v>
      </x:c>
      <x:c r="B269" s="24" t="str">
        <x:v>Wild Mage</x:v>
      </x:c>
      <x:c r="C269" s="24" t="str">
        <x:v>Roles &amp; Vocations</x:v>
      </x:c>
      <x:c r="D269" s="24" t="str">
        <x:v>ROL-300</x:v>
      </x:c>
      <x:c r="E269" s="24" t="str">
        <x:f>IF(D269="","",IFERROR(VLOOKUP(D269,$A$2:$B$1226,2,FALSE),""))</x:f>
        <x:v>Arcane and Scholarly Magic Roles</x:v>
      </x:c>
      <x:c r="F269" s="24" t="n">
        <x:v>3</x:v>
      </x:c>
      <x:c r="G269" s="24" t="str">
        <x:v>Caster whose power is unstable, improvisational, chaotic, emotionally volatile, or probabilistic.</x:v>
      </x:c>
      <x:c r="H269" s="24" t="str">
        <x:v>Do not assume identical training, social status, powers, or mechanics across settings.</x:v>
      </x:c>
      <x:c r="I269" s="24" t="str">
        <x:v>wild mage; chaos caster</x:v>
      </x:c>
      <x:c r="J269" s="24" t="str">
        <x:v>Spellcasting, magical research, battlefield control, transformation, summoning, or supernatural problem solving.</x:v>
      </x:c>
      <x:c r="K269" s="24" t="str">
        <x:v>wild mage; chaos caster</x:v>
      </x:c>
      <x:c r="L269" s="24" t="str">
        <x:v>Preserve each source's ontology, culture, history, and terminology when making comparisons.</x:v>
      </x:c>
      <x:c r="M269" s="24" t="str">
        <x:v>Core Family</x:v>
      </x:c>
    </x:row>
    <x:row r="270" ht="44" customHeight="1">
      <x:c r="A270" s="24" t="str">
        <x:v>ROL-311</x:v>
      </x:c>
      <x:c r="B270" s="24" t="str">
        <x:v>Enchanter</x:v>
      </x:c>
      <x:c r="C270" s="24" t="str">
        <x:v>Roles &amp; Vocations</x:v>
      </x:c>
      <x:c r="D270" s="24" t="str">
        <x:v>ROL-300</x:v>
      </x:c>
      <x:c r="E270" s="24" t="str">
        <x:f>IF(D270="","",IFERROR(VLOOKUP(D270,$A$2:$B$1226,2,FALSE),""))</x:f>
        <x:v>Arcane and Scholarly Magic Roles</x:v>
      </x:c>
      <x:c r="F270" s="24" t="n">
        <x:v>3</x:v>
      </x:c>
      <x:c r="G270" s="24" t="str">
        <x:v>Magic user who alters minds, emotions, objects, qualities, or persistent magical properties.</x:v>
      </x:c>
      <x:c r="H270" s="24" t="str">
        <x:v>Do not assume identical training, social status, powers, or mechanics across settings.</x:v>
      </x:c>
      <x:c r="I270" s="24" t="str">
        <x:v>enchanter; charm mage; item enchanter</x:v>
      </x:c>
      <x:c r="J270" s="24" t="str">
        <x:v>Spellcasting, magical research, battlefield control, transformation, summoning, or supernatural problem solving.</x:v>
      </x:c>
      <x:c r="K270" s="24" t="str">
        <x:v>enchanter; charm mage; item enchanter</x:v>
      </x:c>
      <x:c r="L270" s="24" t="str">
        <x:v>Preserve each source's ontology, culture, history, and terminology when making comparisons.</x:v>
      </x:c>
      <x:c r="M270" s="24" t="str">
        <x:v>Core Family</x:v>
      </x:c>
    </x:row>
    <x:row r="271" ht="44" customHeight="1">
      <x:c r="A271" s="24" t="str">
        <x:v>ROL-312</x:v>
      </x:c>
      <x:c r="B271" s="24" t="str">
        <x:v>Illusionist</x:v>
      </x:c>
      <x:c r="C271" s="24" t="str">
        <x:v>Roles &amp; Vocations</x:v>
      </x:c>
      <x:c r="D271" s="24" t="str">
        <x:v>ROL-300</x:v>
      </x:c>
      <x:c r="E271" s="24" t="str">
        <x:f>IF(D271="","",IFERROR(VLOOKUP(D271,$A$2:$B$1226,2,FALSE),""))</x:f>
        <x:v>Arcane and Scholarly Magic Roles</x:v>
      </x:c>
      <x:c r="F271" s="24" t="n">
        <x:v>3</x:v>
      </x:c>
      <x:c r="G271" s="24" t="str">
        <x:v>Specialist in false perception, sensory construction, concealment, phantasm, and manipulated belief.</x:v>
      </x:c>
      <x:c r="H271" s="24" t="str">
        <x:v>Do not assume identical training, social status, powers, or mechanics across settings.</x:v>
      </x:c>
      <x:c r="I271" s="24" t="str">
        <x:v>illusionist; glamor mage</x:v>
      </x:c>
      <x:c r="J271" s="24" t="str">
        <x:v>Spellcasting, magical research, battlefield control, transformation, summoning, or supernatural problem solving.</x:v>
      </x:c>
      <x:c r="K271" s="24" t="str">
        <x:v>illusionist; glamor mage</x:v>
      </x:c>
      <x:c r="L271" s="24" t="str">
        <x:v>Preserve each source's ontology, culture, history, and terminology when making comparisons.</x:v>
      </x:c>
      <x:c r="M271" s="24" t="str">
        <x:v>Core Family</x:v>
      </x:c>
    </x:row>
    <x:row r="272" ht="44" customHeight="1">
      <x:c r="A272" s="24" t="str">
        <x:v>ROL-313</x:v>
      </x:c>
      <x:c r="B272" s="24" t="str">
        <x:v>Conjurer</x:v>
      </x:c>
      <x:c r="C272" s="24" t="str">
        <x:v>Roles &amp; Vocations</x:v>
      </x:c>
      <x:c r="D272" s="24" t="str">
        <x:v>ROL-300</x:v>
      </x:c>
      <x:c r="E272" s="24" t="str">
        <x:f>IF(D272="","",IFERROR(VLOOKUP(D272,$A$2:$B$1226,2,FALSE),""))</x:f>
        <x:v>Arcane and Scholarly Magic Roles</x:v>
      </x:c>
      <x:c r="F272" s="24" t="n">
        <x:v>3</x:v>
      </x:c>
      <x:c r="G272" s="24" t="str">
        <x:v>Caster who creates, transports, or calls creatures, objects, and phenomena into a location.</x:v>
      </x:c>
      <x:c r="H272" s="24" t="str">
        <x:v>Do not assume identical training, social status, powers, or mechanics across settings.</x:v>
      </x:c>
      <x:c r="I272" s="24" t="str">
        <x:v>conjurer; conjuration mage</x:v>
      </x:c>
      <x:c r="J272" s="24" t="str">
        <x:v>Spellcasting, magical research, battlefield control, transformation, summoning, or supernatural problem solving.</x:v>
      </x:c>
      <x:c r="K272" s="24" t="str">
        <x:v>conjurer; conjuration mage</x:v>
      </x:c>
      <x:c r="L272" s="24" t="str">
        <x:v>Preserve each source's ontology, culture, history, and terminology when making comparisons.</x:v>
      </x:c>
      <x:c r="M272" s="24" t="str">
        <x:v>Core Family</x:v>
      </x:c>
    </x:row>
    <x:row r="273" ht="44" customHeight="1">
      <x:c r="A273" s="24" t="str">
        <x:v>ROL-314</x:v>
      </x:c>
      <x:c r="B273" s="24" t="str">
        <x:v>Summoner</x:v>
      </x:c>
      <x:c r="C273" s="24" t="str">
        <x:v>Roles &amp; Vocations</x:v>
      </x:c>
      <x:c r="D273" s="24" t="str">
        <x:v>ROL-300</x:v>
      </x:c>
      <x:c r="E273" s="24" t="str">
        <x:f>IF(D273="","",IFERROR(VLOOKUP(D273,$A$2:$B$1226,2,FALSE),""))</x:f>
        <x:v>Arcane and Scholarly Magic Roles</x:v>
      </x:c>
      <x:c r="F273" s="24" t="n">
        <x:v>3</x:v>
      </x:c>
      <x:c r="G273" s="24" t="str">
        <x:v>Caster whose primary power comes from calling and directing spirits, monsters, eidolons, demons, or divine beings.</x:v>
      </x:c>
      <x:c r="H273" s="24" t="str">
        <x:v>Do not assume identical training, social status, powers, or mechanics across settings.</x:v>
      </x:c>
      <x:c r="I273" s="24" t="str">
        <x:v>summoner; caller; evoker</x:v>
      </x:c>
      <x:c r="J273" s="24" t="str">
        <x:v>Spellcasting, magical research, battlefield control, transformation, summoning, or supernatural problem solving.</x:v>
      </x:c>
      <x:c r="K273" s="24" t="str">
        <x:v>summoner; caller; evoker</x:v>
      </x:c>
      <x:c r="L273" s="24" t="str">
        <x:v>Preserve each source's ontology, culture, history, and terminology when making comparisons.</x:v>
      </x:c>
      <x:c r="M273" s="24" t="str">
        <x:v>Core Family</x:v>
      </x:c>
    </x:row>
    <x:row r="274" ht="44" customHeight="1">
      <x:c r="A274" s="24" t="str">
        <x:v>ROL-315</x:v>
      </x:c>
      <x:c r="B274" s="24" t="str">
        <x:v>Necromancer</x:v>
      </x:c>
      <x:c r="C274" s="24" t="str">
        <x:v>Roles &amp; Vocations</x:v>
      </x:c>
      <x:c r="D274" s="24" t="str">
        <x:v>ROL-300</x:v>
      </x:c>
      <x:c r="E274" s="24" t="str">
        <x:f>IF(D274="","",IFERROR(VLOOKUP(D274,$A$2:$B$1226,2,FALSE),""))</x:f>
        <x:v>Arcane and Scholarly Magic Roles</x:v>
      </x:c>
      <x:c r="F274" s="24" t="n">
        <x:v>3</x:v>
      </x:c>
      <x:c r="G274" s="24" t="str">
        <x:v>Practitioner who manipulates death, corpses, souls, ghosts, entropy, or communication with the dead.</x:v>
      </x:c>
      <x:c r="H274" s="24" t="str">
        <x:v>Do not assume identical training, social status, powers, or mechanics across settings.</x:v>
      </x:c>
      <x:c r="I274" s="24" t="str">
        <x:v>necromancer; death mage; corpse wizard</x:v>
      </x:c>
      <x:c r="J274" s="24" t="str">
        <x:v>Spellcasting, magical research, battlefield control, transformation, summoning, or supernatural problem solving.</x:v>
      </x:c>
      <x:c r="K274" s="24" t="str">
        <x:v>necromancer; death mage; corpse wizard</x:v>
      </x:c>
      <x:c r="L274" s="24" t="str">
        <x:v>Preserve each source's ontology, culture, history, and terminology when making comparisons.</x:v>
      </x:c>
      <x:c r="M274" s="24" t="str">
        <x:v>Core Family</x:v>
      </x:c>
    </x:row>
    <x:row r="275" ht="44" customHeight="1">
      <x:c r="A275" s="24" t="str">
        <x:v>ROL-316</x:v>
      </x:c>
      <x:c r="B275" s="24" t="str">
        <x:v>Diviner and Seer</x:v>
      </x:c>
      <x:c r="C275" s="24" t="str">
        <x:v>Roles &amp; Vocations</x:v>
      </x:c>
      <x:c r="D275" s="24" t="str">
        <x:v>ROL-300</x:v>
      </x:c>
      <x:c r="E275" s="24" t="str">
        <x:f>IF(D275="","",IFERROR(VLOOKUP(D275,$A$2:$B$1226,2,FALSE),""))</x:f>
        <x:v>Arcane and Scholarly Magic Roles</x:v>
      </x:c>
      <x:c r="F275" s="24" t="n">
        <x:v>3</x:v>
      </x:c>
      <x:c r="G275" s="24" t="str">
        <x:v>Practitioner who reveals hidden information, possible futures, distant events, or supernatural truth.</x:v>
      </x:c>
      <x:c r="H275" s="24" t="str">
        <x:v>Do not assume identical training, social status, powers, or mechanics across settings.</x:v>
      </x:c>
      <x:c r="I275" s="24" t="str">
        <x:v>diviner; seer; augur; clairvoyant</x:v>
      </x:c>
      <x:c r="J275" s="24" t="str">
        <x:v>Spellcasting, magical research, battlefield control, transformation, summoning, or supernatural problem solving.</x:v>
      </x:c>
      <x:c r="K275" s="24" t="str">
        <x:v>diviner; seer; augur; clairvoyant</x:v>
      </x:c>
      <x:c r="L275" s="24" t="str">
        <x:v>Preserve each source's ontology, culture, history, and terminology when making comparisons.</x:v>
      </x:c>
      <x:c r="M275" s="24" t="str">
        <x:v>Core Family</x:v>
      </x:c>
    </x:row>
    <x:row r="276" ht="44" customHeight="1">
      <x:c r="A276" s="24" t="str">
        <x:v>ROL-317</x:v>
      </x:c>
      <x:c r="B276" s="24" t="str">
        <x:v>Astrologer and Astrologian</x:v>
      </x:c>
      <x:c r="C276" s="24" t="str">
        <x:v>Roles &amp; Vocations</x:v>
      </x:c>
      <x:c r="D276" s="24" t="str">
        <x:v>ROL-300</x:v>
      </x:c>
      <x:c r="E276" s="24" t="str">
        <x:f>IF(D276="","",IFERROR(VLOOKUP(D276,$A$2:$B$1226,2,FALSE),""))</x:f>
        <x:v>Arcane and Scholarly Magic Roles</x:v>
      </x:c>
      <x:c r="F276" s="24" t="n">
        <x:v>3</x:v>
      </x:c>
      <x:c r="G276" s="24" t="str">
        <x:v>Practitioner who reads or channels celestial patterns, fate, time, or cosmic correspondences.</x:v>
      </x:c>
      <x:c r="H276" s="24" t="str">
        <x:v>Do not assume identical training, social status, powers, or mechanics across settings.</x:v>
      </x:c>
      <x:c r="I276" s="24" t="str">
        <x:v>astrologer; astrologian; star mage</x:v>
      </x:c>
      <x:c r="J276" s="24" t="str">
        <x:v>Spellcasting, magical research, battlefield control, transformation, summoning, or supernatural problem solving.</x:v>
      </x:c>
      <x:c r="K276" s="24" t="str">
        <x:v>astrologer; astrologian; star mage</x:v>
      </x:c>
      <x:c r="L276" s="24" t="str">
        <x:v>Preserve each source's ontology, culture, history, and terminology when making comparisons.</x:v>
      </x:c>
      <x:c r="M276" s="24" t="str">
        <x:v>Core Family</x:v>
      </x:c>
    </x:row>
    <x:row r="277" ht="44" customHeight="1">
      <x:c r="A277" s="24" t="str">
        <x:v>ROL-318</x:v>
      </x:c>
      <x:c r="B277" s="24" t="str">
        <x:v>Chronomancer</x:v>
      </x:c>
      <x:c r="C277" s="24" t="str">
        <x:v>Roles &amp; Vocations</x:v>
      </x:c>
      <x:c r="D277" s="24" t="str">
        <x:v>ROL-300</x:v>
      </x:c>
      <x:c r="E277" s="24" t="str">
        <x:f>IF(D277="","",IFERROR(VLOOKUP(D277,$A$2:$B$1226,2,FALSE),""))</x:f>
        <x:v>Arcane and Scholarly Magic Roles</x:v>
      </x:c>
      <x:c r="F277" s="24" t="n">
        <x:v>3</x:v>
      </x:c>
      <x:c r="G277" s="24" t="str">
        <x:v>Caster who alters time, duration, aging, sequence, causality, or temporal perception.</x:v>
      </x:c>
      <x:c r="H277" s="24" t="str">
        <x:v>Do not assume identical training, social status, powers, or mechanics across settings.</x:v>
      </x:c>
      <x:c r="I277" s="24" t="str">
        <x:v>chronomancer; time mage</x:v>
      </x:c>
      <x:c r="J277" s="24" t="str">
        <x:v>Spellcasting, magical research, battlefield control, transformation, summoning, or supernatural problem solving.</x:v>
      </x:c>
      <x:c r="K277" s="24" t="str">
        <x:v>chronomancer; time mage</x:v>
      </x:c>
      <x:c r="L277" s="24" t="str">
        <x:v>Preserve each source's ontology, culture, history, and terminology when making comparisons.</x:v>
      </x:c>
      <x:c r="M277" s="24" t="str">
        <x:v>Core Family</x:v>
      </x:c>
    </x:row>
    <x:row r="278" ht="44" customHeight="1">
      <x:c r="A278" s="24" t="str">
        <x:v>ROL-319</x:v>
      </x:c>
      <x:c r="B278" s="24" t="str">
        <x:v>Spatial Mage</x:v>
      </x:c>
      <x:c r="C278" s="24" t="str">
        <x:v>Roles &amp; Vocations</x:v>
      </x:c>
      <x:c r="D278" s="24" t="str">
        <x:v>ROL-300</x:v>
      </x:c>
      <x:c r="E278" s="24" t="str">
        <x:f>IF(D278="","",IFERROR(VLOOKUP(D278,$A$2:$B$1226,2,FALSE),""))</x:f>
        <x:v>Arcane and Scholarly Magic Roles</x:v>
      </x:c>
      <x:c r="F278" s="24" t="n">
        <x:v>3</x:v>
      </x:c>
      <x:c r="G278" s="24" t="str">
        <x:v>Caster who manipulates distance, portals, dimensions, position, containment, or teleportation.</x:v>
      </x:c>
      <x:c r="H278" s="24" t="str">
        <x:v>Do not assume identical training, social status, powers, or mechanics across settings.</x:v>
      </x:c>
      <x:c r="I278" s="24" t="str">
        <x:v>spatial mage; portal mage; teleporter</x:v>
      </x:c>
      <x:c r="J278" s="24" t="str">
        <x:v>Spellcasting, magical research, battlefield control, transformation, summoning, or supernatural problem solving.</x:v>
      </x:c>
      <x:c r="K278" s="24" t="str">
        <x:v>spatial mage; portal mage; teleporter</x:v>
      </x:c>
      <x:c r="L278" s="24" t="str">
        <x:v>Preserve each source's ontology, culture, history, and terminology when making comparisons.</x:v>
      </x:c>
      <x:c r="M278" s="24" t="str">
        <x:v>Core Family</x:v>
      </x:c>
    </x:row>
    <x:row r="279" ht="44" customHeight="1">
      <x:c r="A279" s="24" t="str">
        <x:v>ROL-320</x:v>
      </x:c>
      <x:c r="B279" s="24" t="str">
        <x:v>Elementalist</x:v>
      </x:c>
      <x:c r="C279" s="24" t="str">
        <x:v>Roles &amp; Vocations</x:v>
      </x:c>
      <x:c r="D279" s="24" t="str">
        <x:v>ROL-300</x:v>
      </x:c>
      <x:c r="E279" s="24" t="str">
        <x:f>IF(D279="","",IFERROR(VLOOKUP(D279,$A$2:$B$1226,2,FALSE),""))</x:f>
        <x:v>Arcane and Scholarly Magic Roles</x:v>
      </x:c>
      <x:c r="F279" s="24" t="n">
        <x:v>3</x:v>
      </x:c>
      <x:c r="G279" s="24" t="str">
        <x:v>Caster who commands multiple classical or setting-specific elements as a coherent magical discipline.</x:v>
      </x:c>
      <x:c r="H279" s="24" t="str">
        <x:v>Do not assume identical training, social status, powers, or mechanics across settings.</x:v>
      </x:c>
      <x:c r="I279" s="24" t="str">
        <x:v>elementalist; elemental mage</x:v>
      </x:c>
      <x:c r="J279" s="24" t="str">
        <x:v>Spellcasting, magical research, battlefield control, transformation, summoning, or supernatural problem solving.</x:v>
      </x:c>
      <x:c r="K279" s="24" t="str">
        <x:v>elementalist; elemental mage</x:v>
      </x:c>
      <x:c r="L279" s="24" t="str">
        <x:v>Preserve each source's ontology, culture, history, and terminology when making comparisons.</x:v>
      </x:c>
      <x:c r="M279" s="24" t="str">
        <x:v>Core Family</x:v>
      </x:c>
    </x:row>
    <x:row r="280" ht="44" customHeight="1">
      <x:c r="A280" s="24" t="str">
        <x:v>ROL-321</x:v>
      </x:c>
      <x:c r="B280" s="24" t="str">
        <x:v>Pyromancer</x:v>
      </x:c>
      <x:c r="C280" s="24" t="str">
        <x:v>Roles &amp; Vocations</x:v>
      </x:c>
      <x:c r="D280" s="24" t="str">
        <x:v>ROL-300</x:v>
      </x:c>
      <x:c r="E280" s="24" t="str">
        <x:f>IF(D280="","",IFERROR(VLOOKUP(D280,$A$2:$B$1226,2,FALSE),""))</x:f>
        <x:v>Arcane and Scholarly Magic Roles</x:v>
      </x:c>
      <x:c r="F280" s="24" t="n">
        <x:v>3</x:v>
      </x:c>
      <x:c r="G280" s="24" t="str">
        <x:v>Specialist in fire, heat, combustion, ash, or volcanic force.</x:v>
      </x:c>
      <x:c r="H280" s="24" t="str">
        <x:v>Do not assume identical training, social status, powers, or mechanics across settings.</x:v>
      </x:c>
      <x:c r="I280" s="24" t="str">
        <x:v>pyromancer; fire mage</x:v>
      </x:c>
      <x:c r="J280" s="24" t="str">
        <x:v>Spellcasting, magical research, battlefield control, transformation, summoning, or supernatural problem solving.</x:v>
      </x:c>
      <x:c r="K280" s="24" t="str">
        <x:v>pyromancer; fire mage</x:v>
      </x:c>
      <x:c r="L280" s="24" t="str">
        <x:v>Preserve each source's ontology, culture, history, and terminology when making comparisons.</x:v>
      </x:c>
      <x:c r="M280" s="24" t="str">
        <x:v>Core Family</x:v>
      </x:c>
    </x:row>
    <x:row r="281" ht="44" customHeight="1">
      <x:c r="A281" s="24" t="str">
        <x:v>ROL-322</x:v>
      </x:c>
      <x:c r="B281" s="24" t="str">
        <x:v>Cryomancer</x:v>
      </x:c>
      <x:c r="C281" s="24" t="str">
        <x:v>Roles &amp; Vocations</x:v>
      </x:c>
      <x:c r="D281" s="24" t="str">
        <x:v>ROL-300</x:v>
      </x:c>
      <x:c r="E281" s="24" t="str">
        <x:f>IF(D281="","",IFERROR(VLOOKUP(D281,$A$2:$B$1226,2,FALSE),""))</x:f>
        <x:v>Arcane and Scholarly Magic Roles</x:v>
      </x:c>
      <x:c r="F281" s="24" t="n">
        <x:v>3</x:v>
      </x:c>
      <x:c r="G281" s="24" t="str">
        <x:v>Specialist in ice, cold, snow, freezing, and thermal extraction.</x:v>
      </x:c>
      <x:c r="H281" s="24" t="str">
        <x:v>Do not assume identical training, social status, powers, or mechanics across settings.</x:v>
      </x:c>
      <x:c r="I281" s="24" t="str">
        <x:v>cryomancer; ice mage</x:v>
      </x:c>
      <x:c r="J281" s="24" t="str">
        <x:v>Spellcasting, magical research, battlefield control, transformation, summoning, or supernatural problem solving.</x:v>
      </x:c>
      <x:c r="K281" s="24" t="str">
        <x:v>cryomancer; ice mage</x:v>
      </x:c>
      <x:c r="L281" s="24" t="str">
        <x:v>Preserve each source's ontology, culture, history, and terminology when making comparisons.</x:v>
      </x:c>
      <x:c r="M281" s="24" t="str">
        <x:v>Core Family</x:v>
      </x:c>
    </x:row>
    <x:row r="282" ht="44" customHeight="1">
      <x:c r="A282" s="24" t="str">
        <x:v>ROL-323</x:v>
      </x:c>
      <x:c r="B282" s="24" t="str">
        <x:v>Aeromancer</x:v>
      </x:c>
      <x:c r="C282" s="24" t="str">
        <x:v>Roles &amp; Vocations</x:v>
      </x:c>
      <x:c r="D282" s="24" t="str">
        <x:v>ROL-300</x:v>
      </x:c>
      <x:c r="E282" s="24" t="str">
        <x:f>IF(D282="","",IFERROR(VLOOKUP(D282,$A$2:$B$1226,2,FALSE),""))</x:f>
        <x:v>Arcane and Scholarly Magic Roles</x:v>
      </x:c>
      <x:c r="F282" s="24" t="n">
        <x:v>3</x:v>
      </x:c>
      <x:c r="G282" s="24" t="str">
        <x:v>Specialist in air, wind, pressure, flight, and sometimes sound.</x:v>
      </x:c>
      <x:c r="H282" s="24" t="str">
        <x:v>Do not assume identical training, social status, powers, or mechanics across settings.</x:v>
      </x:c>
      <x:c r="I282" s="24" t="str">
        <x:v>aeromancer; wind mage</x:v>
      </x:c>
      <x:c r="J282" s="24" t="str">
        <x:v>Spellcasting, magical research, battlefield control, transformation, summoning, or supernatural problem solving.</x:v>
      </x:c>
      <x:c r="K282" s="24" t="str">
        <x:v>aeromancer; wind mage</x:v>
      </x:c>
      <x:c r="L282" s="24" t="str">
        <x:v>Preserve each source's ontology, culture, history, and terminology when making comparisons.</x:v>
      </x:c>
      <x:c r="M282" s="24" t="str">
        <x:v>Core Family</x:v>
      </x:c>
    </x:row>
    <x:row r="283" ht="44" customHeight="1">
      <x:c r="A283" s="24" t="str">
        <x:v>ROL-324</x:v>
      </x:c>
      <x:c r="B283" s="24" t="str">
        <x:v>Geomancer</x:v>
      </x:c>
      <x:c r="C283" s="24" t="str">
        <x:v>Roles &amp; Vocations</x:v>
      </x:c>
      <x:c r="D283" s="24" t="str">
        <x:v>ROL-300</x:v>
      </x:c>
      <x:c r="E283" s="24" t="str">
        <x:f>IF(D283="","",IFERROR(VLOOKUP(D283,$A$2:$B$1226,2,FALSE),""))</x:f>
        <x:v>Arcane and Scholarly Magic Roles</x:v>
      </x:c>
      <x:c r="F283" s="24" t="n">
        <x:v>3</x:v>
      </x:c>
      <x:c r="G283" s="24" t="str">
        <x:v>Specialist in earth, stone, terrain, minerals, geomancy, or place-derived power.</x:v>
      </x:c>
      <x:c r="H283" s="24" t="str">
        <x:v>Do not assume identical training, social status, powers, or mechanics across settings.</x:v>
      </x:c>
      <x:c r="I283" s="24" t="str">
        <x:v>geomancer; earth mage</x:v>
      </x:c>
      <x:c r="J283" s="24" t="str">
        <x:v>Spellcasting, magical research, battlefield control, transformation, summoning, or supernatural problem solving.</x:v>
      </x:c>
      <x:c r="K283" s="24" t="str">
        <x:v>geomancer; earth mage</x:v>
      </x:c>
      <x:c r="L283" s="24" t="str">
        <x:v>Historical East Asian geomancy and fantasy earth magic are not synonymous.</x:v>
      </x:c>
      <x:c r="M283" s="24" t="str">
        <x:v>Core Family</x:v>
      </x:c>
    </x:row>
    <x:row r="284" ht="44" customHeight="1">
      <x:c r="A284" s="24" t="str">
        <x:v>ROL-325</x:v>
      </x:c>
      <x:c r="B284" s="24" t="str">
        <x:v>Hydromancer</x:v>
      </x:c>
      <x:c r="C284" s="24" t="str">
        <x:v>Roles &amp; Vocations</x:v>
      </x:c>
      <x:c r="D284" s="24" t="str">
        <x:v>ROL-300</x:v>
      </x:c>
      <x:c r="E284" s="24" t="str">
        <x:f>IF(D284="","",IFERROR(VLOOKUP(D284,$A$2:$B$1226,2,FALSE),""))</x:f>
        <x:v>Arcane and Scholarly Magic Roles</x:v>
      </x:c>
      <x:c r="F284" s="24" t="n">
        <x:v>3</x:v>
      </x:c>
      <x:c r="G284" s="24" t="str">
        <x:v>Specialist in water, currents, moisture, tides, and fluid manipulation.</x:v>
      </x:c>
      <x:c r="H284" s="24" t="str">
        <x:v>Do not assume identical training, social status, powers, or mechanics across settings.</x:v>
      </x:c>
      <x:c r="I284" s="24" t="str">
        <x:v>hydromancer; water mage</x:v>
      </x:c>
      <x:c r="J284" s="24" t="str">
        <x:v>Spellcasting, magical research, battlefield control, transformation, summoning, or supernatural problem solving.</x:v>
      </x:c>
      <x:c r="K284" s="24" t="str">
        <x:v>hydromancer; water mage</x:v>
      </x:c>
      <x:c r="L284" s="24" t="str">
        <x:v>Preserve each source's ontology, culture, history, and terminology when making comparisons.</x:v>
      </x:c>
      <x:c r="M284" s="24" t="str">
        <x:v>Core Family</x:v>
      </x:c>
    </x:row>
    <x:row r="285" ht="44" customHeight="1">
      <x:c r="A285" s="24" t="str">
        <x:v>ROL-326</x:v>
      </x:c>
      <x:c r="B285" s="24" t="str">
        <x:v>Storm Mage</x:v>
      </x:c>
      <x:c r="C285" s="24" t="str">
        <x:v>Roles &amp; Vocations</x:v>
      </x:c>
      <x:c r="D285" s="24" t="str">
        <x:v>ROL-300</x:v>
      </x:c>
      <x:c r="E285" s="24" t="str">
        <x:f>IF(D285="","",IFERROR(VLOOKUP(D285,$A$2:$B$1226,2,FALSE),""))</x:f>
        <x:v>Arcane and Scholarly Magic Roles</x:v>
      </x:c>
      <x:c r="F285" s="24" t="n">
        <x:v>3</x:v>
      </x:c>
      <x:c r="G285" s="24" t="str">
        <x:v>Specialist in lightning, thunder, wind, rain, and violent weather systems.</x:v>
      </x:c>
      <x:c r="H285" s="24" t="str">
        <x:v>Do not assume identical training, social status, powers, or mechanics across settings.</x:v>
      </x:c>
      <x:c r="I285" s="24" t="str">
        <x:v>storm mage; tempest mage</x:v>
      </x:c>
      <x:c r="J285" s="24" t="str">
        <x:v>Spellcasting, magical research, battlefield control, transformation, summoning, or supernatural problem solving.</x:v>
      </x:c>
      <x:c r="K285" s="24" t="str">
        <x:v>storm mage; tempest mage</x:v>
      </x:c>
      <x:c r="L285" s="24" t="str">
        <x:v>Preserve each source's ontology, culture, history, and terminology when making comparisons.</x:v>
      </x:c>
      <x:c r="M285" s="24" t="str">
        <x:v>Core Family</x:v>
      </x:c>
    </x:row>
    <x:row r="286" ht="44" customHeight="1">
      <x:c r="A286" s="24" t="str">
        <x:v>ROL-327</x:v>
      </x:c>
      <x:c r="B286" s="24" t="str">
        <x:v>Light Mage</x:v>
      </x:c>
      <x:c r="C286" s="24" t="str">
        <x:v>Roles &amp; Vocations</x:v>
      </x:c>
      <x:c r="D286" s="24" t="str">
        <x:v>ROL-300</x:v>
      </x:c>
      <x:c r="E286" s="24" t="str">
        <x:f>IF(D286="","",IFERROR(VLOOKUP(D286,$A$2:$B$1226,2,FALSE),""))</x:f>
        <x:v>Arcane and Scholarly Magic Roles</x:v>
      </x:c>
      <x:c r="F286" s="24" t="n">
        <x:v>3</x:v>
      </x:c>
      <x:c r="G286" s="24" t="str">
        <x:v>Caster who manipulates light, radiance, revelation, lasers, purity, or celestial energy without necessarily being religious.</x:v>
      </x:c>
      <x:c r="H286" s="24" t="str">
        <x:v>Do not assume identical training, social status, powers, or mechanics across settings.</x:v>
      </x:c>
      <x:c r="I286" s="24" t="str">
        <x:v>light mage; radiant caster</x:v>
      </x:c>
      <x:c r="J286" s="24" t="str">
        <x:v>Spellcasting, magical research, battlefield control, transformation, summoning, or supernatural problem solving.</x:v>
      </x:c>
      <x:c r="K286" s="24" t="str">
        <x:v>light mage; radiant caster</x:v>
      </x:c>
      <x:c r="L286" s="24" t="str">
        <x:v>Preserve each source's ontology, culture, history, and terminology when making comparisons.</x:v>
      </x:c>
      <x:c r="M286" s="24" t="str">
        <x:v>Core Family</x:v>
      </x:c>
    </x:row>
    <x:row r="287" ht="44" customHeight="1">
      <x:c r="A287" s="24" t="str">
        <x:v>ROL-328</x:v>
      </x:c>
      <x:c r="B287" s="24" t="str">
        <x:v>Shadow Mage</x:v>
      </x:c>
      <x:c r="C287" s="24" t="str">
        <x:v>Roles &amp; Vocations</x:v>
      </x:c>
      <x:c r="D287" s="24" t="str">
        <x:v>ROL-300</x:v>
      </x:c>
      <x:c r="E287" s="24" t="str">
        <x:f>IF(D287="","",IFERROR(VLOOKUP(D287,$A$2:$B$1226,2,FALSE),""))</x:f>
        <x:v>Arcane and Scholarly Magic Roles</x:v>
      </x:c>
      <x:c r="F287" s="24" t="n">
        <x:v>3</x:v>
      </x:c>
      <x:c r="G287" s="24" t="str">
        <x:v>Caster who manipulates darkness, shadow, concealment, fear, absence, or negative space.</x:v>
      </x:c>
      <x:c r="H287" s="24" t="str">
        <x:v>Do not assume identical training, social status, powers, or mechanics across settings.</x:v>
      </x:c>
      <x:c r="I287" s="24" t="str">
        <x:v>shadow mage; umbral caster</x:v>
      </x:c>
      <x:c r="J287" s="24" t="str">
        <x:v>Spellcasting, magical research, battlefield control, transformation, summoning, or supernatural problem solving.</x:v>
      </x:c>
      <x:c r="K287" s="24" t="str">
        <x:v>shadow mage; umbral caster</x:v>
      </x:c>
      <x:c r="L287" s="24" t="str">
        <x:v>Preserve each source's ontology, culture, history, and terminology when making comparisons.</x:v>
      </x:c>
      <x:c r="M287" s="24" t="str">
        <x:v>Core Family</x:v>
      </x:c>
    </x:row>
    <x:row r="288" ht="44" customHeight="1">
      <x:c r="A288" s="24" t="str">
        <x:v>ROL-329</x:v>
      </x:c>
      <x:c r="B288" s="24" t="str">
        <x:v>Blood Mage</x:v>
      </x:c>
      <x:c r="C288" s="24" t="str">
        <x:v>Roles &amp; Vocations</x:v>
      </x:c>
      <x:c r="D288" s="24" t="str">
        <x:v>ROL-300</x:v>
      </x:c>
      <x:c r="E288" s="24" t="str">
        <x:f>IF(D288="","",IFERROR(VLOOKUP(D288,$A$2:$B$1226,2,FALSE),""))</x:f>
        <x:v>Arcane and Scholarly Magic Roles</x:v>
      </x:c>
      <x:c r="F288" s="24" t="n">
        <x:v>3</x:v>
      </x:c>
      <x:c r="G288" s="24" t="str">
        <x:v>Practitioner who uses blood, lineage, bodily sacrifice, vitality, or kinship as magical medium and cost.</x:v>
      </x:c>
      <x:c r="H288" s="24" t="str">
        <x:v>Do not assume identical training, social status, powers, or mechanics across settings.</x:v>
      </x:c>
      <x:c r="I288" s="24" t="str">
        <x:v>blood mage; hemomancer</x:v>
      </x:c>
      <x:c r="J288" s="24" t="str">
        <x:v>Spellcasting, magical research, battlefield control, transformation, summoning, or supernatural problem solving.</x:v>
      </x:c>
      <x:c r="K288" s="24" t="str">
        <x:v>blood mage; hemomancer</x:v>
      </x:c>
      <x:c r="L288" s="24" t="str">
        <x:v>Preserve each source's ontology, culture, history, and terminology when making comparisons.</x:v>
      </x:c>
      <x:c r="M288" s="24" t="str">
        <x:v>Core Family</x:v>
      </x:c>
    </x:row>
    <x:row r="289" ht="44" customHeight="1">
      <x:c r="A289" s="24" t="str">
        <x:v>ROL-330</x:v>
      </x:c>
      <x:c r="B289" s="24" t="str">
        <x:v>Bone Mage</x:v>
      </x:c>
      <x:c r="C289" s="24" t="str">
        <x:v>Roles &amp; Vocations</x:v>
      </x:c>
      <x:c r="D289" s="24" t="str">
        <x:v>ROL-300</x:v>
      </x:c>
      <x:c r="E289" s="24" t="str">
        <x:f>IF(D289="","",IFERROR(VLOOKUP(D289,$A$2:$B$1226,2,FALSE),""))</x:f>
        <x:v>Arcane and Scholarly Magic Roles</x:v>
      </x:c>
      <x:c r="F289" s="24" t="n">
        <x:v>3</x:v>
      </x:c>
      <x:c r="G289" s="24" t="str">
        <x:v>Specialist in bones as weapons, armor, divination media, remains, or structural magic.</x:v>
      </x:c>
      <x:c r="H289" s="24" t="str">
        <x:v>Do not assume identical training, social status, powers, or mechanics across settings.</x:v>
      </x:c>
      <x:c r="I289" s="24" t="str">
        <x:v>bone mage; osteomancer</x:v>
      </x:c>
      <x:c r="J289" s="24" t="str">
        <x:v>Spellcasting, magical research, battlefield control, transformation, summoning, or supernatural problem solving.</x:v>
      </x:c>
      <x:c r="K289" s="24" t="str">
        <x:v>bone mage; osteomancer</x:v>
      </x:c>
      <x:c r="L289" s="24" t="str">
        <x:v>Preserve each source's ontology, culture, history, and terminology when making comparisons.</x:v>
      </x:c>
      <x:c r="M289" s="24" t="str">
        <x:v>Core Family</x:v>
      </x:c>
    </x:row>
    <x:row r="290" ht="44" customHeight="1">
      <x:c r="A290" s="24" t="str">
        <x:v>ROL-331</x:v>
      </x:c>
      <x:c r="B290" s="24" t="str">
        <x:v>Flesh Mage and Biomancer</x:v>
      </x:c>
      <x:c r="C290" s="24" t="str">
        <x:v>Roles &amp; Vocations</x:v>
      </x:c>
      <x:c r="D290" s="24" t="str">
        <x:v>ROL-300</x:v>
      </x:c>
      <x:c r="E290" s="24" t="str">
        <x:f>IF(D290="","",IFERROR(VLOOKUP(D290,$A$2:$B$1226,2,FALSE),""))</x:f>
        <x:v>Arcane and Scholarly Magic Roles</x:v>
      </x:c>
      <x:c r="F290" s="24" t="n">
        <x:v>3</x:v>
      </x:c>
      <x:c r="G290" s="24" t="str">
        <x:v>Practitioner who alters living tissue, anatomy, growth, disease, heredity, or bodies.</x:v>
      </x:c>
      <x:c r="H290" s="24" t="str">
        <x:v>Do not assume identical training, social status, powers, or mechanics across settings.</x:v>
      </x:c>
      <x:c r="I290" s="24" t="str">
        <x:v>flesh mage; biomancer; body sorcerer</x:v>
      </x:c>
      <x:c r="J290" s="24" t="str">
        <x:v>Spellcasting, magical research, battlefield control, transformation, summoning, or supernatural problem solving.</x:v>
      </x:c>
      <x:c r="K290" s="24" t="str">
        <x:v>flesh mage; biomancer; body sorcerer</x:v>
      </x:c>
      <x:c r="L290" s="24" t="str">
        <x:v>Preserve each source's ontology, culture, history, and terminology when making comparisons.</x:v>
      </x:c>
      <x:c r="M290" s="24" t="str">
        <x:v>Core Family</x:v>
      </x:c>
    </x:row>
    <x:row r="291" ht="44" customHeight="1">
      <x:c r="A291" s="24" t="str">
        <x:v>ROL-332</x:v>
      </x:c>
      <x:c r="B291" s="24" t="str">
        <x:v>Rune Mage</x:v>
      </x:c>
      <x:c r="C291" s="24" t="str">
        <x:v>Roles &amp; Vocations</x:v>
      </x:c>
      <x:c r="D291" s="24" t="str">
        <x:v>ROL-300</x:v>
      </x:c>
      <x:c r="E291" s="24" t="str">
        <x:f>IF(D291="","",IFERROR(VLOOKUP(D291,$A$2:$B$1226,2,FALSE),""))</x:f>
        <x:v>Arcane and Scholarly Magic Roles</x:v>
      </x:c>
      <x:c r="F291" s="24" t="n">
        <x:v>3</x:v>
      </x:c>
      <x:c r="G291" s="24" t="str">
        <x:v>Caster who encodes power in runes, inscriptions, carved signs, or persistent written structures.</x:v>
      </x:c>
      <x:c r="H291" s="24" t="str">
        <x:v>Do not assume identical training, social status, powers, or mechanics across settings.</x:v>
      </x:c>
      <x:c r="I291" s="24" t="str">
        <x:v>rune mage; runesmith; rune caster</x:v>
      </x:c>
      <x:c r="J291" s="24" t="str">
        <x:v>Spellcasting, magical research, battlefield control, transformation, summoning, or supernatural problem solving.</x:v>
      </x:c>
      <x:c r="K291" s="24" t="str">
        <x:v>rune mage; runesmith; rune caster</x:v>
      </x:c>
      <x:c r="L291" s="24" t="str">
        <x:v>Preserve each source's ontology, culture, history, and terminology when making comparisons.</x:v>
      </x:c>
      <x:c r="M291" s="24" t="str">
        <x:v>Core Family</x:v>
      </x:c>
    </x:row>
    <x:row r="292" ht="44" customHeight="1">
      <x:c r="A292" s="24" t="str">
        <x:v>ROL-333</x:v>
      </x:c>
      <x:c r="B292" s="24" t="str">
        <x:v>Sigil and Seal Mage</x:v>
      </x:c>
      <x:c r="C292" s="24" t="str">
        <x:v>Roles &amp; Vocations</x:v>
      </x:c>
      <x:c r="D292" s="24" t="str">
        <x:v>ROL-300</x:v>
      </x:c>
      <x:c r="E292" s="24" t="str">
        <x:f>IF(D292="","",IFERROR(VLOOKUP(D292,$A$2:$B$1226,2,FALSE),""))</x:f>
        <x:v>Arcane and Scholarly Magic Roles</x:v>
      </x:c>
      <x:c r="F292" s="24" t="n">
        <x:v>3</x:v>
      </x:c>
      <x:c r="G292" s="24" t="str">
        <x:v>Specialist in abstract symbols, circles, seals, wards, and bounded magical diagrams.</x:v>
      </x:c>
      <x:c r="H292" s="24" t="str">
        <x:v>Do not assume identical training, social status, powers, or mechanics across settings.</x:v>
      </x:c>
      <x:c r="I292" s="24" t="str">
        <x:v>sigil mage; seal master; warder</x:v>
      </x:c>
      <x:c r="J292" s="24" t="str">
        <x:v>Spellcasting, magical research, battlefield control, transformation, summoning, or supernatural problem solving.</x:v>
      </x:c>
      <x:c r="K292" s="24" t="str">
        <x:v>sigil mage; seal master; warder</x:v>
      </x:c>
      <x:c r="L292" s="24" t="str">
        <x:v>Preserve each source's ontology, culture, history, and terminology when making comparisons.</x:v>
      </x:c>
      <x:c r="M292" s="24" t="str">
        <x:v>Core Family</x:v>
      </x:c>
    </x:row>
    <x:row r="293" ht="44" customHeight="1">
      <x:c r="A293" s="24" t="str">
        <x:v>ROL-334</x:v>
      </x:c>
      <x:c r="B293" s="24" t="str">
        <x:v>Word and True-Name Mage</x:v>
      </x:c>
      <x:c r="C293" s="24" t="str">
        <x:v>Roles &amp; Vocations</x:v>
      </x:c>
      <x:c r="D293" s="24" t="str">
        <x:v>ROL-300</x:v>
      </x:c>
      <x:c r="E293" s="24" t="str">
        <x:f>IF(D293="","",IFERROR(VLOOKUP(D293,$A$2:$B$1226,2,FALSE),""))</x:f>
        <x:v>Arcane and Scholarly Magic Roles</x:v>
      </x:c>
      <x:c r="F293" s="24" t="n">
        <x:v>3</x:v>
      </x:c>
      <x:c r="G293" s="24" t="str">
        <x:v>Practitioner who alters reality through names, spoken commands, grammar, stories, or primordial language.</x:v>
      </x:c>
      <x:c r="H293" s="24" t="str">
        <x:v>Do not assume identical training, social status, powers, or mechanics across settings.</x:v>
      </x:c>
      <x:c r="I293" s="24" t="str">
        <x:v>name mage; word mage; logomancer</x:v>
      </x:c>
      <x:c r="J293" s="24" t="str">
        <x:v>Spellcasting, magical research, battlefield control, transformation, summoning, or supernatural problem solving.</x:v>
      </x:c>
      <x:c r="K293" s="24" t="str">
        <x:v>name mage; word mage; logomancer</x:v>
      </x:c>
      <x:c r="L293" s="24" t="str">
        <x:v>Preserve each source's ontology, culture, history, and terminology when making comparisons.</x:v>
      </x:c>
      <x:c r="M293" s="24" t="str">
        <x:v>Core Family</x:v>
      </x:c>
    </x:row>
    <x:row r="294" ht="44" customHeight="1">
      <x:c r="A294" s="24" t="str">
        <x:v>ROL-335</x:v>
      </x:c>
      <x:c r="B294" s="24" t="str">
        <x:v>Dream Mage</x:v>
      </x:c>
      <x:c r="C294" s="24" t="str">
        <x:v>Roles &amp; Vocations</x:v>
      </x:c>
      <x:c r="D294" s="24" t="str">
        <x:v>ROL-300</x:v>
      </x:c>
      <x:c r="E294" s="24" t="str">
        <x:f>IF(D294="","",IFERROR(VLOOKUP(D294,$A$2:$B$1226,2,FALSE),""))</x:f>
        <x:v>Arcane and Scholarly Magic Roles</x:v>
      </x:c>
      <x:c r="F294" s="24" t="n">
        <x:v>3</x:v>
      </x:c>
      <x:c r="G294" s="24" t="str">
        <x:v>Caster who enters, shapes, weaponizes, interprets, or travels through dreams and nightmares.</x:v>
      </x:c>
      <x:c r="H294" s="24" t="str">
        <x:v>Do not assume identical training, social status, powers, or mechanics across settings.</x:v>
      </x:c>
      <x:c r="I294" s="24" t="str">
        <x:v>dream mage; oneiromancer</x:v>
      </x:c>
      <x:c r="J294" s="24" t="str">
        <x:v>Spellcasting, magical research, battlefield control, transformation, summoning, or supernatural problem solving.</x:v>
      </x:c>
      <x:c r="K294" s="24" t="str">
        <x:v>dream mage; oneiromancer</x:v>
      </x:c>
      <x:c r="L294" s="24" t="str">
        <x:v>Preserve each source's ontology, culture, history, and terminology when making comparisons.</x:v>
      </x:c>
      <x:c r="M294" s="24" t="str">
        <x:v>Core Family</x:v>
      </x:c>
    </x:row>
    <x:row r="295" ht="44" customHeight="1">
      <x:c r="A295" s="24" t="str">
        <x:v>ROL-336</x:v>
      </x:c>
      <x:c r="B295" s="24" t="str">
        <x:v>Mind Mage and Psion</x:v>
      </x:c>
      <x:c r="C295" s="24" t="str">
        <x:v>Roles &amp; Vocations</x:v>
      </x:c>
      <x:c r="D295" s="24" t="str">
        <x:v>ROL-300</x:v>
      </x:c>
      <x:c r="E295" s="24" t="str">
        <x:f>IF(D295="","",IFERROR(VLOOKUP(D295,$A$2:$B$1226,2,FALSE),""))</x:f>
        <x:v>Arcane and Scholarly Magic Roles</x:v>
      </x:c>
      <x:c r="F295" s="24" t="n">
        <x:v>3</x:v>
      </x:c>
      <x:c r="G295" s="24" t="str">
        <x:v>Practitioner who uses telepathy, telekinesis, memory, emotion, domination, or disciplined psychic power.</x:v>
      </x:c>
      <x:c r="H295" s="24" t="str">
        <x:v>Do not assume identical training, social status, powers, or mechanics across settings.</x:v>
      </x:c>
      <x:c r="I295" s="24" t="str">
        <x:v>mind mage; psion; psychic</x:v>
      </x:c>
      <x:c r="J295" s="24" t="str">
        <x:v>Spellcasting, magical research, battlefield control, transformation, summoning, or supernatural problem solving.</x:v>
      </x:c>
      <x:c r="K295" s="24" t="str">
        <x:v>mind mage; psion; psychic</x:v>
      </x:c>
      <x:c r="L295" s="24" t="str">
        <x:v>Preserve each source's ontology, culture, history, and terminology when making comparisons.</x:v>
      </x:c>
      <x:c r="M295" s="24" t="str">
        <x:v>Core Family</x:v>
      </x:c>
    </x:row>
    <x:row r="296" ht="44" customHeight="1">
      <x:c r="A296" s="24" t="str">
        <x:v>ROL-337</x:v>
      </x:c>
      <x:c r="B296" s="24" t="str">
        <x:v>Transmuter</x:v>
      </x:c>
      <x:c r="C296" s="24" t="str">
        <x:v>Roles &amp; Vocations</x:v>
      </x:c>
      <x:c r="D296" s="24" t="str">
        <x:v>ROL-300</x:v>
      </x:c>
      <x:c r="E296" s="24" t="str">
        <x:f>IF(D296="","",IFERROR(VLOOKUP(D296,$A$2:$B$1226,2,FALSE),""))</x:f>
        <x:v>Arcane and Scholarly Magic Roles</x:v>
      </x:c>
      <x:c r="F296" s="24" t="n">
        <x:v>3</x:v>
      </x:c>
      <x:c r="G296" s="24" t="str">
        <x:v>Caster who changes substances, properties, bodies, or forms into other states.</x:v>
      </x:c>
      <x:c r="H296" s="24" t="str">
        <x:v>Do not assume identical training, social status, powers, or mechanics across settings.</x:v>
      </x:c>
      <x:c r="I296" s="24" t="str">
        <x:v>transmuter; alteration mage</x:v>
      </x:c>
      <x:c r="J296" s="24" t="str">
        <x:v>Spellcasting, magical research, battlefield control, transformation, summoning, or supernatural problem solving.</x:v>
      </x:c>
      <x:c r="K296" s="24" t="str">
        <x:v>transmuter; alteration mage</x:v>
      </x:c>
      <x:c r="L296" s="24" t="str">
        <x:v>Preserve each source's ontology, culture, history, and terminology when making comparisons.</x:v>
      </x:c>
      <x:c r="M296" s="24" t="str">
        <x:v>Core Family</x:v>
      </x:c>
    </x:row>
    <x:row r="297" ht="44" customHeight="1">
      <x:c r="A297" s="24" t="str">
        <x:v>ROL-338</x:v>
      </x:c>
      <x:c r="B297" s="24" t="str">
        <x:v>Alchemist</x:v>
      </x:c>
      <x:c r="C297" s="24" t="str">
        <x:v>Roles &amp; Vocations</x:v>
      </x:c>
      <x:c r="D297" s="24" t="str">
        <x:v>ROL-300</x:v>
      </x:c>
      <x:c r="E297" s="24" t="str">
        <x:f>IF(D297="","",IFERROR(VLOOKUP(D297,$A$2:$B$1226,2,FALSE),""))</x:f>
        <x:v>Arcane and Scholarly Magic Roles</x:v>
      </x:c>
      <x:c r="F297" s="24" t="n">
        <x:v>3</x:v>
      </x:c>
      <x:c r="G297" s="24" t="str">
        <x:v>Practitioner who transforms matter and life through compounds, reactions, symbols, essences, and laboratory craft.</x:v>
      </x:c>
      <x:c r="H297" s="24" t="str">
        <x:v>Do not assume identical training, social status, powers, or mechanics across settings.</x:v>
      </x:c>
      <x:c r="I297" s="24" t="str">
        <x:v>alchemist; potion maker; transmutation scholar</x:v>
      </x:c>
      <x:c r="J297" s="24" t="str">
        <x:v>Spellcasting, magical research, battlefield control, transformation, summoning, or supernatural problem solving.</x:v>
      </x:c>
      <x:c r="K297" s="24" t="str">
        <x:v>alchemist; potion maker; transmutation scholar</x:v>
      </x:c>
      <x:c r="L297" s="24" t="str">
        <x:v>Preserve each source's ontology, culture, history, and terminology when making comparisons.</x:v>
      </x:c>
      <x:c r="M297" s="24" t="str">
        <x:v>Core Family</x:v>
      </x:c>
    </x:row>
    <x:row r="298" ht="44" customHeight="1">
      <x:c r="A298" s="24" t="str">
        <x:v>ROL-339</x:v>
      </x:c>
      <x:c r="B298" s="24" t="str">
        <x:v>Artificer</x:v>
      </x:c>
      <x:c r="C298" s="24" t="str">
        <x:v>Roles &amp; Vocations</x:v>
      </x:c>
      <x:c r="D298" s="24" t="str">
        <x:v>ROL-300</x:v>
      </x:c>
      <x:c r="E298" s="24" t="str">
        <x:f>IF(D298="","",IFERROR(VLOOKUP(D298,$A$2:$B$1226,2,FALSE),""))</x:f>
        <x:v>Arcane and Scholarly Magic Roles</x:v>
      </x:c>
      <x:c r="F298" s="24" t="n">
        <x:v>3</x:v>
      </x:c>
      <x:c r="G298" s="24" t="str">
        <x:v>Creator and user of magical devices, constructs, infused tools, and engineered spell systems.</x:v>
      </x:c>
      <x:c r="H298" s="24" t="str">
        <x:v>Do not assume identical training, social status, powers, or mechanics across settings.</x:v>
      </x:c>
      <x:c r="I298" s="24" t="str">
        <x:v>artificer; magitech engineer; magic inventor</x:v>
      </x:c>
      <x:c r="J298" s="24" t="str">
        <x:v>Spellcasting, magical research, battlefield control, transformation, summoning, or supernatural problem solving.</x:v>
      </x:c>
      <x:c r="K298" s="24" t="str">
        <x:v>artificer; magitech engineer; magic inventor</x:v>
      </x:c>
      <x:c r="L298" s="24" t="str">
        <x:v>Preserve each source's ontology, culture, history, and terminology when making comparisons.</x:v>
      </x:c>
      <x:c r="M298" s="24" t="str">
        <x:v>Core Family</x:v>
      </x:c>
    </x:row>
    <x:row r="299" ht="44" customHeight="1">
      <x:c r="A299" s="24" t="str">
        <x:v>ROL-340</x:v>
      </x:c>
      <x:c r="B299" s="24" t="str">
        <x:v>Technomancer</x:v>
      </x:c>
      <x:c r="C299" s="24" t="str">
        <x:v>Roles &amp; Vocations</x:v>
      </x:c>
      <x:c r="D299" s="24" t="str">
        <x:v>ROL-300</x:v>
      </x:c>
      <x:c r="E299" s="24" t="str">
        <x:f>IF(D299="","",IFERROR(VLOOKUP(D299,$A$2:$B$1226,2,FALSE),""))</x:f>
        <x:v>Arcane and Scholarly Magic Roles</x:v>
      </x:c>
      <x:c r="F299" s="24" t="n">
        <x:v>3</x:v>
      </x:c>
      <x:c r="G299" s="24" t="str">
        <x:v>Practitioner who interfaces magic with advanced machinery, code, networks, or technological systems.</x:v>
      </x:c>
      <x:c r="H299" s="24" t="str">
        <x:v>Do not assume identical training, social status, powers, or mechanics across settings.</x:v>
      </x:c>
      <x:c r="I299" s="24" t="str">
        <x:v>technomancer; cybermage; machine sorcerer</x:v>
      </x:c>
      <x:c r="J299" s="24" t="str">
        <x:v>Spellcasting, magical research, battlefield control, transformation, summoning, or supernatural problem solving.</x:v>
      </x:c>
      <x:c r="K299" s="24" t="str">
        <x:v>technomancer; cybermage; machine sorcerer</x:v>
      </x:c>
      <x:c r="L299" s="24" t="str">
        <x:v>Preserve each source's ontology, culture, history, and terminology when making comparisons.</x:v>
      </x:c>
      <x:c r="M299" s="24" t="str">
        <x:v>Core Family</x:v>
      </x:c>
    </x:row>
    <x:row r="300" ht="44" customHeight="1">
      <x:c r="A300" s="24" t="str">
        <x:v>ROL-341</x:v>
      </x:c>
      <x:c r="B300" s="24" t="str">
        <x:v>Blue Mage and Mimic Caster</x:v>
      </x:c>
      <x:c r="C300" s="24" t="str">
        <x:v>Roles &amp; Vocations</x:v>
      </x:c>
      <x:c r="D300" s="24" t="str">
        <x:v>ROL-300</x:v>
      </x:c>
      <x:c r="E300" s="24" t="str">
        <x:f>IF(D300="","",IFERROR(VLOOKUP(D300,$A$2:$B$1226,2,FALSE),""))</x:f>
        <x:v>Arcane and Scholarly Magic Roles</x:v>
      </x:c>
      <x:c r="F300" s="24" t="n">
        <x:v>3</x:v>
      </x:c>
      <x:c r="G300" s="24" t="str">
        <x:v>Caster who learns abilities by observing, surviving, consuming, or copying monsters and enemies.</x:v>
      </x:c>
      <x:c r="H300" s="24" t="str">
        <x:v>Do not assume identical training, social status, powers, or mechanics across settings.</x:v>
      </x:c>
      <x:c r="I300" s="24" t="str">
        <x:v>blue mage; mimic mage; spell thief</x:v>
      </x:c>
      <x:c r="J300" s="24" t="str">
        <x:v>Spellcasting, magical research, battlefield control, transformation, summoning, or supernatural problem solving.</x:v>
      </x:c>
      <x:c r="K300" s="24" t="str">
        <x:v>blue mage; mimic mage; spell thief</x:v>
      </x:c>
      <x:c r="L300" s="24" t="str">
        <x:v>Preserve each source's ontology, culture, history, and terminology when making comparisons.</x:v>
      </x:c>
      <x:c r="M300" s="24" t="str">
        <x:v>Core Family</x:v>
      </x:c>
    </x:row>
    <x:row r="301" ht="44" customHeight="1">
      <x:c r="A301" s="24" t="str">
        <x:v>ROL-342</x:v>
      </x:c>
      <x:c r="B301" s="24" t="str">
        <x:v>Red Mage and Versatile Battlemage</x:v>
      </x:c>
      <x:c r="C301" s="24" t="str">
        <x:v>Roles &amp; Vocations</x:v>
      </x:c>
      <x:c r="D301" s="24" t="str">
        <x:v>ROL-300</x:v>
      </x:c>
      <x:c r="E301" s="24" t="str">
        <x:f>IF(D301="","",IFERROR(VLOOKUP(D301,$A$2:$B$1226,2,FALSE),""))</x:f>
        <x:v>Arcane and Scholarly Magic Roles</x:v>
      </x:c>
      <x:c r="F301" s="24" t="n">
        <x:v>3</x:v>
      </x:c>
      <x:c r="G301" s="24" t="str">
        <x:v>Hybrid caster combining offensive magic, healing or support, and competent weapon use.</x:v>
      </x:c>
      <x:c r="H301" s="24" t="str">
        <x:v>Do not assume identical training, social status, powers, or mechanics across settings.</x:v>
      </x:c>
      <x:c r="I301" s="24" t="str">
        <x:v>red mage; versatile mage; jack-of-all-magics</x:v>
      </x:c>
      <x:c r="J301" s="24" t="str">
        <x:v>Spellcasting, magical research, battlefield control, transformation, summoning, or supernatural problem solving.</x:v>
      </x:c>
      <x:c r="K301" s="24" t="str">
        <x:v>red mage; versatile mage; jack-of-all-magics</x:v>
      </x:c>
      <x:c r="L301" s="24" t="str">
        <x:v>Preserve each source's ontology, culture, history, and terminology when making comparisons.</x:v>
      </x:c>
      <x:c r="M301" s="24" t="str">
        <x:v>Core Family</x:v>
      </x:c>
    </x:row>
    <x:row r="302" ht="44" customHeight="1">
      <x:c r="A302" s="24" t="str">
        <x:v>ROL-343</x:v>
      </x:c>
      <x:c r="B302" s="24" t="str">
        <x:v>Black Mage and Destructive Caster</x:v>
      </x:c>
      <x:c r="C302" s="24" t="str">
        <x:v>Roles &amp; Vocations</x:v>
      </x:c>
      <x:c r="D302" s="24" t="str">
        <x:v>ROL-300</x:v>
      </x:c>
      <x:c r="E302" s="24" t="str">
        <x:f>IF(D302="","",IFERROR(VLOOKUP(D302,$A$2:$B$1226,2,FALSE),""))</x:f>
        <x:v>Arcane and Scholarly Magic Roles</x:v>
      </x:c>
      <x:c r="F302" s="24" t="n">
        <x:v>3</x:v>
      </x:c>
      <x:c r="G302" s="24" t="str">
        <x:v>Game-coded offensive specialist emphasizing elemental or high-damage magic.</x:v>
      </x:c>
      <x:c r="H302" s="24" t="str">
        <x:v>Do not assume identical training, social status, powers, or mechanics across settings.</x:v>
      </x:c>
      <x:c r="I302" s="24" t="str">
        <x:v>black mage; nuker mage; destructive wizard</x:v>
      </x:c>
      <x:c r="J302" s="24" t="str">
        <x:v>Spellcasting, magical research, battlefield control, transformation, summoning, or supernatural problem solving.</x:v>
      </x:c>
      <x:c r="K302" s="24" t="str">
        <x:v>black mage; nuker mage; destructive wizard</x:v>
      </x:c>
      <x:c r="L302" s="24" t="str">
        <x:v>Preserve each source's ontology, culture, history, and terminology when making comparisons.</x:v>
      </x:c>
      <x:c r="M302" s="24" t="str">
        <x:v>Core Family</x:v>
      </x:c>
    </x:row>
    <x:row r="303" ht="44" customHeight="1">
      <x:c r="A303" s="24" t="str">
        <x:v>ROL-344</x:v>
      </x:c>
      <x:c r="B303" s="24" t="str">
        <x:v>White Mage and Restorative Caster</x:v>
      </x:c>
      <x:c r="C303" s="24" t="str">
        <x:v>Roles &amp; Vocations</x:v>
      </x:c>
      <x:c r="D303" s="24" t="str">
        <x:v>ROL-300</x:v>
      </x:c>
      <x:c r="E303" s="24" t="str">
        <x:f>IF(D303="","",IFERROR(VLOOKUP(D303,$A$2:$B$1226,2,FALSE),""))</x:f>
        <x:v>Arcane and Scholarly Magic Roles</x:v>
      </x:c>
      <x:c r="F303" s="24" t="n">
        <x:v>3</x:v>
      </x:c>
      <x:c r="G303" s="24" t="str">
        <x:v>Game-coded healer emphasizing restoration, cleansing, protection, and sacred or light magic.</x:v>
      </x:c>
      <x:c r="H303" s="24" t="str">
        <x:v>Do not assume identical training, social status, powers, or mechanics across settings.</x:v>
      </x:c>
      <x:c r="I303" s="24" t="str">
        <x:v>white mage; healer mage; restorative caster</x:v>
      </x:c>
      <x:c r="J303" s="24" t="str">
        <x:v>Spellcasting, magical research, battlefield control, transformation, summoning, or supernatural problem solving.</x:v>
      </x:c>
      <x:c r="K303" s="24" t="str">
        <x:v>white mage; healer mage; restorative caster</x:v>
      </x:c>
      <x:c r="L303" s="24" t="str">
        <x:v>Preserve each source's ontology, culture, history, and terminology when making comparisons.</x:v>
      </x:c>
      <x:c r="M303" s="24" t="str">
        <x:v>Core Family</x:v>
      </x:c>
    </x:row>
    <x:row r="304" ht="44" customHeight="1">
      <x:c r="A304" s="24" t="str">
        <x:v>ROL-345</x:v>
      </x:c>
      <x:c r="B304" s="24" t="str">
        <x:v>Green Mage and Support Caster</x:v>
      </x:c>
      <x:c r="C304" s="24" t="str">
        <x:v>Roles &amp; Vocations</x:v>
      </x:c>
      <x:c r="D304" s="24" t="str">
        <x:v>ROL-300</x:v>
      </x:c>
      <x:c r="E304" s="24" t="str">
        <x:f>IF(D304="","",IFERROR(VLOOKUP(D304,$A$2:$B$1226,2,FALSE),""))</x:f>
        <x:v>Arcane and Scholarly Magic Roles</x:v>
      </x:c>
      <x:c r="F304" s="24" t="n">
        <x:v>3</x:v>
      </x:c>
      <x:c r="G304" s="24" t="str">
        <x:v>Game-coded support specialist emphasizing buffs, debuffs, status magic, nature, or tactical utility.</x:v>
      </x:c>
      <x:c r="H304" s="24" t="str">
        <x:v>Do not assume identical training, social status, powers, or mechanics across settings.</x:v>
      </x:c>
      <x:c r="I304" s="24" t="str">
        <x:v>green mage; support mage</x:v>
      </x:c>
      <x:c r="J304" s="24" t="str">
        <x:v>Spellcasting, magical research, battlefield control, transformation, summoning, or supernatural problem solving.</x:v>
      </x:c>
      <x:c r="K304" s="24" t="str">
        <x:v>green mage; support mage</x:v>
      </x:c>
      <x:c r="L304" s="24" t="str">
        <x:v>Preserve each source's ontology, culture, history, and terminology when making comparisons.</x:v>
      </x:c>
      <x:c r="M304" s="24" t="str">
        <x:v>Core Family</x:v>
      </x:c>
    </x:row>
    <x:row r="305" ht="44" customHeight="1">
      <x:c r="A305" s="24" t="str">
        <x:v>ROL-346</x:v>
      </x:c>
      <x:c r="B305" s="24" t="str">
        <x:v>Time Mage</x:v>
      </x:c>
      <x:c r="C305" s="24" t="str">
        <x:v>Roles &amp; Vocations</x:v>
      </x:c>
      <x:c r="D305" s="24" t="str">
        <x:v>ROL-300</x:v>
      </x:c>
      <x:c r="E305" s="24" t="str">
        <x:f>IF(D305="","",IFERROR(VLOOKUP(D305,$A$2:$B$1226,2,FALSE),""))</x:f>
        <x:v>Arcane and Scholarly Magic Roles</x:v>
      </x:c>
      <x:c r="F305" s="24" t="n">
        <x:v>3</x:v>
      </x:c>
      <x:c r="G305" s="24" t="str">
        <x:v>Game-class form of temporal specialist using haste, slow, stop, gravity, and related battlefield control.</x:v>
      </x:c>
      <x:c r="H305" s="24" t="str">
        <x:v>Do not assume identical training, social status, powers, or mechanics across settings.</x:v>
      </x:c>
      <x:c r="I305" s="24" t="str">
        <x:v>time mage; chronomancer</x:v>
      </x:c>
      <x:c r="J305" s="24" t="str">
        <x:v>Spellcasting, magical research, battlefield control, transformation, summoning, or supernatural problem solving.</x:v>
      </x:c>
      <x:c r="K305" s="24" t="str">
        <x:v>time mage; chronomancer</x:v>
      </x:c>
      <x:c r="L305" s="24" t="str">
        <x:v>Preserve each source's ontology, culture, history, and terminology when making comparisons.</x:v>
      </x:c>
      <x:c r="M305" s="24" t="str">
        <x:v>Core Family</x:v>
      </x:c>
    </x:row>
    <x:row r="306" ht="44" customHeight="1">
      <x:c r="A306" s="24" t="str">
        <x:v>ROL-347</x:v>
      </x:c>
      <x:c r="B306" s="24" t="str">
        <x:v>Calculator and Arithmetician</x:v>
      </x:c>
      <x:c r="C306" s="24" t="str">
        <x:v>Roles &amp; Vocations</x:v>
      </x:c>
      <x:c r="D306" s="24" t="str">
        <x:v>ROL-300</x:v>
      </x:c>
      <x:c r="E306" s="24" t="str">
        <x:f>IF(D306="","",IFERROR(VLOOKUP(D306,$A$2:$B$1226,2,FALSE),""))</x:f>
        <x:v>Arcane and Scholarly Magic Roles</x:v>
      </x:c>
      <x:c r="F306" s="24" t="n">
        <x:v>3</x:v>
      </x:c>
      <x:c r="G306" s="24" t="str">
        <x:v>Caster who applies numerical, geometric, conditional, or formula-based rules to target and amplify magic.</x:v>
      </x:c>
      <x:c r="H306" s="24" t="str">
        <x:v>Do not assume identical training, social status, powers, or mechanics across settings.</x:v>
      </x:c>
      <x:c r="I306" s="24" t="str">
        <x:v>calculator; arithmetician; mathemagician</x:v>
      </x:c>
      <x:c r="J306" s="24" t="str">
        <x:v>Spellcasting, magical research, battlefield control, transformation, summoning, or supernatural problem solving.</x:v>
      </x:c>
      <x:c r="K306" s="24" t="str">
        <x:v>calculator; arithmetician; mathemagician</x:v>
      </x:c>
      <x:c r="L306" s="24" t="str">
        <x:v>Preserve each source's ontology, culture, history, and terminology when making comparisons.</x:v>
      </x:c>
      <x:c r="M306" s="24" t="str">
        <x:v>Core Family</x:v>
      </x:c>
    </x:row>
    <x:row r="307" ht="44" customHeight="1">
      <x:c r="A307" s="24" t="str">
        <x:v>ROL-348</x:v>
      </x:c>
      <x:c r="B307" s="24" t="str">
        <x:v>Oracle and Fate Caster</x:v>
      </x:c>
      <x:c r="C307" s="24" t="str">
        <x:v>Roles &amp; Vocations</x:v>
      </x:c>
      <x:c r="D307" s="24" t="str">
        <x:v>ROL-300</x:v>
      </x:c>
      <x:c r="E307" s="24" t="str">
        <x:f>IF(D307="","",IFERROR(VLOOKUP(D307,$A$2:$B$1226,2,FALSE),""))</x:f>
        <x:v>Arcane and Scholarly Magic Roles</x:v>
      </x:c>
      <x:c r="F307" s="24" t="n">
        <x:v>3</x:v>
      </x:c>
      <x:c r="G307" s="24" t="str">
        <x:v>Magic user who channels prophecy, fate, omens, curses, or probabilistic outcomes without necessarily holding a religious office.</x:v>
      </x:c>
      <x:c r="H307" s="24" t="str">
        <x:v>Do not assume identical training, social status, powers, or mechanics across settings.</x:v>
      </x:c>
      <x:c r="I307" s="24" t="str">
        <x:v>oracle; fate mage; mystic</x:v>
      </x:c>
      <x:c r="J307" s="24" t="str">
        <x:v>Spellcasting, magical research, battlefield control, transformation, summoning, or supernatural problem solving.</x:v>
      </x:c>
      <x:c r="K307" s="24" t="str">
        <x:v>oracle; fate mage; mystic</x:v>
      </x:c>
      <x:c r="L307" s="24" t="str">
        <x:v>Preserve each source's ontology, culture, history, and terminology when making comparisons.</x:v>
      </x:c>
      <x:c r="M307" s="24" t="str">
        <x:v>Core Family</x:v>
      </x:c>
    </x:row>
    <x:row r="308" ht="44" customHeight="1">
      <x:c r="A308" s="24" t="str">
        <x:v>ROL-349</x:v>
      </x:c>
      <x:c r="B308" s="24" t="str">
        <x:v>Spirit Binder</x:v>
      </x:c>
      <x:c r="C308" s="24" t="str">
        <x:v>Roles &amp; Vocations</x:v>
      </x:c>
      <x:c r="D308" s="24" t="str">
        <x:v>ROL-300</x:v>
      </x:c>
      <x:c r="E308" s="24" t="str">
        <x:f>IF(D308="","",IFERROR(VLOOKUP(D308,$A$2:$B$1226,2,FALSE),""))</x:f>
        <x:v>Arcane and Scholarly Magic Roles</x:v>
      </x:c>
      <x:c r="F308" s="24" t="n">
        <x:v>3</x:v>
      </x:c>
      <x:c r="G308" s="24" t="str">
        <x:v>Caster who captures, contracts, seals, equips, or commands spirits as discrete power sources.</x:v>
      </x:c>
      <x:c r="H308" s="24" t="str">
        <x:v>Do not assume identical training, social status, powers, or mechanics across settings.</x:v>
      </x:c>
      <x:c r="I308" s="24" t="str">
        <x:v>spirit binder; seal master; soul tamer</x:v>
      </x:c>
      <x:c r="J308" s="24" t="str">
        <x:v>Spellcasting, magical research, battlefield control, transformation, summoning, or supernatural problem solving.</x:v>
      </x:c>
      <x:c r="K308" s="24" t="str">
        <x:v>spirit binder; seal master; soul tamer</x:v>
      </x:c>
      <x:c r="L308" s="24" t="str">
        <x:v>Preserve each source's ontology, culture, history, and terminology when making comparisons.</x:v>
      </x:c>
      <x:c r="M308" s="24" t="str">
        <x:v>Core Family</x:v>
      </x:c>
    </x:row>
    <x:row r="309" ht="44" customHeight="1">
      <x:c r="A309" s="24" t="str">
        <x:v>ROL-350</x:v>
      </x:c>
      <x:c r="B309" s="24" t="str">
        <x:v>Demonologist</x:v>
      </x:c>
      <x:c r="C309" s="24" t="str">
        <x:v>Roles &amp; Vocations</x:v>
      </x:c>
      <x:c r="D309" s="24" t="str">
        <x:v>ROL-300</x:v>
      </x:c>
      <x:c r="E309" s="24" t="str">
        <x:f>IF(D309="","",IFERROR(VLOOKUP(D309,$A$2:$B$1226,2,FALSE),""))</x:f>
        <x:v>Arcane and Scholarly Magic Roles</x:v>
      </x:c>
      <x:c r="F309" s="24" t="n">
        <x:v>3</x:v>
      </x:c>
      <x:c r="G309" s="24" t="str">
        <x:v>Scholar or caster specializing in demons, infernal names, summoning, binding, banishment, and corruption.</x:v>
      </x:c>
      <x:c r="H309" s="24" t="str">
        <x:v>Do not assume identical training, social status, powers, or mechanics across settings.</x:v>
      </x:c>
      <x:c r="I309" s="24" t="str">
        <x:v>demonologist; diabolist</x:v>
      </x:c>
      <x:c r="J309" s="24" t="str">
        <x:v>Spellcasting, magical research, battlefield control, transformation, summoning, or supernatural problem solving.</x:v>
      </x:c>
      <x:c r="K309" s="24" t="str">
        <x:v>demonologist; diabolist</x:v>
      </x:c>
      <x:c r="L309" s="24" t="str">
        <x:v>Preserve each source's ontology, culture, history, and terminology when making comparisons.</x:v>
      </x:c>
      <x:c r="M309" s="24" t="str">
        <x:v>Core Family</x:v>
      </x:c>
    </x:row>
    <x:row r="310" ht="44" customHeight="1">
      <x:c r="A310" s="24" t="str">
        <x:v>ROL-351</x:v>
      </x:c>
      <x:c r="B310" s="24" t="str">
        <x:v>Extradimensional Mage</x:v>
      </x:c>
      <x:c r="C310" s="24" t="str">
        <x:v>Roles &amp; Vocations</x:v>
      </x:c>
      <x:c r="D310" s="24" t="str">
        <x:v>ROL-300</x:v>
      </x:c>
      <x:c r="E310" s="24" t="str">
        <x:f>IF(D310="","",IFERROR(VLOOKUP(D310,$A$2:$B$1226,2,FALSE),""))</x:f>
        <x:v>Arcane and Scholarly Magic Roles</x:v>
      </x:c>
      <x:c r="F310" s="24" t="n">
        <x:v>3</x:v>
      </x:c>
      <x:c r="G310" s="24" t="str">
        <x:v>Caster whose discipline centers on planes, pocket worlds, extradimensional storage, or reality boundaries.</x:v>
      </x:c>
      <x:c r="H310" s="24" t="str">
        <x:v>Do not assume identical training, social status, powers, or mechanics across settings.</x:v>
      </x:c>
      <x:c r="I310" s="24" t="str">
        <x:v>planar mage; dimensionalist</x:v>
      </x:c>
      <x:c r="J310" s="24" t="str">
        <x:v>Spellcasting, magical research, battlefield control, transformation, summoning, or supernatural problem solving.</x:v>
      </x:c>
      <x:c r="K310" s="24" t="str">
        <x:v>planar mage; dimensionalist</x:v>
      </x:c>
      <x:c r="L310" s="24" t="str">
        <x:v>Preserve each source's ontology, culture, history, and terminology when making comparisons.</x:v>
      </x:c>
      <x:c r="M310" s="24" t="str">
        <x:v>Core Family</x:v>
      </x:c>
    </x:row>
    <x:row r="311" ht="44" customHeight="1">
      <x:c r="A311" s="24" t="str">
        <x:v>ROL-352</x:v>
      </x:c>
      <x:c r="B311" s="24" t="str">
        <x:v>Anti-Mage and Nullifier</x:v>
      </x:c>
      <x:c r="C311" s="24" t="str">
        <x:v>Roles &amp; Vocations</x:v>
      </x:c>
      <x:c r="D311" s="24" t="str">
        <x:v>ROL-300</x:v>
      </x:c>
      <x:c r="E311" s="24" t="str">
        <x:f>IF(D311="","",IFERROR(VLOOKUP(D311,$A$2:$B$1226,2,FALSE),""))</x:f>
        <x:v>Arcane and Scholarly Magic Roles</x:v>
      </x:c>
      <x:c r="F311" s="24" t="n">
        <x:v>3</x:v>
      </x:c>
      <x:c r="G311" s="24" t="str">
        <x:v>Specialist who suppresses, drains, reflects, dispels, or renders magic unusable.</x:v>
      </x:c>
      <x:c r="H311" s="24" t="str">
        <x:v>Do not assume identical training, social status, powers, or mechanics across settings.</x:v>
      </x:c>
      <x:c r="I311" s="24" t="str">
        <x:v>anti-mage; nullifier; dispeller</x:v>
      </x:c>
      <x:c r="J311" s="24" t="str">
        <x:v>Spellcasting, magical research, battlefield control, transformation, summoning, or supernatural problem solving.</x:v>
      </x:c>
      <x:c r="K311" s="24" t="str">
        <x:v>anti-mage; nullifier; dispeller</x:v>
      </x:c>
      <x:c r="L311" s="24" t="str">
        <x:v>Preserve each source's ontology, culture, history, and terminology when making comparisons.</x:v>
      </x:c>
      <x:c r="M311" s="24" t="str">
        <x:v>Core Family</x:v>
      </x:c>
    </x:row>
    <x:row r="312" ht="44" customHeight="1">
      <x:c r="A312" s="24" t="str">
        <x:v>ROL-353</x:v>
      </x:c>
      <x:c r="B312" s="24" t="str">
        <x:v>Curse Mage</x:v>
      </x:c>
      <x:c r="C312" s="24" t="str">
        <x:v>Roles &amp; Vocations</x:v>
      </x:c>
      <x:c r="D312" s="24" t="str">
        <x:v>ROL-300</x:v>
      </x:c>
      <x:c r="E312" s="24" t="str">
        <x:f>IF(D312="","",IFERROR(VLOOKUP(D312,$A$2:$B$1226,2,FALSE),""))</x:f>
        <x:v>Arcane and Scholarly Magic Roles</x:v>
      </x:c>
      <x:c r="F312" s="24" t="n">
        <x:v>3</x:v>
      </x:c>
      <x:c r="G312" s="24" t="str">
        <x:v>Practitioner specializing in persistent afflictions, taboo conditions, doom, geasa, and hostile transformations.</x:v>
      </x:c>
      <x:c r="H312" s="24" t="str">
        <x:v>Do not assume identical training, social status, powers, or mechanics across settings.</x:v>
      </x:c>
      <x:c r="I312" s="24" t="str">
        <x:v>curse mage; hexer; maledictor</x:v>
      </x:c>
      <x:c r="J312" s="24" t="str">
        <x:v>Spellcasting, magical research, battlefield control, transformation, summoning, or supernatural problem solving.</x:v>
      </x:c>
      <x:c r="K312" s="24" t="str">
        <x:v>curse mage; hexer; maledictor</x:v>
      </x:c>
      <x:c r="L312" s="24" t="str">
        <x:v>Preserve each source's ontology, culture, history, and terminology when making comparisons.</x:v>
      </x:c>
      <x:c r="M312" s="24" t="str">
        <x:v>Core Family</x:v>
      </x:c>
    </x:row>
    <x:row r="313" ht="44" customHeight="1">
      <x:c r="A313" s="24" t="str">
        <x:v>ROL-354</x:v>
      </x:c>
      <x:c r="B313" s="24" t="str">
        <x:v>Charm and Emotion Mage</x:v>
      </x:c>
      <x:c r="C313" s="24" t="str">
        <x:v>Roles &amp; Vocations</x:v>
      </x:c>
      <x:c r="D313" s="24" t="str">
        <x:v>ROL-300</x:v>
      </x:c>
      <x:c r="E313" s="24" t="str">
        <x:f>IF(D313="","",IFERROR(VLOOKUP(D313,$A$2:$B$1226,2,FALSE),""))</x:f>
        <x:v>Arcane and Scholarly Magic Roles</x:v>
      </x:c>
      <x:c r="F313" s="24" t="n">
        <x:v>3</x:v>
      </x:c>
      <x:c r="G313" s="24" t="str">
        <x:v>Caster who alters desire, loyalty, fear, courage, empathy, or emotional states.</x:v>
      </x:c>
      <x:c r="H313" s="24" t="str">
        <x:v>Do not assume identical training, social status, powers, or mechanics across settings.</x:v>
      </x:c>
      <x:c r="I313" s="24" t="str">
        <x:v>empath; charm mage; emotion weaver</x:v>
      </x:c>
      <x:c r="J313" s="24" t="str">
        <x:v>Spellcasting, magical research, battlefield control, transformation, summoning, or supernatural problem solving.</x:v>
      </x:c>
      <x:c r="K313" s="24" t="str">
        <x:v>empath; charm mage; emotion weaver</x:v>
      </x:c>
      <x:c r="L313" s="24" t="str">
        <x:v>Preserve each source's ontology, culture, history, and terminology when making comparisons.</x:v>
      </x:c>
      <x:c r="M313" s="24" t="str">
        <x:v>Core Family</x:v>
      </x:c>
    </x:row>
    <x:row r="314" ht="44" customHeight="1">
      <x:c r="A314" s="24" t="str">
        <x:v>ROL-401</x:v>
      </x:c>
      <x:c r="B314" s="24" t="str">
        <x:v>Priest</x:v>
      </x:c>
      <x:c r="C314" s="24" t="str">
        <x:v>Roles &amp; Vocations</x:v>
      </x:c>
      <x:c r="D314" s="24" t="str">
        <x:v>ROL-400</x:v>
      </x:c>
      <x:c r="E314" s="24" t="str">
        <x:f>IF(D314="","",IFERROR(VLOOKUP(D314,$A$2:$B$1226,2,FALSE),""))</x:f>
        <x:v>Divine and Religious Roles</x:v>
      </x:c>
      <x:c r="F314" s="24" t="n">
        <x:v>3</x:v>
      </x:c>
      <x:c r="G314" s="24" t="str">
        <x:v>Religious specialist who performs worship, sacrifice, liturgy, pastoral care, and mediation between community and sacred power.</x:v>
      </x:c>
      <x:c r="H314" s="24" t="str">
        <x:v>Do not assume identical training, social status, powers, or mechanics across settings.</x:v>
      </x:c>
      <x:c r="I314" s="24" t="str">
        <x:v>priest; priestess; cleric</x:v>
      </x:c>
      <x:c r="J314" s="24" t="str">
        <x:v>Worship, healing, sacred authority, prophecy, purification, doctrine, or combat against spiritual threats.</x:v>
      </x:c>
      <x:c r="K314" s="24" t="str">
        <x:v>priest; priestess; cleric</x:v>
      </x:c>
      <x:c r="L314" s="24" t="str">
        <x:v>Preserve each source's ontology, culture, history, and terminology when making comparisons.</x:v>
      </x:c>
      <x:c r="M314" s="24" t="str">
        <x:v>Core Family</x:v>
      </x:c>
    </x:row>
    <x:row r="315" ht="44" customHeight="1">
      <x:c r="A315" s="24" t="str">
        <x:v>ROL-402</x:v>
      </x:c>
      <x:c r="B315" s="24" t="str">
        <x:v>Cleric</x:v>
      </x:c>
      <x:c r="C315" s="24" t="str">
        <x:v>Roles &amp; Vocations</x:v>
      </x:c>
      <x:c r="D315" s="24" t="str">
        <x:v>ROL-400</x:v>
      </x:c>
      <x:c r="E315" s="24" t="str">
        <x:f>IF(D315="","",IFERROR(VLOOKUP(D315,$A$2:$B$1226,2,FALSE),""))</x:f>
        <x:v>Divine and Religious Roles</x:v>
      </x:c>
      <x:c r="F315" s="24" t="n">
        <x:v>3</x:v>
      </x:c>
      <x:c r="G315" s="24" t="str">
        <x:v>Game-coded or institutional priest combining sacred magic, healing, protection, and combat utility.</x:v>
      </x:c>
      <x:c r="H315" s="24" t="str">
        <x:v>Do not assume identical training, social status, powers, or mechanics across settings.</x:v>
      </x:c>
      <x:c r="I315" s="24" t="str">
        <x:v>cleric; battle priest</x:v>
      </x:c>
      <x:c r="J315" s="24" t="str">
        <x:v>Worship, healing, sacred authority, prophecy, purification, doctrine, or combat against spiritual threats.</x:v>
      </x:c>
      <x:c r="K315" s="24" t="str">
        <x:v>cleric; battle priest</x:v>
      </x:c>
      <x:c r="L315" s="24" t="str">
        <x:v>Preserve each source's ontology, culture, history, and terminology when making comparisons.</x:v>
      </x:c>
      <x:c r="M315" s="24" t="str">
        <x:v>Core Family</x:v>
      </x:c>
    </x:row>
    <x:row r="316" ht="44" customHeight="1">
      <x:c r="A316" s="24" t="str">
        <x:v>ROL-403</x:v>
      </x:c>
      <x:c r="B316" s="24" t="str">
        <x:v>Acolyte and Novice</x:v>
      </x:c>
      <x:c r="C316" s="24" t="str">
        <x:v>Roles &amp; Vocations</x:v>
      </x:c>
      <x:c r="D316" s="24" t="str">
        <x:v>ROL-400</x:v>
      </x:c>
      <x:c r="E316" s="24" t="str">
        <x:f>IF(D316="","",IFERROR(VLOOKUP(D316,$A$2:$B$1226,2,FALSE),""))</x:f>
        <x:v>Divine and Religious Roles</x:v>
      </x:c>
      <x:c r="F316" s="24" t="n">
        <x:v>3</x:v>
      </x:c>
      <x:c r="G316" s="24" t="str">
        <x:v>Junior initiate serving and learning within a temple, cult, monastery, or sacred order.</x:v>
      </x:c>
      <x:c r="H316" s="24" t="str">
        <x:v>Do not assume identical training, social status, powers, or mechanics across settings.</x:v>
      </x:c>
      <x:c r="I316" s="24" t="str">
        <x:v>acolyte; novice; initiate</x:v>
      </x:c>
      <x:c r="J316" s="24" t="str">
        <x:v>Worship, healing, sacred authority, prophecy, purification, doctrine, or combat against spiritual threats.</x:v>
      </x:c>
      <x:c r="K316" s="24" t="str">
        <x:v>acolyte; novice; initiate</x:v>
      </x:c>
      <x:c r="L316" s="24" t="str">
        <x:v>Preserve each source's ontology, culture, history, and terminology when making comparisons.</x:v>
      </x:c>
      <x:c r="M316" s="24" t="str">
        <x:v>Core Family</x:v>
      </x:c>
    </x:row>
    <x:row r="317" ht="44" customHeight="1">
      <x:c r="A317" s="24" t="str">
        <x:v>ROL-404</x:v>
      </x:c>
      <x:c r="B317" s="24" t="str">
        <x:v>Monastic Religious</x:v>
      </x:c>
      <x:c r="C317" s="24" t="str">
        <x:v>Roles &amp; Vocations</x:v>
      </x:c>
      <x:c r="D317" s="24" t="str">
        <x:v>ROL-400</x:v>
      </x:c>
      <x:c r="E317" s="24" t="str">
        <x:f>IF(D317="","",IFERROR(VLOOKUP(D317,$A$2:$B$1226,2,FALSE),""))</x:f>
        <x:v>Divine and Religious Roles</x:v>
      </x:c>
      <x:c r="F317" s="24" t="n">
        <x:v>3</x:v>
      </x:c>
      <x:c r="G317" s="24" t="str">
        <x:v>Member of a disciplined religious community organized around vows, contemplation, service, or sacred practice.</x:v>
      </x:c>
      <x:c r="H317" s="24" t="str">
        <x:v>Do not assume identical training, social status, powers, or mechanics across settings.</x:v>
      </x:c>
      <x:c r="I317" s="24" t="str">
        <x:v>monk; nun; brother; sister</x:v>
      </x:c>
      <x:c r="J317" s="24" t="str">
        <x:v>Worship, healing, sacred authority, prophecy, purification, doctrine, or combat against spiritual threats.</x:v>
      </x:c>
      <x:c r="K317" s="24" t="str">
        <x:v>monk; nun; brother; sister</x:v>
      </x:c>
      <x:c r="L317" s="24" t="str">
        <x:v>Preserve each source's ontology, culture, history, and terminology when making comparisons.</x:v>
      </x:c>
      <x:c r="M317" s="24" t="str">
        <x:v>Core Family</x:v>
      </x:c>
    </x:row>
    <x:row r="318" ht="44" customHeight="1">
      <x:c r="A318" s="24" t="str">
        <x:v>ROL-405</x:v>
      </x:c>
      <x:c r="B318" s="24" t="str">
        <x:v>Templar</x:v>
      </x:c>
      <x:c r="C318" s="24" t="str">
        <x:v>Roles &amp; Vocations</x:v>
      </x:c>
      <x:c r="D318" s="24" t="str">
        <x:v>ROL-400</x:v>
      </x:c>
      <x:c r="E318" s="24" t="str">
        <x:f>IF(D318="","",IFERROR(VLOOKUP(D318,$A$2:$B$1226,2,FALSE),""))</x:f>
        <x:v>Divine and Religious Roles</x:v>
      </x:c>
      <x:c r="F318" s="24" t="n">
        <x:v>3</x:v>
      </x:c>
      <x:c r="G318" s="24" t="str">
        <x:v>Armed member of a religious order charged with protection, conquest, policing, or defense of sacred institutions.</x:v>
      </x:c>
      <x:c r="H318" s="24" t="str">
        <x:v>Do not assume identical training, social status, powers, or mechanics across settings.</x:v>
      </x:c>
      <x:c r="I318" s="24" t="str">
        <x:v>templar; temple knight</x:v>
      </x:c>
      <x:c r="J318" s="24" t="str">
        <x:v>Worship, healing, sacred authority, prophecy, purification, doctrine, or combat against spiritual threats.</x:v>
      </x:c>
      <x:c r="K318" s="24" t="str">
        <x:v>templar; temple knight</x:v>
      </x:c>
      <x:c r="L318" s="24" t="str">
        <x:v>Preserve each source's ontology, culture, history, and terminology when making comparisons.</x:v>
      </x:c>
      <x:c r="M318" s="24" t="str">
        <x:v>Core Family</x:v>
      </x:c>
    </x:row>
    <x:row r="319" ht="44" customHeight="1">
      <x:c r="A319" s="24" t="str">
        <x:v>ROL-406</x:v>
      </x:c>
      <x:c r="B319" s="24" t="str">
        <x:v>Inquisitor</x:v>
      </x:c>
      <x:c r="C319" s="24" t="str">
        <x:v>Roles &amp; Vocations</x:v>
      </x:c>
      <x:c r="D319" s="24" t="str">
        <x:v>ROL-400</x:v>
      </x:c>
      <x:c r="E319" s="24" t="str">
        <x:f>IF(D319="","",IFERROR(VLOOKUP(D319,$A$2:$B$1226,2,FALSE),""))</x:f>
        <x:v>Divine and Religious Roles</x:v>
      </x:c>
      <x:c r="F319" s="24" t="n">
        <x:v>3</x:v>
      </x:c>
      <x:c r="G319" s="24" t="str">
        <x:v>Religious or ideological investigator empowered to identify heresy, corruption, possession, or forbidden magic.</x:v>
      </x:c>
      <x:c r="H319" s="24" t="str">
        <x:v>Do not assume identical training, social status, powers, or mechanics across settings.</x:v>
      </x:c>
      <x:c r="I319" s="24" t="str">
        <x:v>inquisitor; witchfinder; heresy hunter</x:v>
      </x:c>
      <x:c r="J319" s="24" t="str">
        <x:v>Worship, healing, sacred authority, prophecy, purification, doctrine, or combat against spiritual threats.</x:v>
      </x:c>
      <x:c r="K319" s="24" t="str">
        <x:v>inquisitor; witchfinder; heresy hunter</x:v>
      </x:c>
      <x:c r="L319" s="24" t="str">
        <x:v>Preserve each source's ontology, culture, history, and terminology when making comparisons.</x:v>
      </x:c>
      <x:c r="M319" s="24" t="str">
        <x:v>Core Family</x:v>
      </x:c>
    </x:row>
    <x:row r="320" ht="44" customHeight="1">
      <x:c r="A320" s="24" t="str">
        <x:v>ROL-407</x:v>
      </x:c>
      <x:c r="B320" s="24" t="str">
        <x:v>Exorcist</x:v>
      </x:c>
      <x:c r="C320" s="24" t="str">
        <x:v>Roles &amp; Vocations</x:v>
      </x:c>
      <x:c r="D320" s="24" t="str">
        <x:v>ROL-400</x:v>
      </x:c>
      <x:c r="E320" s="24" t="str">
        <x:f>IF(D320="","",IFERROR(VLOOKUP(D320,$A$2:$B$1226,2,FALSE),""))</x:f>
        <x:v>Divine and Religious Roles</x:v>
      </x:c>
      <x:c r="F320" s="24" t="n">
        <x:v>3</x:v>
      </x:c>
      <x:c r="G320" s="24" t="str">
        <x:v>Specialist who removes, repels, seals, or destroys possessing spirits, demons, curses, and hauntings.</x:v>
      </x:c>
      <x:c r="H320" s="24" t="str">
        <x:v>Do not assume identical training, social status, powers, or mechanics across settings.</x:v>
      </x:c>
      <x:c r="I320" s="24" t="str">
        <x:v>exorcist; banisher; spirit cleanser</x:v>
      </x:c>
      <x:c r="J320" s="24" t="str">
        <x:v>Worship, healing, sacred authority, prophecy, purification, doctrine, or combat against spiritual threats.</x:v>
      </x:c>
      <x:c r="K320" s="24" t="str">
        <x:v>exorcist; banisher; spirit cleanser</x:v>
      </x:c>
      <x:c r="L320" s="24" t="str">
        <x:v>Preserve each source's ontology, culture, history, and terminology when making comparisons.</x:v>
      </x:c>
      <x:c r="M320" s="24" t="str">
        <x:v>Core Family</x:v>
      </x:c>
    </x:row>
    <x:row r="321" ht="44" customHeight="1">
      <x:c r="A321" s="24" t="str">
        <x:v>ROL-408</x:v>
      </x:c>
      <x:c r="B321" s="24" t="str">
        <x:v>Oracle</x:v>
      </x:c>
      <x:c r="C321" s="24" t="str">
        <x:v>Roles &amp; Vocations</x:v>
      </x:c>
      <x:c r="D321" s="24" t="str">
        <x:v>ROL-400</x:v>
      </x:c>
      <x:c r="E321" s="24" t="str">
        <x:f>IF(D321="","",IFERROR(VLOOKUP(D321,$A$2:$B$1226,2,FALSE),""))</x:f>
        <x:v>Divine and Religious Roles</x:v>
      </x:c>
      <x:c r="F321" s="24" t="n">
        <x:v>3</x:v>
      </x:c>
      <x:c r="G321" s="24" t="str">
        <x:v>Person who receives authoritative messages, visions, or judgments from gods, spirits, fate, or sacred sites.</x:v>
      </x:c>
      <x:c r="H321" s="24" t="str">
        <x:v>Do not assume identical training, social status, powers, or mechanics across settings.</x:v>
      </x:c>
      <x:c r="I321" s="24" t="str">
        <x:v>oracle; mouthpiece; sibyl</x:v>
      </x:c>
      <x:c r="J321" s="24" t="str">
        <x:v>Worship, healing, sacred authority, prophecy, purification, doctrine, or combat against spiritual threats.</x:v>
      </x:c>
      <x:c r="K321" s="24" t="str">
        <x:v>oracle; mouthpiece; sibyl</x:v>
      </x:c>
      <x:c r="L321" s="24" t="str">
        <x:v>Preserve each source's ontology, culture, history, and terminology when making comparisons.</x:v>
      </x:c>
      <x:c r="M321" s="24" t="str">
        <x:v>Core Family</x:v>
      </x:c>
    </x:row>
    <x:row r="322" ht="44" customHeight="1">
      <x:c r="A322" s="24" t="str">
        <x:v>ROL-409</x:v>
      </x:c>
      <x:c r="B322" s="24" t="str">
        <x:v>Prophet</x:v>
      </x:c>
      <x:c r="C322" s="24" t="str">
        <x:v>Roles &amp; Vocations</x:v>
      </x:c>
      <x:c r="D322" s="24" t="str">
        <x:v>ROL-400</x:v>
      </x:c>
      <x:c r="E322" s="24" t="str">
        <x:f>IF(D322="","",IFERROR(VLOOKUP(D322,$A$2:$B$1226,2,FALSE),""))</x:f>
        <x:v>Divine and Religious Roles</x:v>
      </x:c>
      <x:c r="F322" s="24" t="n">
        <x:v>3</x:v>
      </x:c>
      <x:c r="G322" s="24" t="str">
        <x:v>Religious figure who proclaims revelation, warning, reform, or a future divinely guaranteed event.</x:v>
      </x:c>
      <x:c r="H322" s="24" t="str">
        <x:v>Do not assume identical training, social status, powers, or mechanics across settings.</x:v>
      </x:c>
      <x:c r="I322" s="24" t="str">
        <x:v>prophet; seer-prophet; messiah</x:v>
      </x:c>
      <x:c r="J322" s="24" t="str">
        <x:v>Worship, healing, sacred authority, prophecy, purification, doctrine, or combat against spiritual threats.</x:v>
      </x:c>
      <x:c r="K322" s="24" t="str">
        <x:v>prophet; seer-prophet; messiah</x:v>
      </x:c>
      <x:c r="L322" s="24" t="str">
        <x:v>Preserve each source's ontology, culture, history, and terminology when making comparisons.</x:v>
      </x:c>
      <x:c r="M322" s="24" t="str">
        <x:v>Core Family</x:v>
      </x:c>
    </x:row>
    <x:row r="323" ht="44" customHeight="1">
      <x:c r="A323" s="24" t="str">
        <x:v>ROL-410</x:v>
      </x:c>
      <x:c r="B323" s="24" t="str">
        <x:v>Saint and Miracle Worker</x:v>
      </x:c>
      <x:c r="C323" s="24" t="str">
        <x:v>Roles &amp; Vocations</x:v>
      </x:c>
      <x:c r="D323" s="24" t="str">
        <x:v>ROL-400</x:v>
      </x:c>
      <x:c r="E323" s="24" t="str">
        <x:f>IF(D323="","",IFERROR(VLOOKUP(D323,$A$2:$B$1226,2,FALSE),""))</x:f>
        <x:v>Divine and Religious Roles</x:v>
      </x:c>
      <x:c r="F323" s="24" t="n">
        <x:v>3</x:v>
      </x:c>
      <x:c r="G323" s="24" t="str">
        <x:v>Holy exemplar whose body, relics, presence, or faith produces recognized miracles.</x:v>
      </x:c>
      <x:c r="H323" s="24" t="str">
        <x:v>Do not assume identical training, social status, powers, or mechanics across settings.</x:v>
      </x:c>
      <x:c r="I323" s="24" t="str">
        <x:v>saint; wonder-worker; holy person</x:v>
      </x:c>
      <x:c r="J323" s="24" t="str">
        <x:v>Worship, healing, sacred authority, prophecy, purification, doctrine, or combat against spiritual threats.</x:v>
      </x:c>
      <x:c r="K323" s="24" t="str">
        <x:v>saint; wonder-worker; holy person</x:v>
      </x:c>
      <x:c r="L323" s="24" t="str">
        <x:v>Preserve each source's ontology, culture, history, and terminology when making comparisons.</x:v>
      </x:c>
      <x:c r="M323" s="24" t="str">
        <x:v>Core Family</x:v>
      </x:c>
    </x:row>
    <x:row r="324" ht="44" customHeight="1">
      <x:c r="A324" s="24" t="str">
        <x:v>ROL-411</x:v>
      </x:c>
      <x:c r="B324" s="24" t="str">
        <x:v>Shrine Maiden and Miko-Derived Role</x:v>
      </x:c>
      <x:c r="C324" s="24" t="str">
        <x:v>Roles &amp; Vocations</x:v>
      </x:c>
      <x:c r="D324" s="24" t="str">
        <x:v>ROL-400</x:v>
      </x:c>
      <x:c r="E324" s="24" t="str">
        <x:f>IF(D324="","",IFERROR(VLOOKUP(D324,$A$2:$B$1226,2,FALSE),""))</x:f>
        <x:v>Divine and Religious Roles</x:v>
      </x:c>
      <x:c r="F324" s="24" t="n">
        <x:v>3</x:v>
      </x:c>
      <x:c r="G324" s="24" t="str">
        <x:v>Japanese shrine attendant or fantasy adaptation associated with purification, ritual dance, archery, wards, and spirit mediation.</x:v>
      </x:c>
      <x:c r="H324" s="24" t="str">
        <x:v>Do not assume identical training, social status, powers, or mechanics across settings.</x:v>
      </x:c>
      <x:c r="I324" s="24" t="str">
        <x:v>miko; shrine maiden</x:v>
      </x:c>
      <x:c r="J324" s="24" t="str">
        <x:v>Worship, healing, sacred authority, prophecy, purification, doctrine, or combat against spiritual threats.</x:v>
      </x:c>
      <x:c r="K324" s="24" t="str">
        <x:v>miko; shrine maiden</x:v>
      </x:c>
      <x:c r="L324" s="24" t="str">
        <x:v>Miko are real religious roles; distinguish historical practice from fantasy combat classes.</x:v>
      </x:c>
      <x:c r="M324" s="24" t="str">
        <x:v>Core Family</x:v>
      </x:c>
    </x:row>
    <x:row r="325" ht="44" customHeight="1">
      <x:c r="A325" s="24" t="str">
        <x:v>ROL-412</x:v>
      </x:c>
      <x:c r="B325" s="24" t="str">
        <x:v>Onmyoji-Derived Practitioner</x:v>
      </x:c>
      <x:c r="C325" s="24" t="str">
        <x:v>Roles &amp; Vocations</x:v>
      </x:c>
      <x:c r="D325" s="24" t="str">
        <x:v>ROL-400</x:v>
      </x:c>
      <x:c r="E325" s="24" t="str">
        <x:f>IF(D325="","",IFERROR(VLOOKUP(D325,$A$2:$B$1226,2,FALSE),""))</x:f>
        <x:v>Divine and Religious Roles</x:v>
      </x:c>
      <x:c r="F325" s="24" t="n">
        <x:v>3</x:v>
      </x:c>
      <x:c r="G325" s="24" t="str">
        <x:v>Fantasy role based on Japanese onmyōdō, combining calendrics, divination, ritual, talismans, spirits, and cosmology.</x:v>
      </x:c>
      <x:c r="H325" s="24" t="str">
        <x:v>Do not assume identical training, social status, powers, or mechanics across settings.</x:v>
      </x:c>
      <x:c r="I325" s="24" t="str">
        <x:v>onmyoji; yin-yang master</x:v>
      </x:c>
      <x:c r="J325" s="24" t="str">
        <x:v>Worship, healing, sacred authority, prophecy, purification, doctrine, or combat against spiritual threats.</x:v>
      </x:c>
      <x:c r="K325" s="24" t="str">
        <x:v>onmyoji; yin-yang master</x:v>
      </x:c>
      <x:c r="L325" s="24" t="str">
        <x:v>Onmyōdō is a specific Japanese historical tradition, not a generic exorcist class.</x:v>
      </x:c>
      <x:c r="M325" s="24" t="str">
        <x:v>Core Family</x:v>
      </x:c>
    </x:row>
    <x:row r="326" ht="44" customHeight="1">
      <x:c r="A326" s="24" t="str">
        <x:v>ROL-413</x:v>
      </x:c>
      <x:c r="B326" s="24" t="str">
        <x:v>Cantor and Sacred Singer</x:v>
      </x:c>
      <x:c r="C326" s="24" t="str">
        <x:v>Roles &amp; Vocations</x:v>
      </x:c>
      <x:c r="D326" s="24" t="str">
        <x:v>ROL-400</x:v>
      </x:c>
      <x:c r="E326" s="24" t="str">
        <x:f>IF(D326="","",IFERROR(VLOOKUP(D326,$A$2:$B$1226,2,FALSE),""))</x:f>
        <x:v>Divine and Religious Roles</x:v>
      </x:c>
      <x:c r="F326" s="24" t="n">
        <x:v>3</x:v>
      </x:c>
      <x:c r="G326" s="24" t="str">
        <x:v>Religious specialist whose voice, chant, music, or recitation performs ritual and channels power.</x:v>
      </x:c>
      <x:c r="H326" s="24" t="str">
        <x:v>Do not assume identical training, social status, powers, or mechanics across settings.</x:v>
      </x:c>
      <x:c r="I326" s="24" t="str">
        <x:v>cantor; chanter; sacred bard</x:v>
      </x:c>
      <x:c r="J326" s="24" t="str">
        <x:v>Worship, healing, sacred authority, prophecy, purification, doctrine, or combat against spiritual threats.</x:v>
      </x:c>
      <x:c r="K326" s="24" t="str">
        <x:v>cantor; chanter; sacred bard</x:v>
      </x:c>
      <x:c r="L326" s="24" t="str">
        <x:v>Preserve each source's ontology, culture, history, and terminology when making comparisons.</x:v>
      </x:c>
      <x:c r="M326" s="24" t="str">
        <x:v>Core Family</x:v>
      </x:c>
    </x:row>
    <x:row r="327" ht="44" customHeight="1">
      <x:c r="A327" s="24" t="str">
        <x:v>ROL-414</x:v>
      </x:c>
      <x:c r="B327" s="24" t="str">
        <x:v>Cultist</x:v>
      </x:c>
      <x:c r="C327" s="24" t="str">
        <x:v>Roles &amp; Vocations</x:v>
      </x:c>
      <x:c r="D327" s="24" t="str">
        <x:v>ROL-400</x:v>
      </x:c>
      <x:c r="E327" s="24" t="str">
        <x:f>IF(D327="","",IFERROR(VLOOKUP(D327,$A$2:$B$1226,2,FALSE),""))</x:f>
        <x:v>Divine and Religious Roles</x:v>
      </x:c>
      <x:c r="F327" s="24" t="n">
        <x:v>3</x:v>
      </x:c>
      <x:c r="G327" s="24" t="str">
        <x:v>Devotee of a marginal, secret, forbidden, or antagonistic sacred power, often organized through initiation and sacrifice.</x:v>
      </x:c>
      <x:c r="H327" s="24" t="str">
        <x:v>Do not assume identical training, social status, powers, or mechanics across settings.</x:v>
      </x:c>
      <x:c r="I327" s="24" t="str">
        <x:v>cultist; zealot; dark worshiper</x:v>
      </x:c>
      <x:c r="J327" s="24" t="str">
        <x:v>Worship, healing, sacred authority, prophecy, purification, doctrine, or combat against spiritual threats.</x:v>
      </x:c>
      <x:c r="K327" s="24" t="str">
        <x:v>cultist; zealot; dark worshiper</x:v>
      </x:c>
      <x:c r="L327" s="24" t="str">
        <x:v>Preserve each source's ontology, culture, history, and terminology when making comparisons.</x:v>
      </x:c>
      <x:c r="M327" s="24" t="str">
        <x:v>Core Family</x:v>
      </x:c>
    </x:row>
    <x:row r="328" ht="44" customHeight="1">
      <x:c r="A328" s="24" t="str">
        <x:v>ROL-415</x:v>
      </x:c>
      <x:c r="B328" s="24" t="str">
        <x:v>Death Priest</x:v>
      </x:c>
      <x:c r="C328" s="24" t="str">
        <x:v>Roles &amp; Vocations</x:v>
      </x:c>
      <x:c r="D328" s="24" t="str">
        <x:v>ROL-400</x:v>
      </x:c>
      <x:c r="E328" s="24" t="str">
        <x:f>IF(D328="","",IFERROR(VLOOKUP(D328,$A$2:$B$1226,2,FALSE),""))</x:f>
        <x:v>Divine and Religious Roles</x:v>
      </x:c>
      <x:c r="F328" s="24" t="n">
        <x:v>3</x:v>
      </x:c>
      <x:c r="G328" s="24" t="str">
        <x:v>Religious specialist serving death, funerary rites, ancestors, psychopomps, or gods of the dead.</x:v>
      </x:c>
      <x:c r="H328" s="24" t="str">
        <x:v>Do not assume identical training, social status, powers, or mechanics across settings.</x:v>
      </x:c>
      <x:c r="I328" s="24" t="str">
        <x:v>death priest; mortuary priest; grave cleric</x:v>
      </x:c>
      <x:c r="J328" s="24" t="str">
        <x:v>Worship, healing, sacred authority, prophecy, purification, doctrine, or combat against spiritual threats.</x:v>
      </x:c>
      <x:c r="K328" s="24" t="str">
        <x:v>death priest; mortuary priest; grave cleric</x:v>
      </x:c>
      <x:c r="L328" s="24" t="str">
        <x:v>Preserve each source's ontology, culture, history, and terminology when making comparisons.</x:v>
      </x:c>
      <x:c r="M328" s="24" t="str">
        <x:v>Core Family</x:v>
      </x:c>
    </x:row>
    <x:row r="329" ht="44" customHeight="1">
      <x:c r="A329" s="24" t="str">
        <x:v>ROL-416</x:v>
      </x:c>
      <x:c r="B329" s="24" t="str">
        <x:v>Sun Priest</x:v>
      </x:c>
      <x:c r="C329" s="24" t="str">
        <x:v>Roles &amp; Vocations</x:v>
      </x:c>
      <x:c r="D329" s="24" t="str">
        <x:v>ROL-400</x:v>
      </x:c>
      <x:c r="E329" s="24" t="str">
        <x:f>IF(D329="","",IFERROR(VLOOKUP(D329,$A$2:$B$1226,2,FALSE),""))</x:f>
        <x:v>Divine and Religious Roles</x:v>
      </x:c>
      <x:c r="F329" s="24" t="n">
        <x:v>3</x:v>
      </x:c>
      <x:c r="G329" s="24" t="str">
        <x:v>Religious specialist associated with solar divinity, radiance, law, renewal, or kingship.</x:v>
      </x:c>
      <x:c r="H329" s="24" t="str">
        <x:v>Do not assume identical training, social status, powers, or mechanics across settings.</x:v>
      </x:c>
      <x:c r="I329" s="24" t="str">
        <x:v>sun priest; solar cleric</x:v>
      </x:c>
      <x:c r="J329" s="24" t="str">
        <x:v>Worship, healing, sacred authority, prophecy, purification, doctrine, or combat against spiritual threats.</x:v>
      </x:c>
      <x:c r="K329" s="24" t="str">
        <x:v>sun priest; solar cleric</x:v>
      </x:c>
      <x:c r="L329" s="24" t="str">
        <x:v>Preserve each source's ontology, culture, history, and terminology when making comparisons.</x:v>
      </x:c>
      <x:c r="M329" s="24" t="str">
        <x:v>Core Family</x:v>
      </x:c>
    </x:row>
    <x:row r="330" ht="44" customHeight="1">
      <x:c r="A330" s="24" t="str">
        <x:v>ROL-417</x:v>
      </x:c>
      <x:c r="B330" s="24" t="str">
        <x:v>Moon Priest</x:v>
      </x:c>
      <x:c r="C330" s="24" t="str">
        <x:v>Roles &amp; Vocations</x:v>
      </x:c>
      <x:c r="D330" s="24" t="str">
        <x:v>ROL-400</x:v>
      </x:c>
      <x:c r="E330" s="24" t="str">
        <x:f>IF(D330="","",IFERROR(VLOOKUP(D330,$A$2:$B$1226,2,FALSE),""))</x:f>
        <x:v>Divine and Religious Roles</x:v>
      </x:c>
      <x:c r="F330" s="24" t="n">
        <x:v>3</x:v>
      </x:c>
      <x:c r="G330" s="24" t="str">
        <x:v>Religious specialist associated with lunar cycles, night, prophecy, tides, dreams, or transformation.</x:v>
      </x:c>
      <x:c r="H330" s="24" t="str">
        <x:v>Do not assume identical training, social status, powers, or mechanics across settings.</x:v>
      </x:c>
      <x:c r="I330" s="24" t="str">
        <x:v>moon priest; lunar cleric</x:v>
      </x:c>
      <x:c r="J330" s="24" t="str">
        <x:v>Worship, healing, sacred authority, prophecy, purification, doctrine, or combat against spiritual threats.</x:v>
      </x:c>
      <x:c r="K330" s="24" t="str">
        <x:v>moon priest; lunar cleric</x:v>
      </x:c>
      <x:c r="L330" s="24" t="str">
        <x:v>Preserve each source's ontology, culture, history, and terminology when making comparisons.</x:v>
      </x:c>
      <x:c r="M330" s="24" t="str">
        <x:v>Core Family</x:v>
      </x:c>
    </x:row>
    <x:row r="331" ht="44" customHeight="1">
      <x:c r="A331" s="24" t="str">
        <x:v>ROL-418</x:v>
      </x:c>
      <x:c r="B331" s="24" t="str">
        <x:v>Sacred Champion</x:v>
      </x:c>
      <x:c r="C331" s="24" t="str">
        <x:v>Roles &amp; Vocations</x:v>
      </x:c>
      <x:c r="D331" s="24" t="str">
        <x:v>ROL-400</x:v>
      </x:c>
      <x:c r="E331" s="24" t="str">
        <x:f>IF(D331="","",IFERROR(VLOOKUP(D331,$A$2:$B$1226,2,FALSE),""))</x:f>
        <x:v>Divine and Religious Roles</x:v>
      </x:c>
      <x:c r="F331" s="24" t="n">
        <x:v>3</x:v>
      </x:c>
      <x:c r="G331" s="24" t="str">
        <x:v>Chosen combatant or agent empowered to act for a deity without necessarily belonging to a formal priesthood.</x:v>
      </x:c>
      <x:c r="H331" s="24" t="str">
        <x:v>Do not assume identical training, social status, powers, or mechanics across settings.</x:v>
      </x:c>
      <x:c r="I331" s="24" t="str">
        <x:v>divine champion; godsworn; chosen</x:v>
      </x:c>
      <x:c r="J331" s="24" t="str">
        <x:v>Worship, healing, sacred authority, prophecy, purification, doctrine, or combat against spiritual threats.</x:v>
      </x:c>
      <x:c r="K331" s="24" t="str">
        <x:v>divine champion; godsworn; chosen</x:v>
      </x:c>
      <x:c r="L331" s="24" t="str">
        <x:v>Preserve each source's ontology, culture, history, and terminology when making comparisons.</x:v>
      </x:c>
      <x:c r="M331" s="24" t="str">
        <x:v>Core Family</x:v>
      </x:c>
    </x:row>
    <x:row r="332" ht="44" customHeight="1">
      <x:c r="A332" s="24" t="str">
        <x:v>ROL-419</x:v>
      </x:c>
      <x:c r="B332" s="24" t="str">
        <x:v>Relic Keeper</x:v>
      </x:c>
      <x:c r="C332" s="24" t="str">
        <x:v>Roles &amp; Vocations</x:v>
      </x:c>
      <x:c r="D332" s="24" t="str">
        <x:v>ROL-400</x:v>
      </x:c>
      <x:c r="E332" s="24" t="str">
        <x:f>IF(D332="","",IFERROR(VLOOKUP(D332,$A$2:$B$1226,2,FALSE),""))</x:f>
        <x:v>Divine and Religious Roles</x:v>
      </x:c>
      <x:c r="F332" s="24" t="n">
        <x:v>3</x:v>
      </x:c>
      <x:c r="G332" s="24" t="str">
        <x:v>Custodian of sacred objects, tombs, archives, shrines, or dangerous holy power.</x:v>
      </x:c>
      <x:c r="H332" s="24" t="str">
        <x:v>Do not assume identical training, social status, powers, or mechanics across settings.</x:v>
      </x:c>
      <x:c r="I332" s="24" t="str">
        <x:v>relic keeper; temple guardian</x:v>
      </x:c>
      <x:c r="J332" s="24" t="str">
        <x:v>Worship, healing, sacred authority, prophecy, purification, doctrine, or combat against spiritual threats.</x:v>
      </x:c>
      <x:c r="K332" s="24" t="str">
        <x:v>relic keeper; temple guardian</x:v>
      </x:c>
      <x:c r="L332" s="24" t="str">
        <x:v>Preserve each source's ontology, culture, history, and terminology when making comparisons.</x:v>
      </x:c>
      <x:c r="M332" s="24" t="str">
        <x:v>Core Family</x:v>
      </x:c>
    </x:row>
    <x:row r="333" ht="44" customHeight="1">
      <x:c r="A333" s="24" t="str">
        <x:v>ROL-420</x:v>
      </x:c>
      <x:c r="B333" s="24" t="str">
        <x:v>Pilgrim and Holy Wanderer</x:v>
      </x:c>
      <x:c r="C333" s="24" t="str">
        <x:v>Roles &amp; Vocations</x:v>
      </x:c>
      <x:c r="D333" s="24" t="str">
        <x:v>ROL-400</x:v>
      </x:c>
      <x:c r="E333" s="24" t="str">
        <x:f>IF(D333="","",IFERROR(VLOOKUP(D333,$A$2:$B$1226,2,FALSE),""))</x:f>
        <x:v>Divine and Religious Roles</x:v>
      </x:c>
      <x:c r="F333" s="24" t="n">
        <x:v>3</x:v>
      </x:c>
      <x:c r="G333" s="24" t="str">
        <x:v>Traveler whose journey itself is sacred, penitential, initiatory, or cosmologically necessary.</x:v>
      </x:c>
      <x:c r="H333" s="24" t="str">
        <x:v>Do not assume identical training, social status, powers, or mechanics across settings.</x:v>
      </x:c>
      <x:c r="I333" s="24" t="str">
        <x:v>pilgrim; mendicant; holy wanderer</x:v>
      </x:c>
      <x:c r="J333" s="24" t="str">
        <x:v>Worship, healing, sacred authority, prophecy, purification, doctrine, or combat against spiritual threats.</x:v>
      </x:c>
      <x:c r="K333" s="24" t="str">
        <x:v>pilgrim; mendicant; holy wanderer</x:v>
      </x:c>
      <x:c r="L333" s="24" t="str">
        <x:v>Preserve each source's ontology, culture, history, and terminology when making comparisons.</x:v>
      </x:c>
      <x:c r="M333" s="24" t="str">
        <x:v>Core Family</x:v>
      </x:c>
    </x:row>
    <x:row r="334" ht="44" customHeight="1">
      <x:c r="A334" s="24" t="str">
        <x:v>ROL-421</x:v>
      </x:c>
      <x:c r="B334" s="24" t="str">
        <x:v>Heresy Reformer</x:v>
      </x:c>
      <x:c r="C334" s="24" t="str">
        <x:v>Roles &amp; Vocations</x:v>
      </x:c>
      <x:c r="D334" s="24" t="str">
        <x:v>ROL-400</x:v>
      </x:c>
      <x:c r="E334" s="24" t="str">
        <x:f>IF(D334="","",IFERROR(VLOOKUP(D334,$A$2:$B$1226,2,FALSE),""))</x:f>
        <x:v>Divine and Religious Roles</x:v>
      </x:c>
      <x:c r="F334" s="24" t="n">
        <x:v>3</x:v>
      </x:c>
      <x:c r="G334" s="24" t="str">
        <x:v>Religious figure who challenges institutional orthodoxy in the name of earlier revelation, conscience, or new divine truth.</x:v>
      </x:c>
      <x:c r="H334" s="24" t="str">
        <x:v>Do not assume identical training, social status, powers, or mechanics across settings.</x:v>
      </x:c>
      <x:c r="I334" s="24" t="str">
        <x:v>reformer; heretic saint; dissident priest</x:v>
      </x:c>
      <x:c r="J334" s="24" t="str">
        <x:v>Worship, healing, sacred authority, prophecy, purification, doctrine, or combat against spiritual threats.</x:v>
      </x:c>
      <x:c r="K334" s="24" t="str">
        <x:v>reformer; heretic saint; dissident priest</x:v>
      </x:c>
      <x:c r="L334" s="24" t="str">
        <x:v>Preserve each source's ontology, culture, history, and terminology when making comparisons.</x:v>
      </x:c>
      <x:c r="M334" s="24" t="str">
        <x:v>Core Family</x:v>
      </x:c>
    </x:row>
    <x:row r="335" ht="44" customHeight="1">
      <x:c r="A335" s="24" t="str">
        <x:v>ROL-422</x:v>
      </x:c>
      <x:c r="B335" s="24" t="str">
        <x:v>Sacrificial Priest</x:v>
      </x:c>
      <x:c r="C335" s="24" t="str">
        <x:v>Roles &amp; Vocations</x:v>
      </x:c>
      <x:c r="D335" s="24" t="str">
        <x:v>ROL-400</x:v>
      </x:c>
      <x:c r="E335" s="24" t="str">
        <x:f>IF(D335="","",IFERROR(VLOOKUP(D335,$A$2:$B$1226,2,FALSE),""))</x:f>
        <x:v>Divine and Religious Roles</x:v>
      </x:c>
      <x:c r="F335" s="24" t="n">
        <x:v>3</x:v>
      </x:c>
      <x:c r="G335" s="24" t="str">
        <x:v>Ritual specialist whose authority centers on offerings, blood, substitution, or costly exchange with sacred powers.</x:v>
      </x:c>
      <x:c r="H335" s="24" t="str">
        <x:v>Do not assume identical training, social status, powers, or mechanics across settings.</x:v>
      </x:c>
      <x:c r="I335" s="24" t="str">
        <x:v>sacrificer; blood priest; offering priest</x:v>
      </x:c>
      <x:c r="J335" s="24" t="str">
        <x:v>Worship, healing, sacred authority, prophecy, purification, doctrine, or combat against spiritual threats.</x:v>
      </x:c>
      <x:c r="K335" s="24" t="str">
        <x:v>sacrificer; blood priest; offering priest</x:v>
      </x:c>
      <x:c r="L335" s="24" t="str">
        <x:v>Preserve each source's ontology, culture, history, and terminology when making comparisons.</x:v>
      </x:c>
      <x:c r="M335" s="24" t="str">
        <x:v>Core Family</x:v>
      </x:c>
    </x:row>
    <x:row r="336" ht="44" customHeight="1">
      <x:c r="A336" s="24" t="str">
        <x:v>ROL-423</x:v>
      </x:c>
      <x:c r="B336" s="24" t="str">
        <x:v>Divine Healer</x:v>
      </x:c>
      <x:c r="C336" s="24" t="str">
        <x:v>Roles &amp; Vocations</x:v>
      </x:c>
      <x:c r="D336" s="24" t="str">
        <x:v>ROL-400</x:v>
      </x:c>
      <x:c r="E336" s="24" t="str">
        <x:f>IF(D336="","",IFERROR(VLOOKUP(D336,$A$2:$B$1226,2,FALSE),""))</x:f>
        <x:v>Divine and Religious Roles</x:v>
      </x:c>
      <x:c r="F336" s="24" t="n">
        <x:v>3</x:v>
      </x:c>
      <x:c r="G336" s="24" t="str">
        <x:v>Religious practitioner whose primary vocation is miraculous healing, purification, and restoration.</x:v>
      </x:c>
      <x:c r="H336" s="24" t="str">
        <x:v>Do not assume identical training, social status, powers, or mechanics across settings.</x:v>
      </x:c>
      <x:c r="I336" s="24" t="str">
        <x:v>faith healer; healing cleric</x:v>
      </x:c>
      <x:c r="J336" s="24" t="str">
        <x:v>Worship, healing, sacred authority, prophecy, purification, doctrine, or combat against spiritual threats.</x:v>
      </x:c>
      <x:c r="K336" s="24" t="str">
        <x:v>faith healer; healing cleric</x:v>
      </x:c>
      <x:c r="L336" s="24" t="str">
        <x:v>Preserve each source's ontology, culture, history, and terminology when making comparisons.</x:v>
      </x:c>
      <x:c r="M336" s="24" t="str">
        <x:v>Core Family</x:v>
      </x:c>
    </x:row>
    <x:row r="337" ht="44" customHeight="1">
      <x:c r="A337" s="24" t="str">
        <x:v>ROL-424</x:v>
      </x:c>
      <x:c r="B337" s="24" t="str">
        <x:v>Psychopomp Priest</x:v>
      </x:c>
      <x:c r="C337" s="24" t="str">
        <x:v>Roles &amp; Vocations</x:v>
      </x:c>
      <x:c r="D337" s="24" t="str">
        <x:v>ROL-400</x:v>
      </x:c>
      <x:c r="E337" s="24" t="str">
        <x:f>IF(D337="","",IFERROR(VLOOKUP(D337,$A$2:$B$1226,2,FALSE),""))</x:f>
        <x:v>Divine and Religious Roles</x:v>
      </x:c>
      <x:c r="F337" s="24" t="n">
        <x:v>3</x:v>
      </x:c>
      <x:c r="G337" s="24" t="str">
        <x:v>Mortuary specialist who guides souls and maintains boundaries between the living and dead.</x:v>
      </x:c>
      <x:c r="H337" s="24" t="str">
        <x:v>Do not assume identical training, social status, powers, or mechanics across settings.</x:v>
      </x:c>
      <x:c r="I337" s="24" t="str">
        <x:v>funerary guide; soul priest</x:v>
      </x:c>
      <x:c r="J337" s="24" t="str">
        <x:v>Worship, healing, sacred authority, prophecy, purification, doctrine, or combat against spiritual threats.</x:v>
      </x:c>
      <x:c r="K337" s="24" t="str">
        <x:v>funerary guide; soul priest</x:v>
      </x:c>
      <x:c r="L337" s="24" t="str">
        <x:v>Preserve each source's ontology, culture, history, and terminology when making comparisons.</x:v>
      </x:c>
      <x:c r="M337" s="24" t="str">
        <x:v>Core Family</x:v>
      </x:c>
    </x:row>
    <x:row r="338" ht="44" customHeight="1">
      <x:c r="A338" s="24" t="str">
        <x:v>ROL-425</x:v>
      </x:c>
      <x:c r="B338" s="24" t="str">
        <x:v>Oathkeeper</x:v>
      </x:c>
      <x:c r="C338" s="24" t="str">
        <x:v>Roles &amp; Vocations</x:v>
      </x:c>
      <x:c r="D338" s="24" t="str">
        <x:v>ROL-400</x:v>
      </x:c>
      <x:c r="E338" s="24" t="str">
        <x:f>IF(D338="","",IFERROR(VLOOKUP(D338,$A$2:$B$1226,2,FALSE),""))</x:f>
        <x:v>Divine and Religious Roles</x:v>
      </x:c>
      <x:c r="F338" s="24" t="n">
        <x:v>3</x:v>
      </x:c>
      <x:c r="G338" s="24" t="str">
        <x:v>Religious or sacred official whose power rests on witnessing, enforcing, or embodying vows.</x:v>
      </x:c>
      <x:c r="H338" s="24" t="str">
        <x:v>Do not assume identical training, social status, powers, or mechanics across settings.</x:v>
      </x:c>
      <x:c r="I338" s="24" t="str">
        <x:v>oath priest; vow keeper</x:v>
      </x:c>
      <x:c r="J338" s="24" t="str">
        <x:v>Worship, healing, sacred authority, prophecy, purification, doctrine, or combat against spiritual threats.</x:v>
      </x:c>
      <x:c r="K338" s="24" t="str">
        <x:v>oath priest; vow keeper</x:v>
      </x:c>
      <x:c r="L338" s="24" t="str">
        <x:v>Preserve each source's ontology, culture, history, and terminology when making comparisons.</x:v>
      </x:c>
      <x:c r="M338" s="24" t="str">
        <x:v>Core Family</x:v>
      </x:c>
    </x:row>
    <x:row r="339" ht="44" customHeight="1">
      <x:c r="A339" s="24" t="str">
        <x:v>ROL-501</x:v>
      </x:c>
      <x:c r="B339" s="24" t="str">
        <x:v>Druid</x:v>
      </x:c>
      <x:c r="C339" s="24" t="str">
        <x:v>Roles &amp; Vocations</x:v>
      </x:c>
      <x:c r="D339" s="24" t="str">
        <x:v>ROL-500</x:v>
      </x:c>
      <x:c r="E339" s="24" t="str">
        <x:f>IF(D339="","",IFERROR(VLOOKUP(D339,$A$2:$B$1226,2,FALSE),""))</x:f>
        <x:v>Nature and Spirit Roles</x:v>
      </x:c>
      <x:c r="F339" s="24" t="n">
        <x:v>3</x:v>
      </x:c>
      <x:c r="G339" s="24" t="str">
        <x:v>Practitioner or religious role centered on land, seasons, animals, plants, natural cycles, and often shapeshifting.</x:v>
      </x:c>
      <x:c r="H339" s="24" t="str">
        <x:v>Do not assume identical training, social status, powers, or mechanics across settings.</x:v>
      </x:c>
      <x:c r="I339" s="24" t="str">
        <x:v>druid; grove keeper; circle mage</x:v>
      </x:c>
      <x:c r="J339" s="24" t="str">
        <x:v>Ecological guardianship, spirit mediation, animal partnership, survival, healing, and place-based magic.</x:v>
      </x:c>
      <x:c r="K339" s="24" t="str">
        <x:v>druid; grove keeper; circle mage</x:v>
      </x:c>
      <x:c r="L339" s="24" t="str">
        <x:v>Historical Celtic druids and modern fantasy druids are not equivalent.</x:v>
      </x:c>
      <x:c r="M339" s="24" t="str">
        <x:v>Core Family</x:v>
      </x:c>
    </x:row>
    <x:row r="340" ht="44" customHeight="1">
      <x:c r="A340" s="24" t="str">
        <x:v>ROL-502</x:v>
      </x:c>
      <x:c r="B340" s="24" t="str">
        <x:v>Shaman</x:v>
      </x:c>
      <x:c r="C340" s="24" t="str">
        <x:v>Roles &amp; Vocations</x:v>
      </x:c>
      <x:c r="D340" s="24" t="str">
        <x:v>ROL-500</x:v>
      </x:c>
      <x:c r="E340" s="24" t="str">
        <x:f>IF(D340="","",IFERROR(VLOOKUP(D340,$A$2:$B$1226,2,FALSE),""))</x:f>
        <x:v>Nature and Spirit Roles</x:v>
      </x:c>
      <x:c r="F340" s="24" t="n">
        <x:v>3</x:v>
      </x:c>
      <x:c r="G340" s="24" t="str">
        <x:v>Spirit mediator who heals, divines, travels spiritually, bargains with beings, or serves a community through altered states.</x:v>
      </x:c>
      <x:c r="H340" s="24" t="str">
        <x:v>Do not assume identical training, social status, powers, or mechanics across settings.</x:v>
      </x:c>
      <x:c r="I340" s="24" t="str">
        <x:v>shaman; spirit walker; medicine person</x:v>
      </x:c>
      <x:c r="J340" s="24" t="str">
        <x:v>Ecological guardianship, spirit mediation, animal partnership, survival, healing, and place-based magic.</x:v>
      </x:c>
      <x:c r="K340" s="24" t="str">
        <x:v>shaman; spirit walker; medicine person</x:v>
      </x:c>
      <x:c r="L340" s="24" t="str">
        <x:v>Use cautiously: 'shaman' derives from specific Siberian traditions and is often overgeneralized.</x:v>
      </x:c>
      <x:c r="M340" s="24" t="str">
        <x:v>Core Family</x:v>
      </x:c>
    </x:row>
    <x:row r="341" ht="44" customHeight="1">
      <x:c r="A341" s="24" t="str">
        <x:v>ROL-503</x:v>
      </x:c>
      <x:c r="B341" s="24" t="str">
        <x:v>Animist</x:v>
      </x:c>
      <x:c r="C341" s="24" t="str">
        <x:v>Roles &amp; Vocations</x:v>
      </x:c>
      <x:c r="D341" s="24" t="str">
        <x:v>ROL-500</x:v>
      </x:c>
      <x:c r="E341" s="24" t="str">
        <x:f>IF(D341="","",IFERROR(VLOOKUP(D341,$A$2:$B$1226,2,FALSE),""))</x:f>
        <x:v>Nature and Spirit Roles</x:v>
      </x:c>
      <x:c r="F341" s="24" t="n">
        <x:v>3</x:v>
      </x:c>
      <x:c r="G341" s="24" t="str">
        <x:v>Practitioner who relates to a world populated by persons or agencies in animals, places, weather, objects, and ancestors.</x:v>
      </x:c>
      <x:c r="H341" s="24" t="str">
        <x:v>Do not assume identical training, social status, powers, or mechanics across settings.</x:v>
      </x:c>
      <x:c r="I341" s="24" t="str">
        <x:v>animist; spirit mediator</x:v>
      </x:c>
      <x:c r="J341" s="24" t="str">
        <x:v>Ecological guardianship, spirit mediation, animal partnership, survival, healing, and place-based magic.</x:v>
      </x:c>
      <x:c r="K341" s="24" t="str">
        <x:v>animist; spirit mediator</x:v>
      </x:c>
      <x:c r="L341" s="24" t="str">
        <x:v>Preserve each source's ontology, culture, history, and terminology when making comparisons.</x:v>
      </x:c>
      <x:c r="M341" s="24" t="str">
        <x:v>Core Family</x:v>
      </x:c>
    </x:row>
    <x:row r="342" ht="44" customHeight="1">
      <x:c r="A342" s="24" t="str">
        <x:v>ROL-504</x:v>
      </x:c>
      <x:c r="B342" s="24" t="str">
        <x:v>Spirit Caller</x:v>
      </x:c>
      <x:c r="C342" s="24" t="str">
        <x:v>Roles &amp; Vocations</x:v>
      </x:c>
      <x:c r="D342" s="24" t="str">
        <x:v>ROL-500</x:v>
      </x:c>
      <x:c r="E342" s="24" t="str">
        <x:f>IF(D342="","",IFERROR(VLOOKUP(D342,$A$2:$B$1226,2,FALSE),""))</x:f>
        <x:v>Nature and Spirit Roles</x:v>
      </x:c>
      <x:c r="F342" s="24" t="n">
        <x:v>3</x:v>
      </x:c>
      <x:c r="G342" s="24" t="str">
        <x:v>Specialist who invokes, negotiates with, or channels discrete spirits without necessarily commanding them.</x:v>
      </x:c>
      <x:c r="H342" s="24" t="str">
        <x:v>Do not assume identical training, social status, powers, or mechanics across settings.</x:v>
      </x:c>
      <x:c r="I342" s="24" t="str">
        <x:v>spirit caller; medium; caller</x:v>
      </x:c>
      <x:c r="J342" s="24" t="str">
        <x:v>Ecological guardianship, spirit mediation, animal partnership, survival, healing, and place-based magic.</x:v>
      </x:c>
      <x:c r="K342" s="24" t="str">
        <x:v>spirit caller; medium; caller</x:v>
      </x:c>
      <x:c r="L342" s="24" t="str">
        <x:v>Preserve each source's ontology, culture, history, and terminology when making comparisons.</x:v>
      </x:c>
      <x:c r="M342" s="24" t="str">
        <x:v>Core Family</x:v>
      </x:c>
    </x:row>
    <x:row r="343" ht="44" customHeight="1">
      <x:c r="A343" s="24" t="str">
        <x:v>ROL-505</x:v>
      </x:c>
      <x:c r="B343" s="24" t="str">
        <x:v>Medium</x:v>
      </x:c>
      <x:c r="C343" s="24" t="str">
        <x:v>Roles &amp; Vocations</x:v>
      </x:c>
      <x:c r="D343" s="24" t="str">
        <x:v>ROL-500</x:v>
      </x:c>
      <x:c r="E343" s="24" t="str">
        <x:f>IF(D343="","",IFERROR(VLOOKUP(D343,$A$2:$B$1226,2,FALSE),""))</x:f>
        <x:v>Nature and Spirit Roles</x:v>
      </x:c>
      <x:c r="F343" s="24" t="n">
        <x:v>3</x:v>
      </x:c>
      <x:c r="G343" s="24" t="str">
        <x:v>Person through whom spirits communicate, manifest, possess, or offer information.</x:v>
      </x:c>
      <x:c r="H343" s="24" t="str">
        <x:v>Do not assume identical training, social status, powers, or mechanics across settings.</x:v>
      </x:c>
      <x:c r="I343" s="24" t="str">
        <x:v>medium; channeler; spirit vessel</x:v>
      </x:c>
      <x:c r="J343" s="24" t="str">
        <x:v>Ecological guardianship, spirit mediation, animal partnership, survival, healing, and place-based magic.</x:v>
      </x:c>
      <x:c r="K343" s="24" t="str">
        <x:v>medium; channeler; spirit vessel</x:v>
      </x:c>
      <x:c r="L343" s="24" t="str">
        <x:v>Preserve each source's ontology, culture, history, and terminology when making comparisons.</x:v>
      </x:c>
      <x:c r="M343" s="24" t="str">
        <x:v>Core Family</x:v>
      </x:c>
    </x:row>
    <x:row r="344" ht="44" customHeight="1">
      <x:c r="A344" s="24" t="str">
        <x:v>ROL-506</x:v>
      </x:c>
      <x:c r="B344" s="24" t="str">
        <x:v>Witch Doctor and Folk Spirit Healer</x:v>
      </x:c>
      <x:c r="C344" s="24" t="str">
        <x:v>Roles &amp; Vocations</x:v>
      </x:c>
      <x:c r="D344" s="24" t="str">
        <x:v>ROL-500</x:v>
      </x:c>
      <x:c r="E344" s="24" t="str">
        <x:f>IF(D344="","",IFERROR(VLOOKUP(D344,$A$2:$B$1226,2,FALSE),""))</x:f>
        <x:v>Nature and Spirit Roles</x:v>
      </x:c>
      <x:c r="F344" s="24" t="n">
        <x:v>3</x:v>
      </x:c>
      <x:c r="G344" s="24" t="str">
        <x:v>Community practitioner combining herbs, divination, protection, spirit work, and healing outside formal institutions.</x:v>
      </x:c>
      <x:c r="H344" s="24" t="str">
        <x:v>Do not assume identical training, social status, powers, or mechanics across settings.</x:v>
      </x:c>
      <x:c r="I344" s="24" t="str">
        <x:v>witch doctor; folk healer; spirit doctor</x:v>
      </x:c>
      <x:c r="J344" s="24" t="str">
        <x:v>Ecological guardianship, spirit mediation, animal partnership, survival, healing, and place-based magic.</x:v>
      </x:c>
      <x:c r="K344" s="24" t="str">
        <x:v>witch doctor; folk healer; spirit doctor</x:v>
      </x:c>
      <x:c r="L344" s="24" t="str">
        <x:v>The label can be colonial and imprecise; prefer the source culture's own term.</x:v>
      </x:c>
      <x:c r="M344" s="24" t="str">
        <x:v>Core Family</x:v>
      </x:c>
    </x:row>
    <x:row r="345" ht="44" customHeight="1">
      <x:c r="A345" s="24" t="str">
        <x:v>ROL-507</x:v>
      </x:c>
      <x:c r="B345" s="24" t="str">
        <x:v>Beastmaster and Beast Tamer</x:v>
      </x:c>
      <x:c r="C345" s="24" t="str">
        <x:v>Roles &amp; Vocations</x:v>
      </x:c>
      <x:c r="D345" s="24" t="str">
        <x:v>ROL-500</x:v>
      </x:c>
      <x:c r="E345" s="24" t="str">
        <x:f>IF(D345="","",IFERROR(VLOOKUP(D345,$A$2:$B$1226,2,FALSE),""))</x:f>
        <x:v>Nature and Spirit Roles</x:v>
      </x:c>
      <x:c r="F345" s="24" t="n">
        <x:v>3</x:v>
      </x:c>
      <x:c r="G345" s="24" t="str">
        <x:v>Specialist who trains, bonds with, commands, rides, or fights alongside animals and monsters.</x:v>
      </x:c>
      <x:c r="H345" s="24" t="str">
        <x:v>Do not assume identical training, social status, powers, or mechanics across settings.</x:v>
      </x:c>
      <x:c r="I345" s="24" t="str">
        <x:v>beastmaster; beast tamer; monster tamer</x:v>
      </x:c>
      <x:c r="J345" s="24" t="str">
        <x:v>Ecological guardianship, spirit mediation, animal partnership, survival, healing, and place-based magic.</x:v>
      </x:c>
      <x:c r="K345" s="24" t="str">
        <x:v>beastmaster; beast tamer; monster tamer</x:v>
      </x:c>
      <x:c r="L345" s="24" t="str">
        <x:v>Preserve each source's ontology, culture, history, and terminology when making comparisons.</x:v>
      </x:c>
      <x:c r="M345" s="24" t="str">
        <x:v>Core Family</x:v>
      </x:c>
    </x:row>
    <x:row r="346" ht="44" customHeight="1">
      <x:c r="A346" s="24" t="str">
        <x:v>ROL-508</x:v>
      </x:c>
      <x:c r="B346" s="24" t="str">
        <x:v>Herbalist</x:v>
      </x:c>
      <x:c r="C346" s="24" t="str">
        <x:v>Roles &amp; Vocations</x:v>
      </x:c>
      <x:c r="D346" s="24" t="str">
        <x:v>ROL-500</x:v>
      </x:c>
      <x:c r="E346" s="24" t="str">
        <x:f>IF(D346="","",IFERROR(VLOOKUP(D346,$A$2:$B$1226,2,FALSE),""))</x:f>
        <x:v>Nature and Spirit Roles</x:v>
      </x:c>
      <x:c r="F346" s="24" t="n">
        <x:v>3</x:v>
      </x:c>
      <x:c r="G346" s="24" t="str">
        <x:v>Practitioner whose knowledge of plants supports medicine, poison, ritual, food, and survival.</x:v>
      </x:c>
      <x:c r="H346" s="24" t="str">
        <x:v>Do not assume identical training, social status, powers, or mechanics across settings.</x:v>
      </x:c>
      <x:c r="I346" s="24" t="str">
        <x:v>herbalist; plant healer</x:v>
      </x:c>
      <x:c r="J346" s="24" t="str">
        <x:v>Ecological guardianship, spirit mediation, animal partnership, survival, healing, and place-based magic.</x:v>
      </x:c>
      <x:c r="K346" s="24" t="str">
        <x:v>herbalist; plant healer</x:v>
      </x:c>
      <x:c r="L346" s="24" t="str">
        <x:v>Preserve each source's ontology, culture, history, and terminology when making comparisons.</x:v>
      </x:c>
      <x:c r="M346" s="24" t="str">
        <x:v>Core Family</x:v>
      </x:c>
    </x:row>
    <x:row r="347" ht="44" customHeight="1">
      <x:c r="A347" s="24" t="str">
        <x:v>ROL-509</x:v>
      </x:c>
      <x:c r="B347" s="24" t="str">
        <x:v>Totemist</x:v>
      </x:c>
      <x:c r="C347" s="24" t="str">
        <x:v>Roles &amp; Vocations</x:v>
      </x:c>
      <x:c r="D347" s="24" t="str">
        <x:v>ROL-500</x:v>
      </x:c>
      <x:c r="E347" s="24" t="str">
        <x:f>IF(D347="","",IFERROR(VLOOKUP(D347,$A$2:$B$1226,2,FALSE),""))</x:f>
        <x:v>Nature and Spirit Roles</x:v>
      </x:c>
      <x:c r="F347" s="24" t="n">
        <x:v>3</x:v>
      </x:c>
      <x:c r="G347" s="24" t="str">
        <x:v>Practitioner who channels animal, ancestral, or symbolic spirits through masks, emblems, transformations, or bonds.</x:v>
      </x:c>
      <x:c r="H347" s="24" t="str">
        <x:v>Do not assume identical training, social status, powers, or mechanics across settings.</x:v>
      </x:c>
      <x:c r="I347" s="24" t="str">
        <x:v>totemist; animal spirit warrior</x:v>
      </x:c>
      <x:c r="J347" s="24" t="str">
        <x:v>Ecological guardianship, spirit mediation, animal partnership, survival, healing, and place-based magic.</x:v>
      </x:c>
      <x:c r="K347" s="24" t="str">
        <x:v>totemist; animal spirit warrior</x:v>
      </x:c>
      <x:c r="L347" s="24" t="str">
        <x:v>Preserve each source's ontology, culture, history, and terminology when making comparisons.</x:v>
      </x:c>
      <x:c r="M347" s="24" t="str">
        <x:v>Core Family</x:v>
      </x:c>
    </x:row>
    <x:row r="348" ht="44" customHeight="1">
      <x:c r="A348" s="24" t="str">
        <x:v>ROL-510</x:v>
      </x:c>
      <x:c r="B348" s="24" t="str">
        <x:v>Elemental Channeler</x:v>
      </x:c>
      <x:c r="C348" s="24" t="str">
        <x:v>Roles &amp; Vocations</x:v>
      </x:c>
      <x:c r="D348" s="24" t="str">
        <x:v>ROL-500</x:v>
      </x:c>
      <x:c r="E348" s="24" t="str">
        <x:f>IF(D348="","",IFERROR(VLOOKUP(D348,$A$2:$B$1226,2,FALSE),""))</x:f>
        <x:v>Nature and Spirit Roles</x:v>
      </x:c>
      <x:c r="F348" s="24" t="n">
        <x:v>3</x:v>
      </x:c>
      <x:c r="G348" s="24" t="str">
        <x:v>Practitioner who negotiates with or embodies elemental spirits rather than treating elements as impersonal spells.</x:v>
      </x:c>
      <x:c r="H348" s="24" t="str">
        <x:v>Do not assume identical training, social status, powers, or mechanics across settings.</x:v>
      </x:c>
      <x:c r="I348" s="24" t="str">
        <x:v>elemental shaman; primalist</x:v>
      </x:c>
      <x:c r="J348" s="24" t="str">
        <x:v>Ecological guardianship, spirit mediation, animal partnership, survival, healing, and place-based magic.</x:v>
      </x:c>
      <x:c r="K348" s="24" t="str">
        <x:v>elemental shaman; primalist</x:v>
      </x:c>
      <x:c r="L348" s="24" t="str">
        <x:v>Preserve each source's ontology, culture, history, and terminology when making comparisons.</x:v>
      </x:c>
      <x:c r="M348" s="24" t="str">
        <x:v>Core Family</x:v>
      </x:c>
    </x:row>
    <x:row r="349" ht="44" customHeight="1">
      <x:c r="A349" s="24" t="str">
        <x:v>ROL-511</x:v>
      </x:c>
      <x:c r="B349" s="24" t="str">
        <x:v>Shapeshifting Warden</x:v>
      </x:c>
      <x:c r="C349" s="24" t="str">
        <x:v>Roles &amp; Vocations</x:v>
      </x:c>
      <x:c r="D349" s="24" t="str">
        <x:v>ROL-500</x:v>
      </x:c>
      <x:c r="E349" s="24" t="str">
        <x:f>IF(D349="","",IFERROR(VLOOKUP(D349,$A$2:$B$1226,2,FALSE),""))</x:f>
        <x:v>Nature and Spirit Roles</x:v>
      </x:c>
      <x:c r="F349" s="24" t="n">
        <x:v>3</x:v>
      </x:c>
      <x:c r="G349" s="24" t="str">
        <x:v>Guardian who assumes animal or plant forms to protect wilderness, people, or sacred boundaries.</x:v>
      </x:c>
      <x:c r="H349" s="24" t="str">
        <x:v>Do not assume identical training, social status, powers, or mechanics across settings.</x:v>
      </x:c>
      <x:c r="I349" s="24" t="str">
        <x:v>shapeshifter; wildshape druid; skinchanger</x:v>
      </x:c>
      <x:c r="J349" s="24" t="str">
        <x:v>Ecological guardianship, spirit mediation, animal partnership, survival, healing, and place-based magic.</x:v>
      </x:c>
      <x:c r="K349" s="24" t="str">
        <x:v>shapeshifter; wildshape druid; skinchanger</x:v>
      </x:c>
      <x:c r="L349" s="24" t="str">
        <x:v>Preserve each source's ontology, culture, history, and terminology when making comparisons.</x:v>
      </x:c>
      <x:c r="M349" s="24" t="str">
        <x:v>Core Family</x:v>
      </x:c>
    </x:row>
    <x:row r="350" ht="44" customHeight="1">
      <x:c r="A350" s="24" t="str">
        <x:v>ROL-512</x:v>
      </x:c>
      <x:c r="B350" s="24" t="str">
        <x:v>Forest Warden</x:v>
      </x:c>
      <x:c r="C350" s="24" t="str">
        <x:v>Roles &amp; Vocations</x:v>
      </x:c>
      <x:c r="D350" s="24" t="str">
        <x:v>ROL-500</x:v>
      </x:c>
      <x:c r="E350" s="24" t="str">
        <x:f>IF(D350="","",IFERROR(VLOOKUP(D350,$A$2:$B$1226,2,FALSE),""))</x:f>
        <x:v>Nature and Spirit Roles</x:v>
      </x:c>
      <x:c r="F350" s="24" t="n">
        <x:v>3</x:v>
      </x:c>
      <x:c r="G350" s="24" t="str">
        <x:v>Martial or magical guardian of forests, groves, sacred beasts, and ecological law.</x:v>
      </x:c>
      <x:c r="H350" s="24" t="str">
        <x:v>Do not assume identical training, social status, powers, or mechanics across settings.</x:v>
      </x:c>
      <x:c r="I350" s="24" t="str">
        <x:v>warden; grove guardian; green knight</x:v>
      </x:c>
      <x:c r="J350" s="24" t="str">
        <x:v>Ecological guardianship, spirit mediation, animal partnership, survival, healing, and place-based magic.</x:v>
      </x:c>
      <x:c r="K350" s="24" t="str">
        <x:v>warden; grove guardian; green knight</x:v>
      </x:c>
      <x:c r="L350" s="24" t="str">
        <x:v>Preserve each source's ontology, culture, history, and terminology when making comparisons.</x:v>
      </x:c>
      <x:c r="M350" s="24" t="str">
        <x:v>Core Family</x:v>
      </x:c>
    </x:row>
    <x:row r="351" ht="44" customHeight="1">
      <x:c r="A351" s="24" t="str">
        <x:v>ROL-513</x:v>
      </x:c>
      <x:c r="B351" s="24" t="str">
        <x:v>Weather Worker</x:v>
      </x:c>
      <x:c r="C351" s="24" t="str">
        <x:v>Roles &amp; Vocations</x:v>
      </x:c>
      <x:c r="D351" s="24" t="str">
        <x:v>ROL-500</x:v>
      </x:c>
      <x:c r="E351" s="24" t="str">
        <x:f>IF(D351="","",IFERROR(VLOOKUP(D351,$A$2:$B$1226,2,FALSE),""))</x:f>
        <x:v>Nature and Spirit Roles</x:v>
      </x:c>
      <x:c r="F351" s="24" t="n">
        <x:v>3</x:v>
      </x:c>
      <x:c r="G351" s="24" t="str">
        <x:v>Practitioner who influences rain, storms, drought, wind, or seasonal conditions through ritual or magic.</x:v>
      </x:c>
      <x:c r="H351" s="24" t="str">
        <x:v>Do not assume identical training, social status, powers, or mechanics across settings.</x:v>
      </x:c>
      <x:c r="I351" s="24" t="str">
        <x:v>rainmaker; storm caller; weather witch</x:v>
      </x:c>
      <x:c r="J351" s="24" t="str">
        <x:v>Ecological guardianship, spirit mediation, animal partnership, survival, healing, and place-based magic.</x:v>
      </x:c>
      <x:c r="K351" s="24" t="str">
        <x:v>rainmaker; storm caller; weather witch</x:v>
      </x:c>
      <x:c r="L351" s="24" t="str">
        <x:v>Preserve each source's ontology, culture, history, and terminology when making comparisons.</x:v>
      </x:c>
      <x:c r="M351" s="24" t="str">
        <x:v>Core Family</x:v>
      </x:c>
    </x:row>
    <x:row r="352" ht="44" customHeight="1">
      <x:c r="A352" s="24" t="str">
        <x:v>ROL-514</x:v>
      </x:c>
      <x:c r="B352" s="24" t="str">
        <x:v>Fisher-Shaman and Sea Speaker</x:v>
      </x:c>
      <x:c r="C352" s="24" t="str">
        <x:v>Roles &amp; Vocations</x:v>
      </x:c>
      <x:c r="D352" s="24" t="str">
        <x:v>ROL-500</x:v>
      </x:c>
      <x:c r="E352" s="24" t="str">
        <x:f>IF(D352="","",IFERROR(VLOOKUP(D352,$A$2:$B$1226,2,FALSE),""))</x:f>
        <x:v>Nature and Spirit Roles</x:v>
      </x:c>
      <x:c r="F352" s="24" t="n">
        <x:v>3</x:v>
      </x:c>
      <x:c r="G352" s="24" t="str">
        <x:v>Specialist in marine spirits, tides, whales, storms, navigation, and coastal survival.</x:v>
      </x:c>
      <x:c r="H352" s="24" t="str">
        <x:v>Do not assume identical training, social status, powers, or mechanics across settings.</x:v>
      </x:c>
      <x:c r="I352" s="24" t="str">
        <x:v>sea shaman; tide speaker; wave caller</x:v>
      </x:c>
      <x:c r="J352" s="24" t="str">
        <x:v>Ecological guardianship, spirit mediation, animal partnership, survival, healing, and place-based magic.</x:v>
      </x:c>
      <x:c r="K352" s="24" t="str">
        <x:v>sea shaman; tide speaker; wave caller</x:v>
      </x:c>
      <x:c r="L352" s="24" t="str">
        <x:v>Preserve each source's ontology, culture, history, and terminology when making comparisons.</x:v>
      </x:c>
      <x:c r="M352" s="24" t="str">
        <x:v>Core Family</x:v>
      </x:c>
    </x:row>
    <x:row r="353" ht="44" customHeight="1">
      <x:c r="A353" s="24" t="str">
        <x:v>ROL-515</x:v>
      </x:c>
      <x:c r="B353" s="24" t="str">
        <x:v>Plant Speaker</x:v>
      </x:c>
      <x:c r="C353" s="24" t="str">
        <x:v>Roles &amp; Vocations</x:v>
      </x:c>
      <x:c r="D353" s="24" t="str">
        <x:v>ROL-500</x:v>
      </x:c>
      <x:c r="E353" s="24" t="str">
        <x:f>IF(D353="","",IFERROR(VLOOKUP(D353,$A$2:$B$1226,2,FALSE),""))</x:f>
        <x:v>Nature and Spirit Roles</x:v>
      </x:c>
      <x:c r="F353" s="24" t="n">
        <x:v>3</x:v>
      </x:c>
      <x:c r="G353" s="24" t="str">
        <x:v>Practitioner who communicates with, awakens, heals, or commands plant life.</x:v>
      </x:c>
      <x:c r="H353" s="24" t="str">
        <x:v>Do not assume identical training, social status, powers, or mechanics across settings.</x:v>
      </x:c>
      <x:c r="I353" s="24" t="str">
        <x:v>plant mage; green speaker; botanomancer</x:v>
      </x:c>
      <x:c r="J353" s="24" t="str">
        <x:v>Ecological guardianship, spirit mediation, animal partnership, survival, healing, and place-based magic.</x:v>
      </x:c>
      <x:c r="K353" s="24" t="str">
        <x:v>plant mage; green speaker; botanomancer</x:v>
      </x:c>
      <x:c r="L353" s="24" t="str">
        <x:v>Preserve each source's ontology, culture, history, and terminology when making comparisons.</x:v>
      </x:c>
      <x:c r="M353" s="24" t="str">
        <x:v>Core Family</x:v>
      </x:c>
    </x:row>
    <x:row r="354" ht="44" customHeight="1">
      <x:c r="A354" s="24" t="str">
        <x:v>ROL-516</x:v>
      </x:c>
      <x:c r="B354" s="24" t="str">
        <x:v>Animal Speaker</x:v>
      </x:c>
      <x:c r="C354" s="24" t="str">
        <x:v>Roles &amp; Vocations</x:v>
      </x:c>
      <x:c r="D354" s="24" t="str">
        <x:v>ROL-500</x:v>
      </x:c>
      <x:c r="E354" s="24" t="str">
        <x:f>IF(D354="","",IFERROR(VLOOKUP(D354,$A$2:$B$1226,2,FALSE),""))</x:f>
        <x:v>Nature and Spirit Roles</x:v>
      </x:c>
      <x:c r="F354" s="24" t="n">
        <x:v>3</x:v>
      </x:c>
      <x:c r="G354" s="24" t="str">
        <x:v>Practitioner who communicates with animals and mediates between human and nonhuman communities.</x:v>
      </x:c>
      <x:c r="H354" s="24" t="str">
        <x:v>Do not assume identical training, social status, powers, or mechanics across settings.</x:v>
      </x:c>
      <x:c r="I354" s="24" t="str">
        <x:v>beast speaker; animal friend; zoopath</x:v>
      </x:c>
      <x:c r="J354" s="24" t="str">
        <x:v>Ecological guardianship, spirit mediation, animal partnership, survival, healing, and place-based magic.</x:v>
      </x:c>
      <x:c r="K354" s="24" t="str">
        <x:v>beast speaker; animal friend; zoopath</x:v>
      </x:c>
      <x:c r="L354" s="24" t="str">
        <x:v>Preserve each source's ontology, culture, history, and terminology when making comparisons.</x:v>
      </x:c>
      <x:c r="M354" s="24" t="str">
        <x:v>Core Family</x:v>
      </x:c>
    </x:row>
    <x:row r="355" ht="44" customHeight="1">
      <x:c r="A355" s="24" t="str">
        <x:v>ROL-517</x:v>
      </x:c>
      <x:c r="B355" s="24" t="str">
        <x:v>Geomantic Warden</x:v>
      </x:c>
      <x:c r="C355" s="24" t="str">
        <x:v>Roles &amp; Vocations</x:v>
      </x:c>
      <x:c r="D355" s="24" t="str">
        <x:v>ROL-500</x:v>
      </x:c>
      <x:c r="E355" s="24" t="str">
        <x:f>IF(D355="","",IFERROR(VLOOKUP(D355,$A$2:$B$1226,2,FALSE),""))</x:f>
        <x:v>Nature and Spirit Roles</x:v>
      </x:c>
      <x:c r="F355" s="24" t="n">
        <x:v>3</x:v>
      </x:c>
      <x:c r="G355" s="24" t="str">
        <x:v>Protector who reads terrain, sacred geography, ley lines, and place-based imbalances.</x:v>
      </x:c>
      <x:c r="H355" s="24" t="str">
        <x:v>Do not assume identical training, social status, powers, or mechanics across settings.</x:v>
      </x:c>
      <x:c r="I355" s="24" t="str">
        <x:v>land reader; geomancer; ley warden</x:v>
      </x:c>
      <x:c r="J355" s="24" t="str">
        <x:v>Ecological guardianship, spirit mediation, animal partnership, survival, healing, and place-based magic.</x:v>
      </x:c>
      <x:c r="K355" s="24" t="str">
        <x:v>land reader; geomancer; ley warden</x:v>
      </x:c>
      <x:c r="L355" s="24" t="str">
        <x:v>Preserve each source's ontology, culture, history, and terminology when making comparisons.</x:v>
      </x:c>
      <x:c r="M355" s="24" t="str">
        <x:v>Core Family</x:v>
      </x:c>
    </x:row>
    <x:row r="356" ht="44" customHeight="1">
      <x:c r="A356" s="24" t="str">
        <x:v>ROL-518</x:v>
      </x:c>
      <x:c r="B356" s="24" t="str">
        <x:v>Ancestor Keeper</x:v>
      </x:c>
      <x:c r="C356" s="24" t="str">
        <x:v>Roles &amp; Vocations</x:v>
      </x:c>
      <x:c r="D356" s="24" t="str">
        <x:v>ROL-500</x:v>
      </x:c>
      <x:c r="E356" s="24" t="str">
        <x:f>IF(D356="","",IFERROR(VLOOKUP(D356,$A$2:$B$1226,2,FALSE),""))</x:f>
        <x:v>Nature and Spirit Roles</x:v>
      </x:c>
      <x:c r="F356" s="24" t="n">
        <x:v>3</x:v>
      </x:c>
      <x:c r="G356" s="24" t="str">
        <x:v>Community specialist responsible for ancestral rites, memory, genealogies, and reciprocal obligations with the dead.</x:v>
      </x:c>
      <x:c r="H356" s="24" t="str">
        <x:v>Do not assume identical training, social status, powers, or mechanics across settings.</x:v>
      </x:c>
      <x:c r="I356" s="24" t="str">
        <x:v>ancestor priest; lineage keeper</x:v>
      </x:c>
      <x:c r="J356" s="24" t="str">
        <x:v>Ecological guardianship, spirit mediation, animal partnership, survival, healing, and place-based magic.</x:v>
      </x:c>
      <x:c r="K356" s="24" t="str">
        <x:v>ancestor priest; lineage keeper</x:v>
      </x:c>
      <x:c r="L356" s="24" t="str">
        <x:v>Preserve each source's ontology, culture, history, and terminology when making comparisons.</x:v>
      </x:c>
      <x:c r="M356" s="24" t="str">
        <x:v>Core Family</x:v>
      </x:c>
    </x:row>
    <x:row r="357" ht="44" customHeight="1">
      <x:c r="A357" s="24" t="str">
        <x:v>ROL-601</x:v>
      </x:c>
      <x:c r="B357" s="24" t="str">
        <x:v>Healer</x:v>
      </x:c>
      <x:c r="C357" s="24" t="str">
        <x:v>Roles &amp; Vocations</x:v>
      </x:c>
      <x:c r="D357" s="24" t="str">
        <x:v>ROL-600</x:v>
      </x:c>
      <x:c r="E357" s="24" t="str">
        <x:f>IF(D357="","",IFERROR(VLOOKUP(D357,$A$2:$B$1226,2,FALSE),""))</x:f>
        <x:v>Healing, Craft, and Knowledge Roles</x:v>
      </x:c>
      <x:c r="F357" s="24" t="n">
        <x:v>3</x:v>
      </x:c>
      <x:c r="G357" s="24" t="str">
        <x:v>Broad role devoted to restoring health, removing conditions, stabilizing allies, and sustaining a group.</x:v>
      </x:c>
      <x:c r="H357" s="24" t="str">
        <x:v>Do not assume identical training, social status, powers, or mechanics across settings.</x:v>
      </x:c>
      <x:c r="I357" s="24" t="str">
        <x:v>healer; medic; restorative support</x:v>
      </x:c>
      <x:c r="J357" s="24" t="str">
        <x:v>Healing, production, knowledge, logistics, performance, economy, and noncombat problem solving.</x:v>
      </x:c>
      <x:c r="K357" s="24" t="str">
        <x:v>healer; medic; restorative support</x:v>
      </x:c>
      <x:c r="L357" s="24" t="str">
        <x:v>Preserve each source's ontology, culture, history, and terminology when making comparisons.</x:v>
      </x:c>
      <x:c r="M357" s="24" t="str">
        <x:v>Core Family</x:v>
      </x:c>
    </x:row>
    <x:row r="358" ht="44" customHeight="1">
      <x:c r="A358" s="24" t="str">
        <x:v>ROL-602</x:v>
      </x:c>
      <x:c r="B358" s="24" t="str">
        <x:v>Physician</x:v>
      </x:c>
      <x:c r="C358" s="24" t="str">
        <x:v>Roles &amp; Vocations</x:v>
      </x:c>
      <x:c r="D358" s="24" t="str">
        <x:v>ROL-600</x:v>
      </x:c>
      <x:c r="E358" s="24" t="str">
        <x:f>IF(D358="","",IFERROR(VLOOKUP(D358,$A$2:$B$1226,2,FALSE),""))</x:f>
        <x:v>Healing, Craft, and Knowledge Roles</x:v>
      </x:c>
      <x:c r="F358" s="24" t="n">
        <x:v>3</x:v>
      </x:c>
      <x:c r="G358" s="24" t="str">
        <x:v>Practitioner of systematic bodily diagnosis and treatment without requiring supernatural power.</x:v>
      </x:c>
      <x:c r="H358" s="24" t="str">
        <x:v>Do not assume identical training, social status, powers, or mechanics across settings.</x:v>
      </x:c>
      <x:c r="I358" s="24" t="str">
        <x:v>physician; doctor; chirurgeon</x:v>
      </x:c>
      <x:c r="J358" s="24" t="str">
        <x:v>Healing, production, knowledge, logistics, performance, economy, and noncombat problem solving.</x:v>
      </x:c>
      <x:c r="K358" s="24" t="str">
        <x:v>physician; doctor; chirurgeon</x:v>
      </x:c>
      <x:c r="L358" s="24" t="str">
        <x:v>Preserve each source's ontology, culture, history, and terminology when making comparisons.</x:v>
      </x:c>
      <x:c r="M358" s="24" t="str">
        <x:v>Core Family</x:v>
      </x:c>
    </x:row>
    <x:row r="359" ht="44" customHeight="1">
      <x:c r="A359" s="24" t="str">
        <x:v>ROL-603</x:v>
      </x:c>
      <x:c r="B359" s="24" t="str">
        <x:v>Surgeon</x:v>
      </x:c>
      <x:c r="C359" s="24" t="str">
        <x:v>Roles &amp; Vocations</x:v>
      </x:c>
      <x:c r="D359" s="24" t="str">
        <x:v>ROL-600</x:v>
      </x:c>
      <x:c r="E359" s="24" t="str">
        <x:f>IF(D359="","",IFERROR(VLOOKUP(D359,$A$2:$B$1226,2,FALSE),""))</x:f>
        <x:v>Healing, Craft, and Knowledge Roles</x:v>
      </x:c>
      <x:c r="F359" s="24" t="n">
        <x:v>3</x:v>
      </x:c>
      <x:c r="G359" s="24" t="str">
        <x:v>Specialist in invasive bodily repair, amputation, battlefield medicine, or anatomical intervention.</x:v>
      </x:c>
      <x:c r="H359" s="24" t="str">
        <x:v>Do not assume identical training, social status, powers, or mechanics across settings.</x:v>
      </x:c>
      <x:c r="I359" s="24" t="str">
        <x:v>surgeon; chirurgeon</x:v>
      </x:c>
      <x:c r="J359" s="24" t="str">
        <x:v>Healing, production, knowledge, logistics, performance, economy, and noncombat problem solving.</x:v>
      </x:c>
      <x:c r="K359" s="24" t="str">
        <x:v>surgeon; chirurgeon</x:v>
      </x:c>
      <x:c r="L359" s="24" t="str">
        <x:v>Preserve each source's ontology, culture, history, and terminology when making comparisons.</x:v>
      </x:c>
      <x:c r="M359" s="24" t="str">
        <x:v>Core Family</x:v>
      </x:c>
    </x:row>
    <x:row r="360" ht="44" customHeight="1">
      <x:c r="A360" s="24" t="str">
        <x:v>ROL-604</x:v>
      </x:c>
      <x:c r="B360" s="24" t="str">
        <x:v>Apothecary</x:v>
      </x:c>
      <x:c r="C360" s="24" t="str">
        <x:v>Roles &amp; Vocations</x:v>
      </x:c>
      <x:c r="D360" s="24" t="str">
        <x:v>ROL-600</x:v>
      </x:c>
      <x:c r="E360" s="24" t="str">
        <x:f>IF(D360="","",IFERROR(VLOOKUP(D360,$A$2:$B$1226,2,FALSE),""))</x:f>
        <x:v>Healing, Craft, and Knowledge Roles</x:v>
      </x:c>
      <x:c r="F360" s="24" t="n">
        <x:v>3</x:v>
      </x:c>
      <x:c r="G360" s="24" t="str">
        <x:v>Preparer and seller of medicines, poisons, powders, salves, and compounds.</x:v>
      </x:c>
      <x:c r="H360" s="24" t="str">
        <x:v>Do not assume identical training, social status, powers, or mechanics across settings.</x:v>
      </x:c>
      <x:c r="I360" s="24" t="str">
        <x:v>apothecary; pharmacist; potion seller</x:v>
      </x:c>
      <x:c r="J360" s="24" t="str">
        <x:v>Healing, production, knowledge, logistics, performance, economy, and noncombat problem solving.</x:v>
      </x:c>
      <x:c r="K360" s="24" t="str">
        <x:v>apothecary; pharmacist; potion seller</x:v>
      </x:c>
      <x:c r="L360" s="24" t="str">
        <x:v>Preserve each source's ontology, culture, history, and terminology when making comparisons.</x:v>
      </x:c>
      <x:c r="M360" s="24" t="str">
        <x:v>Core Family</x:v>
      </x:c>
    </x:row>
    <x:row r="361" ht="44" customHeight="1">
      <x:c r="A361" s="24" t="str">
        <x:v>ROL-605</x:v>
      </x:c>
      <x:c r="B361" s="24" t="str">
        <x:v>Cook and Culinarian</x:v>
      </x:c>
      <x:c r="C361" s="24" t="str">
        <x:v>Roles &amp; Vocations</x:v>
      </x:c>
      <x:c r="D361" s="24" t="str">
        <x:v>ROL-600</x:v>
      </x:c>
      <x:c r="E361" s="24" t="str">
        <x:f>IF(D361="","",IFERROR(VLOOKUP(D361,$A$2:$B$1226,2,FALSE),""))</x:f>
        <x:v>Healing, Craft, and Knowledge Roles</x:v>
      </x:c>
      <x:c r="F361" s="24" t="n">
        <x:v>3</x:v>
      </x:c>
      <x:c r="G361" s="24" t="str">
        <x:v>Provider whose food restores, buffs, symbolizes culture, or functions as alchemical craft.</x:v>
      </x:c>
      <x:c r="H361" s="24" t="str">
        <x:v>Do not assume identical training, social status, powers, or mechanics across settings.</x:v>
      </x:c>
      <x:c r="I361" s="24" t="str">
        <x:v>cook; chef; culinarian</x:v>
      </x:c>
      <x:c r="J361" s="24" t="str">
        <x:v>Healing, production, knowledge, logistics, performance, economy, and noncombat problem solving.</x:v>
      </x:c>
      <x:c r="K361" s="24" t="str">
        <x:v>cook; chef; culinarian</x:v>
      </x:c>
      <x:c r="L361" s="24" t="str">
        <x:v>Preserve each source's ontology, culture, history, and terminology when making comparisons.</x:v>
      </x:c>
      <x:c r="M361" s="24" t="str">
        <x:v>Core Family</x:v>
      </x:c>
    </x:row>
    <x:row r="362" ht="44" customHeight="1">
      <x:c r="A362" s="24" t="str">
        <x:v>ROL-606</x:v>
      </x:c>
      <x:c r="B362" s="24" t="str">
        <x:v>Bard</x:v>
      </x:c>
      <x:c r="C362" s="24" t="str">
        <x:v>Roles &amp; Vocations</x:v>
      </x:c>
      <x:c r="D362" s="24" t="str">
        <x:v>ROL-600</x:v>
      </x:c>
      <x:c r="E362" s="24" t="str">
        <x:f>IF(D362="","",IFERROR(VLOOKUP(D362,$A$2:$B$1226,2,FALSE),""))</x:f>
        <x:v>Healing, Craft, and Knowledge Roles</x:v>
      </x:c>
      <x:c r="F362" s="24" t="n">
        <x:v>3</x:v>
      </x:c>
      <x:c r="G362" s="24" t="str">
        <x:v>Performer whose song, story, reputation, memory, or magic influences emotion, morale, identity, and action.</x:v>
      </x:c>
      <x:c r="H362" s="24" t="str">
        <x:v>Do not assume identical training, social status, powers, or mechanics across settings.</x:v>
      </x:c>
      <x:c r="I362" s="24" t="str">
        <x:v>bard; minstrel; troubadour</x:v>
      </x:c>
      <x:c r="J362" s="24" t="str">
        <x:v>Healing, production, knowledge, logistics, performance, economy, and noncombat problem solving.</x:v>
      </x:c>
      <x:c r="K362" s="24" t="str">
        <x:v>bard; minstrel; troubadour</x:v>
      </x:c>
      <x:c r="L362" s="24" t="str">
        <x:v>Preserve each source's ontology, culture, history, and terminology when making comparisons.</x:v>
      </x:c>
      <x:c r="M362" s="24" t="str">
        <x:v>Core Family</x:v>
      </x:c>
    </x:row>
    <x:row r="363" ht="44" customHeight="1">
      <x:c r="A363" s="24" t="str">
        <x:v>ROL-607</x:v>
      </x:c>
      <x:c r="B363" s="24" t="str">
        <x:v>Skald and Warrior-Poet</x:v>
      </x:c>
      <x:c r="C363" s="24" t="str">
        <x:v>Roles &amp; Vocations</x:v>
      </x:c>
      <x:c r="D363" s="24" t="str">
        <x:v>ROL-600</x:v>
      </x:c>
      <x:c r="E363" s="24" t="str">
        <x:f>IF(D363="","",IFERROR(VLOOKUP(D363,$A$2:$B$1226,2,FALSE),""))</x:f>
        <x:v>Healing, Craft, and Knowledge Roles</x:v>
      </x:c>
      <x:c r="F363" s="24" t="n">
        <x:v>3</x:v>
      </x:c>
      <x:c r="G363" s="24" t="str">
        <x:v>Poet-performer associated with heroic memory, praise, insult, genealogy, and martial culture.</x:v>
      </x:c>
      <x:c r="H363" s="24" t="str">
        <x:v>Do not assume identical training, social status, powers, or mechanics across settings.</x:v>
      </x:c>
      <x:c r="I363" s="24" t="str">
        <x:v>skald; warrior poet</x:v>
      </x:c>
      <x:c r="J363" s="24" t="str">
        <x:v>Healing, production, knowledge, logistics, performance, economy, and noncombat problem solving.</x:v>
      </x:c>
      <x:c r="K363" s="24" t="str">
        <x:v>skald; warrior poet</x:v>
      </x:c>
      <x:c r="L363" s="24" t="str">
        <x:v>Preserve each source's ontology, culture, history, and terminology when making comparisons.</x:v>
      </x:c>
      <x:c r="M363" s="24" t="str">
        <x:v>Core Family</x:v>
      </x:c>
    </x:row>
    <x:row r="364" ht="44" customHeight="1">
      <x:c r="A364" s="24" t="str">
        <x:v>ROL-608</x:v>
      </x:c>
      <x:c r="B364" s="24" t="str">
        <x:v>Dancer</x:v>
      </x:c>
      <x:c r="C364" s="24" t="str">
        <x:v>Roles &amp; Vocations</x:v>
      </x:c>
      <x:c r="D364" s="24" t="str">
        <x:v>ROL-600</x:v>
      </x:c>
      <x:c r="E364" s="24" t="str">
        <x:f>IF(D364="","",IFERROR(VLOOKUP(D364,$A$2:$B$1226,2,FALSE),""))</x:f>
        <x:v>Healing, Craft, and Knowledge Roles</x:v>
      </x:c>
      <x:c r="F364" s="24" t="n">
        <x:v>3</x:v>
      </x:c>
      <x:c r="G364" s="24" t="str">
        <x:v>Performer whose movement produces social, ritual, magical, healing, or combat effects.</x:v>
      </x:c>
      <x:c r="H364" s="24" t="str">
        <x:v>Do not assume identical training, social status, powers, or mechanics across settings.</x:v>
      </x:c>
      <x:c r="I364" s="24" t="str">
        <x:v>dancer; ritual dancer; battle dancer</x:v>
      </x:c>
      <x:c r="J364" s="24" t="str">
        <x:v>Healing, production, knowledge, logistics, performance, economy, and noncombat problem solving.</x:v>
      </x:c>
      <x:c r="K364" s="24" t="str">
        <x:v>dancer; ritual dancer; battle dancer</x:v>
      </x:c>
      <x:c r="L364" s="24" t="str">
        <x:v>Preserve each source's ontology, culture, history, and terminology when making comparisons.</x:v>
      </x:c>
      <x:c r="M364" s="24" t="str">
        <x:v>Core Family</x:v>
      </x:c>
    </x:row>
    <x:row r="365" ht="44" customHeight="1">
      <x:c r="A365" s="24" t="str">
        <x:v>ROL-609</x:v>
      </x:c>
      <x:c r="B365" s="24" t="str">
        <x:v>Storyteller and Lorekeeper</x:v>
      </x:c>
      <x:c r="C365" s="24" t="str">
        <x:v>Roles &amp; Vocations</x:v>
      </x:c>
      <x:c r="D365" s="24" t="str">
        <x:v>ROL-600</x:v>
      </x:c>
      <x:c r="E365" s="24" t="str">
        <x:f>IF(D365="","",IFERROR(VLOOKUP(D365,$A$2:$B$1226,2,FALSE),""))</x:f>
        <x:v>Healing, Craft, and Knowledge Roles</x:v>
      </x:c>
      <x:c r="F365" s="24" t="n">
        <x:v>3</x:v>
      </x:c>
      <x:c r="G365" s="24" t="str">
        <x:v>Custodian of oral history, myth, genealogy, law, and communal identity.</x:v>
      </x:c>
      <x:c r="H365" s="24" t="str">
        <x:v>Do not assume identical training, social status, powers, or mechanics across settings.</x:v>
      </x:c>
      <x:c r="I365" s="24" t="str">
        <x:v>storyteller; griot-like role; lorekeeper</x:v>
      </x:c>
      <x:c r="J365" s="24" t="str">
        <x:v>Healing, production, knowledge, logistics, performance, economy, and noncombat problem solving.</x:v>
      </x:c>
      <x:c r="K365" s="24" t="str">
        <x:v>storyteller; griot-like role; lorekeeper</x:v>
      </x:c>
      <x:c r="L365" s="24" t="str">
        <x:v>Do not use 'griot' generically without West African cultural context.</x:v>
      </x:c>
      <x:c r="M365" s="24" t="str">
        <x:v>Core Family</x:v>
      </x:c>
    </x:row>
    <x:row r="366" ht="44" customHeight="1">
      <x:c r="A366" s="24" t="str">
        <x:v>ROL-610</x:v>
      </x:c>
      <x:c r="B366" s="24" t="str">
        <x:v>Blacksmith</x:v>
      </x:c>
      <x:c r="C366" s="24" t="str">
        <x:v>Roles &amp; Vocations</x:v>
      </x:c>
      <x:c r="D366" s="24" t="str">
        <x:v>ROL-600</x:v>
      </x:c>
      <x:c r="E366" s="24" t="str">
        <x:f>IF(D366="","",IFERROR(VLOOKUP(D366,$A$2:$B$1226,2,FALSE),""))</x:f>
        <x:v>Healing, Craft, and Knowledge Roles</x:v>
      </x:c>
      <x:c r="F366" s="24" t="n">
        <x:v>3</x:v>
      </x:c>
      <x:c r="G366" s="24" t="str">
        <x:v>Craftsperson who forges tools, weapons, armor, and culturally significant metalwork.</x:v>
      </x:c>
      <x:c r="H366" s="24" t="str">
        <x:v>Do not assume identical training, social status, powers, or mechanics across settings.</x:v>
      </x:c>
      <x:c r="I366" s="24" t="str">
        <x:v>blacksmith; smith; forge master</x:v>
      </x:c>
      <x:c r="J366" s="24" t="str">
        <x:v>Healing, production, knowledge, logistics, performance, economy, and noncombat problem solving.</x:v>
      </x:c>
      <x:c r="K366" s="24" t="str">
        <x:v>blacksmith; smith; forge master</x:v>
      </x:c>
      <x:c r="L366" s="24" t="str">
        <x:v>Preserve each source's ontology, culture, history, and terminology when making comparisons.</x:v>
      </x:c>
      <x:c r="M366" s="24" t="str">
        <x:v>Core Family</x:v>
      </x:c>
    </x:row>
    <x:row r="367" ht="44" customHeight="1">
      <x:c r="A367" s="24" t="str">
        <x:v>ROL-611</x:v>
      </x:c>
      <x:c r="B367" s="24" t="str">
        <x:v>Armorer</x:v>
      </x:c>
      <x:c r="C367" s="24" t="str">
        <x:v>Roles &amp; Vocations</x:v>
      </x:c>
      <x:c r="D367" s="24" t="str">
        <x:v>ROL-600</x:v>
      </x:c>
      <x:c r="E367" s="24" t="str">
        <x:f>IF(D367="","",IFERROR(VLOOKUP(D367,$A$2:$B$1226,2,FALSE),""))</x:f>
        <x:v>Healing, Craft, and Knowledge Roles</x:v>
      </x:c>
      <x:c r="F367" s="24" t="n">
        <x:v>3</x:v>
      </x:c>
      <x:c r="G367" s="24" t="str">
        <x:v>Specialist in making, fitting, maintaining, and improving armor and shields.</x:v>
      </x:c>
      <x:c r="H367" s="24" t="str">
        <x:v>Do not assume identical training, social status, powers, or mechanics across settings.</x:v>
      </x:c>
      <x:c r="I367" s="24" t="str">
        <x:v>armorer; armourer</x:v>
      </x:c>
      <x:c r="J367" s="24" t="str">
        <x:v>Healing, production, knowledge, logistics, performance, economy, and noncombat problem solving.</x:v>
      </x:c>
      <x:c r="K367" s="24" t="str">
        <x:v>armorer; armourer</x:v>
      </x:c>
      <x:c r="L367" s="24" t="str">
        <x:v>Preserve each source's ontology, culture, history, and terminology when making comparisons.</x:v>
      </x:c>
      <x:c r="M367" s="24" t="str">
        <x:v>Core Family</x:v>
      </x:c>
    </x:row>
    <x:row r="368" ht="44" customHeight="1">
      <x:c r="A368" s="24" t="str">
        <x:v>ROL-612</x:v>
      </x:c>
      <x:c r="B368" s="24" t="str">
        <x:v>Weaponsmith</x:v>
      </x:c>
      <x:c r="C368" s="24" t="str">
        <x:v>Roles &amp; Vocations</x:v>
      </x:c>
      <x:c r="D368" s="24" t="str">
        <x:v>ROL-600</x:v>
      </x:c>
      <x:c r="E368" s="24" t="str">
        <x:f>IF(D368="","",IFERROR(VLOOKUP(D368,$A$2:$B$1226,2,FALSE),""))</x:f>
        <x:v>Healing, Craft, and Knowledge Roles</x:v>
      </x:c>
      <x:c r="F368" s="24" t="n">
        <x:v>3</x:v>
      </x:c>
      <x:c r="G368" s="24" t="str">
        <x:v>Specialist in creating and refining weapons, often including legendary or magical arms.</x:v>
      </x:c>
      <x:c r="H368" s="24" t="str">
        <x:v>Do not assume identical training, social status, powers, or mechanics across settings.</x:v>
      </x:c>
      <x:c r="I368" s="24" t="str">
        <x:v>weaponsmith; swordsmith; bowyer</x:v>
      </x:c>
      <x:c r="J368" s="24" t="str">
        <x:v>Healing, production, knowledge, logistics, performance, economy, and noncombat problem solving.</x:v>
      </x:c>
      <x:c r="K368" s="24" t="str">
        <x:v>weaponsmith; swordsmith; bowyer</x:v>
      </x:c>
      <x:c r="L368" s="24" t="str">
        <x:v>Preserve each source's ontology, culture, history, and terminology when making comparisons.</x:v>
      </x:c>
      <x:c r="M368" s="24" t="str">
        <x:v>Core Family</x:v>
      </x:c>
    </x:row>
    <x:row r="369" ht="44" customHeight="1">
      <x:c r="A369" s="24" t="str">
        <x:v>ROL-613</x:v>
      </x:c>
      <x:c r="B369" s="24" t="str">
        <x:v>Jeweler and Gemworker</x:v>
      </x:c>
      <x:c r="C369" s="24" t="str">
        <x:v>Roles &amp; Vocations</x:v>
      </x:c>
      <x:c r="D369" s="24" t="str">
        <x:v>ROL-600</x:v>
      </x:c>
      <x:c r="E369" s="24" t="str">
        <x:f>IF(D369="","",IFERROR(VLOOKUP(D369,$A$2:$B$1226,2,FALSE),""))</x:f>
        <x:v>Healing, Craft, and Knowledge Roles</x:v>
      </x:c>
      <x:c r="F369" s="24" t="n">
        <x:v>3</x:v>
      </x:c>
      <x:c r="G369" s="24" t="str">
        <x:v>Craftsperson who cuts gems, creates jewelry, embeds magical foci, or manages symbolic wealth.</x:v>
      </x:c>
      <x:c r="H369" s="24" t="str">
        <x:v>Do not assume identical training, social status, powers, or mechanics across settings.</x:v>
      </x:c>
      <x:c r="I369" s="24" t="str">
        <x:v>jeweler; gemcutter; goldsmith</x:v>
      </x:c>
      <x:c r="J369" s="24" t="str">
        <x:v>Healing, production, knowledge, logistics, performance, economy, and noncombat problem solving.</x:v>
      </x:c>
      <x:c r="K369" s="24" t="str">
        <x:v>jeweler; gemcutter; goldsmith</x:v>
      </x:c>
      <x:c r="L369" s="24" t="str">
        <x:v>Preserve each source's ontology, culture, history, and terminology when making comparisons.</x:v>
      </x:c>
      <x:c r="M369" s="24" t="str">
        <x:v>Core Family</x:v>
      </x:c>
    </x:row>
    <x:row r="370" ht="44" customHeight="1">
      <x:c r="A370" s="24" t="str">
        <x:v>ROL-614</x:v>
      </x:c>
      <x:c r="B370" s="24" t="str">
        <x:v>Runesmith and Enchanting Artisan</x:v>
      </x:c>
      <x:c r="C370" s="24" t="str">
        <x:v>Roles &amp; Vocations</x:v>
      </x:c>
      <x:c r="D370" s="24" t="str">
        <x:v>ROL-600</x:v>
      </x:c>
      <x:c r="E370" s="24" t="str">
        <x:f>IF(D370="","",IFERROR(VLOOKUP(D370,$A$2:$B$1226,2,FALSE),""))</x:f>
        <x:v>Healing, Craft, and Knowledge Roles</x:v>
      </x:c>
      <x:c r="F370" s="24" t="n">
        <x:v>3</x:v>
      </x:c>
      <x:c r="G370" s="24" t="str">
        <x:v>Craft specialist who permanently encodes magic into objects through runes, inscriptions, or enchantment.</x:v>
      </x:c>
      <x:c r="H370" s="24" t="str">
        <x:v>Do not assume identical training, social status, powers, or mechanics across settings.</x:v>
      </x:c>
      <x:c r="I370" s="24" t="str">
        <x:v>runesmith; enchanter-smith; artificer</x:v>
      </x:c>
      <x:c r="J370" s="24" t="str">
        <x:v>Healing, production, knowledge, logistics, performance, economy, and noncombat problem solving.</x:v>
      </x:c>
      <x:c r="K370" s="24" t="str">
        <x:v>runesmith; enchanter-smith; artificer</x:v>
      </x:c>
      <x:c r="L370" s="24" t="str">
        <x:v>Preserve each source's ontology, culture, history, and terminology when making comparisons.</x:v>
      </x:c>
      <x:c r="M370" s="24" t="str">
        <x:v>Core Family</x:v>
      </x:c>
    </x:row>
    <x:row r="371" ht="44" customHeight="1">
      <x:c r="A371" s="24" t="str">
        <x:v>ROL-615</x:v>
      </x:c>
      <x:c r="B371" s="24" t="str">
        <x:v>Engineer</x:v>
      </x:c>
      <x:c r="C371" s="24" t="str">
        <x:v>Roles &amp; Vocations</x:v>
      </x:c>
      <x:c r="D371" s="24" t="str">
        <x:v>ROL-600</x:v>
      </x:c>
      <x:c r="E371" s="24" t="str">
        <x:f>IF(D371="","",IFERROR(VLOOKUP(D371,$A$2:$B$1226,2,FALSE),""))</x:f>
        <x:v>Healing, Craft, and Knowledge Roles</x:v>
      </x:c>
      <x:c r="F371" s="24" t="n">
        <x:v>3</x:v>
      </x:c>
      <x:c r="G371" s="24" t="str">
        <x:v>Designer and operator of machines, fortifications, vehicles, infrastructure, and technical systems.</x:v>
      </x:c>
      <x:c r="H371" s="24" t="str">
        <x:v>Do not assume identical training, social status, powers, or mechanics across settings.</x:v>
      </x:c>
      <x:c r="I371" s="24" t="str">
        <x:v>engineer; mechanic; inventor</x:v>
      </x:c>
      <x:c r="J371" s="24" t="str">
        <x:v>Healing, production, knowledge, logistics, performance, economy, and noncombat problem solving.</x:v>
      </x:c>
      <x:c r="K371" s="24" t="str">
        <x:v>engineer; mechanic; inventor</x:v>
      </x:c>
      <x:c r="L371" s="24" t="str">
        <x:v>Preserve each source's ontology, culture, history, and terminology when making comparisons.</x:v>
      </x:c>
      <x:c r="M371" s="24" t="str">
        <x:v>Core Family</x:v>
      </x:c>
    </x:row>
    <x:row r="372" ht="44" customHeight="1">
      <x:c r="A372" s="24" t="str">
        <x:v>ROL-616</x:v>
      </x:c>
      <x:c r="B372" s="24" t="str">
        <x:v>Architect and Builder</x:v>
      </x:c>
      <x:c r="C372" s="24" t="str">
        <x:v>Roles &amp; Vocations</x:v>
      </x:c>
      <x:c r="D372" s="24" t="str">
        <x:v>ROL-600</x:v>
      </x:c>
      <x:c r="E372" s="24" t="str">
        <x:f>IF(D372="","",IFERROR(VLOOKUP(D372,$A$2:$B$1226,2,FALSE),""))</x:f>
        <x:v>Healing, Craft, and Knowledge Roles</x:v>
      </x:c>
      <x:c r="F372" s="24" t="n">
        <x:v>3</x:v>
      </x:c>
      <x:c r="G372" s="24" t="str">
        <x:v>Planner and constructor of buildings, cities, fortresses, temples, and magical structures.</x:v>
      </x:c>
      <x:c r="H372" s="24" t="str">
        <x:v>Do not assume identical training, social status, powers, or mechanics across settings.</x:v>
      </x:c>
      <x:c r="I372" s="24" t="str">
        <x:v>architect; builder; mason</x:v>
      </x:c>
      <x:c r="J372" s="24" t="str">
        <x:v>Healing, production, knowledge, logistics, performance, economy, and noncombat problem solving.</x:v>
      </x:c>
      <x:c r="K372" s="24" t="str">
        <x:v>architect; builder; mason</x:v>
      </x:c>
      <x:c r="L372" s="24" t="str">
        <x:v>Preserve each source's ontology, culture, history, and terminology when making comparisons.</x:v>
      </x:c>
      <x:c r="M372" s="24" t="str">
        <x:v>Core Family</x:v>
      </x:c>
    </x:row>
    <x:row r="373" ht="44" customHeight="1">
      <x:c r="A373" s="24" t="str">
        <x:v>ROL-617</x:v>
      </x:c>
      <x:c r="B373" s="24" t="str">
        <x:v>Miner and Prospector</x:v>
      </x:c>
      <x:c r="C373" s="24" t="str">
        <x:v>Roles &amp; Vocations</x:v>
      </x:c>
      <x:c r="D373" s="24" t="str">
        <x:v>ROL-600</x:v>
      </x:c>
      <x:c r="E373" s="24" t="str">
        <x:f>IF(D373="","",IFERROR(VLOOKUP(D373,$A$2:$B$1226,2,FALSE),""))</x:f>
        <x:v>Healing, Craft, and Knowledge Roles</x:v>
      </x:c>
      <x:c r="F373" s="24" t="n">
        <x:v>3</x:v>
      </x:c>
      <x:c r="G373" s="24" t="str">
        <x:v>Worker who extracts ore, gems, magical minerals, fossils, or subterranean resources.</x:v>
      </x:c>
      <x:c r="H373" s="24" t="str">
        <x:v>Do not assume identical training, social status, powers, or mechanics across settings.</x:v>
      </x:c>
      <x:c r="I373" s="24" t="str">
        <x:v>miner; prospector; delver</x:v>
      </x:c>
      <x:c r="J373" s="24" t="str">
        <x:v>Healing, production, knowledge, logistics, performance, economy, and noncombat problem solving.</x:v>
      </x:c>
      <x:c r="K373" s="24" t="str">
        <x:v>miner; prospector; delver</x:v>
      </x:c>
      <x:c r="L373" s="24" t="str">
        <x:v>Preserve each source's ontology, culture, history, and terminology when making comparisons.</x:v>
      </x:c>
      <x:c r="M373" s="24" t="str">
        <x:v>Core Family</x:v>
      </x:c>
    </x:row>
    <x:row r="374" ht="44" customHeight="1">
      <x:c r="A374" s="24" t="str">
        <x:v>ROL-618</x:v>
      </x:c>
      <x:c r="B374" s="24" t="str">
        <x:v>Farmer and Gardener</x:v>
      </x:c>
      <x:c r="C374" s="24" t="str">
        <x:v>Roles &amp; Vocations</x:v>
      </x:c>
      <x:c r="D374" s="24" t="str">
        <x:v>ROL-600</x:v>
      </x:c>
      <x:c r="E374" s="24" t="str">
        <x:f>IF(D374="","",IFERROR(VLOOKUP(D374,$A$2:$B$1226,2,FALSE),""))</x:f>
        <x:v>Healing, Craft, and Knowledge Roles</x:v>
      </x:c>
      <x:c r="F374" s="24" t="n">
        <x:v>3</x:v>
      </x:c>
      <x:c r="G374" s="24" t="str">
        <x:v>Producer who cultivates food, herbs, magical crops, or domesticated landscapes.</x:v>
      </x:c>
      <x:c r="H374" s="24" t="str">
        <x:v>Do not assume identical training, social status, powers, or mechanics across settings.</x:v>
      </x:c>
      <x:c r="I374" s="24" t="str">
        <x:v>farmer; gardener; planter</x:v>
      </x:c>
      <x:c r="J374" s="24" t="str">
        <x:v>Healing, production, knowledge, logistics, performance, economy, and noncombat problem solving.</x:v>
      </x:c>
      <x:c r="K374" s="24" t="str">
        <x:v>farmer; gardener; planter</x:v>
      </x:c>
      <x:c r="L374" s="24" t="str">
        <x:v>Preserve each source's ontology, culture, history, and terminology when making comparisons.</x:v>
      </x:c>
      <x:c r="M374" s="24" t="str">
        <x:v>Core Family</x:v>
      </x:c>
    </x:row>
    <x:row r="375" ht="44" customHeight="1">
      <x:c r="A375" s="24" t="str">
        <x:v>ROL-619</x:v>
      </x:c>
      <x:c r="B375" s="24" t="str">
        <x:v>Shepherd and Herdsman</x:v>
      </x:c>
      <x:c r="C375" s="24" t="str">
        <x:v>Roles &amp; Vocations</x:v>
      </x:c>
      <x:c r="D375" s="24" t="str">
        <x:v>ROL-600</x:v>
      </x:c>
      <x:c r="E375" s="24" t="str">
        <x:f>IF(D375="","",IFERROR(VLOOKUP(D375,$A$2:$B$1226,2,FALSE),""))</x:f>
        <x:v>Healing, Craft, and Knowledge Roles</x:v>
      </x:c>
      <x:c r="F375" s="24" t="n">
        <x:v>3</x:v>
      </x:c>
      <x:c r="G375" s="24" t="str">
        <x:v>Caretaker of domesticated animals, migratory herds, or magical livestock.</x:v>
      </x:c>
      <x:c r="H375" s="24" t="str">
        <x:v>Do not assume identical training, social status, powers, or mechanics across settings.</x:v>
      </x:c>
      <x:c r="I375" s="24" t="str">
        <x:v>shepherd; herdsman; drover</x:v>
      </x:c>
      <x:c r="J375" s="24" t="str">
        <x:v>Healing, production, knowledge, logistics, performance, economy, and noncombat problem solving.</x:v>
      </x:c>
      <x:c r="K375" s="24" t="str">
        <x:v>shepherd; herdsman; drover</x:v>
      </x:c>
      <x:c r="L375" s="24" t="str">
        <x:v>Preserve each source's ontology, culture, history, and terminology when making comparisons.</x:v>
      </x:c>
      <x:c r="M375" s="24" t="str">
        <x:v>Core Family</x:v>
      </x:c>
    </x:row>
    <x:row r="376" ht="44" customHeight="1">
      <x:c r="A376" s="24" t="str">
        <x:v>ROL-620</x:v>
      </x:c>
      <x:c r="B376" s="24" t="str">
        <x:v>Fisher and Whaler</x:v>
      </x:c>
      <x:c r="C376" s="24" t="str">
        <x:v>Roles &amp; Vocations</x:v>
      </x:c>
      <x:c r="D376" s="24" t="str">
        <x:v>ROL-600</x:v>
      </x:c>
      <x:c r="E376" s="24" t="str">
        <x:f>IF(D376="","",IFERROR(VLOOKUP(D376,$A$2:$B$1226,2,FALSE),""))</x:f>
        <x:v>Healing, Craft, and Knowledge Roles</x:v>
      </x:c>
      <x:c r="F376" s="24" t="n">
        <x:v>3</x:v>
      </x:c>
      <x:c r="G376" s="24" t="str">
        <x:v>Maritime food-gatherer whose role may also involve navigation, monster hunting, or coastal culture.</x:v>
      </x:c>
      <x:c r="H376" s="24" t="str">
        <x:v>Do not assume identical training, social status, powers, or mechanics across settings.</x:v>
      </x:c>
      <x:c r="I376" s="24" t="str">
        <x:v>fisher; whaler; netter</x:v>
      </x:c>
      <x:c r="J376" s="24" t="str">
        <x:v>Healing, production, knowledge, logistics, performance, economy, and noncombat problem solving.</x:v>
      </x:c>
      <x:c r="K376" s="24" t="str">
        <x:v>fisher; whaler; netter</x:v>
      </x:c>
      <x:c r="L376" s="24" t="str">
        <x:v>Preserve each source's ontology, culture, history, and terminology when making comparisons.</x:v>
      </x:c>
      <x:c r="M376" s="24" t="str">
        <x:v>Core Family</x:v>
      </x:c>
    </x:row>
    <x:row r="377" ht="44" customHeight="1">
      <x:c r="A377" s="24" t="str">
        <x:v>ROL-621</x:v>
      </x:c>
      <x:c r="B377" s="24" t="str">
        <x:v>Sailor</x:v>
      </x:c>
      <x:c r="C377" s="24" t="str">
        <x:v>Roles &amp; Vocations</x:v>
      </x:c>
      <x:c r="D377" s="24" t="str">
        <x:v>ROL-600</x:v>
      </x:c>
      <x:c r="E377" s="24" t="str">
        <x:f>IF(D377="","",IFERROR(VLOOKUP(D377,$A$2:$B$1226,2,FALSE),""))</x:f>
        <x:v>Healing, Craft, and Knowledge Roles</x:v>
      </x:c>
      <x:c r="F377" s="24" t="n">
        <x:v>3</x:v>
      </x:c>
      <x:c r="G377" s="24" t="str">
        <x:v>Professional seafarer responsible for ship operation, rigging, navigation support, and survival at sea.</x:v>
      </x:c>
      <x:c r="H377" s="24" t="str">
        <x:v>Do not assume identical training, social status, powers, or mechanics across settings.</x:v>
      </x:c>
      <x:c r="I377" s="24" t="str">
        <x:v>sailor; mariner; deckhand</x:v>
      </x:c>
      <x:c r="J377" s="24" t="str">
        <x:v>Healing, production, knowledge, logistics, performance, economy, and noncombat problem solving.</x:v>
      </x:c>
      <x:c r="K377" s="24" t="str">
        <x:v>sailor; mariner; deckhand</x:v>
      </x:c>
      <x:c r="L377" s="24" t="str">
        <x:v>Preserve each source's ontology, culture, history, and terminology when making comparisons.</x:v>
      </x:c>
      <x:c r="M377" s="24" t="str">
        <x:v>Core Family</x:v>
      </x:c>
    </x:row>
    <x:row r="378" ht="44" customHeight="1">
      <x:c r="A378" s="24" t="str">
        <x:v>ROL-622</x:v>
      </x:c>
      <x:c r="B378" s="24" t="str">
        <x:v>Navigator</x:v>
      </x:c>
      <x:c r="C378" s="24" t="str">
        <x:v>Roles &amp; Vocations</x:v>
      </x:c>
      <x:c r="D378" s="24" t="str">
        <x:v>ROL-600</x:v>
      </x:c>
      <x:c r="E378" s="24" t="str">
        <x:f>IF(D378="","",IFERROR(VLOOKUP(D378,$A$2:$B$1226,2,FALSE),""))</x:f>
        <x:v>Healing, Craft, and Knowledge Roles</x:v>
      </x:c>
      <x:c r="F378" s="24" t="n">
        <x:v>3</x:v>
      </x:c>
      <x:c r="G378" s="24" t="str">
        <x:v>Specialist in routes, stars, currents, planes, portals, or dimensional travel.</x:v>
      </x:c>
      <x:c r="H378" s="24" t="str">
        <x:v>Do not assume identical training, social status, powers, or mechanics across settings.</x:v>
      </x:c>
      <x:c r="I378" s="24" t="str">
        <x:v>navigator; pilot; wayfinder</x:v>
      </x:c>
      <x:c r="J378" s="24" t="str">
        <x:v>Healing, production, knowledge, logistics, performance, economy, and noncombat problem solving.</x:v>
      </x:c>
      <x:c r="K378" s="24" t="str">
        <x:v>navigator; pilot; wayfinder</x:v>
      </x:c>
      <x:c r="L378" s="24" t="str">
        <x:v>Preserve each source's ontology, culture, history, and terminology when making comparisons.</x:v>
      </x:c>
      <x:c r="M378" s="24" t="str">
        <x:v>Core Family</x:v>
      </x:c>
    </x:row>
    <x:row r="379" ht="44" customHeight="1">
      <x:c r="A379" s="24" t="str">
        <x:v>ROL-623</x:v>
      </x:c>
      <x:c r="B379" s="24" t="str">
        <x:v>Cartographer</x:v>
      </x:c>
      <x:c r="C379" s="24" t="str">
        <x:v>Roles &amp; Vocations</x:v>
      </x:c>
      <x:c r="D379" s="24" t="str">
        <x:v>ROL-600</x:v>
      </x:c>
      <x:c r="E379" s="24" t="str">
        <x:f>IF(D379="","",IFERROR(VLOOKUP(D379,$A$2:$B$1226,2,FALSE),""))</x:f>
        <x:v>Healing, Craft, and Knowledge Roles</x:v>
      </x:c>
      <x:c r="F379" s="24" t="n">
        <x:v>3</x:v>
      </x:c>
      <x:c r="G379" s="24" t="str">
        <x:v>Maker and interpreter of maps, including magical, planar, political, and dungeon maps.</x:v>
      </x:c>
      <x:c r="H379" s="24" t="str">
        <x:v>Do not assume identical training, social status, powers, or mechanics across settings.</x:v>
      </x:c>
      <x:c r="I379" s="24" t="str">
        <x:v>cartographer; mapmaker</x:v>
      </x:c>
      <x:c r="J379" s="24" t="str">
        <x:v>Healing, production, knowledge, logistics, performance, economy, and noncombat problem solving.</x:v>
      </x:c>
      <x:c r="K379" s="24" t="str">
        <x:v>cartographer; mapmaker</x:v>
      </x:c>
      <x:c r="L379" s="24" t="str">
        <x:v>Preserve each source's ontology, culture, history, and terminology when making comparisons.</x:v>
      </x:c>
      <x:c r="M379" s="24" t="str">
        <x:v>Core Family</x:v>
      </x:c>
    </x:row>
    <x:row r="380" ht="44" customHeight="1">
      <x:c r="A380" s="24" t="str">
        <x:v>ROL-624</x:v>
      </x:c>
      <x:c r="B380" s="24" t="str">
        <x:v>Scholar</x:v>
      </x:c>
      <x:c r="C380" s="24" t="str">
        <x:v>Roles &amp; Vocations</x:v>
      </x:c>
      <x:c r="D380" s="24" t="str">
        <x:v>ROL-600</x:v>
      </x:c>
      <x:c r="E380" s="24" t="str">
        <x:f>IF(D380="","",IFERROR(VLOOKUP(D380,$A$2:$B$1226,2,FALSE),""))</x:f>
        <x:v>Healing, Craft, and Knowledge Roles</x:v>
      </x:c>
      <x:c r="F380" s="24" t="n">
        <x:v>3</x:v>
      </x:c>
      <x:c r="G380" s="24" t="str">
        <x:v>General researcher or learned professional whose authority rests on education and preserved knowledge.</x:v>
      </x:c>
      <x:c r="H380" s="24" t="str">
        <x:v>Do not assume identical training, social status, powers, or mechanics across settings.</x:v>
      </x:c>
      <x:c r="I380" s="24" t="str">
        <x:v>scholar; academic; learned person</x:v>
      </x:c>
      <x:c r="J380" s="24" t="str">
        <x:v>Healing, production, knowledge, logistics, performance, economy, and noncombat problem solving.</x:v>
      </x:c>
      <x:c r="K380" s="24" t="str">
        <x:v>scholar; academic; learned person</x:v>
      </x:c>
      <x:c r="L380" s="24" t="str">
        <x:v>Preserve each source's ontology, culture, history, and terminology when making comparisons.</x:v>
      </x:c>
      <x:c r="M380" s="24" t="str">
        <x:v>Core Family</x:v>
      </x:c>
    </x:row>
    <x:row r="381" ht="44" customHeight="1">
      <x:c r="A381" s="24" t="str">
        <x:v>ROL-625</x:v>
      </x:c>
      <x:c r="B381" s="24" t="str">
        <x:v>Historian</x:v>
      </x:c>
      <x:c r="C381" s="24" t="str">
        <x:v>Roles &amp; Vocations</x:v>
      </x:c>
      <x:c r="D381" s="24" t="str">
        <x:v>ROL-600</x:v>
      </x:c>
      <x:c r="E381" s="24" t="str">
        <x:f>IF(D381="","",IFERROR(VLOOKUP(D381,$A$2:$B$1226,2,FALSE),""))</x:f>
        <x:v>Healing, Craft, and Knowledge Roles</x:v>
      </x:c>
      <x:c r="F381" s="24" t="n">
        <x:v>3</x:v>
      </x:c>
      <x:c r="G381" s="24" t="str">
        <x:v>Specialist in past events, sources, chronology, institutions, and contested memory.</x:v>
      </x:c>
      <x:c r="H381" s="24" t="str">
        <x:v>Do not assume identical training, social status, powers, or mechanics across settings.</x:v>
      </x:c>
      <x:c r="I381" s="24" t="str">
        <x:v>historian; chronicler</x:v>
      </x:c>
      <x:c r="J381" s="24" t="str">
        <x:v>Healing, production, knowledge, logistics, performance, economy, and noncombat problem solving.</x:v>
      </x:c>
      <x:c r="K381" s="24" t="str">
        <x:v>historian; chronicler</x:v>
      </x:c>
      <x:c r="L381" s="24" t="str">
        <x:v>Preserve each source's ontology, culture, history, and terminology when making comparisons.</x:v>
      </x:c>
      <x:c r="M381" s="24" t="str">
        <x:v>Core Family</x:v>
      </x:c>
    </x:row>
    <x:row r="382" ht="44" customHeight="1">
      <x:c r="A382" s="24" t="str">
        <x:v>ROL-626</x:v>
      </x:c>
      <x:c r="B382" s="24" t="str">
        <x:v>Librarian and Archivist</x:v>
      </x:c>
      <x:c r="C382" s="24" t="str">
        <x:v>Roles &amp; Vocations</x:v>
      </x:c>
      <x:c r="D382" s="24" t="str">
        <x:v>ROL-600</x:v>
      </x:c>
      <x:c r="E382" s="24" t="str">
        <x:f>IF(D382="","",IFERROR(VLOOKUP(D382,$A$2:$B$1226,2,FALSE),""))</x:f>
        <x:v>Healing, Craft, and Knowledge Roles</x:v>
      </x:c>
      <x:c r="F382" s="24" t="n">
        <x:v>3</x:v>
      </x:c>
      <x:c r="G382" s="24" t="str">
        <x:v>Custodian of books, records, magical texts, memories, and restricted knowledge.</x:v>
      </x:c>
      <x:c r="H382" s="24" t="str">
        <x:v>Do not assume identical training, social status, powers, or mechanics across settings.</x:v>
      </x:c>
      <x:c r="I382" s="24" t="str">
        <x:v>librarian; archivist; keeper of tomes</x:v>
      </x:c>
      <x:c r="J382" s="24" t="str">
        <x:v>Healing, production, knowledge, logistics, performance, economy, and noncombat problem solving.</x:v>
      </x:c>
      <x:c r="K382" s="24" t="str">
        <x:v>librarian; archivist; keeper of tomes</x:v>
      </x:c>
      <x:c r="L382" s="24" t="str">
        <x:v>Preserve each source's ontology, culture, history, and terminology when making comparisons.</x:v>
      </x:c>
      <x:c r="M382" s="24" t="str">
        <x:v>Core Family</x:v>
      </x:c>
    </x:row>
    <x:row r="383" ht="44" customHeight="1">
      <x:c r="A383" s="24" t="str">
        <x:v>ROL-627</x:v>
      </x:c>
      <x:c r="B383" s="24" t="str">
        <x:v>Scribe</x:v>
      </x:c>
      <x:c r="C383" s="24" t="str">
        <x:v>Roles &amp; Vocations</x:v>
      </x:c>
      <x:c r="D383" s="24" t="str">
        <x:v>ROL-600</x:v>
      </x:c>
      <x:c r="E383" s="24" t="str">
        <x:f>IF(D383="","",IFERROR(VLOOKUP(D383,$A$2:$B$1226,2,FALSE),""))</x:f>
        <x:v>Healing, Craft, and Knowledge Roles</x:v>
      </x:c>
      <x:c r="F383" s="24" t="n">
        <x:v>3</x:v>
      </x:c>
      <x:c r="G383" s="24" t="str">
        <x:v>Professional writer, copyist, recorder, clerk, or producer of magical texts.</x:v>
      </x:c>
      <x:c r="H383" s="24" t="str">
        <x:v>Do not assume identical training, social status, powers, or mechanics across settings.</x:v>
      </x:c>
      <x:c r="I383" s="24" t="str">
        <x:v>scribe; copyist; clerk</x:v>
      </x:c>
      <x:c r="J383" s="24" t="str">
        <x:v>Healing, production, knowledge, logistics, performance, economy, and noncombat problem solving.</x:v>
      </x:c>
      <x:c r="K383" s="24" t="str">
        <x:v>scribe; copyist; clerk</x:v>
      </x:c>
      <x:c r="L383" s="24" t="str">
        <x:v>Preserve each source's ontology, culture, history, and terminology when making comparisons.</x:v>
      </x:c>
      <x:c r="M383" s="24" t="str">
        <x:v>Core Family</x:v>
      </x:c>
    </x:row>
    <x:row r="384" ht="44" customHeight="1">
      <x:c r="A384" s="24" t="str">
        <x:v>ROL-628</x:v>
      </x:c>
      <x:c r="B384" s="24" t="str">
        <x:v>Teacher and Mentor</x:v>
      </x:c>
      <x:c r="C384" s="24" t="str">
        <x:v>Roles &amp; Vocations</x:v>
      </x:c>
      <x:c r="D384" s="24" t="str">
        <x:v>ROL-600</x:v>
      </x:c>
      <x:c r="E384" s="24" t="str">
        <x:f>IF(D384="","",IFERROR(VLOOKUP(D384,$A$2:$B$1226,2,FALSE),""))</x:f>
        <x:v>Healing, Craft, and Knowledge Roles</x:v>
      </x:c>
      <x:c r="F384" s="24" t="n">
        <x:v>3</x:v>
      </x:c>
      <x:c r="G384" s="24" t="str">
        <x:v>Professional or institutional educator who transfers skill, knowledge, tradition, or magical discipline.</x:v>
      </x:c>
      <x:c r="H384" s="24" t="str">
        <x:v>Do not assume identical training, social status, powers, or mechanics across settings.</x:v>
      </x:c>
      <x:c r="I384" s="24" t="str">
        <x:v>teacher; tutor; instructor</x:v>
      </x:c>
      <x:c r="J384" s="24" t="str">
        <x:v>Healing, production, knowledge, logistics, performance, economy, and noncombat problem solving.</x:v>
      </x:c>
      <x:c r="K384" s="24" t="str">
        <x:v>teacher; tutor; instructor</x:v>
      </x:c>
      <x:c r="L384" s="24" t="str">
        <x:v>Preserve each source's ontology, culture, history, and terminology when making comparisons.</x:v>
      </x:c>
      <x:c r="M384" s="24" t="str">
        <x:v>Core Family</x:v>
      </x:c>
    </x:row>
    <x:row r="385" ht="44" customHeight="1">
      <x:c r="A385" s="24" t="str">
        <x:v>ROL-629</x:v>
      </x:c>
      <x:c r="B385" s="24" t="str">
        <x:v>Translator and Linguist</x:v>
      </x:c>
      <x:c r="C385" s="24" t="str">
        <x:v>Roles &amp; Vocations</x:v>
      </x:c>
      <x:c r="D385" s="24" t="str">
        <x:v>ROL-600</x:v>
      </x:c>
      <x:c r="E385" s="24" t="str">
        <x:f>IF(D385="","",IFERROR(VLOOKUP(D385,$A$2:$B$1226,2,FALSE),""))</x:f>
        <x:v>Healing, Craft, and Knowledge Roles</x:v>
      </x:c>
      <x:c r="F385" s="24" t="n">
        <x:v>3</x:v>
      </x:c>
      <x:c r="G385" s="24" t="str">
        <x:v>Specialist in languages, scripts, codes, ancient speech, and cross-cultural interpretation.</x:v>
      </x:c>
      <x:c r="H385" s="24" t="str">
        <x:v>Do not assume identical training, social status, powers, or mechanics across settings.</x:v>
      </x:c>
      <x:c r="I385" s="24" t="str">
        <x:v>translator; linguist; philologist</x:v>
      </x:c>
      <x:c r="J385" s="24" t="str">
        <x:v>Healing, production, knowledge, logistics, performance, economy, and noncombat problem solving.</x:v>
      </x:c>
      <x:c r="K385" s="24" t="str">
        <x:v>translator; linguist; philologist</x:v>
      </x:c>
      <x:c r="L385" s="24" t="str">
        <x:v>Preserve each source's ontology, culture, history, and terminology when making comparisons.</x:v>
      </x:c>
      <x:c r="M385" s="24" t="str">
        <x:v>Core Family</x:v>
      </x:c>
    </x:row>
    <x:row r="386" ht="44" customHeight="1">
      <x:c r="A386" s="24" t="str">
        <x:v>ROL-630</x:v>
      </x:c>
      <x:c r="B386" s="24" t="str">
        <x:v>Archaeologist and Relic Scholar</x:v>
      </x:c>
      <x:c r="C386" s="24" t="str">
        <x:v>Roles &amp; Vocations</x:v>
      </x:c>
      <x:c r="D386" s="24" t="str">
        <x:v>ROL-600</x:v>
      </x:c>
      <x:c r="E386" s="24" t="str">
        <x:f>IF(D386="","",IFERROR(VLOOKUP(D386,$A$2:$B$1226,2,FALSE),""))</x:f>
        <x:v>Healing, Craft, and Knowledge Roles</x:v>
      </x:c>
      <x:c r="F386" s="24" t="n">
        <x:v>3</x:v>
      </x:c>
      <x:c r="G386" s="24" t="str">
        <x:v>Investigator of ruins, material remains, lost civilizations, and dangerous artifacts.</x:v>
      </x:c>
      <x:c r="H386" s="24" t="str">
        <x:v>Do not assume identical training, social status, powers, or mechanics across settings.</x:v>
      </x:c>
      <x:c r="I386" s="24" t="str">
        <x:v>archaeologist; antiquarian; ruin scholar</x:v>
      </x:c>
      <x:c r="J386" s="24" t="str">
        <x:v>Healing, production, knowledge, logistics, performance, economy, and noncombat problem solving.</x:v>
      </x:c>
      <x:c r="K386" s="24" t="str">
        <x:v>archaeologist; antiquarian; ruin scholar</x:v>
      </x:c>
      <x:c r="L386" s="24" t="str">
        <x:v>Preserve each source's ontology, culture, history, and terminology when making comparisons.</x:v>
      </x:c>
      <x:c r="M386" s="24" t="str">
        <x:v>Core Family</x:v>
      </x:c>
    </x:row>
    <x:row r="387" ht="44" customHeight="1">
      <x:c r="A387" s="24" t="str">
        <x:v>ROL-631</x:v>
      </x:c>
      <x:c r="B387" s="24" t="str">
        <x:v>Merchant and Trader</x:v>
      </x:c>
      <x:c r="C387" s="24" t="str">
        <x:v>Roles &amp; Vocations</x:v>
      </x:c>
      <x:c r="D387" s="24" t="str">
        <x:v>ROL-600</x:v>
      </x:c>
      <x:c r="E387" s="24" t="str">
        <x:f>IF(D387="","",IFERROR(VLOOKUP(D387,$A$2:$B$1226,2,FALSE),""))</x:f>
        <x:v>Healing, Craft, and Knowledge Roles</x:v>
      </x:c>
      <x:c r="F387" s="24" t="n">
        <x:v>3</x:v>
      </x:c>
      <x:c r="G387" s="24" t="str">
        <x:v>Professional who exchanges goods, credit, information, transport, and social access.</x:v>
      </x:c>
      <x:c r="H387" s="24" t="str">
        <x:v>Do not assume identical training, social status, powers, or mechanics across settings.</x:v>
      </x:c>
      <x:c r="I387" s="24" t="str">
        <x:v>merchant; trader; factor</x:v>
      </x:c>
      <x:c r="J387" s="24" t="str">
        <x:v>Healing, production, knowledge, logistics, performance, economy, and noncombat problem solving.</x:v>
      </x:c>
      <x:c r="K387" s="24" t="str">
        <x:v>merchant; trader; factor</x:v>
      </x:c>
      <x:c r="L387" s="24" t="str">
        <x:v>Preserve each source's ontology, culture, history, and terminology when making comparisons.</x:v>
      </x:c>
      <x:c r="M387" s="24" t="str">
        <x:v>Core Family</x:v>
      </x:c>
    </x:row>
    <x:row r="388" ht="44" customHeight="1">
      <x:c r="A388" s="24" t="str">
        <x:v>ROL-632</x:v>
      </x:c>
      <x:c r="B388" s="24" t="str">
        <x:v>Caravaner</x:v>
      </x:c>
      <x:c r="C388" s="24" t="str">
        <x:v>Roles &amp; Vocations</x:v>
      </x:c>
      <x:c r="D388" s="24" t="str">
        <x:v>ROL-600</x:v>
      </x:c>
      <x:c r="E388" s="24" t="str">
        <x:f>IF(D388="","",IFERROR(VLOOKUP(D388,$A$2:$B$1226,2,FALSE),""))</x:f>
        <x:v>Healing, Craft, and Knowledge Roles</x:v>
      </x:c>
      <x:c r="F388" s="24" t="n">
        <x:v>3</x:v>
      </x:c>
      <x:c r="G388" s="24" t="str">
        <x:v>Merchant-traveler responsible for long-distance overland trade, security, animals, and route knowledge.</x:v>
      </x:c>
      <x:c r="H388" s="24" t="str">
        <x:v>Do not assume identical training, social status, powers, or mechanics across settings.</x:v>
      </x:c>
      <x:c r="I388" s="24" t="str">
        <x:v>caravaner; caravan master</x:v>
      </x:c>
      <x:c r="J388" s="24" t="str">
        <x:v>Healing, production, knowledge, logistics, performance, economy, and noncombat problem solving.</x:v>
      </x:c>
      <x:c r="K388" s="24" t="str">
        <x:v>caravaner; caravan master</x:v>
      </x:c>
      <x:c r="L388" s="24" t="str">
        <x:v>Preserve each source's ontology, culture, history, and terminology when making comparisons.</x:v>
      </x:c>
      <x:c r="M388" s="24" t="str">
        <x:v>Core Family</x:v>
      </x:c>
    </x:row>
    <x:row r="389" ht="44" customHeight="1">
      <x:c r="A389" s="24" t="str">
        <x:v>ROL-633</x:v>
      </x:c>
      <x:c r="B389" s="24" t="str">
        <x:v>Innkeeper and Host</x:v>
      </x:c>
      <x:c r="C389" s="24" t="str">
        <x:v>Roles &amp; Vocations</x:v>
      </x:c>
      <x:c r="D389" s="24" t="str">
        <x:v>ROL-600</x:v>
      </x:c>
      <x:c r="E389" s="24" t="str">
        <x:f>IF(D389="","",IFERROR(VLOOKUP(D389,$A$2:$B$1226,2,FALSE),""))</x:f>
        <x:v>Healing, Craft, and Knowledge Roles</x:v>
      </x:c>
      <x:c r="F389" s="24" t="n">
        <x:v>3</x:v>
      </x:c>
      <x:c r="G389" s="24" t="str">
        <x:v>Provider of lodging, food, rumors, social space, and logistical support for travelers.</x:v>
      </x:c>
      <x:c r="H389" s="24" t="str">
        <x:v>Do not assume identical training, social status, powers, or mechanics across settings.</x:v>
      </x:c>
      <x:c r="I389" s="24" t="str">
        <x:v>innkeeper; tavernkeeper; host</x:v>
      </x:c>
      <x:c r="J389" s="24" t="str">
        <x:v>Healing, production, knowledge, logistics, performance, economy, and noncombat problem solving.</x:v>
      </x:c>
      <x:c r="K389" s="24" t="str">
        <x:v>innkeeper; tavernkeeper; host</x:v>
      </x:c>
      <x:c r="L389" s="24" t="str">
        <x:v>Preserve each source's ontology, culture, history, and terminology when making comparisons.</x:v>
      </x:c>
      <x:c r="M389" s="24" t="str">
        <x:v>Core Family</x:v>
      </x:c>
    </x:row>
    <x:row r="390" ht="44" customHeight="1">
      <x:c r="A390" s="24" t="str">
        <x:v>ROL-634</x:v>
      </x:c>
      <x:c r="B390" s="24" t="str">
        <x:v>Diplomat and Ambassador</x:v>
      </x:c>
      <x:c r="C390" s="24" t="str">
        <x:v>Roles &amp; Vocations</x:v>
      </x:c>
      <x:c r="D390" s="24" t="str">
        <x:v>ROL-600</x:v>
      </x:c>
      <x:c r="E390" s="24" t="str">
        <x:f>IF(D390="","",IFERROR(VLOOKUP(D390,$A$2:$B$1226,2,FALSE),""))</x:f>
        <x:v>Healing, Craft, and Knowledge Roles</x:v>
      </x:c>
      <x:c r="F390" s="24" t="n">
        <x:v>3</x:v>
      </x:c>
      <x:c r="G390" s="24" t="str">
        <x:v>Representative who negotiates between polities, peoples, factions, or supernatural powers.</x:v>
      </x:c>
      <x:c r="H390" s="24" t="str">
        <x:v>Do not assume identical training, social status, powers, or mechanics across settings.</x:v>
      </x:c>
      <x:c r="I390" s="24" t="str">
        <x:v>diplomat; ambassador; envoy</x:v>
      </x:c>
      <x:c r="J390" s="24" t="str">
        <x:v>Healing, production, knowledge, logistics, performance, economy, and noncombat problem solving.</x:v>
      </x:c>
      <x:c r="K390" s="24" t="str">
        <x:v>diplomat; ambassador; envoy</x:v>
      </x:c>
      <x:c r="L390" s="24" t="str">
        <x:v>Preserve each source's ontology, culture, history, and terminology when making comparisons.</x:v>
      </x:c>
      <x:c r="M390" s="24" t="str">
        <x:v>Core Family</x:v>
      </x:c>
    </x:row>
    <x:row r="391" ht="44" customHeight="1">
      <x:c r="A391" s="24" t="str">
        <x:v>ROL-635</x:v>
      </x:c>
      <x:c r="B391" s="24" t="str">
        <x:v>Judge and Magistrate</x:v>
      </x:c>
      <x:c r="C391" s="24" t="str">
        <x:v>Roles &amp; Vocations</x:v>
      </x:c>
      <x:c r="D391" s="24" t="str">
        <x:v>ROL-600</x:v>
      </x:c>
      <x:c r="E391" s="24" t="str">
        <x:f>IF(D391="","",IFERROR(VLOOKUP(D391,$A$2:$B$1226,2,FALSE),""))</x:f>
        <x:v>Healing, Craft, and Knowledge Roles</x:v>
      </x:c>
      <x:c r="F391" s="24" t="n">
        <x:v>3</x:v>
      </x:c>
      <x:c r="G391" s="24" t="str">
        <x:v>Official who interprets law, resolves disputes, imposes sentences, and embodies institutional justice.</x:v>
      </x:c>
      <x:c r="H391" s="24" t="str">
        <x:v>Do not assume identical training, social status, powers, or mechanics across settings.</x:v>
      </x:c>
      <x:c r="I391" s="24" t="str">
        <x:v>judge; magistrate; arbiter</x:v>
      </x:c>
      <x:c r="J391" s="24" t="str">
        <x:v>Healing, production, knowledge, logistics, performance, economy, and noncombat problem solving.</x:v>
      </x:c>
      <x:c r="K391" s="24" t="str">
        <x:v>judge; magistrate; arbiter</x:v>
      </x:c>
      <x:c r="L391" s="24" t="str">
        <x:v>Preserve each source's ontology, culture, history, and terminology when making comparisons.</x:v>
      </x:c>
      <x:c r="M391" s="24" t="str">
        <x:v>Core Family</x:v>
      </x:c>
    </x:row>
    <x:row r="392" ht="44" customHeight="1">
      <x:c r="A392" s="24" t="str">
        <x:v>ROL-636</x:v>
      </x:c>
      <x:c r="B392" s="24" t="str">
        <x:v>Bureaucrat and Administrator</x:v>
      </x:c>
      <x:c r="C392" s="24" t="str">
        <x:v>Roles &amp; Vocations</x:v>
      </x:c>
      <x:c r="D392" s="24" t="str">
        <x:v>ROL-600</x:v>
      </x:c>
      <x:c r="E392" s="24" t="str">
        <x:f>IF(D392="","",IFERROR(VLOOKUP(D392,$A$2:$B$1226,2,FALSE),""))</x:f>
        <x:v>Healing, Craft, and Knowledge Roles</x:v>
      </x:c>
      <x:c r="F392" s="24" t="n">
        <x:v>3</x:v>
      </x:c>
      <x:c r="G392" s="24" t="str">
        <x:v>Official who manages records, taxes, permissions, logistics, and institutional continuity.</x:v>
      </x:c>
      <x:c r="H392" s="24" t="str">
        <x:v>Do not assume identical training, social status, powers, or mechanics across settings.</x:v>
      </x:c>
      <x:c r="I392" s="24" t="str">
        <x:v>bureaucrat; administrator; clerk</x:v>
      </x:c>
      <x:c r="J392" s="24" t="str">
        <x:v>Healing, production, knowledge, logistics, performance, economy, and noncombat problem solving.</x:v>
      </x:c>
      <x:c r="K392" s="24" t="str">
        <x:v>bureaucrat; administrator; clerk</x:v>
      </x:c>
      <x:c r="L392" s="24" t="str">
        <x:v>Preserve each source's ontology, culture, history, and terminology when making comparisons.</x:v>
      </x:c>
      <x:c r="M392" s="24" t="str">
        <x:v>Core Family</x:v>
      </x:c>
    </x:row>
    <x:row r="393" ht="44" customHeight="1">
      <x:c r="A393" s="24" t="str">
        <x:v>ROL-637</x:v>
      </x:c>
      <x:c r="B393" s="24" t="str">
        <x:v>Herald and Messenger</x:v>
      </x:c>
      <x:c r="C393" s="24" t="str">
        <x:v>Roles &amp; Vocations</x:v>
      </x:c>
      <x:c r="D393" s="24" t="str">
        <x:v>ROL-600</x:v>
      </x:c>
      <x:c r="E393" s="24" t="str">
        <x:f>IF(D393="","",IFERROR(VLOOKUP(D393,$A$2:$B$1226,2,FALSE),""))</x:f>
        <x:v>Healing, Craft, and Knowledge Roles</x:v>
      </x:c>
      <x:c r="F393" s="24" t="n">
        <x:v>3</x:v>
      </x:c>
      <x:c r="G393" s="24" t="str">
        <x:v>Official communicator who carries news, declarations, challenges, identity, and diplomatic status.</x:v>
      </x:c>
      <x:c r="H393" s="24" t="str">
        <x:v>Do not assume identical training, social status, powers, or mechanics across settings.</x:v>
      </x:c>
      <x:c r="I393" s="24" t="str">
        <x:v>herald; courier; messenger</x:v>
      </x:c>
      <x:c r="J393" s="24" t="str">
        <x:v>Healing, production, knowledge, logistics, performance, economy, and noncombat problem solving.</x:v>
      </x:c>
      <x:c r="K393" s="24" t="str">
        <x:v>herald; courier; messenger</x:v>
      </x:c>
      <x:c r="L393" s="24" t="str">
        <x:v>Preserve each source's ontology, culture, history, and terminology when making comparisons.</x:v>
      </x:c>
      <x:c r="M393" s="24" t="str">
        <x:v>Core Family</x:v>
      </x:c>
    </x:row>
    <x:row r="394" ht="44" customHeight="1">
      <x:c r="A394" s="24" t="str">
        <x:v>ROL-638</x:v>
      </x:c>
      <x:c r="B394" s="24" t="str">
        <x:v>Entertainer and Jester</x:v>
      </x:c>
      <x:c r="C394" s="24" t="str">
        <x:v>Roles &amp; Vocations</x:v>
      </x:c>
      <x:c r="D394" s="24" t="str">
        <x:v>ROL-600</x:v>
      </x:c>
      <x:c r="E394" s="24" t="str">
        <x:f>IF(D394="","",IFERROR(VLOOKUP(D394,$A$2:$B$1226,2,FALSE),""))</x:f>
        <x:v>Healing, Craft, and Knowledge Roles</x:v>
      </x:c>
      <x:c r="F394" s="24" t="n">
        <x:v>3</x:v>
      </x:c>
      <x:c r="G394" s="24" t="str">
        <x:v>Performer who provides amusement, satire, social commentary, disguise, or courtly license.</x:v>
      </x:c>
      <x:c r="H394" s="24" t="str">
        <x:v>Do not assume identical training, social status, powers, or mechanics across settings.</x:v>
      </x:c>
      <x:c r="I394" s="24" t="str">
        <x:v>jester; entertainer; fool</x:v>
      </x:c>
      <x:c r="J394" s="24" t="str">
        <x:v>Healing, production, knowledge, logistics, performance, economy, and noncombat problem solving.</x:v>
      </x:c>
      <x:c r="K394" s="24" t="str">
        <x:v>jester; entertainer; fool</x:v>
      </x:c>
      <x:c r="L394" s="24" t="str">
        <x:v>Preserve each source's ontology, culture, history, and terminology when making comparisons.</x:v>
      </x:c>
      <x:c r="M394" s="24" t="str">
        <x:v>Core Family</x:v>
      </x:c>
    </x:row>
    <x:row r="395" ht="44" customHeight="1">
      <x:c r="A395" s="24" t="str">
        <x:v>ROL-639</x:v>
      </x:c>
      <x:c r="B395" s="24" t="str">
        <x:v>Crafting Generalist</x:v>
      </x:c>
      <x:c r="C395" s="24" t="str">
        <x:v>Roles &amp; Vocations</x:v>
      </x:c>
      <x:c r="D395" s="24" t="str">
        <x:v>ROL-600</x:v>
      </x:c>
      <x:c r="E395" s="24" t="str">
        <x:f>IF(D395="","",IFERROR(VLOOKUP(D395,$A$2:$B$1226,2,FALSE),""))</x:f>
        <x:v>Healing, Craft, and Knowledge Roles</x:v>
      </x:c>
      <x:c r="F395" s="24" t="n">
        <x:v>3</x:v>
      </x:c>
      <x:c r="G395" s="24" t="str">
        <x:v>Game or setting role that combines multiple production skills rather than a single trade.</x:v>
      </x:c>
      <x:c r="H395" s="24" t="str">
        <x:v>Do not assume identical training, social status, powers, or mechanics across settings.</x:v>
      </x:c>
      <x:c r="I395" s="24" t="str">
        <x:v>crafter; artisan; maker</x:v>
      </x:c>
      <x:c r="J395" s="24" t="str">
        <x:v>Healing, production, knowledge, logistics, performance, economy, and noncombat problem solving.</x:v>
      </x:c>
      <x:c r="K395" s="24" t="str">
        <x:v>crafter; artisan; maker</x:v>
      </x:c>
      <x:c r="L395" s="24" t="str">
        <x:v>Preserve each source's ontology, culture, history, and terminology when making comparisons.</x:v>
      </x:c>
      <x:c r="M395" s="24" t="str">
        <x:v>Core Family</x:v>
      </x:c>
    </x:row>
    <x:row r="396" ht="44" customHeight="1">
      <x:c r="A396" s="24" t="str">
        <x:v>ROL-640</x:v>
      </x:c>
      <x:c r="B396" s="24" t="str">
        <x:v>Gatherer and Prospector</x:v>
      </x:c>
      <x:c r="C396" s="24" t="str">
        <x:v>Roles &amp; Vocations</x:v>
      </x:c>
      <x:c r="D396" s="24" t="str">
        <x:v>ROL-600</x:v>
      </x:c>
      <x:c r="E396" s="24" t="str">
        <x:f>IF(D396="","",IFERROR(VLOOKUP(D396,$A$2:$B$1226,2,FALSE),""))</x:f>
        <x:v>Healing, Craft, and Knowledge Roles</x:v>
      </x:c>
      <x:c r="F396" s="24" t="n">
        <x:v>3</x:v>
      </x:c>
      <x:c r="G396" s="24" t="str">
        <x:v>Game-coded noncombat role focused on collecting raw resources from the environment.</x:v>
      </x:c>
      <x:c r="H396" s="24" t="str">
        <x:v>Do not assume identical training, social status, powers, or mechanics across settings.</x:v>
      </x:c>
      <x:c r="I396" s="24" t="str">
        <x:v>gatherer; miner; botanist; fisher</x:v>
      </x:c>
      <x:c r="J396" s="24" t="str">
        <x:v>Healing, production, knowledge, logistics, performance, economy, and noncombat problem solving.</x:v>
      </x:c>
      <x:c r="K396" s="24" t="str">
        <x:v>gatherer; miner; botanist; fisher</x:v>
      </x:c>
      <x:c r="L396" s="24" t="str">
        <x:v>Preserve each source's ontology, culture, history, and terminology when making comparisons.</x:v>
      </x:c>
      <x:c r="M396" s="24" t="str">
        <x:v>Core Family</x:v>
      </x:c>
    </x:row>
    <x:row r="397" ht="44" customHeight="1">
      <x:c r="A397" s="24" t="str">
        <x:v>ROL-701</x:v>
      </x:c>
      <x:c r="B397" s="24" t="str">
        <x:v>Monarch</x:v>
      </x:c>
      <x:c r="C397" s="24" t="str">
        <x:v>Roles &amp; Vocations</x:v>
      </x:c>
      <x:c r="D397" s="24" t="str">
        <x:v>ROL-700</x:v>
      </x:c>
      <x:c r="E397" s="24" t="str">
        <x:f>IF(D397="","",IFERROR(VLOOKUP(D397,$A$2:$B$1226,2,FALSE),""))</x:f>
        <x:v>Leadership and Social Office Roles</x:v>
      </x:c>
      <x:c r="F397" s="24" t="n">
        <x:v>3</x:v>
      </x:c>
      <x:c r="G397" s="24" t="str">
        <x:v>Sovereign ruler whose authority derives from dynasty, conquest, divine sanction, law, or symbolic unity.</x:v>
      </x:c>
      <x:c r="H397" s="24" t="str">
        <x:v>Do not assume identical training, social status, powers, or mechanics across settings.</x:v>
      </x:c>
      <x:c r="I397" s="24" t="str">
        <x:v>king; queen; emperor; empress</x:v>
      </x:c>
      <x:c r="J397" s="24" t="str">
        <x:v>Governance, succession, command, legitimacy, diplomacy, administration, and patronage.</x:v>
      </x:c>
      <x:c r="K397" s="24" t="str">
        <x:v>king; queen; emperor; empress</x:v>
      </x:c>
      <x:c r="L397" s="24" t="str">
        <x:v>Preserve each source's ontology, culture, history, and terminology when making comparisons.</x:v>
      </x:c>
      <x:c r="M397" s="24" t="str">
        <x:v>Core Family</x:v>
      </x:c>
    </x:row>
    <x:row r="398" ht="44" customHeight="1">
      <x:c r="A398" s="24" t="str">
        <x:v>ROL-702</x:v>
      </x:c>
      <x:c r="B398" s="24" t="str">
        <x:v>Prince, Princess, and Royal Heir</x:v>
      </x:c>
      <x:c r="C398" s="24" t="str">
        <x:v>Roles &amp; Vocations</x:v>
      </x:c>
      <x:c r="D398" s="24" t="str">
        <x:v>ROL-700</x:v>
      </x:c>
      <x:c r="E398" s="24" t="str">
        <x:f>IF(D398="","",IFERROR(VLOOKUP(D398,$A$2:$B$1226,2,FALSE),""))</x:f>
        <x:v>Leadership and Social Office Roles</x:v>
      </x:c>
      <x:c r="F398" s="24" t="n">
        <x:v>3</x:v>
      </x:c>
      <x:c r="G398" s="24" t="str">
        <x:v>Dynastic figure defined by succession, bloodline, court politics, and potential sovereignty.</x:v>
      </x:c>
      <x:c r="H398" s="24" t="str">
        <x:v>Do not assume identical training, social status, powers, or mechanics across settings.</x:v>
      </x:c>
      <x:c r="I398" s="24" t="str">
        <x:v>prince; princess; heir; crown prince</x:v>
      </x:c>
      <x:c r="J398" s="24" t="str">
        <x:v>Governance, succession, command, legitimacy, diplomacy, administration, and patronage.</x:v>
      </x:c>
      <x:c r="K398" s="24" t="str">
        <x:v>prince; princess; heir; crown prince</x:v>
      </x:c>
      <x:c r="L398" s="24" t="str">
        <x:v>Preserve each source's ontology, culture, history, and terminology when making comparisons.</x:v>
      </x:c>
      <x:c r="M398" s="24" t="str">
        <x:v>Core Family</x:v>
      </x:c>
    </x:row>
    <x:row r="399" ht="44" customHeight="1">
      <x:c r="A399" s="24" t="str">
        <x:v>ROL-703</x:v>
      </x:c>
      <x:c r="B399" s="24" t="str">
        <x:v>Noble</x:v>
      </x:c>
      <x:c r="C399" s="24" t="str">
        <x:v>Roles &amp; Vocations</x:v>
      </x:c>
      <x:c r="D399" s="24" t="str">
        <x:v>ROL-700</x:v>
      </x:c>
      <x:c r="E399" s="24" t="str">
        <x:f>IF(D399="","",IFERROR(VLOOKUP(D399,$A$2:$B$1226,2,FALSE),""))</x:f>
        <x:v>Leadership and Social Office Roles</x:v>
      </x:c>
      <x:c r="F399" s="24" t="n">
        <x:v>3</x:v>
      </x:c>
      <x:c r="G399" s="24" t="str">
        <x:v>Member of a privileged hereditary or granted status group with land, office, retainers, or legal distinction.</x:v>
      </x:c>
      <x:c r="H399" s="24" t="str">
        <x:v>Do not assume identical training, social status, powers, or mechanics across settings.</x:v>
      </x:c>
      <x:c r="I399" s="24" t="str">
        <x:v>lord; lady; aristocrat; peer</x:v>
      </x:c>
      <x:c r="J399" s="24" t="str">
        <x:v>Governance, succession, command, legitimacy, diplomacy, administration, and patronage.</x:v>
      </x:c>
      <x:c r="K399" s="24" t="str">
        <x:v>lord; lady; aristocrat; peer</x:v>
      </x:c>
      <x:c r="L399" s="24" t="str">
        <x:v>Preserve each source's ontology, culture, history, and terminology when making comparisons.</x:v>
      </x:c>
      <x:c r="M399" s="24" t="str">
        <x:v>Core Family</x:v>
      </x:c>
    </x:row>
    <x:row r="400" ht="44" customHeight="1">
      <x:c r="A400" s="24" t="str">
        <x:v>ROL-704</x:v>
      </x:c>
      <x:c r="B400" s="24" t="str">
        <x:v>Chieftain</x:v>
      </x:c>
      <x:c r="C400" s="24" t="str">
        <x:v>Roles &amp; Vocations</x:v>
      </x:c>
      <x:c r="D400" s="24" t="str">
        <x:v>ROL-700</x:v>
      </x:c>
      <x:c r="E400" s="24" t="str">
        <x:f>IF(D400="","",IFERROR(VLOOKUP(D400,$A$2:$B$1226,2,FALSE),""))</x:f>
        <x:v>Leadership and Social Office Roles</x:v>
      </x:c>
      <x:c r="F400" s="24" t="n">
        <x:v>3</x:v>
      </x:c>
      <x:c r="G400" s="24" t="str">
        <x:v>Leader of a tribe, clan, warband, or kin group whose authority rests on lineage, consensus, prowess, or custom.</x:v>
      </x:c>
      <x:c r="H400" s="24" t="str">
        <x:v>Do not assume identical training, social status, powers, or mechanics across settings.</x:v>
      </x:c>
      <x:c r="I400" s="24" t="str">
        <x:v>chieftain; chief; war chief</x:v>
      </x:c>
      <x:c r="J400" s="24" t="str">
        <x:v>Governance, succession, command, legitimacy, diplomacy, administration, and patronage.</x:v>
      </x:c>
      <x:c r="K400" s="24" t="str">
        <x:v>chieftain; chief; war chief</x:v>
      </x:c>
      <x:c r="L400" s="24" t="str">
        <x:v>Preserve each source's ontology, culture, history, and terminology when making comparisons.</x:v>
      </x:c>
      <x:c r="M400" s="24" t="str">
        <x:v>Core Family</x:v>
      </x:c>
    </x:row>
    <x:row r="401" ht="44" customHeight="1">
      <x:c r="A401" s="24" t="str">
        <x:v>ROL-705</x:v>
      </x:c>
      <x:c r="B401" s="24" t="str">
        <x:v>Clan Leader</x:v>
      </x:c>
      <x:c r="C401" s="24" t="str">
        <x:v>Roles &amp; Vocations</x:v>
      </x:c>
      <x:c r="D401" s="24" t="str">
        <x:v>ROL-700</x:v>
      </x:c>
      <x:c r="E401" s="24" t="str">
        <x:f>IF(D401="","",IFERROR(VLOOKUP(D401,$A$2:$B$1226,2,FALSE),""))</x:f>
        <x:v>Leadership and Social Office Roles</x:v>
      </x:c>
      <x:c r="F401" s="24" t="n">
        <x:v>3</x:v>
      </x:c>
      <x:c r="G401" s="24" t="str">
        <x:v>Head of an extended kinship group, house, lineage, or martial family.</x:v>
      </x:c>
      <x:c r="H401" s="24" t="str">
        <x:v>Do not assume identical training, social status, powers, or mechanics across settings.</x:v>
      </x:c>
      <x:c r="I401" s="24" t="str">
        <x:v>clan head; patriarch; matriarch</x:v>
      </x:c>
      <x:c r="J401" s="24" t="str">
        <x:v>Governance, succession, command, legitimacy, diplomacy, administration, and patronage.</x:v>
      </x:c>
      <x:c r="K401" s="24" t="str">
        <x:v>clan head; patriarch; matriarch</x:v>
      </x:c>
      <x:c r="L401" s="24" t="str">
        <x:v>Preserve each source's ontology, culture, history, and terminology when making comparisons.</x:v>
      </x:c>
      <x:c r="M401" s="24" t="str">
        <x:v>Core Family</x:v>
      </x:c>
    </x:row>
    <x:row r="402" ht="44" customHeight="1">
      <x:c r="A402" s="24" t="str">
        <x:v>ROL-706</x:v>
      </x:c>
      <x:c r="B402" s="24" t="str">
        <x:v>Guildmaster</x:v>
      </x:c>
      <x:c r="C402" s="24" t="str">
        <x:v>Roles &amp; Vocations</x:v>
      </x:c>
      <x:c r="D402" s="24" t="str">
        <x:v>ROL-700</x:v>
      </x:c>
      <x:c r="E402" s="24" t="str">
        <x:f>IF(D402="","",IFERROR(VLOOKUP(D402,$A$2:$B$1226,2,FALSE),""))</x:f>
        <x:v>Leadership and Social Office Roles</x:v>
      </x:c>
      <x:c r="F402" s="24" t="n">
        <x:v>3</x:v>
      </x:c>
      <x:c r="G402" s="24" t="str">
        <x:v>Leader or senior officer of a professional, criminal, magical, mercantile, or adventuring guild.</x:v>
      </x:c>
      <x:c r="H402" s="24" t="str">
        <x:v>Do not assume identical training, social status, powers, or mechanics across settings.</x:v>
      </x:c>
      <x:c r="I402" s="24" t="str">
        <x:v>guildmaster; guild leader</x:v>
      </x:c>
      <x:c r="J402" s="24" t="str">
        <x:v>Governance, succession, command, legitimacy, diplomacy, administration, and patronage.</x:v>
      </x:c>
      <x:c r="K402" s="24" t="str">
        <x:v>guildmaster; guild leader</x:v>
      </x:c>
      <x:c r="L402" s="24" t="str">
        <x:v>Preserve each source's ontology, culture, history, and terminology when making comparisons.</x:v>
      </x:c>
      <x:c r="M402" s="24" t="str">
        <x:v>Core Family</x:v>
      </x:c>
    </x:row>
    <x:row r="403" ht="44" customHeight="1">
      <x:c r="A403" s="24" t="str">
        <x:v>ROL-707</x:v>
      </x:c>
      <x:c r="B403" s="24" t="str">
        <x:v>Steward</x:v>
      </x:c>
      <x:c r="C403" s="24" t="str">
        <x:v>Roles &amp; Vocations</x:v>
      </x:c>
      <x:c r="D403" s="24" t="str">
        <x:v>ROL-700</x:v>
      </x:c>
      <x:c r="E403" s="24" t="str">
        <x:f>IF(D403="","",IFERROR(VLOOKUP(D403,$A$2:$B$1226,2,FALSE),""))</x:f>
        <x:v>Leadership and Social Office Roles</x:v>
      </x:c>
      <x:c r="F403" s="24" t="n">
        <x:v>3</x:v>
      </x:c>
      <x:c r="G403" s="24" t="str">
        <x:v>Administrator who governs property, household, city, or realm on behalf of another authority.</x:v>
      </x:c>
      <x:c r="H403" s="24" t="str">
        <x:v>Do not assume identical training, social status, powers, or mechanics across settings.</x:v>
      </x:c>
      <x:c r="I403" s="24" t="str">
        <x:v>steward; seneschal; castellan</x:v>
      </x:c>
      <x:c r="J403" s="24" t="str">
        <x:v>Governance, succession, command, legitimacy, diplomacy, administration, and patronage.</x:v>
      </x:c>
      <x:c r="K403" s="24" t="str">
        <x:v>steward; seneschal; castellan</x:v>
      </x:c>
      <x:c r="L403" s="24" t="str">
        <x:v>Preserve each source's ontology, culture, history, and terminology when making comparisons.</x:v>
      </x:c>
      <x:c r="M403" s="24" t="str">
        <x:v>Core Family</x:v>
      </x:c>
    </x:row>
    <x:row r="404" ht="44" customHeight="1">
      <x:c r="A404" s="24" t="str">
        <x:v>ROL-708</x:v>
      </x:c>
      <x:c r="B404" s="24" t="str">
        <x:v>Regent</x:v>
      </x:c>
      <x:c r="C404" s="24" t="str">
        <x:v>Roles &amp; Vocations</x:v>
      </x:c>
      <x:c r="D404" s="24" t="str">
        <x:v>ROL-700</x:v>
      </x:c>
      <x:c r="E404" s="24" t="str">
        <x:f>IF(D404="","",IFERROR(VLOOKUP(D404,$A$2:$B$1226,2,FALSE),""))</x:f>
        <x:v>Leadership and Social Office Roles</x:v>
      </x:c>
      <x:c r="F404" s="24" t="n">
        <x:v>3</x:v>
      </x:c>
      <x:c r="G404" s="24" t="str">
        <x:v>Temporary ruler acting for an absent, underage, incapacitated, or disputed sovereign.</x:v>
      </x:c>
      <x:c r="H404" s="24" t="str">
        <x:v>Do not assume identical training, social status, powers, or mechanics across settings.</x:v>
      </x:c>
      <x:c r="I404" s="24" t="str">
        <x:v>regent; protector</x:v>
      </x:c>
      <x:c r="J404" s="24" t="str">
        <x:v>Governance, succession, command, legitimacy, diplomacy, administration, and patronage.</x:v>
      </x:c>
      <x:c r="K404" s="24" t="str">
        <x:v>regent; protector</x:v>
      </x:c>
      <x:c r="L404" s="24" t="str">
        <x:v>Preserve each source's ontology, culture, history, and terminology when making comparisons.</x:v>
      </x:c>
      <x:c r="M404" s="24" t="str">
        <x:v>Core Family</x:v>
      </x:c>
    </x:row>
    <x:row r="405" ht="44" customHeight="1">
      <x:c r="A405" s="24" t="str">
        <x:v>ROL-709</x:v>
      </x:c>
      <x:c r="B405" s="24" t="str">
        <x:v>Captain</x:v>
      </x:c>
      <x:c r="C405" s="24" t="str">
        <x:v>Roles &amp; Vocations</x:v>
      </x:c>
      <x:c r="D405" s="24" t="str">
        <x:v>ROL-700</x:v>
      </x:c>
      <x:c r="E405" s="24" t="str">
        <x:f>IF(D405="","",IFERROR(VLOOKUP(D405,$A$2:$B$1226,2,FALSE),""))</x:f>
        <x:v>Leadership and Social Office Roles</x:v>
      </x:c>
      <x:c r="F405" s="24" t="n">
        <x:v>3</x:v>
      </x:c>
      <x:c r="G405" s="24" t="str">
        <x:v>Mid-level leader of a ship, guard unit, mercenary band, adventuring group, or military company.</x:v>
      </x:c>
      <x:c r="H405" s="24" t="str">
        <x:v>Do not assume identical training, social status, powers, or mechanics across settings.</x:v>
      </x:c>
      <x:c r="I405" s="24" t="str">
        <x:v>captain; company commander</x:v>
      </x:c>
      <x:c r="J405" s="24" t="str">
        <x:v>Governance, succession, command, legitimacy, diplomacy, administration, and patronage.</x:v>
      </x:c>
      <x:c r="K405" s="24" t="str">
        <x:v>captain; company commander</x:v>
      </x:c>
      <x:c r="L405" s="24" t="str">
        <x:v>Preserve each source's ontology, culture, history, and terminology when making comparisons.</x:v>
      </x:c>
      <x:c r="M405" s="24" t="str">
        <x:v>Core Family</x:v>
      </x:c>
    </x:row>
    <x:row r="406" ht="44" customHeight="1">
      <x:c r="A406" s="24" t="str">
        <x:v>ROL-710</x:v>
      </x:c>
      <x:c r="B406" s="24" t="str">
        <x:v>General and Marshal</x:v>
      </x:c>
      <x:c r="C406" s="24" t="str">
        <x:v>Roles &amp; Vocations</x:v>
      </x:c>
      <x:c r="D406" s="24" t="str">
        <x:v>ROL-700</x:v>
      </x:c>
      <x:c r="E406" s="24" t="str">
        <x:f>IF(D406="","",IFERROR(VLOOKUP(D406,$A$2:$B$1226,2,FALSE),""))</x:f>
        <x:v>Leadership and Social Office Roles</x:v>
      </x:c>
      <x:c r="F406" s="24" t="n">
        <x:v>3</x:v>
      </x:c>
      <x:c r="G406" s="24" t="str">
        <x:v>Senior military commander responsible for armies, theaters, strategy, and political-military coordination.</x:v>
      </x:c>
      <x:c r="H406" s="24" t="str">
        <x:v>Do not assume identical training, social status, powers, or mechanics across settings.</x:v>
      </x:c>
      <x:c r="I406" s="24" t="str">
        <x:v>general; marshal; war leader</x:v>
      </x:c>
      <x:c r="J406" s="24" t="str">
        <x:v>Governance, succession, command, legitimacy, diplomacy, administration, and patronage.</x:v>
      </x:c>
      <x:c r="K406" s="24" t="str">
        <x:v>general; marshal; war leader</x:v>
      </x:c>
      <x:c r="L406" s="24" t="str">
        <x:v>Preserve each source's ontology, culture, history, and terminology when making comparisons.</x:v>
      </x:c>
      <x:c r="M406" s="24" t="str">
        <x:v>Core Family</x:v>
      </x:c>
    </x:row>
    <x:row r="407" ht="44" customHeight="1">
      <x:c r="A407" s="24" t="str">
        <x:v>ROL-711</x:v>
      </x:c>
      <x:c r="B407" s="24" t="str">
        <x:v>Courtier</x:v>
      </x:c>
      <x:c r="C407" s="24" t="str">
        <x:v>Roles &amp; Vocations</x:v>
      </x:c>
      <x:c r="D407" s="24" t="str">
        <x:v>ROL-700</x:v>
      </x:c>
      <x:c r="E407" s="24" t="str">
        <x:f>IF(D407="","",IFERROR(VLOOKUP(D407,$A$2:$B$1226,2,FALSE),""))</x:f>
        <x:v>Leadership and Social Office Roles</x:v>
      </x:c>
      <x:c r="F407" s="24" t="n">
        <x:v>3</x:v>
      </x:c>
      <x:c r="G407" s="24" t="str">
        <x:v>Participant in elite court society whose influence depends on etiquette, patronage, access, and reputation.</x:v>
      </x:c>
      <x:c r="H407" s="24" t="str">
        <x:v>Do not assume identical training, social status, powers, or mechanics across settings.</x:v>
      </x:c>
      <x:c r="I407" s="24" t="str">
        <x:v>courtier; favorite; chamberlain</x:v>
      </x:c>
      <x:c r="J407" s="24" t="str">
        <x:v>Governance, succession, command, legitimacy, diplomacy, administration, and patronage.</x:v>
      </x:c>
      <x:c r="K407" s="24" t="str">
        <x:v>courtier; favorite; chamberlain</x:v>
      </x:c>
      <x:c r="L407" s="24" t="str">
        <x:v>Preserve each source's ontology, culture, history, and terminology when making comparisons.</x:v>
      </x:c>
      <x:c r="M407" s="24" t="str">
        <x:v>Core Family</x:v>
      </x:c>
    </x:row>
    <x:row r="408" ht="44" customHeight="1">
      <x:c r="A408" s="24" t="str">
        <x:v>ROL-712</x:v>
      </x:c>
      <x:c r="B408" s="24" t="str">
        <x:v>Adviser and Counselor</x:v>
      </x:c>
      <x:c r="C408" s="24" t="str">
        <x:v>Roles &amp; Vocations</x:v>
      </x:c>
      <x:c r="D408" s="24" t="str">
        <x:v>ROL-700</x:v>
      </x:c>
      <x:c r="E408" s="24" t="str">
        <x:f>IF(D408="","",IFERROR(VLOOKUP(D408,$A$2:$B$1226,2,FALSE),""))</x:f>
        <x:v>Leadership and Social Office Roles</x:v>
      </x:c>
      <x:c r="F408" s="24" t="n">
        <x:v>3</x:v>
      </x:c>
      <x:c r="G408" s="24" t="str">
        <x:v>Trusted specialist who shapes decisions through knowledge, strategy, morality, prophecy, or political judgment.</x:v>
      </x:c>
      <x:c r="H408" s="24" t="str">
        <x:v>Do not assume identical training, social status, powers, or mechanics across settings.</x:v>
      </x:c>
      <x:c r="I408" s="24" t="str">
        <x:v>adviser; counselor; vizier</x:v>
      </x:c>
      <x:c r="J408" s="24" t="str">
        <x:v>Governance, succession, command, legitimacy, diplomacy, administration, and patronage.</x:v>
      </x:c>
      <x:c r="K408" s="24" t="str">
        <x:v>adviser; counselor; vizier</x:v>
      </x:c>
      <x:c r="L408" s="24" t="str">
        <x:v>Preserve each source's ontology, culture, history, and terminology when making comparisons.</x:v>
      </x:c>
      <x:c r="M408" s="24" t="str">
        <x:v>Core Family</x:v>
      </x:c>
    </x:row>
    <x:row r="409" ht="44" customHeight="1">
      <x:c r="A409" s="24" t="str">
        <x:v>ROL-713</x:v>
      </x:c>
      <x:c r="B409" s="24" t="str">
        <x:v>Spymaster</x:v>
      </x:c>
      <x:c r="C409" s="24" t="str">
        <x:v>Roles &amp; Vocations</x:v>
      </x:c>
      <x:c r="D409" s="24" t="str">
        <x:v>ROL-700</x:v>
      </x:c>
      <x:c r="E409" s="24" t="str">
        <x:f>IF(D409="","",IFERROR(VLOOKUP(D409,$A$2:$B$1226,2,FALSE),""))</x:f>
        <x:v>Leadership and Social Office Roles</x:v>
      </x:c>
      <x:c r="F409" s="24" t="n">
        <x:v>3</x:v>
      </x:c>
      <x:c r="G409" s="24" t="str">
        <x:v>Leader of intelligence networks, covert agents, counterintelligence, and secret policy.</x:v>
      </x:c>
      <x:c r="H409" s="24" t="str">
        <x:v>Do not assume identical training, social status, powers, or mechanics across settings.</x:v>
      </x:c>
      <x:c r="I409" s="24" t="str">
        <x:v>spymaster; master of whispers</x:v>
      </x:c>
      <x:c r="J409" s="24" t="str">
        <x:v>Governance, succession, command, legitimacy, diplomacy, administration, and patronage.</x:v>
      </x:c>
      <x:c r="K409" s="24" t="str">
        <x:v>spymaster; master of whispers</x:v>
      </x:c>
      <x:c r="L409" s="24" t="str">
        <x:v>Preserve each source's ontology, culture, history, and terminology when making comparisons.</x:v>
      </x:c>
      <x:c r="M409" s="24" t="str">
        <x:v>Core Family</x:v>
      </x:c>
    </x:row>
    <x:row r="410" ht="44" customHeight="1">
      <x:c r="A410" s="24" t="str">
        <x:v>ROL-714</x:v>
      </x:c>
      <x:c r="B410" s="24" t="str">
        <x:v>Priest-King</x:v>
      </x:c>
      <x:c r="C410" s="24" t="str">
        <x:v>Roles &amp; Vocations</x:v>
      </x:c>
      <x:c r="D410" s="24" t="str">
        <x:v>ROL-700</x:v>
      </x:c>
      <x:c r="E410" s="24" t="str">
        <x:f>IF(D410="","",IFERROR(VLOOKUP(D410,$A$2:$B$1226,2,FALSE),""))</x:f>
        <x:v>Leadership and Social Office Roles</x:v>
      </x:c>
      <x:c r="F410" s="24" t="n">
        <x:v>3</x:v>
      </x:c>
      <x:c r="G410" s="24" t="str">
        <x:v>Sovereign who combines political rule with supreme sacred office or divine identity.</x:v>
      </x:c>
      <x:c r="H410" s="24" t="str">
        <x:v>Do not assume identical training, social status, powers, or mechanics across settings.</x:v>
      </x:c>
      <x:c r="I410" s="24" t="str">
        <x:v>priest-king; sacred ruler; god-king</x:v>
      </x:c>
      <x:c r="J410" s="24" t="str">
        <x:v>Governance, succession, command, legitimacy, diplomacy, administration, and patronage.</x:v>
      </x:c>
      <x:c r="K410" s="24" t="str">
        <x:v>priest-king; sacred ruler; god-king</x:v>
      </x:c>
      <x:c r="L410" s="24" t="str">
        <x:v>Preserve each source's ontology, culture, history, and terminology when making comparisons.</x:v>
      </x:c>
      <x:c r="M410" s="24" t="str">
        <x:v>Core Family</x:v>
      </x:c>
    </x:row>
    <x:row r="411" ht="44" customHeight="1">
      <x:c r="A411" s="24" t="str">
        <x:v>ROL-715</x:v>
      </x:c>
      <x:c r="B411" s="24" t="str">
        <x:v>Mage-King</x:v>
      </x:c>
      <x:c r="C411" s="24" t="str">
        <x:v>Roles &amp; Vocations</x:v>
      </x:c>
      <x:c r="D411" s="24" t="str">
        <x:v>ROL-700</x:v>
      </x:c>
      <x:c r="E411" s="24" t="str">
        <x:f>IF(D411="","",IFERROR(VLOOKUP(D411,$A$2:$B$1226,2,FALSE),""))</x:f>
        <x:v>Leadership and Social Office Roles</x:v>
      </x:c>
      <x:c r="F411" s="24" t="n">
        <x:v>3</x:v>
      </x:c>
      <x:c r="G411" s="24" t="str">
        <x:v>Ruler whose legitimacy and coercive power rest primarily on magical mastery.</x:v>
      </x:c>
      <x:c r="H411" s="24" t="str">
        <x:v>Do not assume identical training, social status, powers, or mechanics across settings.</x:v>
      </x:c>
      <x:c r="I411" s="24" t="str">
        <x:v>mage-king; sorcerer-queen; wizard emperor</x:v>
      </x:c>
      <x:c r="J411" s="24" t="str">
        <x:v>Governance, succession, command, legitimacy, diplomacy, administration, and patronage.</x:v>
      </x:c>
      <x:c r="K411" s="24" t="str">
        <x:v>mage-king; sorcerer-queen; wizard emperor</x:v>
      </x:c>
      <x:c r="L411" s="24" t="str">
        <x:v>Preserve each source's ontology, culture, history, and terminology when making comparisons.</x:v>
      </x:c>
      <x:c r="M411" s="24" t="str">
        <x:v>Core Family</x:v>
      </x:c>
    </x:row>
    <x:row r="412" ht="44" customHeight="1">
      <x:c r="A412" s="24" t="str">
        <x:v>ROL-716</x:v>
      </x:c>
      <x:c r="B412" s="24" t="str">
        <x:v>Warlord Ruler</x:v>
      </x:c>
      <x:c r="C412" s="24" t="str">
        <x:v>Roles &amp; Vocations</x:v>
      </x:c>
      <x:c r="D412" s="24" t="str">
        <x:v>ROL-700</x:v>
      </x:c>
      <x:c r="E412" s="24" t="str">
        <x:f>IF(D412="","",IFERROR(VLOOKUP(D412,$A$2:$B$1226,2,FALSE),""))</x:f>
        <x:v>Leadership and Social Office Roles</x:v>
      </x:c>
      <x:c r="F412" s="24" t="n">
        <x:v>3</x:v>
      </x:c>
      <x:c r="G412" s="24" t="str">
        <x:v>Political leader whose authority is personal, military, and conquest-based rather than bureaucratically institutionalized.</x:v>
      </x:c>
      <x:c r="H412" s="24" t="str">
        <x:v>Do not assume identical training, social status, powers, or mechanics across settings.</x:v>
      </x:c>
      <x:c r="I412" s="24" t="str">
        <x:v>warlord; conqueror; khan-like</x:v>
      </x:c>
      <x:c r="J412" s="24" t="str">
        <x:v>Governance, succession, command, legitimacy, diplomacy, administration, and patronage.</x:v>
      </x:c>
      <x:c r="K412" s="24" t="str">
        <x:v>warlord; conqueror; khan-like</x:v>
      </x:c>
      <x:c r="L412" s="24" t="str">
        <x:v>Preserve each source's ontology, culture, history, and terminology when making comparisons.</x:v>
      </x:c>
      <x:c r="M412" s="24" t="str">
        <x:v>Core Family</x:v>
      </x:c>
    </x:row>
    <x:row r="413" ht="44" customHeight="1">
      <x:c r="A413" s="24" t="str">
        <x:v>ROL-717</x:v>
      </x:c>
      <x:c r="B413" s="24" t="str">
        <x:v>Councilor and Conclave Member</x:v>
      </x:c>
      <x:c r="C413" s="24" t="str">
        <x:v>Roles &amp; Vocations</x:v>
      </x:c>
      <x:c r="D413" s="24" t="str">
        <x:v>ROL-700</x:v>
      </x:c>
      <x:c r="E413" s="24" t="str">
        <x:f>IF(D413="","",IFERROR(VLOOKUP(D413,$A$2:$B$1226,2,FALSE),""))</x:f>
        <x:v>Leadership and Social Office Roles</x:v>
      </x:c>
      <x:c r="F413" s="24" t="n">
        <x:v>3</x:v>
      </x:c>
      <x:c r="G413" s="24" t="str">
        <x:v>Collective ruler or senior decision-maker within a council, senate, elder body, or magical conclave.</x:v>
      </x:c>
      <x:c r="H413" s="24" t="str">
        <x:v>Do not assume identical training, social status, powers, or mechanics across settings.</x:v>
      </x:c>
      <x:c r="I413" s="24" t="str">
        <x:v>councilor; elder; senator</x:v>
      </x:c>
      <x:c r="J413" s="24" t="str">
        <x:v>Governance, succession, command, legitimacy, diplomacy, administration, and patronage.</x:v>
      </x:c>
      <x:c r="K413" s="24" t="str">
        <x:v>councilor; elder; senator</x:v>
      </x:c>
      <x:c r="L413" s="24" t="str">
        <x:v>Preserve each source's ontology, culture, history, and terminology when making comparisons.</x:v>
      </x:c>
      <x:c r="M413" s="24" t="str">
        <x:v>Core Family</x:v>
      </x:c>
    </x:row>
    <x:row r="414" ht="44" customHeight="1">
      <x:c r="A414" s="24" t="str">
        <x:v>ROL-718</x:v>
      </x:c>
      <x:c r="B414" s="24" t="str">
        <x:v>Elected Leader</x:v>
      </x:c>
      <x:c r="C414" s="24" t="str">
        <x:v>Roles &amp; Vocations</x:v>
      </x:c>
      <x:c r="D414" s="24" t="str">
        <x:v>ROL-700</x:v>
      </x:c>
      <x:c r="E414" s="24" t="str">
        <x:f>IF(D414="","",IFERROR(VLOOKUP(D414,$A$2:$B$1226,2,FALSE),""))</x:f>
        <x:v>Leadership and Social Office Roles</x:v>
      </x:c>
      <x:c r="F414" s="24" t="n">
        <x:v>3</x:v>
      </x:c>
      <x:c r="G414" s="24" t="str">
        <x:v>Ruler chosen through vote, acclamation, guild decision, military selection, or temporary mandate.</x:v>
      </x:c>
      <x:c r="H414" s="24" t="str">
        <x:v>Do not assume identical training, social status, powers, or mechanics across settings.</x:v>
      </x:c>
      <x:c r="I414" s="24" t="str">
        <x:v>mayor; consul; elected chief</x:v>
      </x:c>
      <x:c r="J414" s="24" t="str">
        <x:v>Governance, succession, command, legitimacy, diplomacy, administration, and patronage.</x:v>
      </x:c>
      <x:c r="K414" s="24" t="str">
        <x:v>mayor; consul; elected chief</x:v>
      </x:c>
      <x:c r="L414" s="24" t="str">
        <x:v>Preserve each source's ontology, culture, history, and terminology when making comparisons.</x:v>
      </x:c>
      <x:c r="M414" s="24" t="str">
        <x:v>Core Family</x:v>
      </x:c>
    </x:row>
    <x:row r="415" ht="44" customHeight="1">
      <x:c r="A415" s="24" t="str">
        <x:v>ROL-719</x:v>
      </x:c>
      <x:c r="B415" s="24" t="str">
        <x:v>Rebel Leader</x:v>
      </x:c>
      <x:c r="C415" s="24" t="str">
        <x:v>Roles &amp; Vocations</x:v>
      </x:c>
      <x:c r="D415" s="24" t="str">
        <x:v>ROL-700</x:v>
      </x:c>
      <x:c r="E415" s="24" t="str">
        <x:f>IF(D415="","",IFERROR(VLOOKUP(D415,$A$2:$B$1226,2,FALSE),""))</x:f>
        <x:v>Leadership and Social Office Roles</x:v>
      </x:c>
      <x:c r="F415" s="24" t="n">
        <x:v>3</x:v>
      </x:c>
      <x:c r="G415" s="24" t="str">
        <x:v>Organizer of resistance against an empire, tyrant, occupier, caste, or established order.</x:v>
      </x:c>
      <x:c r="H415" s="24" t="str">
        <x:v>Do not assume identical training, social status, powers, or mechanics across settings.</x:v>
      </x:c>
      <x:c r="I415" s="24" t="str">
        <x:v>rebel leader; resistance commander</x:v>
      </x:c>
      <x:c r="J415" s="24" t="str">
        <x:v>Governance, succession, command, legitimacy, diplomacy, administration, and patronage.</x:v>
      </x:c>
      <x:c r="K415" s="24" t="str">
        <x:v>rebel leader; resistance commander</x:v>
      </x:c>
      <x:c r="L415" s="24" t="str">
        <x:v>Preserve each source's ontology, culture, history, and terminology when making comparisons.</x:v>
      </x:c>
      <x:c r="M415" s="24" t="str">
        <x:v>Core Family</x:v>
      </x:c>
    </x:row>
    <x:row r="416" ht="44" customHeight="1">
      <x:c r="A416" s="24" t="str">
        <x:v>ROL-720</x:v>
      </x:c>
      <x:c r="B416" s="24" t="str">
        <x:v>Crime Lord</x:v>
      </x:c>
      <x:c r="C416" s="24" t="str">
        <x:v>Roles &amp; Vocations</x:v>
      </x:c>
      <x:c r="D416" s="24" t="str">
        <x:v>ROL-700</x:v>
      </x:c>
      <x:c r="E416" s="24" t="str">
        <x:f>IF(D416="","",IFERROR(VLOOKUP(D416,$A$2:$B$1226,2,FALSE),""))</x:f>
        <x:v>Leadership and Social Office Roles</x:v>
      </x:c>
      <x:c r="F416" s="24" t="n">
        <x:v>3</x:v>
      </x:c>
      <x:c r="G416" s="24" t="str">
        <x:v>Ruler of an underworld network through wealth, violence, patronage, and illicit governance.</x:v>
      </x:c>
      <x:c r="H416" s="24" t="str">
        <x:v>Do not assume identical training, social status, powers, or mechanics across settings.</x:v>
      </x:c>
      <x:c r="I416" s="24" t="str">
        <x:v>crime lord; underboss; gang leader</x:v>
      </x:c>
      <x:c r="J416" s="24" t="str">
        <x:v>Governance, succession, command, legitimacy, diplomacy, administration, and patronage.</x:v>
      </x:c>
      <x:c r="K416" s="24" t="str">
        <x:v>crime lord; underboss; gang leader</x:v>
      </x:c>
      <x:c r="L416" s="24" t="str">
        <x:v>Preserve each source's ontology, culture, history, and terminology when making comparisons.</x:v>
      </x:c>
      <x:c r="M416" s="24" t="str">
        <x:v>Core Family</x:v>
      </x:c>
    </x:row>
    <x:row r="417" ht="44" customHeight="1">
      <x:c r="A417" s="24" t="str">
        <x:v>ROL-721</x:v>
      </x:c>
      <x:c r="B417" s="24" t="str">
        <x:v>Demon Lord</x:v>
      </x:c>
      <x:c r="C417" s="24" t="str">
        <x:v>Roles &amp; Vocations</x:v>
      </x:c>
      <x:c r="D417" s="24" t="str">
        <x:v>ROL-700</x:v>
      </x:c>
      <x:c r="E417" s="24" t="str">
        <x:f>IF(D417="","",IFERROR(VLOOKUP(D417,$A$2:$B$1226,2,FALSE),""))</x:f>
        <x:v>Leadership and Social Office Roles</x:v>
      </x:c>
      <x:c r="F417" s="24" t="n">
        <x:v>3</x:v>
      </x:c>
      <x:c r="G417" s="24" t="str">
        <x:v>Sovereign antagonist ruling demons, monsters, a dark realm, or a game-coded enemy faction.</x:v>
      </x:c>
      <x:c r="H417" s="24" t="str">
        <x:v>Do not assume identical training, social status, powers, or mechanics across settings.</x:v>
      </x:c>
      <x:c r="I417" s="24" t="str">
        <x:v>demon lord; dark sovereign</x:v>
      </x:c>
      <x:c r="J417" s="24" t="str">
        <x:v>Governance, succession, command, legitimacy, diplomacy, administration, and patronage.</x:v>
      </x:c>
      <x:c r="K417" s="24" t="str">
        <x:v>demon lord; dark sovereign</x:v>
      </x:c>
      <x:c r="L417" s="24" t="str">
        <x:v>Preserve each source's ontology, culture, history, and terminology when making comparisons.</x:v>
      </x:c>
      <x:c r="M417" s="24" t="str">
        <x:v>Core Family</x:v>
      </x:c>
    </x:row>
    <x:row r="418" ht="44" customHeight="1">
      <x:c r="A418" s="24" t="str">
        <x:v>ROL-722</x:v>
      </x:c>
      <x:c r="B418" s="24" t="str">
        <x:v>Dungeon Lord</x:v>
      </x:c>
      <x:c r="C418" s="24" t="str">
        <x:v>Roles &amp; Vocations</x:v>
      </x:c>
      <x:c r="D418" s="24" t="str">
        <x:v>ROL-700</x:v>
      </x:c>
      <x:c r="E418" s="24" t="str">
        <x:f>IF(D418="","",IFERROR(VLOOKUP(D418,$A$2:$B$1226,2,FALSE),""))</x:f>
        <x:v>Leadership and Social Office Roles</x:v>
      </x:c>
      <x:c r="F418" s="24" t="n">
        <x:v>3</x:v>
      </x:c>
      <x:c r="G418" s="24" t="str">
        <x:v>Ruler, owner, or sentient administrator of a dungeon and its monsters, traps, and economy.</x:v>
      </x:c>
      <x:c r="H418" s="24" t="str">
        <x:v>Do not assume identical training, social status, powers, or mechanics across settings.</x:v>
      </x:c>
      <x:c r="I418" s="24" t="str">
        <x:v>dungeon lord; dungeon master; core ruler</x:v>
      </x:c>
      <x:c r="J418" s="24" t="str">
        <x:v>Governance, succession, command, legitimacy, diplomacy, administration, and patronage.</x:v>
      </x:c>
      <x:c r="K418" s="24" t="str">
        <x:v>dungeon lord; dungeon master; core ruler</x:v>
      </x:c>
      <x:c r="L418" s="24" t="str">
        <x:v>Preserve each source's ontology, culture, history, and terminology when making comparisons.</x:v>
      </x:c>
      <x:c r="M418" s="24" t="str">
        <x:v>Core Family</x:v>
      </x:c>
    </x:row>
    <x:row r="419" ht="44" customHeight="1">
      <x:c r="A419" s="24" t="str">
        <x:v>ROL-723</x:v>
      </x:c>
      <x:c r="B419" s="24" t="str">
        <x:v>Party Leader</x:v>
      </x:c>
      <x:c r="C419" s="24" t="str">
        <x:v>Roles &amp; Vocations</x:v>
      </x:c>
      <x:c r="D419" s="24" t="str">
        <x:v>ROL-700</x:v>
      </x:c>
      <x:c r="E419" s="24" t="str">
        <x:f>IF(D419="","",IFERROR(VLOOKUP(D419,$A$2:$B$1226,2,FALSE),""))</x:f>
        <x:v>Leadership and Social Office Roles</x:v>
      </x:c>
      <x:c r="F419" s="24" t="n">
        <x:v>3</x:v>
      </x:c>
      <x:c r="G419" s="24" t="str">
        <x:v>Person who coordinates an adventuring group through trust, tactics, charisma, or formal appointment.</x:v>
      </x:c>
      <x:c r="H419" s="24" t="str">
        <x:v>Do not assume identical training, social status, powers, or mechanics across settings.</x:v>
      </x:c>
      <x:c r="I419" s="24" t="str">
        <x:v>party leader; expedition leader</x:v>
      </x:c>
      <x:c r="J419" s="24" t="str">
        <x:v>Governance, succession, command, legitimacy, diplomacy, administration, and patronage.</x:v>
      </x:c>
      <x:c r="K419" s="24" t="str">
        <x:v>party leader; expedition leader</x:v>
      </x:c>
      <x:c r="L419" s="24" t="str">
        <x:v>Preserve each source's ontology, culture, history, and terminology when making comparisons.</x:v>
      </x:c>
      <x:c r="M419" s="24" t="str">
        <x:v>Core Family</x:v>
      </x:c>
    </x:row>
    <x:row r="420" ht="44" customHeight="1">
      <x:c r="A420" s="24" t="str">
        <x:v>ROL-724</x:v>
      </x:c>
      <x:c r="B420" s="24" t="str">
        <x:v>Quest Giver</x:v>
      </x:c>
      <x:c r="C420" s="24" t="str">
        <x:v>Roles &amp; Vocations</x:v>
      </x:c>
      <x:c r="D420" s="24" t="str">
        <x:v>ROL-700</x:v>
      </x:c>
      <x:c r="E420" s="24" t="str">
        <x:f>IF(D420="","",IFERROR(VLOOKUP(D420,$A$2:$B$1226,2,FALSE),""))</x:f>
        <x:v>Leadership and Social Office Roles</x:v>
      </x:c>
      <x:c r="F420" s="24" t="n">
        <x:v>3</x:v>
      </x:c>
      <x:c r="G420" s="24" t="str">
        <x:v>Authority or patron who defines goals, rewards, and narrative direction for adventurers.</x:v>
      </x:c>
      <x:c r="H420" s="24" t="str">
        <x:v>Do not assume identical training, social status, powers, or mechanics across settings.</x:v>
      </x:c>
      <x:c r="I420" s="24" t="str">
        <x:v>quest giver; patron; commissioner</x:v>
      </x:c>
      <x:c r="J420" s="24" t="str">
        <x:v>Governance, succession, command, legitimacy, diplomacy, administration, and patronage.</x:v>
      </x:c>
      <x:c r="K420" s="24" t="str">
        <x:v>quest giver; patron; commissioner</x:v>
      </x:c>
      <x:c r="L420" s="24" t="str">
        <x:v>Preserve each source's ontology, culture, history, and terminology when making comparisons.</x:v>
      </x:c>
      <x:c r="M420" s="24" t="str">
        <x:v>Core Family</x:v>
      </x:c>
    </x:row>
    <x:row r="421" ht="44" customHeight="1">
      <x:c r="A421" s="24" t="str">
        <x:v>ROL-801</x:v>
      </x:c>
      <x:c r="B421" s="24" t="str">
        <x:v>Spellblade or Gish</x:v>
      </x:c>
      <x:c r="C421" s="24" t="str">
        <x:v>Roles &amp; Vocations</x:v>
      </x:c>
      <x:c r="D421" s="24" t="str">
        <x:v>ROL-800</x:v>
      </x:c>
      <x:c r="E421" s="24" t="str">
        <x:f>IF(D421="","",IFERROR(VLOOKUP(D421,$A$2:$B$1226,2,FALSE),""))</x:f>
        <x:v>Hybrid and Specialist Fantasy Roles</x:v>
      </x:c>
      <x:c r="F421" s="24" t="n">
        <x:v>3</x:v>
      </x:c>
      <x:c r="G421" s="24" t="str">
        <x:v>Combatant who combines competent weapon fighting with active spellcasting in one integrated style.</x:v>
      </x:c>
      <x:c r="H421" s="24" t="str">
        <x:v>Do not assume identical training, social status, powers, or mechanics across settings.</x:v>
      </x:c>
      <x:c r="I421" s="24" t="str">
        <x:v>spellblade; gish; magic swordsman</x:v>
      </x:c>
      <x:c r="J421" s="24" t="str">
        <x:v>Cross-domain builds, iconic setting professions, transformation systems, and specialized fantasy combat identities.</x:v>
      </x:c>
      <x:c r="K421" s="24" t="str">
        <x:v>spellblade; gish; magic swordsman</x:v>
      </x:c>
      <x:c r="L421" s="24" t="str">
        <x:v>Preserve each source's ontology, culture, history, and terminology when making comparisons.</x:v>
      </x:c>
      <x:c r="M421" s="24" t="str">
        <x:v>Core Family</x:v>
      </x:c>
    </x:row>
    <x:row r="422" ht="44" customHeight="1">
      <x:c r="A422" s="24" t="str">
        <x:v>ROL-802</x:v>
      </x:c>
      <x:c r="B422" s="24" t="str">
        <x:v>Battlemage</x:v>
      </x:c>
      <x:c r="C422" s="24" t="str">
        <x:v>Roles &amp; Vocations</x:v>
      </x:c>
      <x:c r="D422" s="24" t="str">
        <x:v>ROL-800</x:v>
      </x:c>
      <x:c r="E422" s="24" t="str">
        <x:f>IF(D422="","",IFERROR(VLOOKUP(D422,$A$2:$B$1226,2,FALSE),""))</x:f>
        <x:v>Hybrid and Specialist Fantasy Roles</x:v>
      </x:c>
      <x:c r="F422" s="24" t="n">
        <x:v>3</x:v>
      </x:c>
      <x:c r="G422" s="24" t="str">
        <x:v>Armored or tactically trained caster optimized for direct battlefield participation.</x:v>
      </x:c>
      <x:c r="H422" s="24" t="str">
        <x:v>Do not assume identical training, social status, powers, or mechanics across settings.</x:v>
      </x:c>
      <x:c r="I422" s="24" t="str">
        <x:v>battlemage; war mage; combat wizard</x:v>
      </x:c>
      <x:c r="J422" s="24" t="str">
        <x:v>Cross-domain builds, iconic setting professions, transformation systems, and specialized fantasy combat identities.</x:v>
      </x:c>
      <x:c r="K422" s="24" t="str">
        <x:v>battlemage; war mage; combat wizard</x:v>
      </x:c>
      <x:c r="L422" s="24" t="str">
        <x:v>Preserve each source's ontology, culture, history, and terminology when making comparisons.</x:v>
      </x:c>
      <x:c r="M422" s="24" t="str">
        <x:v>Core Family</x:v>
      </x:c>
    </x:row>
    <x:row r="423" ht="44" customHeight="1">
      <x:c r="A423" s="24" t="str">
        <x:v>ROL-803</x:v>
      </x:c>
      <x:c r="B423" s="24" t="str">
        <x:v>Rune Knight</x:v>
      </x:c>
      <x:c r="C423" s="24" t="str">
        <x:v>Roles &amp; Vocations</x:v>
      </x:c>
      <x:c r="D423" s="24" t="str">
        <x:v>ROL-800</x:v>
      </x:c>
      <x:c r="E423" s="24" t="str">
        <x:f>IF(D423="","",IFERROR(VLOOKUP(D423,$A$2:$B$1226,2,FALSE),""))</x:f>
        <x:v>Hybrid and Specialist Fantasy Roles</x:v>
      </x:c>
      <x:c r="F423" s="24" t="n">
        <x:v>3</x:v>
      </x:c>
      <x:c r="G423" s="24" t="str">
        <x:v>Martial specialist who augments weapons, armor, body, or tactics through runes and inscriptions.</x:v>
      </x:c>
      <x:c r="H423" s="24" t="str">
        <x:v>Do not assume identical training, social status, powers, or mechanics across settings.</x:v>
      </x:c>
      <x:c r="I423" s="24" t="str">
        <x:v>rune knight; runefencer; rune warrior</x:v>
      </x:c>
      <x:c r="J423" s="24" t="str">
        <x:v>Cross-domain builds, iconic setting professions, transformation systems, and specialized fantasy combat identities.</x:v>
      </x:c>
      <x:c r="K423" s="24" t="str">
        <x:v>rune knight; runefencer; rune warrior</x:v>
      </x:c>
      <x:c r="L423" s="24" t="str">
        <x:v>Preserve each source's ontology, culture, history, and terminology when making comparisons.</x:v>
      </x:c>
      <x:c r="M423" s="24" t="str">
        <x:v>Core Family</x:v>
      </x:c>
    </x:row>
    <x:row r="424" ht="44" customHeight="1">
      <x:c r="A424" s="24" t="str">
        <x:v>ROL-804</x:v>
      </x:c>
      <x:c r="B424" s="24" t="str">
        <x:v>Arcane Archer</x:v>
      </x:c>
      <x:c r="C424" s="24" t="str">
        <x:v>Roles &amp; Vocations</x:v>
      </x:c>
      <x:c r="D424" s="24" t="str">
        <x:v>ROL-800</x:v>
      </x:c>
      <x:c r="E424" s="24" t="str">
        <x:f>IF(D424="","",IFERROR(VLOOKUP(D424,$A$2:$B$1226,2,FALSE),""))</x:f>
        <x:v>Hybrid and Specialist Fantasy Roles</x:v>
      </x:c>
      <x:c r="F424" s="24" t="n">
        <x:v>3</x:v>
      </x:c>
      <x:c r="G424" s="24" t="str">
        <x:v>Ranged weapon specialist who enchants arrows, channels spells through shots, or uses supernatural aim.</x:v>
      </x:c>
      <x:c r="H424" s="24" t="str">
        <x:v>Do not assume identical training, social status, powers, or mechanics across settings.</x:v>
      </x:c>
      <x:c r="I424" s="24" t="str">
        <x:v>arcane archer; magic bowman</x:v>
      </x:c>
      <x:c r="J424" s="24" t="str">
        <x:v>Cross-domain builds, iconic setting professions, transformation systems, and specialized fantasy combat identities.</x:v>
      </x:c>
      <x:c r="K424" s="24" t="str">
        <x:v>arcane archer; magic bowman</x:v>
      </x:c>
      <x:c r="L424" s="24" t="str">
        <x:v>Preserve each source's ontology, culture, history, and terminology when making comparisons.</x:v>
      </x:c>
      <x:c r="M424" s="24" t="str">
        <x:v>Core Family</x:v>
      </x:c>
    </x:row>
    <x:row r="425" ht="44" customHeight="1">
      <x:c r="A425" s="24" t="str">
        <x:v>ROL-805</x:v>
      </x:c>
      <x:c r="B425" s="24" t="str">
        <x:v>Eldritch Knight</x:v>
      </x:c>
      <x:c r="C425" s="24" t="str">
        <x:v>Roles &amp; Vocations</x:v>
      </x:c>
      <x:c r="D425" s="24" t="str">
        <x:v>ROL-800</x:v>
      </x:c>
      <x:c r="E425" s="24" t="str">
        <x:f>IF(D425="","",IFERROR(VLOOKUP(D425,$A$2:$B$1226,2,FALSE),""))</x:f>
        <x:v>Hybrid and Specialist Fantasy Roles</x:v>
      </x:c>
      <x:c r="F425" s="24" t="n">
        <x:v>3</x:v>
      </x:c>
      <x:c r="G425" s="24" t="str">
        <x:v>Formal game archetype combining fighter durability and martial progression with limited arcane spellcasting.</x:v>
      </x:c>
      <x:c r="H425" s="24" t="str">
        <x:v>Do not assume identical training, social status, powers, or mechanics across settings.</x:v>
      </x:c>
      <x:c r="I425" s="24" t="str">
        <x:v>eldritch knight; magic knight</x:v>
      </x:c>
      <x:c r="J425" s="24" t="str">
        <x:v>Cross-domain builds, iconic setting professions, transformation systems, and specialized fantasy combat identities.</x:v>
      </x:c>
      <x:c r="K425" s="24" t="str">
        <x:v>eldritch knight; magic knight</x:v>
      </x:c>
      <x:c r="L425" s="24" t="str">
        <x:v>Preserve each source's ontology, culture, history, and terminology when making comparisons.</x:v>
      </x:c>
      <x:c r="M425" s="24" t="str">
        <x:v>Core Family</x:v>
      </x:c>
    </x:row>
    <x:row r="426" ht="44" customHeight="1">
      <x:c r="A426" s="24" t="str">
        <x:v>ROL-806</x:v>
      </x:c>
      <x:c r="B426" s="24" t="str">
        <x:v>Sword Saint</x:v>
      </x:c>
      <x:c r="C426" s="24" t="str">
        <x:v>Roles &amp; Vocations</x:v>
      </x:c>
      <x:c r="D426" s="24" t="str">
        <x:v>ROL-800</x:v>
      </x:c>
      <x:c r="E426" s="24" t="str">
        <x:f>IF(D426="","",IFERROR(VLOOKUP(D426,$A$2:$B$1226,2,FALSE),""))</x:f>
        <x:v>Hybrid and Specialist Fantasy Roles</x:v>
      </x:c>
      <x:c r="F426" s="24" t="n">
        <x:v>3</x:v>
      </x:c>
      <x:c r="G426" s="24" t="str">
        <x:v>Near-mystical sword master whose technique functions as spiritual, magical, or transcendent power.</x:v>
      </x:c>
      <x:c r="H426" s="24" t="str">
        <x:v>Do not assume identical training, social status, powers, or mechanics across settings.</x:v>
      </x:c>
      <x:c r="I426" s="24" t="str">
        <x:v>sword saint; kensei-like; blade sage</x:v>
      </x:c>
      <x:c r="J426" s="24" t="str">
        <x:v>Cross-domain builds, iconic setting professions, transformation systems, and specialized fantasy combat identities.</x:v>
      </x:c>
      <x:c r="K426" s="24" t="str">
        <x:v>sword saint; kensei-like; blade sage</x:v>
      </x:c>
      <x:c r="L426" s="24" t="str">
        <x:v>Preserve each source's ontology, culture, history, and terminology when making comparisons.</x:v>
      </x:c>
      <x:c r="M426" s="24" t="str">
        <x:v>Core Family</x:v>
      </x:c>
    </x:row>
    <x:row r="427" ht="44" customHeight="1">
      <x:c r="A427" s="24" t="str">
        <x:v>ROL-807</x:v>
      </x:c>
      <x:c r="B427" s="24" t="str">
        <x:v>Gunmage</x:v>
      </x:c>
      <x:c r="C427" s="24" t="str">
        <x:v>Roles &amp; Vocations</x:v>
      </x:c>
      <x:c r="D427" s="24" t="str">
        <x:v>ROL-800</x:v>
      </x:c>
      <x:c r="E427" s="24" t="str">
        <x:f>IF(D427="","",IFERROR(VLOOKUP(D427,$A$2:$B$1226,2,FALSE),""))</x:f>
        <x:v>Hybrid and Specialist Fantasy Roles</x:v>
      </x:c>
      <x:c r="F427" s="24" t="n">
        <x:v>3</x:v>
      </x:c>
      <x:c r="G427" s="24" t="str">
        <x:v>Hybrid combatant who channels spells through firearms or combines gunplay with occult technique.</x:v>
      </x:c>
      <x:c r="H427" s="24" t="str">
        <x:v>Do not assume identical training, social status, powers, or mechanics across settings.</x:v>
      </x:c>
      <x:c r="I427" s="24" t="str">
        <x:v>gunmage; spellshot; hexgunner</x:v>
      </x:c>
      <x:c r="J427" s="24" t="str">
        <x:v>Cross-domain builds, iconic setting professions, transformation systems, and specialized fantasy combat identities.</x:v>
      </x:c>
      <x:c r="K427" s="24" t="str">
        <x:v>gunmage; spellshot; hexgunner</x:v>
      </x:c>
      <x:c r="L427" s="24" t="str">
        <x:v>Preserve each source's ontology, culture, history, and terminology when making comparisons.</x:v>
      </x:c>
      <x:c r="M427" s="24" t="str">
        <x:v>Core Family</x:v>
      </x:c>
    </x:row>
    <x:row r="428" ht="44" customHeight="1">
      <x:c r="A428" s="24" t="str">
        <x:v>ROL-808</x:v>
      </x:c>
      <x:c r="B428" s="24" t="str">
        <x:v>Magitech Knight</x:v>
      </x:c>
      <x:c r="C428" s="24" t="str">
        <x:v>Roles &amp; Vocations</x:v>
      </x:c>
      <x:c r="D428" s="24" t="str">
        <x:v>ROL-800</x:v>
      </x:c>
      <x:c r="E428" s="24" t="str">
        <x:f>IF(D428="","",IFERROR(VLOOKUP(D428,$A$2:$B$1226,2,FALSE),""))</x:f>
        <x:v>Hybrid and Specialist Fantasy Roles</x:v>
      </x:c>
      <x:c r="F428" s="24" t="n">
        <x:v>3</x:v>
      </x:c>
      <x:c r="G428" s="24" t="str">
        <x:v>Armored warrior empowered by magical technology, powered suits, crystals, engines, or artificial cores.</x:v>
      </x:c>
      <x:c r="H428" s="24" t="str">
        <x:v>Do not assume identical training, social status, powers, or mechanics across settings.</x:v>
      </x:c>
      <x:c r="I428" s="24" t="str">
        <x:v>magitech knight; techno-paladin</x:v>
      </x:c>
      <x:c r="J428" s="24" t="str">
        <x:v>Cross-domain builds, iconic setting professions, transformation systems, and specialized fantasy combat identities.</x:v>
      </x:c>
      <x:c r="K428" s="24" t="str">
        <x:v>magitech knight; techno-paladin</x:v>
      </x:c>
      <x:c r="L428" s="24" t="str">
        <x:v>Preserve each source's ontology, culture, history, and terminology when making comparisons.</x:v>
      </x:c>
      <x:c r="M428" s="24" t="str">
        <x:v>Core Family</x:v>
      </x:c>
    </x:row>
    <x:row r="429" ht="44" customHeight="1">
      <x:c r="A429" s="24" t="str">
        <x:v>ROL-809</x:v>
      </x:c>
      <x:c r="B429" s="24" t="str">
        <x:v>Dragon Knight</x:v>
      </x:c>
      <x:c r="C429" s="24" t="str">
        <x:v>Roles &amp; Vocations</x:v>
      </x:c>
      <x:c r="D429" s="24" t="str">
        <x:v>ROL-800</x:v>
      </x:c>
      <x:c r="E429" s="24" t="str">
        <x:f>IF(D429="","",IFERROR(VLOOKUP(D429,$A$2:$B$1226,2,FALSE),""))</x:f>
        <x:v>Hybrid and Specialist Fantasy Roles</x:v>
      </x:c>
      <x:c r="F429" s="24" t="n">
        <x:v>3</x:v>
      </x:c>
      <x:c r="G429" s="24" t="str">
        <x:v>Warrior empowered by draconic blood, armor, pacts, mounts, or anti-dragon specialization.</x:v>
      </x:c>
      <x:c r="H429" s="24" t="str">
        <x:v>Do not assume identical training, social status, powers, or mechanics across settings.</x:v>
      </x:c>
      <x:c r="I429" s="24" t="str">
        <x:v>dragon knight; dragoon; wyrm knight</x:v>
      </x:c>
      <x:c r="J429" s="24" t="str">
        <x:v>Cross-domain builds, iconic setting professions, transformation systems, and specialized fantasy combat identities.</x:v>
      </x:c>
      <x:c r="K429" s="24" t="str">
        <x:v>dragon knight; dragoon; wyrm knight</x:v>
      </x:c>
      <x:c r="L429" s="24" t="str">
        <x:v>Preserve each source's ontology, culture, history, and terminology when making comparisons.</x:v>
      </x:c>
      <x:c r="M429" s="24" t="str">
        <x:v>Core Family</x:v>
      </x:c>
    </x:row>
    <x:row r="430" ht="44" customHeight="1">
      <x:c r="A430" s="24" t="str">
        <x:v>ROL-810</x:v>
      </x:c>
      <x:c r="B430" s="24" t="str">
        <x:v>Witcher and Alchemical Monster Hunter</x:v>
      </x:c>
      <x:c r="C430" s="24" t="str">
        <x:v>Roles &amp; Vocations</x:v>
      </x:c>
      <x:c r="D430" s="24" t="str">
        <x:v>ROL-800</x:v>
      </x:c>
      <x:c r="E430" s="24" t="str">
        <x:f>IF(D430="","",IFERROR(VLOOKUP(D430,$A$2:$B$1226,2,FALSE),""))</x:f>
        <x:v>Hybrid and Specialist Fantasy Roles</x:v>
      </x:c>
      <x:c r="F430" s="24" t="n">
        <x:v>3</x:v>
      </x:c>
      <x:c r="G430" s="24" t="str">
        <x:v>Professionally trained monster hunter transformed or enhanced through alchemy, mutation, ritual, and specialized signs or tools.</x:v>
      </x:c>
      <x:c r="H430" s="24" t="str">
        <x:v>Do not assume identical training, social status, powers, or mechanics across settings.</x:v>
      </x:c>
      <x:c r="I430" s="24" t="str">
        <x:v>witcher; mutant hunter; alchemical slayer</x:v>
      </x:c>
      <x:c r="J430" s="24" t="str">
        <x:v>Cross-domain builds, iconic setting professions, transformation systems, and specialized fantasy combat identities.</x:v>
      </x:c>
      <x:c r="K430" s="24" t="str">
        <x:v>witcher; mutant hunter; alchemical slayer</x:v>
      </x:c>
      <x:c r="L430" s="24" t="str">
        <x:v>Use 'witcher' as a source-specific term for Sapkowski/CD Projekt continuity; other settings are analogues.</x:v>
      </x:c>
      <x:c r="M430" s="24" t="str">
        <x:v>Core Family</x:v>
      </x:c>
    </x:row>
    <x:row r="431" ht="44" customHeight="1">
      <x:c r="A431" s="24" t="str">
        <x:v>ROL-811</x:v>
      </x:c>
      <x:c r="B431" s="24" t="str">
        <x:v>Grey Warden-Type Blight Hunter</x:v>
      </x:c>
      <x:c r="C431" s="24" t="str">
        <x:v>Roles &amp; Vocations</x:v>
      </x:c>
      <x:c r="D431" s="24" t="str">
        <x:v>ROL-800</x:v>
      </x:c>
      <x:c r="E431" s="24" t="str">
        <x:f>IF(D431="","",IFERROR(VLOOKUP(D431,$A$2:$B$1226,2,FALSE),""))</x:f>
        <x:v>Hybrid and Specialist Fantasy Roles</x:v>
      </x:c>
      <x:c r="F431" s="24" t="n">
        <x:v>3</x:v>
      </x:c>
      <x:c r="G431" s="24" t="str">
        <x:v>Order-bound warrior who accepts contamination or transformation to sense and fight a specific existential enemy.</x:v>
      </x:c>
      <x:c r="H431" s="24" t="str">
        <x:v>Do not assume identical training, social status, powers, or mechanics across settings.</x:v>
      </x:c>
      <x:c r="I431" s="24" t="str">
        <x:v>blight hunter; taint-bound warden</x:v>
      </x:c>
      <x:c r="J431" s="24" t="str">
        <x:v>Cross-domain builds, iconic setting professions, transformation systems, and specialized fantasy combat identities.</x:v>
      </x:c>
      <x:c r="K431" s="24" t="str">
        <x:v>blight hunter; taint-bound warden</x:v>
      </x:c>
      <x:c r="L431" s="24" t="str">
        <x:v>Preserve each source's ontology, culture, history, and terminology when making comparisons.</x:v>
      </x:c>
      <x:c r="M431" s="24" t="str">
        <x:v>Core Family</x:v>
      </x:c>
    </x:row>
    <x:row r="432" ht="44" customHeight="1">
      <x:c r="A432" s="24" t="str">
        <x:v>ROL-812</x:v>
      </x:c>
      <x:c r="B432" s="24" t="str">
        <x:v>Vampire Hunter</x:v>
      </x:c>
      <x:c r="C432" s="24" t="str">
        <x:v>Roles &amp; Vocations</x:v>
      </x:c>
      <x:c r="D432" s="24" t="str">
        <x:v>ROL-800</x:v>
      </x:c>
      <x:c r="E432" s="24" t="str">
        <x:f>IF(D432="","",IFERROR(VLOOKUP(D432,$A$2:$B$1226,2,FALSE),""))</x:f>
        <x:v>Hybrid and Specialist Fantasy Roles</x:v>
      </x:c>
      <x:c r="F432" s="24" t="n">
        <x:v>3</x:v>
      </x:c>
      <x:c r="G432" s="24" t="str">
        <x:v>Specialist trained to identify, track, and kill vampires using lore, sacred tools, medicine, or inherited techniques.</x:v>
      </x:c>
      <x:c r="H432" s="24" t="str">
        <x:v>Do not assume identical training, social status, powers, or mechanics across settings.</x:v>
      </x:c>
      <x:c r="I432" s="24" t="str">
        <x:v>vampire hunter; dhampir hunter</x:v>
      </x:c>
      <x:c r="J432" s="24" t="str">
        <x:v>Cross-domain builds, iconic setting professions, transformation systems, and specialized fantasy combat identities.</x:v>
      </x:c>
      <x:c r="K432" s="24" t="str">
        <x:v>vampire hunter; dhampir hunter</x:v>
      </x:c>
      <x:c r="L432" s="24" t="str">
        <x:v>Preserve each source's ontology, culture, history, and terminology when making comparisons.</x:v>
      </x:c>
      <x:c r="M432" s="24" t="str">
        <x:v>Core Family</x:v>
      </x:c>
    </x:row>
    <x:row r="433" ht="44" customHeight="1">
      <x:c r="A433" s="24" t="str">
        <x:v>ROL-813</x:v>
      </x:c>
      <x:c r="B433" s="24" t="str">
        <x:v>Exorcist Warrior</x:v>
      </x:c>
      <x:c r="C433" s="24" t="str">
        <x:v>Roles &amp; Vocations</x:v>
      </x:c>
      <x:c r="D433" s="24" t="str">
        <x:v>ROL-800</x:v>
      </x:c>
      <x:c r="E433" s="24" t="str">
        <x:f>IF(D433="","",IFERROR(VLOOKUP(D433,$A$2:$B$1226,2,FALSE),""))</x:f>
        <x:v>Hybrid and Specialist Fantasy Roles</x:v>
      </x:c>
      <x:c r="F433" s="24" t="n">
        <x:v>3</x:v>
      </x:c>
      <x:c r="G433" s="24" t="str">
        <x:v>Combatant who combines martial skill with seals, prayers, sacred weapons, or spirit banishment.</x:v>
      </x:c>
      <x:c r="H433" s="24" t="str">
        <x:v>Do not assume identical training, social status, powers, or mechanics across settings.</x:v>
      </x:c>
      <x:c r="I433" s="24" t="str">
        <x:v>exorcist fighter; demon-slaying monk</x:v>
      </x:c>
      <x:c r="J433" s="24" t="str">
        <x:v>Cross-domain builds, iconic setting professions, transformation systems, and specialized fantasy combat identities.</x:v>
      </x:c>
      <x:c r="K433" s="24" t="str">
        <x:v>exorcist fighter; demon-slaying monk</x:v>
      </x:c>
      <x:c r="L433" s="24" t="str">
        <x:v>Preserve each source's ontology, culture, history, and terminology when making comparisons.</x:v>
      </x:c>
      <x:c r="M433" s="24" t="str">
        <x:v>Core Family</x:v>
      </x:c>
    </x:row>
    <x:row r="434" ht="44" customHeight="1">
      <x:c r="A434" s="24" t="str">
        <x:v>ROL-814</x:v>
      </x:c>
      <x:c r="B434" s="24" t="str">
        <x:v>Beast Tamer Combatant</x:v>
      </x:c>
      <x:c r="C434" s="24" t="str">
        <x:v>Roles &amp; Vocations</x:v>
      </x:c>
      <x:c r="D434" s="24" t="str">
        <x:v>ROL-800</x:v>
      </x:c>
      <x:c r="E434" s="24" t="str">
        <x:f>IF(D434="","",IFERROR(VLOOKUP(D434,$A$2:$B$1226,2,FALSE),""))</x:f>
        <x:v>Hybrid and Specialist Fantasy Roles</x:v>
      </x:c>
      <x:c r="F434" s="24" t="n">
        <x:v>3</x:v>
      </x:c>
      <x:c r="G434" s="24" t="str">
        <x:v>Fighter whose tactical kit depends on controlled monsters, pets, or mounts.</x:v>
      </x:c>
      <x:c r="H434" s="24" t="str">
        <x:v>Do not assume identical training, social status, powers, or mechanics across settings.</x:v>
      </x:c>
      <x:c r="I434" s="24" t="str">
        <x:v>beast tamer; monster trainer; pet fighter</x:v>
      </x:c>
      <x:c r="J434" s="24" t="str">
        <x:v>Cross-domain builds, iconic setting professions, transformation systems, and specialized fantasy combat identities.</x:v>
      </x:c>
      <x:c r="K434" s="24" t="str">
        <x:v>beast tamer; monster trainer; pet fighter</x:v>
      </x:c>
      <x:c r="L434" s="24" t="str">
        <x:v>Preserve each source's ontology, culture, history, and terminology when making comparisons.</x:v>
      </x:c>
      <x:c r="M434" s="24" t="str">
        <x:v>Core Family</x:v>
      </x:c>
    </x:row>
    <x:row r="435" ht="44" customHeight="1">
      <x:c r="A435" s="24" t="str">
        <x:v>ROL-815</x:v>
      </x:c>
      <x:c r="B435" s="24" t="str">
        <x:v>Puppetmaster</x:v>
      </x:c>
      <x:c r="C435" s="24" t="str">
        <x:v>Roles &amp; Vocations</x:v>
      </x:c>
      <x:c r="D435" s="24" t="str">
        <x:v>ROL-800</x:v>
      </x:c>
      <x:c r="E435" s="24" t="str">
        <x:f>IF(D435="","",IFERROR(VLOOKUP(D435,$A$2:$B$1226,2,FALSE),""))</x:f>
        <x:v>Hybrid and Specialist Fantasy Roles</x:v>
      </x:c>
      <x:c r="F435" s="24" t="n">
        <x:v>3</x:v>
      </x:c>
      <x:c r="G435" s="24" t="str">
        <x:v>Controller who fights through dolls, constructs, corpses, strings, shadows, or remotely directed bodies.</x:v>
      </x:c>
      <x:c r="H435" s="24" t="str">
        <x:v>Do not assume identical training, social status, powers, or mechanics across settings.</x:v>
      </x:c>
      <x:c r="I435" s="24" t="str">
        <x:v>puppetmaster; doll master; marionettist</x:v>
      </x:c>
      <x:c r="J435" s="24" t="str">
        <x:v>Cross-domain builds, iconic setting professions, transformation systems, and specialized fantasy combat identities.</x:v>
      </x:c>
      <x:c r="K435" s="24" t="str">
        <x:v>puppetmaster; doll master; marionettist</x:v>
      </x:c>
      <x:c r="L435" s="24" t="str">
        <x:v>Preserve each source's ontology, culture, history, and terminology when making comparisons.</x:v>
      </x:c>
      <x:c r="M435" s="24" t="str">
        <x:v>Core Family</x:v>
      </x:c>
    </x:row>
    <x:row r="436" ht="44" customHeight="1">
      <x:c r="A436" s="24" t="str">
        <x:v>ROL-816</x:v>
      </x:c>
      <x:c r="B436" s="24" t="str">
        <x:v>Necromantic Commander</x:v>
      </x:c>
      <x:c r="C436" s="24" t="str">
        <x:v>Roles &amp; Vocations</x:v>
      </x:c>
      <x:c r="D436" s="24" t="str">
        <x:v>ROL-800</x:v>
      </x:c>
      <x:c r="E436" s="24" t="str">
        <x:f>IF(D436="","",IFERROR(VLOOKUP(D436,$A$2:$B$1226,2,FALSE),""))</x:f>
        <x:v>Hybrid and Specialist Fantasy Roles</x:v>
      </x:c>
      <x:c r="F436" s="24" t="n">
        <x:v>3</x:v>
      </x:c>
      <x:c r="G436" s="24" t="str">
        <x:v>Leader who raises, buffs, deploys, and replaces undead minions as an army or tactical resource.</x:v>
      </x:c>
      <x:c r="H436" s="24" t="str">
        <x:v>Do not assume identical training, social status, powers, or mechanics across settings.</x:v>
      </x:c>
      <x:c r="I436" s="24" t="str">
        <x:v>necromancer lord; corpse commander</x:v>
      </x:c>
      <x:c r="J436" s="24" t="str">
        <x:v>Cross-domain builds, iconic setting professions, transformation systems, and specialized fantasy combat identities.</x:v>
      </x:c>
      <x:c r="K436" s="24" t="str">
        <x:v>necromancer lord; corpse commander</x:v>
      </x:c>
      <x:c r="L436" s="24" t="str">
        <x:v>Preserve each source's ontology, culture, history, and terminology when making comparisons.</x:v>
      </x:c>
      <x:c r="M436" s="24" t="str">
        <x:v>Core Family</x:v>
      </x:c>
    </x:row>
    <x:row r="437" ht="44" customHeight="1">
      <x:c r="A437" s="24" t="str">
        <x:v>ROL-817</x:v>
      </x:c>
      <x:c r="B437" s="24" t="str">
        <x:v>Summoner-Pet Master</x:v>
      </x:c>
      <x:c r="C437" s="24" t="str">
        <x:v>Roles &amp; Vocations</x:v>
      </x:c>
      <x:c r="D437" s="24" t="str">
        <x:v>ROL-800</x:v>
      </x:c>
      <x:c r="E437" s="24" t="str">
        <x:f>IF(D437="","",IFERROR(VLOOKUP(D437,$A$2:$B$1226,2,FALSE),""))</x:f>
        <x:v>Hybrid and Specialist Fantasy Roles</x:v>
      </x:c>
      <x:c r="F437" s="24" t="n">
        <x:v>3</x:v>
      </x:c>
      <x:c r="G437" s="24" t="str">
        <x:v>Specialist whose primary combat presence is mediated through one or more summoned companions.</x:v>
      </x:c>
      <x:c r="H437" s="24" t="str">
        <x:v>Do not assume identical training, social status, powers, or mechanics across settings.</x:v>
      </x:c>
      <x:c r="I437" s="24" t="str">
        <x:v>summoner; eidolon master; pet class</x:v>
      </x:c>
      <x:c r="J437" s="24" t="str">
        <x:v>Cross-domain builds, iconic setting professions, transformation systems, and specialized fantasy combat identities.</x:v>
      </x:c>
      <x:c r="K437" s="24" t="str">
        <x:v>summoner; eidolon master; pet class</x:v>
      </x:c>
      <x:c r="L437" s="24" t="str">
        <x:v>Preserve each source's ontology, culture, history, and terminology when making comparisons.</x:v>
      </x:c>
      <x:c r="M437" s="24" t="str">
        <x:v>Core Family</x:v>
      </x:c>
    </x:row>
    <x:row r="438" ht="44" customHeight="1">
      <x:c r="A438" s="24" t="str">
        <x:v>ROL-818</x:v>
      </x:c>
      <x:c r="B438" s="24" t="str">
        <x:v>Shapeshifting Combatant</x:v>
      </x:c>
      <x:c r="C438" s="24" t="str">
        <x:v>Roles &amp; Vocations</x:v>
      </x:c>
      <x:c r="D438" s="24" t="str">
        <x:v>ROL-800</x:v>
      </x:c>
      <x:c r="E438" s="24" t="str">
        <x:f>IF(D438="","",IFERROR(VLOOKUP(D438,$A$2:$B$1226,2,FALSE),""))</x:f>
        <x:v>Hybrid and Specialist Fantasy Roles</x:v>
      </x:c>
      <x:c r="F438" s="24" t="n">
        <x:v>3</x:v>
      </x:c>
      <x:c r="G438" s="24" t="str">
        <x:v>Fighter who changes forms, bodies, stances, or species to access different capabilities.</x:v>
      </x:c>
      <x:c r="H438" s="24" t="str">
        <x:v>Do not assume identical training, social status, powers, or mechanics across settings.</x:v>
      </x:c>
      <x:c r="I438" s="24" t="str">
        <x:v>shifter; morph warrior; wildshape fighter</x:v>
      </x:c>
      <x:c r="J438" s="24" t="str">
        <x:v>Cross-domain builds, iconic setting professions, transformation systems, and specialized fantasy combat identities.</x:v>
      </x:c>
      <x:c r="K438" s="24" t="str">
        <x:v>shifter; morph warrior; wildshape fighter</x:v>
      </x:c>
      <x:c r="L438" s="24" t="str">
        <x:v>Preserve each source's ontology, culture, history, and terminology when making comparisons.</x:v>
      </x:c>
      <x:c r="M438" s="24" t="str">
        <x:v>Core Family</x:v>
      </x:c>
    </x:row>
    <x:row r="439" ht="44" customHeight="1">
      <x:c r="A439" s="24" t="str">
        <x:v>ROL-819</x:v>
      </x:c>
      <x:c r="B439" s="24" t="str">
        <x:v>Blue Mage or Ability Mimic</x:v>
      </x:c>
      <x:c r="C439" s="24" t="str">
        <x:v>Roles &amp; Vocations</x:v>
      </x:c>
      <x:c r="D439" s="24" t="str">
        <x:v>ROL-800</x:v>
      </x:c>
      <x:c r="E439" s="24" t="str">
        <x:f>IF(D439="","",IFERROR(VLOOKUP(D439,$A$2:$B$1226,2,FALSE),""))</x:f>
        <x:v>Hybrid and Specialist Fantasy Roles</x:v>
      </x:c>
      <x:c r="F439" s="24" t="n">
        <x:v>3</x:v>
      </x:c>
      <x:c r="G439" s="24" t="str">
        <x:v>Specialist who copies enemy or monster abilities and builds versatility through encounter knowledge.</x:v>
      </x:c>
      <x:c r="H439" s="24" t="str">
        <x:v>Do not assume identical training, social status, powers, or mechanics across settings.</x:v>
      </x:c>
      <x:c r="I439" s="24" t="str">
        <x:v>blue mage; mimic; skill copier</x:v>
      </x:c>
      <x:c r="J439" s="24" t="str">
        <x:v>Cross-domain builds, iconic setting professions, transformation systems, and specialized fantasy combat identities.</x:v>
      </x:c>
      <x:c r="K439" s="24" t="str">
        <x:v>blue mage; mimic; skill copier</x:v>
      </x:c>
      <x:c r="L439" s="24" t="str">
        <x:v>Preserve each source's ontology, culture, history, and terminology when making comparisons.</x:v>
      </x:c>
      <x:c r="M439" s="24" t="str">
        <x:v>Core Family</x:v>
      </x:c>
    </x:row>
    <x:row r="440" ht="44" customHeight="1">
      <x:c r="A440" s="24" t="str">
        <x:v>ROL-820</x:v>
      </x:c>
      <x:c r="B440" s="24" t="str">
        <x:v>Mime</x:v>
      </x:c>
      <x:c r="C440" s="24" t="str">
        <x:v>Roles &amp; Vocations</x:v>
      </x:c>
      <x:c r="D440" s="24" t="str">
        <x:v>ROL-800</x:v>
      </x:c>
      <x:c r="E440" s="24" t="str">
        <x:f>IF(D440="","",IFERROR(VLOOKUP(D440,$A$2:$B$1226,2,FALSE),""))</x:f>
        <x:v>Hybrid and Specialist Fantasy Roles</x:v>
      </x:c>
      <x:c r="F440" s="24" t="n">
        <x:v>3</x:v>
      </x:c>
      <x:c r="G440" s="24" t="str">
        <x:v>Performer or game class that repeats, reflects, imitates, or amplifies actions used by others.</x:v>
      </x:c>
      <x:c r="H440" s="24" t="str">
        <x:v>Do not assume identical training, social status, powers, or mechanics across settings.</x:v>
      </x:c>
      <x:c r="I440" s="24" t="str">
        <x:v>mime; copycat; echo class</x:v>
      </x:c>
      <x:c r="J440" s="24" t="str">
        <x:v>Cross-domain builds, iconic setting professions, transformation systems, and specialized fantasy combat identities.</x:v>
      </x:c>
      <x:c r="K440" s="24" t="str">
        <x:v>mime; copycat; echo class</x:v>
      </x:c>
      <x:c r="L440" s="24" t="str">
        <x:v>Preserve each source's ontology, culture, history, and terminology when making comparisons.</x:v>
      </x:c>
      <x:c r="M440" s="24" t="str">
        <x:v>Core Family</x:v>
      </x:c>
    </x:row>
    <x:row r="441" ht="44" customHeight="1">
      <x:c r="A441" s="24" t="str">
        <x:v>ROL-821</x:v>
      </x:c>
      <x:c r="B441" s="24" t="str">
        <x:v>Freelancer and Job Generalist</x:v>
      </x:c>
      <x:c r="C441" s="24" t="str">
        <x:v>Roles &amp; Vocations</x:v>
      </x:c>
      <x:c r="D441" s="24" t="str">
        <x:v>ROL-800</x:v>
      </x:c>
      <x:c r="E441" s="24" t="str">
        <x:f>IF(D441="","",IFERROR(VLOOKUP(D441,$A$2:$B$1226,2,FALSE),""))</x:f>
        <x:v>Hybrid and Specialist Fantasy Roles</x:v>
      </x:c>
      <x:c r="F441" s="24" t="n">
        <x:v>3</x:v>
      </x:c>
      <x:c r="G441" s="24" t="str">
        <x:v>Class whose identity is unrestricted job access, inherited abilities, or flexible reconfiguration.</x:v>
      </x:c>
      <x:c r="H441" s="24" t="str">
        <x:v>Do not assume identical training, social status, powers, or mechanics across settings.</x:v>
      </x:c>
      <x:c r="I441" s="24" t="str">
        <x:v>freelancer; onion knight; jobless; adventurer</x:v>
      </x:c>
      <x:c r="J441" s="24" t="str">
        <x:v>Cross-domain builds, iconic setting professions, transformation systems, and specialized fantasy combat identities.</x:v>
      </x:c>
      <x:c r="K441" s="24" t="str">
        <x:v>freelancer; onion knight; jobless; adventurer</x:v>
      </x:c>
      <x:c r="L441" s="24" t="str">
        <x:v>Preserve each source's ontology, culture, history, and terminology when making comparisons.</x:v>
      </x:c>
      <x:c r="M441" s="24" t="str">
        <x:v>Core Family</x:v>
      </x:c>
    </x:row>
    <x:row r="442" ht="44" customHeight="1">
      <x:c r="A442" s="24" t="str">
        <x:v>ROL-822</x:v>
      </x:c>
      <x:c r="B442" s="24" t="str">
        <x:v>Dancer-Fighter</x:v>
      </x:c>
      <x:c r="C442" s="24" t="str">
        <x:v>Roles &amp; Vocations</x:v>
      </x:c>
      <x:c r="D442" s="24" t="str">
        <x:v>ROL-800</x:v>
      </x:c>
      <x:c r="E442" s="24" t="str">
        <x:f>IF(D442="","",IFERROR(VLOOKUP(D442,$A$2:$B$1226,2,FALSE),""))</x:f>
        <x:v>Hybrid and Specialist Fantasy Roles</x:v>
      </x:c>
      <x:c r="F442" s="24" t="n">
        <x:v>3</x:v>
      </x:c>
      <x:c r="G442" s="24" t="str">
        <x:v>Mobile support or damage role that channels combat effects through choreographed movement.</x:v>
      </x:c>
      <x:c r="H442" s="24" t="str">
        <x:v>Do not assume identical training, social status, powers, or mechanics across settings.</x:v>
      </x:c>
      <x:c r="I442" s="24" t="str">
        <x:v>battle dancer; blade dancer; dancer</x:v>
      </x:c>
      <x:c r="J442" s="24" t="str">
        <x:v>Cross-domain builds, iconic setting professions, transformation systems, and specialized fantasy combat identities.</x:v>
      </x:c>
      <x:c r="K442" s="24" t="str">
        <x:v>battle dancer; blade dancer; dancer</x:v>
      </x:c>
      <x:c r="L442" s="24" t="str">
        <x:v>Preserve each source's ontology, culture, history, and terminology when making comparisons.</x:v>
      </x:c>
      <x:c r="M442" s="24" t="str">
        <x:v>Core Family</x:v>
      </x:c>
    </x:row>
    <x:row r="443" ht="44" customHeight="1">
      <x:c r="A443" s="24" t="str">
        <x:v>ROL-823</x:v>
      </x:c>
      <x:c r="B443" s="24" t="str">
        <x:v>Bardic Warrior</x:v>
      </x:c>
      <x:c r="C443" s="24" t="str">
        <x:v>Roles &amp; Vocations</x:v>
      </x:c>
      <x:c r="D443" s="24" t="str">
        <x:v>ROL-800</x:v>
      </x:c>
      <x:c r="E443" s="24" t="str">
        <x:f>IF(D443="","",IFERROR(VLOOKUP(D443,$A$2:$B$1226,2,FALSE),""))</x:f>
        <x:v>Hybrid and Specialist Fantasy Roles</x:v>
      </x:c>
      <x:c r="F443" s="24" t="n">
        <x:v>3</x:v>
      </x:c>
      <x:c r="G443" s="24" t="str">
        <x:v>Combatant who uses song, rhythm, poetry, or performance alongside weapons and command.</x:v>
      </x:c>
      <x:c r="H443" s="24" t="str">
        <x:v>Do not assume identical training, social status, powers, or mechanics across settings.</x:v>
      </x:c>
      <x:c r="I443" s="24" t="str">
        <x:v>skald; war bard; songblade</x:v>
      </x:c>
      <x:c r="J443" s="24" t="str">
        <x:v>Cross-domain builds, iconic setting professions, transformation systems, and specialized fantasy combat identities.</x:v>
      </x:c>
      <x:c r="K443" s="24" t="str">
        <x:v>skald; war bard; songblade</x:v>
      </x:c>
      <x:c r="L443" s="24" t="str">
        <x:v>Preserve each source's ontology, culture, history, and terminology when making comparisons.</x:v>
      </x:c>
      <x:c r="M443" s="24" t="str">
        <x:v>Core Family</x:v>
      </x:c>
    </x:row>
    <x:row r="444" ht="44" customHeight="1">
      <x:c r="A444" s="24" t="str">
        <x:v>ROL-824</x:v>
      </x:c>
      <x:c r="B444" s="24" t="str">
        <x:v>Dark Magical Girl or Transformation Warrior</x:v>
      </x:c>
      <x:c r="C444" s="24" t="str">
        <x:v>Roles &amp; Vocations</x:v>
      </x:c>
      <x:c r="D444" s="24" t="str">
        <x:v>ROL-800</x:v>
      </x:c>
      <x:c r="E444" s="24" t="str">
        <x:f>IF(D444="","",IFERROR(VLOOKUP(D444,$A$2:$B$1226,2,FALSE),""))</x:f>
        <x:v>Hybrid and Specialist Fantasy Roles</x:v>
      </x:c>
      <x:c r="F444" s="24" t="n">
        <x:v>3</x:v>
      </x:c>
      <x:c r="G444" s="24" t="str">
        <x:v>Character whose combat identity emerges through ritual transformation, costume, symbolic weapon, and emotionally coded power.</x:v>
      </x:c>
      <x:c r="H444" s="24" t="str">
        <x:v>Do not assume identical training, social status, powers, or mechanics across settings.</x:v>
      </x:c>
      <x:c r="I444" s="24" t="str">
        <x:v>magical girl; transformation hero; dark magical girl</x:v>
      </x:c>
      <x:c r="J444" s="24" t="str">
        <x:v>Cross-domain builds, iconic setting professions, transformation systems, and specialized fantasy combat identities.</x:v>
      </x:c>
      <x:c r="K444" s="24" t="str">
        <x:v>magical girl; transformation hero; dark magical girl</x:v>
      </x:c>
      <x:c r="L444" s="24" t="str">
        <x:v>Preserve each source's ontology, culture, history, and terminology when making comparisons.</x:v>
      </x:c>
      <x:c r="M444" s="24" t="str">
        <x:v>Core Family</x:v>
      </x:c>
    </x:row>
    <x:row r="445" ht="44" customHeight="1">
      <x:c r="A445" s="24" t="str">
        <x:v>ROL-825</x:v>
      </x:c>
      <x:c r="B445" s="24" t="str">
        <x:v>Masked Hero</x:v>
      </x:c>
      <x:c r="C445" s="24" t="str">
        <x:v>Roles &amp; Vocations</x:v>
      </x:c>
      <x:c r="D445" s="24" t="str">
        <x:v>ROL-800</x:v>
      </x:c>
      <x:c r="E445" s="24" t="str">
        <x:f>IF(D445="","",IFERROR(VLOOKUP(D445,$A$2:$B$1226,2,FALSE),""))</x:f>
        <x:v>Hybrid and Specialist Fantasy Roles</x:v>
      </x:c>
      <x:c r="F445" s="24" t="n">
        <x:v>3</x:v>
      </x:c>
      <x:c r="G445" s="24" t="str">
        <x:v>Combatant whose secret identity, magical mask, inherited persona, or transformation separates public and heroic selves.</x:v>
      </x:c>
      <x:c r="H445" s="24" t="str">
        <x:v>Do not assume identical training, social status, powers, or mechanics across settings.</x:v>
      </x:c>
      <x:c r="I445" s="24" t="str">
        <x:v>masked hero; henshin warrior</x:v>
      </x:c>
      <x:c r="J445" s="24" t="str">
        <x:v>Cross-domain builds, iconic setting professions, transformation systems, and specialized fantasy combat identities.</x:v>
      </x:c>
      <x:c r="K445" s="24" t="str">
        <x:v>masked hero; henshin warrior</x:v>
      </x:c>
      <x:c r="L445" s="24" t="str">
        <x:v>Preserve each source's ontology, culture, history, and terminology when making comparisons.</x:v>
      </x:c>
      <x:c r="M445" s="24" t="str">
        <x:v>Core Family</x:v>
      </x:c>
    </x:row>
    <x:row r="446" ht="44" customHeight="1">
      <x:c r="A446" s="24" t="str">
        <x:v>ROL-826</x:v>
      </x:c>
      <x:c r="B446" s="24" t="str">
        <x:v>Cursed Weapon User</x:v>
      </x:c>
      <x:c r="C446" s="24" t="str">
        <x:v>Roles &amp; Vocations</x:v>
      </x:c>
      <x:c r="D446" s="24" t="str">
        <x:v>ROL-800</x:v>
      </x:c>
      <x:c r="E446" s="24" t="str">
        <x:f>IF(D446="","",IFERROR(VLOOKUP(D446,$A$2:$B$1226,2,FALSE),""))</x:f>
        <x:v>Hybrid and Specialist Fantasy Roles</x:v>
      </x:c>
      <x:c r="F446" s="24" t="n">
        <x:v>3</x:v>
      </x:c>
      <x:c r="G446" s="24" t="str">
        <x:v>Fighter whose power depends on a sentient, corrupting, hungry, or dangerous weapon bond.</x:v>
      </x:c>
      <x:c r="H446" s="24" t="str">
        <x:v>Do not assume identical training, social status, powers, or mechanics across settings.</x:v>
      </x:c>
      <x:c r="I446" s="24" t="str">
        <x:v>cursed swordsman; weapon bearer</x:v>
      </x:c>
      <x:c r="J446" s="24" t="str">
        <x:v>Cross-domain builds, iconic setting professions, transformation systems, and specialized fantasy combat identities.</x:v>
      </x:c>
      <x:c r="K446" s="24" t="str">
        <x:v>cursed swordsman; weapon bearer</x:v>
      </x:c>
      <x:c r="L446" s="24" t="str">
        <x:v>Preserve each source's ontology, culture, history, and terminology when making comparisons.</x:v>
      </x:c>
      <x:c r="M446" s="24" t="str">
        <x:v>Core Family</x:v>
      </x:c>
    </x:row>
    <x:row r="447" ht="44" customHeight="1">
      <x:c r="A447" s="24" t="str">
        <x:v>ROL-827</x:v>
      </x:c>
      <x:c r="B447" s="24" t="str">
        <x:v>Blood Knight</x:v>
      </x:c>
      <x:c r="C447" s="24" t="str">
        <x:v>Roles &amp; Vocations</x:v>
      </x:c>
      <x:c r="D447" s="24" t="str">
        <x:v>ROL-800</x:v>
      </x:c>
      <x:c r="E447" s="24" t="str">
        <x:f>IF(D447="","",IFERROR(VLOOKUP(D447,$A$2:$B$1226,2,FALSE),""))</x:f>
        <x:v>Hybrid and Specialist Fantasy Roles</x:v>
      </x:c>
      <x:c r="F447" s="24" t="n">
        <x:v>3</x:v>
      </x:c>
      <x:c r="G447" s="24" t="str">
        <x:v>Warrior who uses blood, wounds, vitality, or sacrifice as combat resource and magical fuel.</x:v>
      </x:c>
      <x:c r="H447" s="24" t="str">
        <x:v>Do not assume identical training, social status, powers, or mechanics across settings.</x:v>
      </x:c>
      <x:c r="I447" s="24" t="str">
        <x:v>blood knight; hemowarrior</x:v>
      </x:c>
      <x:c r="J447" s="24" t="str">
        <x:v>Cross-domain builds, iconic setting professions, transformation systems, and specialized fantasy combat identities.</x:v>
      </x:c>
      <x:c r="K447" s="24" t="str">
        <x:v>blood knight; hemowarrior</x:v>
      </x:c>
      <x:c r="L447" s="24" t="str">
        <x:v>Preserve each source's ontology, culture, history, and terminology when making comparisons.</x:v>
      </x:c>
      <x:c r="M447" s="24" t="str">
        <x:v>Core Family</x:v>
      </x:c>
    </x:row>
    <x:row r="448" ht="44" customHeight="1">
      <x:c r="A448" s="24" t="str">
        <x:v>ROL-828</x:v>
      </x:c>
      <x:c r="B448" s="24" t="str">
        <x:v>Spirit Warrior</x:v>
      </x:c>
      <x:c r="C448" s="24" t="str">
        <x:v>Roles &amp; Vocations</x:v>
      </x:c>
      <x:c r="D448" s="24" t="str">
        <x:v>ROL-800</x:v>
      </x:c>
      <x:c r="E448" s="24" t="str">
        <x:f>IF(D448="","",IFERROR(VLOOKUP(D448,$A$2:$B$1226,2,FALSE),""))</x:f>
        <x:v>Hybrid and Specialist Fantasy Roles</x:v>
      </x:c>
      <x:c r="F448" s="24" t="n">
        <x:v>3</x:v>
      </x:c>
      <x:c r="G448" s="24" t="str">
        <x:v>Combatant empowered by ancestors, totems, possession, guardian spirits, or spirit weapons.</x:v>
      </x:c>
      <x:c r="H448" s="24" t="str">
        <x:v>Do not assume identical training, social status, powers, or mechanics across settings.</x:v>
      </x:c>
      <x:c r="I448" s="24" t="str">
        <x:v>spirit warrior; ancestor champion</x:v>
      </x:c>
      <x:c r="J448" s="24" t="str">
        <x:v>Cross-domain builds, iconic setting professions, transformation systems, and specialized fantasy combat identities.</x:v>
      </x:c>
      <x:c r="K448" s="24" t="str">
        <x:v>spirit warrior; ancestor champion</x:v>
      </x:c>
      <x:c r="L448" s="24" t="str">
        <x:v>Preserve each source's ontology, culture, history, and terminology when making comparisons.</x:v>
      </x:c>
      <x:c r="M448" s="24" t="str">
        <x:v>Core Family</x:v>
      </x:c>
    </x:row>
    <x:row r="449" ht="44" customHeight="1">
      <x:c r="A449" s="24" t="str">
        <x:v>ROL-829</x:v>
      </x:c>
      <x:c r="B449" s="24" t="str">
        <x:v>Elemental Knight</x:v>
      </x:c>
      <x:c r="C449" s="24" t="str">
        <x:v>Roles &amp; Vocations</x:v>
      </x:c>
      <x:c r="D449" s="24" t="str">
        <x:v>ROL-800</x:v>
      </x:c>
      <x:c r="E449" s="24" t="str">
        <x:f>IF(D449="","",IFERROR(VLOOKUP(D449,$A$2:$B$1226,2,FALSE),""))</x:f>
        <x:v>Hybrid and Specialist Fantasy Roles</x:v>
      </x:c>
      <x:c r="F449" s="24" t="n">
        <x:v>3</x:v>
      </x:c>
      <x:c r="G449" s="24" t="str">
        <x:v>Martial specialist who imbues body and weapons with elemental force.</x:v>
      </x:c>
      <x:c r="H449" s="24" t="str">
        <x:v>Do not assume identical training, social status, powers, or mechanics across settings.</x:v>
      </x:c>
      <x:c r="I449" s="24" t="str">
        <x:v>elemental knight; flame knight; frost knight</x:v>
      </x:c>
      <x:c r="J449" s="24" t="str">
        <x:v>Cross-domain builds, iconic setting professions, transformation systems, and specialized fantasy combat identities.</x:v>
      </x:c>
      <x:c r="K449" s="24" t="str">
        <x:v>elemental knight; flame knight; frost knight</x:v>
      </x:c>
      <x:c r="L449" s="24" t="str">
        <x:v>Preserve each source's ontology, culture, history, and terminology when making comparisons.</x:v>
      </x:c>
      <x:c r="M449" s="24" t="str">
        <x:v>Core Family</x:v>
      </x:c>
    </x:row>
    <x:row r="450" ht="44" customHeight="1">
      <x:c r="A450" s="24" t="str">
        <x:v>ROL-830</x:v>
      </x:c>
      <x:c r="B450" s="24" t="str">
        <x:v>Holy Gunner</x:v>
      </x:c>
      <x:c r="C450" s="24" t="str">
        <x:v>Roles &amp; Vocations</x:v>
      </x:c>
      <x:c r="D450" s="24" t="str">
        <x:v>ROL-800</x:v>
      </x:c>
      <x:c r="E450" s="24" t="str">
        <x:f>IF(D450="","",IFERROR(VLOOKUP(D450,$A$2:$B$1226,2,FALSE),""))</x:f>
        <x:v>Hybrid and Specialist Fantasy Roles</x:v>
      </x:c>
      <x:c r="F450" s="24" t="n">
        <x:v>3</x:v>
      </x:c>
      <x:c r="G450" s="24" t="str">
        <x:v>Ranged firearm specialist using sacred ammunition, exorcistic rites, or anti-monster technology.</x:v>
      </x:c>
      <x:c r="H450" s="24" t="str">
        <x:v>Do not assume identical training, social status, powers, or mechanics across settings.</x:v>
      </x:c>
      <x:c r="I450" s="24" t="str">
        <x:v>holy gunner; gun priest; witch hunter</x:v>
      </x:c>
      <x:c r="J450" s="24" t="str">
        <x:v>Cross-domain builds, iconic setting professions, transformation systems, and specialized fantasy combat identities.</x:v>
      </x:c>
      <x:c r="K450" s="24" t="str">
        <x:v>holy gunner; gun priest; witch hunter</x:v>
      </x:c>
      <x:c r="L450" s="24" t="str">
        <x:v>Preserve each source's ontology, culture, history, and terminology when making comparisons.</x:v>
      </x:c>
      <x:c r="M450" s="24" t="str">
        <x:v>Core Family</x:v>
      </x:c>
    </x:row>
    <x:row r="451" ht="44" customHeight="1">
      <x:c r="A451" s="24" t="str">
        <x:v>ROL-831</x:v>
      </x:c>
      <x:c r="B451" s="24" t="str">
        <x:v>Reaper</x:v>
      </x:c>
      <x:c r="C451" s="24" t="str">
        <x:v>Roles &amp; Vocations</x:v>
      </x:c>
      <x:c r="D451" s="24" t="str">
        <x:v>ROL-800</x:v>
      </x:c>
      <x:c r="E451" s="24" t="str">
        <x:f>IF(D451="","",IFERROR(VLOOKUP(D451,$A$2:$B$1226,2,FALSE),""))</x:f>
        <x:v>Hybrid and Specialist Fantasy Roles</x:v>
      </x:c>
      <x:c r="F451" s="24" t="n">
        <x:v>3</x:v>
      </x:c>
      <x:c r="G451" s="24" t="str">
        <x:v>Scythe-using or death-themed combatant associated with soul harvesting, spectral avatars, or execution.</x:v>
      </x:c>
      <x:c r="H451" s="24" t="str">
        <x:v>Do not assume identical training, social status, powers, or mechanics across settings.</x:v>
      </x:c>
      <x:c r="I451" s="24" t="str">
        <x:v>reaper; soul reaper; scythe knight</x:v>
      </x:c>
      <x:c r="J451" s="24" t="str">
        <x:v>Cross-domain builds, iconic setting professions, transformation systems, and specialized fantasy combat identities.</x:v>
      </x:c>
      <x:c r="K451" s="24" t="str">
        <x:v>reaper; soul reaper; scythe knight</x:v>
      </x:c>
      <x:c r="L451" s="24" t="str">
        <x:v>Preserve each source's ontology, culture, history, and terminology when making comparisons.</x:v>
      </x:c>
      <x:c r="M451" s="24" t="str">
        <x:v>Core Family</x:v>
      </x:c>
    </x:row>
    <x:row r="452" ht="44" customHeight="1">
      <x:c r="A452" s="24" t="str">
        <x:v>ROL-832</x:v>
      </x:c>
      <x:c r="B452" s="24" t="str">
        <x:v>Astrologian Healer</x:v>
      </x:c>
      <x:c r="C452" s="24" t="str">
        <x:v>Roles &amp; Vocations</x:v>
      </x:c>
      <x:c r="D452" s="24" t="str">
        <x:v>ROL-800</x:v>
      </x:c>
      <x:c r="E452" s="24" t="str">
        <x:f>IF(D452="","",IFERROR(VLOOKUP(D452,$A$2:$B$1226,2,FALSE),""))</x:f>
        <x:v>Hybrid and Specialist Fantasy Roles</x:v>
      </x:c>
      <x:c r="F452" s="24" t="n">
        <x:v>3</x:v>
      </x:c>
      <x:c r="G452" s="24" t="str">
        <x:v>Support caster using cards, stars, fate, or celestial timing to heal and enhance allies.</x:v>
      </x:c>
      <x:c r="H452" s="24" t="str">
        <x:v>Do not assume identical training, social status, powers, or mechanics across settings.</x:v>
      </x:c>
      <x:c r="I452" s="24" t="str">
        <x:v>astrologian; star healer</x:v>
      </x:c>
      <x:c r="J452" s="24" t="str">
        <x:v>Cross-domain builds, iconic setting professions, transformation systems, and specialized fantasy combat identities.</x:v>
      </x:c>
      <x:c r="K452" s="24" t="str">
        <x:v>astrologian; star healer</x:v>
      </x:c>
      <x:c r="L452" s="24" t="str">
        <x:v>Preserve each source's ontology, culture, history, and terminology when making comparisons.</x:v>
      </x:c>
      <x:c r="M452" s="24" t="str">
        <x:v>Core Family</x:v>
      </x:c>
    </x:row>
    <x:row r="453" ht="44" customHeight="1">
      <x:c r="A453" s="24" t="str">
        <x:v>ROL-833</x:v>
      </x:c>
      <x:c r="B453" s="24" t="str">
        <x:v>Scholar-Healer</x:v>
      </x:c>
      <x:c r="C453" s="24" t="str">
        <x:v>Roles &amp; Vocations</x:v>
      </x:c>
      <x:c r="D453" s="24" t="str">
        <x:v>ROL-800</x:v>
      </x:c>
      <x:c r="E453" s="24" t="str">
        <x:f>IF(D453="","",IFERROR(VLOOKUP(D453,$A$2:$B$1226,2,FALSE),""))</x:f>
        <x:v>Hybrid and Specialist Fantasy Roles</x:v>
      </x:c>
      <x:c r="F453" s="24" t="n">
        <x:v>3</x:v>
      </x:c>
      <x:c r="G453" s="24" t="str">
        <x:v>Tactical healer whose identity combines books, strategy, summoned assistants, barriers, and analytical magic.</x:v>
      </x:c>
      <x:c r="H453" s="24" t="str">
        <x:v>Do not assume identical training, social status, powers, or mechanics across settings.</x:v>
      </x:c>
      <x:c r="I453" s="24" t="str">
        <x:v>scholar; tactician healer</x:v>
      </x:c>
      <x:c r="J453" s="24" t="str">
        <x:v>Cross-domain builds, iconic setting professions, transformation systems, and specialized fantasy combat identities.</x:v>
      </x:c>
      <x:c r="K453" s="24" t="str">
        <x:v>scholar; tactician healer</x:v>
      </x:c>
      <x:c r="L453" s="24" t="str">
        <x:v>Preserve each source's ontology, culture, history, and terminology when making comparisons.</x:v>
      </x:c>
      <x:c r="M453" s="24" t="str">
        <x:v>Core Family</x:v>
      </x:c>
    </x:row>
    <x:row r="454" ht="44" customHeight="1">
      <x:c r="A454" s="24" t="str">
        <x:v>ROL-834</x:v>
      </x:c>
      <x:c r="B454" s="24" t="str">
        <x:v>Gunbreaker and Explosive Blade Knight</x:v>
      </x:c>
      <x:c r="C454" s="24" t="str">
        <x:v>Roles &amp; Vocations</x:v>
      </x:c>
      <x:c r="D454" s="24" t="str">
        <x:v>ROL-800</x:v>
      </x:c>
      <x:c r="E454" s="24" t="str">
        <x:f>IF(D454="","",IFERROR(VLOOKUP(D454,$A$2:$B$1226,2,FALSE),""))</x:f>
        <x:v>Hybrid and Specialist Fantasy Roles</x:v>
      </x:c>
      <x:c r="F454" s="24" t="n">
        <x:v>3</x:v>
      </x:c>
      <x:c r="G454" s="24" t="str">
        <x:v>Tank or duelist using a gunblade or mechanically charged weapon to combine defense and explosive offense.</x:v>
      </x:c>
      <x:c r="H454" s="24" t="str">
        <x:v>Do not assume identical training, social status, powers, or mechanics across settings.</x:v>
      </x:c>
      <x:c r="I454" s="24" t="str">
        <x:v>gunbreaker; gunblade knight</x:v>
      </x:c>
      <x:c r="J454" s="24" t="str">
        <x:v>Cross-domain builds, iconic setting professions, transformation systems, and specialized fantasy combat identities.</x:v>
      </x:c>
      <x:c r="K454" s="24" t="str">
        <x:v>gunbreaker; gunblade knight</x:v>
      </x:c>
      <x:c r="L454" s="24" t="str">
        <x:v>Preserve each source's ontology, culture, history, and terminology when making comparisons.</x:v>
      </x:c>
      <x:c r="M454" s="24" t="str">
        <x:v>Core Family</x:v>
      </x:c>
    </x:row>
    <x:row r="455" ht="44" customHeight="1">
      <x:c r="A455" s="24" t="str">
        <x:v>ROL-835</x:v>
      </x:c>
      <x:c r="B455" s="24" t="str">
        <x:v>Ritual Assassin</x:v>
      </x:c>
      <x:c r="C455" s="24" t="str">
        <x:v>Roles &amp; Vocations</x:v>
      </x:c>
      <x:c r="D455" s="24" t="str">
        <x:v>ROL-800</x:v>
      </x:c>
      <x:c r="E455" s="24" t="str">
        <x:f>IF(D455="","",IFERROR(VLOOKUP(D455,$A$2:$B$1226,2,FALSE),""))</x:f>
        <x:v>Hybrid and Specialist Fantasy Roles</x:v>
      </x:c>
      <x:c r="F455" s="24" t="n">
        <x:v>3</x:v>
      </x:c>
      <x:c r="G455" s="24" t="str">
        <x:v>Killer whose methods combine murder with sacrifice, soul work, divine service, or magical identity theft.</x:v>
      </x:c>
      <x:c r="H455" s="24" t="str">
        <x:v>Do not assume identical training, social status, powers, or mechanics across settings.</x:v>
      </x:c>
      <x:c r="I455" s="24" t="str">
        <x:v>ritual assassin; faceless killer; death cultist</x:v>
      </x:c>
      <x:c r="J455" s="24" t="str">
        <x:v>Cross-domain builds, iconic setting professions, transformation systems, and specialized fantasy combat identities.</x:v>
      </x:c>
      <x:c r="K455" s="24" t="str">
        <x:v>ritual assassin; faceless killer; death cultist</x:v>
      </x:c>
      <x:c r="L455" s="24" t="str">
        <x:v>Preserve each source's ontology, culture, history, and terminology when making comparisons.</x:v>
      </x:c>
      <x:c r="M455" s="24" t="str">
        <x:v>Core Family</x:v>
      </x:c>
    </x:row>
    <x:row r="456" ht="44" customHeight="1">
      <x:c r="A456" s="24" t="str">
        <x:v>ROL-836</x:v>
      </x:c>
      <x:c r="B456" s="24" t="str">
        <x:v>Battle Alchemist</x:v>
      </x:c>
      <x:c r="C456" s="24" t="str">
        <x:v>Roles &amp; Vocations</x:v>
      </x:c>
      <x:c r="D456" s="24" t="str">
        <x:v>ROL-800</x:v>
      </x:c>
      <x:c r="E456" s="24" t="str">
        <x:f>IF(D456="","",IFERROR(VLOOKUP(D456,$A$2:$B$1226,2,FALSE),""))</x:f>
        <x:v>Hybrid and Specialist Fantasy Roles</x:v>
      </x:c>
      <x:c r="F456" s="24" t="n">
        <x:v>3</x:v>
      </x:c>
      <x:c r="G456" s="24" t="str">
        <x:v>Combatant who uses bombs, potions, transmutation, mutagens, or prepared compounds in active battle.</x:v>
      </x:c>
      <x:c r="H456" s="24" t="str">
        <x:v>Do not assume identical training, social status, powers, or mechanics across settings.</x:v>
      </x:c>
      <x:c r="I456" s="24" t="str">
        <x:v>battle alchemist; bomber; mutagenist</x:v>
      </x:c>
      <x:c r="J456" s="24" t="str">
        <x:v>Cross-domain builds, iconic setting professions, transformation systems, and specialized fantasy combat identities.</x:v>
      </x:c>
      <x:c r="K456" s="24" t="str">
        <x:v>battle alchemist; bomber; mutagenist</x:v>
      </x:c>
      <x:c r="L456" s="24" t="str">
        <x:v>Preserve each source's ontology, culture, history, and terminology when making comparisons.</x:v>
      </x:c>
      <x:c r="M456" s="24" t="str">
        <x:v>Core Family</x:v>
      </x:c>
    </x:row>
    <x:row r="457" ht="44" customHeight="1">
      <x:c r="A457" s="24" t="str">
        <x:v>ROL-901</x:v>
      </x:c>
      <x:c r="B457" s="24" t="str">
        <x:v>Adventurer</x:v>
      </x:c>
      <x:c r="C457" s="24" t="str">
        <x:v>Roles &amp; Vocations</x:v>
      </x:c>
      <x:c r="D457" s="24" t="str">
        <x:v>ROL-900</x:v>
      </x:c>
      <x:c r="E457" s="24" t="str">
        <x:f>IF(D457="","",IFERROR(VLOOKUP(D457,$A$2:$B$1226,2,FALSE),""))</x:f>
        <x:v>Progression, Cultivation, and Adventure Roles</x:v>
      </x:c>
      <x:c r="F457" s="24" t="n">
        <x:v>3</x:v>
      </x:c>
      <x:c r="G457" s="24" t="str">
        <x:v>Mobile problem-solver who explores ruins, accepts quests, fights monsters, and operates outside ordinary occupations.</x:v>
      </x:c>
      <x:c r="H457" s="24" t="str">
        <x:v>Do not assume identical training, social status, powers, or mechanics across settings.</x:v>
      </x:c>
      <x:c r="I457" s="24" t="str">
        <x:v>adventurer; quester; free agent</x:v>
      </x:c>
      <x:c r="J457" s="24" t="str">
        <x:v>Advancement, ranking, exploration, guild economy, cultivation, and system-mediated identity.</x:v>
      </x:c>
      <x:c r="K457" s="24" t="str">
        <x:v>adventurer; quester; free agent</x:v>
      </x:c>
      <x:c r="L457" s="24" t="str">
        <x:v>Preserve each source's ontology, culture, history, and terminology when making comparisons.</x:v>
      </x:c>
      <x:c r="M457" s="24" t="str">
        <x:v>Core Family</x:v>
      </x:c>
    </x:row>
    <x:row r="458" ht="44" customHeight="1">
      <x:c r="A458" s="24" t="str">
        <x:v>ROL-902</x:v>
      </x:c>
      <x:c r="B458" s="24" t="str">
        <x:v>Guild Adventurer</x:v>
      </x:c>
      <x:c r="C458" s="24" t="str">
        <x:v>Roles &amp; Vocations</x:v>
      </x:c>
      <x:c r="D458" s="24" t="str">
        <x:v>ROL-900</x:v>
      </x:c>
      <x:c r="E458" s="24" t="str">
        <x:f>IF(D458="","",IFERROR(VLOOKUP(D458,$A$2:$B$1226,2,FALSE),""))</x:f>
        <x:v>Progression, Cultivation, and Adventure Roles</x:v>
      </x:c>
      <x:c r="F458" s="24" t="n">
        <x:v>3</x:v>
      </x:c>
      <x:c r="G458" s="24" t="str">
        <x:v>Adventurer formally ranked, licensed, and economically integrated through a guild or registry.</x:v>
      </x:c>
      <x:c r="H458" s="24" t="str">
        <x:v>Do not assume identical training, social status, powers, or mechanics across settings.</x:v>
      </x:c>
      <x:c r="I458" s="24" t="str">
        <x:v>guild adventurer; ranked adventurer</x:v>
      </x:c>
      <x:c r="J458" s="24" t="str">
        <x:v>Advancement, ranking, exploration, guild economy, cultivation, and system-mediated identity.</x:v>
      </x:c>
      <x:c r="K458" s="24" t="str">
        <x:v>guild adventurer; ranked adventurer</x:v>
      </x:c>
      <x:c r="L458" s="24" t="str">
        <x:v>Preserve each source's ontology, culture, history, and terminology when making comparisons.</x:v>
      </x:c>
      <x:c r="M458" s="24" t="str">
        <x:v>Core Family</x:v>
      </x:c>
    </x:row>
    <x:row r="459" ht="44" customHeight="1">
      <x:c r="A459" s="24" t="str">
        <x:v>ROL-903</x:v>
      </x:c>
      <x:c r="B459" s="24" t="str">
        <x:v>Dungeon Delver</x:v>
      </x:c>
      <x:c r="C459" s="24" t="str">
        <x:v>Roles &amp; Vocations</x:v>
      </x:c>
      <x:c r="D459" s="24" t="str">
        <x:v>ROL-900</x:v>
      </x:c>
      <x:c r="E459" s="24" t="str">
        <x:f>IF(D459="","",IFERROR(VLOOKUP(D459,$A$2:$B$1226,2,FALSE),""))</x:f>
        <x:v>Progression, Cultivation, and Adventure Roles</x:v>
      </x:c>
      <x:c r="F459" s="24" t="n">
        <x:v>3</x:v>
      </x:c>
      <x:c r="G459" s="24" t="str">
        <x:v>Specialist in entering, mapping, looting, surviving, and clearing dangerous enclosed sites.</x:v>
      </x:c>
      <x:c r="H459" s="24" t="str">
        <x:v>Do not assume identical training, social status, powers, or mechanics across settings.</x:v>
      </x:c>
      <x:c r="I459" s="24" t="str">
        <x:v>dungeon delver; ruin explorer</x:v>
      </x:c>
      <x:c r="J459" s="24" t="str">
        <x:v>Advancement, ranking, exploration, guild economy, cultivation, and system-mediated identity.</x:v>
      </x:c>
      <x:c r="K459" s="24" t="str">
        <x:v>dungeon delver; ruin explorer</x:v>
      </x:c>
      <x:c r="L459" s="24" t="str">
        <x:v>Preserve each source's ontology, culture, history, and terminology when making comparisons.</x:v>
      </x:c>
      <x:c r="M459" s="24" t="str">
        <x:v>Core Family</x:v>
      </x:c>
    </x:row>
    <x:row r="460" ht="44" customHeight="1">
      <x:c r="A460" s="24" t="str">
        <x:v>ROL-904</x:v>
      </x:c>
      <x:c r="B460" s="24" t="str">
        <x:v>Hero Class</x:v>
      </x:c>
      <x:c r="C460" s="24" t="str">
        <x:v>Roles &amp; Vocations</x:v>
      </x:c>
      <x:c r="D460" s="24" t="str">
        <x:v>ROL-900</x:v>
      </x:c>
      <x:c r="E460" s="24" t="str">
        <x:f>IF(D460="","",IFERROR(VLOOKUP(D460,$A$2:$B$1226,2,FALSE),""))</x:f>
        <x:v>Progression, Cultivation, and Adventure Roles</x:v>
      </x:c>
      <x:c r="F460" s="24" t="n">
        <x:v>3</x:v>
      </x:c>
      <x:c r="G460" s="24" t="str">
        <x:v>System-recognized vocation or title assigned to a champion expected to defeat a demon lord or save the world.</x:v>
      </x:c>
      <x:c r="H460" s="24" t="str">
        <x:v>Do not assume identical training, social status, powers, or mechanics across settings.</x:v>
      </x:c>
      <x:c r="I460" s="24" t="str">
        <x:v>hero; chosen class; brave</x:v>
      </x:c>
      <x:c r="J460" s="24" t="str">
        <x:v>Advancement, ranking, exploration, guild economy, cultivation, and system-mediated identity.</x:v>
      </x:c>
      <x:c r="K460" s="24" t="str">
        <x:v>hero; chosen class; brave</x:v>
      </x:c>
      <x:c r="L460" s="24" t="str">
        <x:v>Preserve each source's ontology, culture, history, and terminology when making comparisons.</x:v>
      </x:c>
      <x:c r="M460" s="24" t="str">
        <x:v>Core Family</x:v>
      </x:c>
    </x:row>
    <x:row r="461" ht="44" customHeight="1">
      <x:c r="A461" s="24" t="str">
        <x:v>ROL-905</x:v>
      </x:c>
      <x:c r="B461" s="24" t="str">
        <x:v>Demon Lord Class</x:v>
      </x:c>
      <x:c r="C461" s="24" t="str">
        <x:v>Roles &amp; Vocations</x:v>
      </x:c>
      <x:c r="D461" s="24" t="str">
        <x:v>ROL-900</x:v>
      </x:c>
      <x:c r="E461" s="24" t="str">
        <x:f>IF(D461="","",IFERROR(VLOOKUP(D461,$A$2:$B$1226,2,FALSE),""))</x:f>
        <x:v>Progression, Cultivation, and Adventure Roles</x:v>
      </x:c>
      <x:c r="F461" s="24" t="n">
        <x:v>3</x:v>
      </x:c>
      <x:c r="G461" s="24" t="str">
        <x:v>System-recognized antagonist or sovereign role granting authority over monsters, demons, or a dark domain.</x:v>
      </x:c>
      <x:c r="H461" s="24" t="str">
        <x:v>Do not assume identical training, social status, powers, or mechanics across settings.</x:v>
      </x:c>
      <x:c r="I461" s="24" t="str">
        <x:v>demon lord; maou-like role</x:v>
      </x:c>
      <x:c r="J461" s="24" t="str">
        <x:v>Advancement, ranking, exploration, guild economy, cultivation, and system-mediated identity.</x:v>
      </x:c>
      <x:c r="K461" s="24" t="str">
        <x:v>demon lord; maou-like role</x:v>
      </x:c>
      <x:c r="L461" s="24" t="str">
        <x:v>Preserve each source's ontology, culture, history, and terminology when making comparisons.</x:v>
      </x:c>
      <x:c r="M461" s="24" t="str">
        <x:v>Core Family</x:v>
      </x:c>
    </x:row>
    <x:row r="462" ht="44" customHeight="1">
      <x:c r="A462" s="24" t="str">
        <x:v>ROL-906</x:v>
      </x:c>
      <x:c r="B462" s="24" t="str">
        <x:v>Cultivator</x:v>
      </x:c>
      <x:c r="C462" s="24" t="str">
        <x:v>Roles &amp; Vocations</x:v>
      </x:c>
      <x:c r="D462" s="24" t="str">
        <x:v>ROL-900</x:v>
      </x:c>
      <x:c r="E462" s="24" t="str">
        <x:f>IF(D462="","",IFERROR(VLOOKUP(D462,$A$2:$B$1226,2,FALSE),""))</x:f>
        <x:v>Progression, Cultivation, and Adventure Roles</x:v>
      </x:c>
      <x:c r="F462" s="24" t="n">
        <x:v>3</x:v>
      </x:c>
      <x:c r="G462" s="24" t="str">
        <x:v>Practitioner who advances through disciplined refinement of body, energy, spirit, insight, and cosmological stages.</x:v>
      </x:c>
      <x:c r="H462" s="24" t="str">
        <x:v>Do not assume identical training, social status, powers, or mechanics across settings.</x:v>
      </x:c>
      <x:c r="I462" s="24" t="str">
        <x:v>cultivator; immortal cultivator; qi practitioner</x:v>
      </x:c>
      <x:c r="J462" s="24" t="str">
        <x:v>Advancement, ranking, exploration, guild economy, cultivation, and system-mediated identity.</x:v>
      </x:c>
      <x:c r="K462" s="24" t="str">
        <x:v>cultivator; immortal cultivator; qi practitioner</x:v>
      </x:c>
      <x:c r="L462" s="24" t="str">
        <x:v>Cultivation draws on Chinese religious, philosophical, literary, and modern xianxia traditions; preserve that context.</x:v>
      </x:c>
      <x:c r="M462" s="24" t="str">
        <x:v>Core Family</x:v>
      </x:c>
    </x:row>
    <x:row r="463" ht="44" customHeight="1">
      <x:c r="A463" s="24" t="str">
        <x:v>ROL-907</x:v>
      </x:c>
      <x:c r="B463" s="24" t="str">
        <x:v>Martial Cultivator</x:v>
      </x:c>
      <x:c r="C463" s="24" t="str">
        <x:v>Roles &amp; Vocations</x:v>
      </x:c>
      <x:c r="D463" s="24" t="str">
        <x:v>ROL-900</x:v>
      </x:c>
      <x:c r="E463" s="24" t="str">
        <x:f>IF(D463="","",IFERROR(VLOOKUP(D463,$A$2:$B$1226,2,FALSE),""))</x:f>
        <x:v>Progression, Cultivation, and Adventure Roles</x:v>
      </x:c>
      <x:c r="F463" s="24" t="n">
        <x:v>3</x:v>
      </x:c>
      <x:c r="G463" s="24" t="str">
        <x:v>Cultivator whose advancement centers on combat arts, qi circulation, meridians, and bodily mastery.</x:v>
      </x:c>
      <x:c r="H463" s="24" t="str">
        <x:v>Do not assume identical training, social status, powers, or mechanics across settings.</x:v>
      </x:c>
      <x:c r="I463" s="24" t="str">
        <x:v>martial cultivator; martial artist; wuxia/xianxia fighter</x:v>
      </x:c>
      <x:c r="J463" s="24" t="str">
        <x:v>Advancement, ranking, exploration, guild economy, cultivation, and system-mediated identity.</x:v>
      </x:c>
      <x:c r="K463" s="24" t="str">
        <x:v>martial cultivator; martial artist; wuxia/xianxia fighter</x:v>
      </x:c>
      <x:c r="L463" s="24" t="str">
        <x:v>Preserve each source's ontology, culture, history, and terminology when making comparisons.</x:v>
      </x:c>
      <x:c r="M463" s="24" t="str">
        <x:v>Core Family</x:v>
      </x:c>
    </x:row>
    <x:row r="464" ht="44" customHeight="1">
      <x:c r="A464" s="24" t="str">
        <x:v>ROL-908</x:v>
      </x:c>
      <x:c r="B464" s="24" t="str">
        <x:v>Sword Cultivator</x:v>
      </x:c>
      <x:c r="C464" s="24" t="str">
        <x:v>Roles &amp; Vocations</x:v>
      </x:c>
      <x:c r="D464" s="24" t="str">
        <x:v>ROL-900</x:v>
      </x:c>
      <x:c r="E464" s="24" t="str">
        <x:f>IF(D464="","",IFERROR(VLOOKUP(D464,$A$2:$B$1226,2,FALSE),""))</x:f>
        <x:v>Progression, Cultivation, and Adventure Roles</x:v>
      </x:c>
      <x:c r="F464" s="24" t="n">
        <x:v>3</x:v>
      </x:c>
      <x:c r="G464" s="24" t="str">
        <x:v>Cultivator whose spiritual path, intent, and techniques are organized around the sword.</x:v>
      </x:c>
      <x:c r="H464" s="24" t="str">
        <x:v>Do not assume identical training, social status, powers, or mechanics across settings.</x:v>
      </x:c>
      <x:c r="I464" s="24" t="str">
        <x:v>sword cultivator; sword immortal</x:v>
      </x:c>
      <x:c r="J464" s="24" t="str">
        <x:v>Advancement, ranking, exploration, guild economy, cultivation, and system-mediated identity.</x:v>
      </x:c>
      <x:c r="K464" s="24" t="str">
        <x:v>sword cultivator; sword immortal</x:v>
      </x:c>
      <x:c r="L464" s="24" t="str">
        <x:v>Preserve each source's ontology, culture, history, and terminology when making comparisons.</x:v>
      </x:c>
      <x:c r="M464" s="24" t="str">
        <x:v>Core Family</x:v>
      </x:c>
    </x:row>
    <x:row r="465" ht="44" customHeight="1">
      <x:c r="A465" s="24" t="str">
        <x:v>ROL-909</x:v>
      </x:c>
      <x:c r="B465" s="24" t="str">
        <x:v>Body Cultivator</x:v>
      </x:c>
      <x:c r="C465" s="24" t="str">
        <x:v>Roles &amp; Vocations</x:v>
      </x:c>
      <x:c r="D465" s="24" t="str">
        <x:v>ROL-900</x:v>
      </x:c>
      <x:c r="E465" s="24" t="str">
        <x:f>IF(D465="","",IFERROR(VLOOKUP(D465,$A$2:$B$1226,2,FALSE),""))</x:f>
        <x:v>Progression, Cultivation, and Adventure Roles</x:v>
      </x:c>
      <x:c r="F465" s="24" t="n">
        <x:v>3</x:v>
      </x:c>
      <x:c r="G465" s="24" t="str">
        <x:v>Cultivator who refines physical durability, strength, organs, blood, or bodily transformation.</x:v>
      </x:c>
      <x:c r="H465" s="24" t="str">
        <x:v>Do not assume identical training, social status, powers, or mechanics across settings.</x:v>
      </x:c>
      <x:c r="I465" s="24" t="str">
        <x:v>body cultivator; body refiner</x:v>
      </x:c>
      <x:c r="J465" s="24" t="str">
        <x:v>Advancement, ranking, exploration, guild economy, cultivation, and system-mediated identity.</x:v>
      </x:c>
      <x:c r="K465" s="24" t="str">
        <x:v>body cultivator; body refiner</x:v>
      </x:c>
      <x:c r="L465" s="24" t="str">
        <x:v>Preserve each source's ontology, culture, history, and terminology when making comparisons.</x:v>
      </x:c>
      <x:c r="M465" s="24" t="str">
        <x:v>Core Family</x:v>
      </x:c>
    </x:row>
    <x:row r="466" ht="44" customHeight="1">
      <x:c r="A466" s="24" t="str">
        <x:v>ROL-910</x:v>
      </x:c>
      <x:c r="B466" s="24" t="str">
        <x:v>Qi Healer</x:v>
      </x:c>
      <x:c r="C466" s="24" t="str">
        <x:v>Roles &amp; Vocations</x:v>
      </x:c>
      <x:c r="D466" s="24" t="str">
        <x:v>ROL-900</x:v>
      </x:c>
      <x:c r="E466" s="24" t="str">
        <x:f>IF(D466="","",IFERROR(VLOOKUP(D466,$A$2:$B$1226,2,FALSE),""))</x:f>
        <x:v>Progression, Cultivation, and Adventure Roles</x:v>
      </x:c>
      <x:c r="F466" s="24" t="n">
        <x:v>3</x:v>
      </x:c>
      <x:c r="G466" s="24" t="str">
        <x:v>Practitioner who diagnoses and restores bodies through energy flow, meridians, breath, and internal cultivation.</x:v>
      </x:c>
      <x:c r="H466" s="24" t="str">
        <x:v>Do not assume identical training, social status, powers, or mechanics across settings.</x:v>
      </x:c>
      <x:c r="I466" s="24" t="str">
        <x:v>qi healer; energy physician</x:v>
      </x:c>
      <x:c r="J466" s="24" t="str">
        <x:v>Advancement, ranking, exploration, guild economy, cultivation, and system-mediated identity.</x:v>
      </x:c>
      <x:c r="K466" s="24" t="str">
        <x:v>qi healer; energy physician</x:v>
      </x:c>
      <x:c r="L466" s="24" t="str">
        <x:v>Preserve each source's ontology, culture, history, and terminology when making comparisons.</x:v>
      </x:c>
      <x:c r="M466" s="24" t="str">
        <x:v>Core Family</x:v>
      </x:c>
    </x:row>
    <x:row r="467" ht="44" customHeight="1">
      <x:c r="A467" s="24" t="str">
        <x:v>ROL-911</x:v>
      </x:c>
      <x:c r="B467" s="24" t="str">
        <x:v>Talisman Master</x:v>
      </x:c>
      <x:c r="C467" s="24" t="str">
        <x:v>Roles &amp; Vocations</x:v>
      </x:c>
      <x:c r="D467" s="24" t="str">
        <x:v>ROL-900</x:v>
      </x:c>
      <x:c r="E467" s="24" t="str">
        <x:f>IF(D467="","",IFERROR(VLOOKUP(D467,$A$2:$B$1226,2,FALSE),""))</x:f>
        <x:v>Progression, Cultivation, and Adventure Roles</x:v>
      </x:c>
      <x:c r="F467" s="24" t="n">
        <x:v>3</x:v>
      </x:c>
      <x:c r="G467" s="24" t="str">
        <x:v>Practitioner who writes, activates, and combines paper charms, seals, or inscribed magical commands.</x:v>
      </x:c>
      <x:c r="H467" s="24" t="str">
        <x:v>Do not assume identical training, social status, powers, or mechanics across settings.</x:v>
      </x:c>
      <x:c r="I467" s="24" t="str">
        <x:v>talisman master; fu practitioner</x:v>
      </x:c>
      <x:c r="J467" s="24" t="str">
        <x:v>Advancement, ranking, exploration, guild economy, cultivation, and system-mediated identity.</x:v>
      </x:c>
      <x:c r="K467" s="24" t="str">
        <x:v>talisman master; fu practitioner</x:v>
      </x:c>
      <x:c r="L467" s="24" t="str">
        <x:v>Preserve each source's ontology, culture, history, and terminology when making comparisons.</x:v>
      </x:c>
      <x:c r="M467" s="24" t="str">
        <x:v>Core Family</x:v>
      </x:c>
    </x:row>
    <x:row r="468" ht="44" customHeight="1">
      <x:c r="A468" s="24" t="str">
        <x:v>ROL-912</x:v>
      </x:c>
      <x:c r="B468" s="24" t="str">
        <x:v>Formation and Array Master</x:v>
      </x:c>
      <x:c r="C468" s="24" t="str">
        <x:v>Roles &amp; Vocations</x:v>
      </x:c>
      <x:c r="D468" s="24" t="str">
        <x:v>ROL-900</x:v>
      </x:c>
      <x:c r="E468" s="24" t="str">
        <x:f>IF(D468="","",IFERROR(VLOOKUP(D468,$A$2:$B$1226,2,FALSE),""))</x:f>
        <x:v>Progression, Cultivation, and Adventure Roles</x:v>
      </x:c>
      <x:c r="F468" s="24" t="n">
        <x:v>3</x:v>
      </x:c>
      <x:c r="G468" s="24" t="str">
        <x:v>Practitioner who constructs spatial, geometric, environmental, or tactical magical arrays.</x:v>
      </x:c>
      <x:c r="H468" s="24" t="str">
        <x:v>Do not assume identical training, social status, powers, or mechanics across settings.</x:v>
      </x:c>
      <x:c r="I468" s="24" t="str">
        <x:v>formation master; array master</x:v>
      </x:c>
      <x:c r="J468" s="24" t="str">
        <x:v>Advancement, ranking, exploration, guild economy, cultivation, and system-mediated identity.</x:v>
      </x:c>
      <x:c r="K468" s="24" t="str">
        <x:v>formation master; array master</x:v>
      </x:c>
      <x:c r="L468" s="24" t="str">
        <x:v>Preserve each source's ontology, culture, history, and terminology when making comparisons.</x:v>
      </x:c>
      <x:c r="M468" s="24" t="str">
        <x:v>Core Family</x:v>
      </x:c>
    </x:row>
    <x:row r="469" ht="44" customHeight="1">
      <x:c r="A469" s="24" t="str">
        <x:v>ROL-913</x:v>
      </x:c>
      <x:c r="B469" s="24" t="str">
        <x:v>Pill Alchemist</x:v>
      </x:c>
      <x:c r="C469" s="24" t="str">
        <x:v>Roles &amp; Vocations</x:v>
      </x:c>
      <x:c r="D469" s="24" t="str">
        <x:v>ROL-900</x:v>
      </x:c>
      <x:c r="E469" s="24" t="str">
        <x:f>IF(D469="","",IFERROR(VLOOKUP(D469,$A$2:$B$1226,2,FALSE),""))</x:f>
        <x:v>Progression, Cultivation, and Adventure Roles</x:v>
      </x:c>
      <x:c r="F469" s="24" t="n">
        <x:v>3</x:v>
      </x:c>
      <x:c r="G469" s="24" t="str">
        <x:v>Cultivation-world specialist who refines elixirs, pills, herbs, and essences to alter advancement and longevity.</x:v>
      </x:c>
      <x:c r="H469" s="24" t="str">
        <x:v>Do not assume identical training, social status, powers, or mechanics across settings.</x:v>
      </x:c>
      <x:c r="I469" s="24" t="str">
        <x:v>pill alchemist; dan refiner</x:v>
      </x:c>
      <x:c r="J469" s="24" t="str">
        <x:v>Advancement, ranking, exploration, guild economy, cultivation, and system-mediated identity.</x:v>
      </x:c>
      <x:c r="K469" s="24" t="str">
        <x:v>pill alchemist; dan refiner</x:v>
      </x:c>
      <x:c r="L469" s="24" t="str">
        <x:v>Preserve each source's ontology, culture, history, and terminology when making comparisons.</x:v>
      </x:c>
      <x:c r="M469" s="24" t="str">
        <x:v>Core Family</x:v>
      </x:c>
    </x:row>
    <x:row r="470" ht="44" customHeight="1">
      <x:c r="A470" s="24" t="str">
        <x:v>ROL-914</x:v>
      </x:c>
      <x:c r="B470" s="24" t="str">
        <x:v>Sect Disciple</x:v>
      </x:c>
      <x:c r="C470" s="24" t="str">
        <x:v>Roles &amp; Vocations</x:v>
      </x:c>
      <x:c r="D470" s="24" t="str">
        <x:v>ROL-900</x:v>
      </x:c>
      <x:c r="E470" s="24" t="str">
        <x:f>IF(D470="","",IFERROR(VLOOKUP(D470,$A$2:$B$1226,2,FALSE),""))</x:f>
        <x:v>Progression, Cultivation, and Adventure Roles</x:v>
      </x:c>
      <x:c r="F470" s="24" t="n">
        <x:v>3</x:v>
      </x:c>
      <x:c r="G470" s="24" t="str">
        <x:v>Ranked member of a martial or cultivation institution defined by lineage, manuals, masters, and internal hierarchy.</x:v>
      </x:c>
      <x:c r="H470" s="24" t="str">
        <x:v>Do not assume identical training, social status, powers, or mechanics across settings.</x:v>
      </x:c>
      <x:c r="I470" s="24" t="str">
        <x:v>sect disciple; inner disciple; outer disciple</x:v>
      </x:c>
      <x:c r="J470" s="24" t="str">
        <x:v>Advancement, ranking, exploration, guild economy, cultivation, and system-mediated identity.</x:v>
      </x:c>
      <x:c r="K470" s="24" t="str">
        <x:v>sect disciple; inner disciple; outer disciple</x:v>
      </x:c>
      <x:c r="L470" s="24" t="str">
        <x:v>Preserve each source's ontology, culture, history, and terminology when making comparisons.</x:v>
      </x:c>
      <x:c r="M470" s="24" t="str">
        <x:v>Core Family</x:v>
      </x:c>
    </x:row>
    <x:row r="471" ht="44" customHeight="1">
      <x:c r="A471" s="24" t="str">
        <x:v>ROL-915</x:v>
      </x:c>
      <x:c r="B471" s="24" t="str">
        <x:v>Wandering Cultivator</x:v>
      </x:c>
      <x:c r="C471" s="24" t="str">
        <x:v>Roles &amp; Vocations</x:v>
      </x:c>
      <x:c r="D471" s="24" t="str">
        <x:v>ROL-900</x:v>
      </x:c>
      <x:c r="E471" s="24" t="str">
        <x:f>IF(D471="","",IFERROR(VLOOKUP(D471,$A$2:$B$1226,2,FALSE),""))</x:f>
        <x:v>Progression, Cultivation, and Adventure Roles</x:v>
      </x:c>
      <x:c r="F471" s="24" t="n">
        <x:v>3</x:v>
      </x:c>
      <x:c r="G471" s="24" t="str">
        <x:v>Independent practitioner outside major sect protection and resource structures.</x:v>
      </x:c>
      <x:c r="H471" s="24" t="str">
        <x:v>Do not assume identical training, social status, powers, or mechanics across settings.</x:v>
      </x:c>
      <x:c r="I471" s="24" t="str">
        <x:v>rogue cultivator; wandering immortal</x:v>
      </x:c>
      <x:c r="J471" s="24" t="str">
        <x:v>Advancement, ranking, exploration, guild economy, cultivation, and system-mediated identity.</x:v>
      </x:c>
      <x:c r="K471" s="24" t="str">
        <x:v>rogue cultivator; wandering immortal</x:v>
      </x:c>
      <x:c r="L471" s="24" t="str">
        <x:v>Preserve each source's ontology, culture, history, and terminology when making comparisons.</x:v>
      </x:c>
      <x:c r="M471" s="24" t="str">
        <x:v>Core Family</x:v>
      </x:c>
    </x:row>
    <x:row r="472" ht="44" customHeight="1">
      <x:c r="A472" s="24" t="str">
        <x:v>ROL-916</x:v>
      </x:c>
      <x:c r="B472" s="24" t="str">
        <x:v>Demonic Cultivator</x:v>
      </x:c>
      <x:c r="C472" s="24" t="str">
        <x:v>Roles &amp; Vocations</x:v>
      </x:c>
      <x:c r="D472" s="24" t="str">
        <x:v>ROL-900</x:v>
      </x:c>
      <x:c r="E472" s="24" t="str">
        <x:f>IF(D472="","",IFERROR(VLOOKUP(D472,$A$2:$B$1226,2,FALSE),""))</x:f>
        <x:v>Progression, Cultivation, and Adventure Roles</x:v>
      </x:c>
      <x:c r="F472" s="24" t="n">
        <x:v>3</x:v>
      </x:c>
      <x:c r="G472" s="24" t="str">
        <x:v>Practitioner whose methods are heterodox, predatory, taboo, corruptive, or merely politically stigmatized.</x:v>
      </x:c>
      <x:c r="H472" s="24" t="str">
        <x:v>Do not assume identical training, social status, powers, or mechanics across settings.</x:v>
      </x:c>
      <x:c r="I472" s="24" t="str">
        <x:v>demonic cultivator; devil cultivator</x:v>
      </x:c>
      <x:c r="J472" s="24" t="str">
        <x:v>Advancement, ranking, exploration, guild economy, cultivation, and system-mediated identity.</x:v>
      </x:c>
      <x:c r="K472" s="24" t="str">
        <x:v>demonic cultivator; devil cultivator</x:v>
      </x:c>
      <x:c r="L472" s="24" t="str">
        <x:v>Preserve each source's ontology, culture, history, and terminology when making comparisons.</x:v>
      </x:c>
      <x:c r="M472" s="24" t="str">
        <x:v>Core Family</x:v>
      </x:c>
    </x:row>
    <x:row r="473" ht="44" customHeight="1">
      <x:c r="A473" s="24" t="str">
        <x:v>ROL-917</x:v>
      </x:c>
      <x:c r="B473" s="24" t="str">
        <x:v>Immortal and Ascendant</x:v>
      </x:c>
      <x:c r="C473" s="24" t="str">
        <x:v>Roles &amp; Vocations</x:v>
      </x:c>
      <x:c r="D473" s="24" t="str">
        <x:v>ROL-900</x:v>
      </x:c>
      <x:c r="E473" s="24" t="str">
        <x:f>IF(D473="","",IFERROR(VLOOKUP(D473,$A$2:$B$1226,2,FALSE),""))</x:f>
        <x:v>Progression, Cultivation, and Adventure Roles</x:v>
      </x:c>
      <x:c r="F473" s="24" t="n">
        <x:v>3</x:v>
      </x:c>
      <x:c r="G473" s="24" t="str">
        <x:v>Advanced cultivator who has crossed a major threshold of mortality, realm, or cosmic status.</x:v>
      </x:c>
      <x:c r="H473" s="24" t="str">
        <x:v>Do not assume identical training, social status, powers, or mechanics across settings.</x:v>
      </x:c>
      <x:c r="I473" s="24" t="str">
        <x:v>immortal; ascendant; transcendent</x:v>
      </x:c>
      <x:c r="J473" s="24" t="str">
        <x:v>Advancement, ranking, exploration, guild economy, cultivation, and system-mediated identity.</x:v>
      </x:c>
      <x:c r="K473" s="24" t="str">
        <x:v>immortal; ascendant; transcendent</x:v>
      </x:c>
      <x:c r="L473" s="24" t="str">
        <x:v>Preserve each source's ontology, culture, history, and terminology when making comparisons.</x:v>
      </x:c>
      <x:c r="M473" s="24" t="str">
        <x:v>Core Family</x:v>
      </x:c>
    </x:row>
    <x:row r="474" ht="44" customHeight="1">
      <x:c r="A474" s="24" t="str">
        <x:v>ROL-918</x:v>
      </x:c>
      <x:c r="B474" s="24" t="str">
        <x:v>System User</x:v>
      </x:c>
      <x:c r="C474" s="24" t="str">
        <x:v>Roles &amp; Vocations</x:v>
      </x:c>
      <x:c r="D474" s="24" t="str">
        <x:v>ROL-900</x:v>
      </x:c>
      <x:c r="E474" s="24" t="str">
        <x:f>IF(D474="","",IFERROR(VLOOKUP(D474,$A$2:$B$1226,2,FALSE),""))</x:f>
        <x:v>Progression, Cultivation, and Adventure Roles</x:v>
      </x:c>
      <x:c r="F474" s="24" t="n">
        <x:v>3</x:v>
      </x:c>
      <x:c r="G474" s="24" t="str">
        <x:v>Character whose abilities, statistics, quests, or growth are explicitly mediated by an interface-like system.</x:v>
      </x:c>
      <x:c r="H474" s="24" t="str">
        <x:v>Do not assume identical training, social status, powers, or mechanics across settings.</x:v>
      </x:c>
      <x:c r="I474" s="24" t="str">
        <x:v>system user; status-window protagonist</x:v>
      </x:c>
      <x:c r="J474" s="24" t="str">
        <x:v>Advancement, ranking, exploration, guild economy, cultivation, and system-mediated identity.</x:v>
      </x:c>
      <x:c r="K474" s="24" t="str">
        <x:v>system user; status-window protagonist</x:v>
      </x:c>
      <x:c r="L474" s="24" t="str">
        <x:v>Preserve each source's ontology, culture, history, and terminology when making comparisons.</x:v>
      </x:c>
      <x:c r="M474" s="24" t="str">
        <x:v>Core Family</x:v>
      </x:c>
    </x:row>
    <x:row r="475" ht="44" customHeight="1">
      <x:c r="A475" s="24" t="str">
        <x:v>ROL-919</x:v>
      </x:c>
      <x:c r="B475" s="24" t="str">
        <x:v>Reincarnated Specialist</x:v>
      </x:c>
      <x:c r="C475" s="24" t="str">
        <x:v>Roles &amp; Vocations</x:v>
      </x:c>
      <x:c r="D475" s="24" t="str">
        <x:v>ROL-900</x:v>
      </x:c>
      <x:c r="E475" s="24" t="str">
        <x:f>IF(D475="","",IFERROR(VLOOKUP(D475,$A$2:$B$1226,2,FALSE),""))</x:f>
        <x:v>Progression, Cultivation, and Adventure Roles</x:v>
      </x:c>
      <x:c r="F475" s="24" t="n">
        <x:v>3</x:v>
      </x:c>
      <x:c r="G475" s="24" t="str">
        <x:v>Character whose previous-life knowledge functions as a persistent vocational advantage in a new world or body.</x:v>
      </x:c>
      <x:c r="H475" s="24" t="str">
        <x:v>Do not assume identical training, social status, powers, or mechanics across settings.</x:v>
      </x:c>
      <x:c r="I475" s="24" t="str">
        <x:v>reincarnator; second-life expert</x:v>
      </x:c>
      <x:c r="J475" s="24" t="str">
        <x:v>Advancement, ranking, exploration, guild economy, cultivation, and system-mediated identity.</x:v>
      </x:c>
      <x:c r="K475" s="24" t="str">
        <x:v>reincarnator; second-life expert</x:v>
      </x:c>
      <x:c r="L475" s="24" t="str">
        <x:v>Preserve each source's ontology, culture, history, and terminology when making comparisons.</x:v>
      </x:c>
      <x:c r="M475" s="24" t="str">
        <x:v>Core Family</x:v>
      </x:c>
    </x:row>
    <x:row r="476" ht="44" customHeight="1">
      <x:c r="A476" s="24" t="str">
        <x:v>ROL-920</x:v>
      </x:c>
      <x:c r="B476" s="24" t="str">
        <x:v>Summoned Hero</x:v>
      </x:c>
      <x:c r="C476" s="24" t="str">
        <x:v>Roles &amp; Vocations</x:v>
      </x:c>
      <x:c r="D476" s="24" t="str">
        <x:v>ROL-900</x:v>
      </x:c>
      <x:c r="E476" s="24" t="str">
        <x:f>IF(D476="","",IFERROR(VLOOKUP(D476,$A$2:$B$1226,2,FALSE),""))</x:f>
        <x:v>Progression, Cultivation, and Adventure Roles</x:v>
      </x:c>
      <x:c r="F476" s="24" t="n">
        <x:v>3</x:v>
      </x:c>
      <x:c r="G476" s="24" t="str">
        <x:v>Person transported or called into another world to perform a designated heroic function.</x:v>
      </x:c>
      <x:c r="H476" s="24" t="str">
        <x:v>Do not assume identical training, social status, powers, or mechanics across settings.</x:v>
      </x:c>
      <x:c r="I476" s="24" t="str">
        <x:v>summoned hero; isekai hero</x:v>
      </x:c>
      <x:c r="J476" s="24" t="str">
        <x:v>Advancement, ranking, exploration, guild economy, cultivation, and system-mediated identity.</x:v>
      </x:c>
      <x:c r="K476" s="24" t="str">
        <x:v>summoned hero; isekai hero</x:v>
      </x:c>
      <x:c r="L476" s="24" t="str">
        <x:v>Preserve each source's ontology, culture, history, and terminology when making comparisons.</x:v>
      </x:c>
      <x:c r="M476" s="24" t="str">
        <x:v>Core Family</x:v>
      </x:c>
    </x:row>
    <x:row r="477" ht="44" customHeight="1">
      <x:c r="A477" s="24" t="str">
        <x:v>ROL-921</x:v>
      </x:c>
      <x:c r="B477" s="24" t="str">
        <x:v>Class-Changer</x:v>
      </x:c>
      <x:c r="C477" s="24" t="str">
        <x:v>Roles &amp; Vocations</x:v>
      </x:c>
      <x:c r="D477" s="24" t="str">
        <x:v>ROL-900</x:v>
      </x:c>
      <x:c r="E477" s="24" t="str">
        <x:f>IF(D477="","",IFERROR(VLOOKUP(D477,$A$2:$B$1226,2,FALSE),""))</x:f>
        <x:v>Progression, Cultivation, and Adventure Roles</x:v>
      </x:c>
      <x:c r="F477" s="24" t="n">
        <x:v>3</x:v>
      </x:c>
      <x:c r="G477" s="24" t="str">
        <x:v>Character whose defining progression mechanic is moving among jobs or classes and retaining selected abilities.</x:v>
      </x:c>
      <x:c r="H477" s="24" t="str">
        <x:v>Do not assume identical training, social status, powers, or mechanics across settings.</x:v>
      </x:c>
      <x:c r="I477" s="24" t="str">
        <x:v>job changer; class switcher</x:v>
      </x:c>
      <x:c r="J477" s="24" t="str">
        <x:v>Advancement, ranking, exploration, guild economy, cultivation, and system-mediated identity.</x:v>
      </x:c>
      <x:c r="K477" s="24" t="str">
        <x:v>job changer; class switcher</x:v>
      </x:c>
      <x:c r="L477" s="24" t="str">
        <x:v>Preserve each source's ontology, culture, history, and terminology when making comparisons.</x:v>
      </x:c>
      <x:c r="M477" s="24" t="str">
        <x:v>Core Family</x:v>
      </x:c>
    </x:row>
    <x:row r="478" ht="44" customHeight="1">
      <x:c r="A478" s="24" t="str">
        <x:v>ROL-922</x:v>
      </x:c>
      <x:c r="B478" s="24" t="str">
        <x:v>Prestige-Class Aspirant</x:v>
      </x:c>
      <x:c r="C478" s="24" t="str">
        <x:v>Roles &amp; Vocations</x:v>
      </x:c>
      <x:c r="D478" s="24" t="str">
        <x:v>ROL-900</x:v>
      </x:c>
      <x:c r="E478" s="24" t="str">
        <x:f>IF(D478="","",IFERROR(VLOOKUP(D478,$A$2:$B$1226,2,FALSE),""))</x:f>
        <x:v>Progression, Cultivation, and Adventure Roles</x:v>
      </x:c>
      <x:c r="F478" s="24" t="n">
        <x:v>3</x:v>
      </x:c>
      <x:c r="G478" s="24" t="str">
        <x:v>Character who advances into a specialized elite role after meeting prerequisites or narrative trials.</x:v>
      </x:c>
      <x:c r="H478" s="24" t="str">
        <x:v>Do not assume identical training, social status, powers, or mechanics across settings.</x:v>
      </x:c>
      <x:c r="I478" s="24" t="str">
        <x:v>advanced class; prestige class; promotion</x:v>
      </x:c>
      <x:c r="J478" s="24" t="str">
        <x:v>Advancement, ranking, exploration, guild economy, cultivation, and system-mediated identity.</x:v>
      </x:c>
      <x:c r="K478" s="24" t="str">
        <x:v>advanced class; prestige class; promotion</x:v>
      </x:c>
      <x:c r="L478" s="24" t="str">
        <x:v>Preserve each source's ontology, culture, history, and terminology when making comparisons.</x:v>
      </x:c>
      <x:c r="M478" s="24" t="str">
        <x:v>Core Family</x:v>
      </x:c>
    </x:row>
    <x:row r="479" ht="44" customHeight="1">
      <x:c r="A479" s="24" t="str">
        <x:v>ROL-923</x:v>
      </x:c>
      <x:c r="B479" s="24" t="str">
        <x:v>Apprentice</x:v>
      </x:c>
      <x:c r="C479" s="24" t="str">
        <x:v>Roles &amp; Vocations</x:v>
      </x:c>
      <x:c r="D479" s="24" t="str">
        <x:v>ROL-900</x:v>
      </x:c>
      <x:c r="E479" s="24" t="str">
        <x:f>IF(D479="","",IFERROR(VLOOKUP(D479,$A$2:$B$1226,2,FALSE),""))</x:f>
        <x:v>Progression, Cultivation, and Adventure Roles</x:v>
      </x:c>
      <x:c r="F479" s="24" t="n">
        <x:v>3</x:v>
      </x:c>
      <x:c r="G479" s="24" t="str">
        <x:v>Learner formally attached to a master, guild, school, or craft lineage.</x:v>
      </x:c>
      <x:c r="H479" s="24" t="str">
        <x:v>Do not assume identical training, social status, powers, or mechanics across settings.</x:v>
      </x:c>
      <x:c r="I479" s="24" t="str">
        <x:v>apprentice; trainee; novice</x:v>
      </x:c>
      <x:c r="J479" s="24" t="str">
        <x:v>Advancement, ranking, exploration, guild economy, cultivation, and system-mediated identity.</x:v>
      </x:c>
      <x:c r="K479" s="24" t="str">
        <x:v>apprentice; trainee; novice</x:v>
      </x:c>
      <x:c r="L479" s="24" t="str">
        <x:v>Preserve each source's ontology, culture, history, and terminology when making comparisons.</x:v>
      </x:c>
      <x:c r="M479" s="24" t="str">
        <x:v>Core Family</x:v>
      </x:c>
    </x:row>
    <x:row r="480" ht="44" customHeight="1">
      <x:c r="A480" s="24" t="str">
        <x:v>ROL-924</x:v>
      </x:c>
      <x:c r="B480" s="24" t="str">
        <x:v>Journeyman</x:v>
      </x:c>
      <x:c r="C480" s="24" t="str">
        <x:v>Roles &amp; Vocations</x:v>
      </x:c>
      <x:c r="D480" s="24" t="str">
        <x:v>ROL-900</x:v>
      </x:c>
      <x:c r="E480" s="24" t="str">
        <x:f>IF(D480="","",IFERROR(VLOOKUP(D480,$A$2:$B$1226,2,FALSE),""))</x:f>
        <x:v>Progression, Cultivation, and Adventure Roles</x:v>
      </x:c>
      <x:c r="F480" s="24" t="n">
        <x:v>3</x:v>
      </x:c>
      <x:c r="G480" s="24" t="str">
        <x:v>Intermediate practitioner recognized as competent but not yet a master.</x:v>
      </x:c>
      <x:c r="H480" s="24" t="str">
        <x:v>Do not assume identical training, social status, powers, or mechanics across settings.</x:v>
      </x:c>
      <x:c r="I480" s="24" t="str">
        <x:v>journeyman; adept</x:v>
      </x:c>
      <x:c r="J480" s="24" t="str">
        <x:v>Advancement, ranking, exploration, guild economy, cultivation, and system-mediated identity.</x:v>
      </x:c>
      <x:c r="K480" s="24" t="str">
        <x:v>journeyman; adept</x:v>
      </x:c>
      <x:c r="L480" s="24" t="str">
        <x:v>Preserve each source's ontology, culture, history, and terminology when making comparisons.</x:v>
      </x:c>
      <x:c r="M480" s="24" t="str">
        <x:v>Core Family</x:v>
      </x:c>
    </x:row>
    <x:row r="481" ht="44" customHeight="1">
      <x:c r="A481" s="24" t="str">
        <x:v>ROL-925</x:v>
      </x:c>
      <x:c r="B481" s="24" t="str">
        <x:v>Master</x:v>
      </x:c>
      <x:c r="C481" s="24" t="str">
        <x:v>Roles &amp; Vocations</x:v>
      </x:c>
      <x:c r="D481" s="24" t="str">
        <x:v>ROL-900</x:v>
      </x:c>
      <x:c r="E481" s="24" t="str">
        <x:f>IF(D481="","",IFERROR(VLOOKUP(D481,$A$2:$B$1226,2,FALSE),""))</x:f>
        <x:v>Progression, Cultivation, and Adventure Roles</x:v>
      </x:c>
      <x:c r="F481" s="24" t="n">
        <x:v>3</x:v>
      </x:c>
      <x:c r="G481" s="24" t="str">
        <x:v>Senior practitioner authorized to teach, certify, lead, or embody a complete tradition.</x:v>
      </x:c>
      <x:c r="H481" s="24" t="str">
        <x:v>Do not assume identical training, social status, powers, or mechanics across settings.</x:v>
      </x:c>
      <x:c r="I481" s="24" t="str">
        <x:v>master; grandmaster; sensei-like</x:v>
      </x:c>
      <x:c r="J481" s="24" t="str">
        <x:v>Advancement, ranking, exploration, guild economy, cultivation, and system-mediated identity.</x:v>
      </x:c>
      <x:c r="K481" s="24" t="str">
        <x:v>master; grandmaster; sensei-like</x:v>
      </x:c>
      <x:c r="L481" s="24" t="str">
        <x:v>Preserve each source's ontology, culture, history, and terminology when making comparisons.</x:v>
      </x:c>
      <x:c r="M481" s="24" t="str">
        <x:v>Core Family</x:v>
      </x:c>
    </x:row>
    <x:row r="482" ht="44" customHeight="1">
      <x:c r="A482" s="24" t="str">
        <x:v>ROL-926</x:v>
      </x:c>
      <x:c r="B482" s="24" t="str">
        <x:v>Ranked Hunter</x:v>
      </x:c>
      <x:c r="C482" s="24" t="str">
        <x:v>Roles &amp; Vocations</x:v>
      </x:c>
      <x:c r="D482" s="24" t="str">
        <x:v>ROL-900</x:v>
      </x:c>
      <x:c r="E482" s="24" t="str">
        <x:f>IF(D482="","",IFERROR(VLOOKUP(D482,$A$2:$B$1226,2,FALSE),""))</x:f>
        <x:v>Progression, Cultivation, and Adventure Roles</x:v>
      </x:c>
      <x:c r="F482" s="24" t="n">
        <x:v>3</x:v>
      </x:c>
      <x:c r="G482" s="24" t="str">
        <x:v>Licensed or system-ranked specialist who clears monsters, gates, dungeons, or supernatural incidents.</x:v>
      </x:c>
      <x:c r="H482" s="24" t="str">
        <x:v>Do not assume identical training, social status, powers, or mechanics across settings.</x:v>
      </x:c>
      <x:c r="I482" s="24" t="str">
        <x:v>ranked hunter; guild hunter</x:v>
      </x:c>
      <x:c r="J482" s="24" t="str">
        <x:v>Advancement, ranking, exploration, guild economy, cultivation, and system-mediated identity.</x:v>
      </x:c>
      <x:c r="K482" s="24" t="str">
        <x:v>ranked hunter; guild hunter</x:v>
      </x:c>
      <x:c r="L482" s="24" t="str">
        <x:v>Preserve each source's ontology, culture, history, and terminology when making comparisons.</x:v>
      </x:c>
      <x:c r="M482" s="24" t="str">
        <x:v>Core Family</x:v>
      </x:c>
    </x:row>
    <x:row r="483" ht="44" customHeight="1">
      <x:c r="A483" s="24" t="str">
        <x:v>ROL-927</x:v>
      </x:c>
      <x:c r="B483" s="24" t="str">
        <x:v>Tamer-Trainer</x:v>
      </x:c>
      <x:c r="C483" s="24" t="str">
        <x:v>Roles &amp; Vocations</x:v>
      </x:c>
      <x:c r="D483" s="24" t="str">
        <x:v>ROL-900</x:v>
      </x:c>
      <x:c r="E483" s="24" t="str">
        <x:f>IF(D483="","",IFERROR(VLOOKUP(D483,$A$2:$B$1226,2,FALSE),""))</x:f>
        <x:v>Progression, Cultivation, and Adventure Roles</x:v>
      </x:c>
      <x:c r="F483" s="24" t="n">
        <x:v>3</x:v>
      </x:c>
      <x:c r="G483" s="24" t="str">
        <x:v>Progression role centered on collecting, evolving, breeding, or commanding creatures.</x:v>
      </x:c>
      <x:c r="H483" s="24" t="str">
        <x:v>Do not assume identical training, social status, powers, or mechanics across settings.</x:v>
      </x:c>
      <x:c r="I483" s="24" t="str">
        <x:v>monster trainer; tamer; handler</x:v>
      </x:c>
      <x:c r="J483" s="24" t="str">
        <x:v>Advancement, ranking, exploration, guild economy, cultivation, and system-mediated identity.</x:v>
      </x:c>
      <x:c r="K483" s="24" t="str">
        <x:v>monster trainer; tamer; handler</x:v>
      </x:c>
      <x:c r="L483" s="24" t="str">
        <x:v>Preserve each source's ontology, culture, history, and terminology when making comparisons.</x:v>
      </x:c>
      <x:c r="M483" s="24" t="str">
        <x:v>Core Family</x:v>
      </x:c>
    </x:row>
    <x:row r="484" ht="44" customHeight="1">
      <x:c r="A484" s="24" t="str">
        <x:v>ROL-928</x:v>
      </x:c>
      <x:c r="B484" s="24" t="str">
        <x:v>Crafting-Class Specialist</x:v>
      </x:c>
      <x:c r="C484" s="24" t="str">
        <x:v>Roles &amp; Vocations</x:v>
      </x:c>
      <x:c r="D484" s="24" t="str">
        <x:v>ROL-900</x:v>
      </x:c>
      <x:c r="E484" s="24" t="str">
        <x:f>IF(D484="","",IFERROR(VLOOKUP(D484,$A$2:$B$1226,2,FALSE),""))</x:f>
        <x:v>Progression, Cultivation, and Adventure Roles</x:v>
      </x:c>
      <x:c r="F484" s="24" t="n">
        <x:v>3</x:v>
      </x:c>
      <x:c r="G484" s="24" t="str">
        <x:v>Character whose advancement is primarily through production, quality, recipes, and economic mastery.</x:v>
      </x:c>
      <x:c r="H484" s="24" t="str">
        <x:v>Do not assume identical training, social status, powers, or mechanics across settings.</x:v>
      </x:c>
      <x:c r="I484" s="24" t="str">
        <x:v>crafting class; artisan class</x:v>
      </x:c>
      <x:c r="J484" s="24" t="str">
        <x:v>Advancement, ranking, exploration, guild economy, cultivation, and system-mediated identity.</x:v>
      </x:c>
      <x:c r="K484" s="24" t="str">
        <x:v>crafting class; artisan class</x:v>
      </x:c>
      <x:c r="L484" s="24" t="str">
        <x:v>Preserve each source's ontology, culture, history, and terminology when making comparisons.</x:v>
      </x:c>
      <x:c r="M484" s="24" t="str">
        <x:v>Core Family</x:v>
      </x:c>
    </x:row>
    <x:row r="485" ht="44" customHeight="1">
      <x:c r="A485" s="24" t="str">
        <x:v>ROL-929</x:v>
      </x:c>
      <x:c r="B485" s="24" t="str">
        <x:v>Gathering-Class Specialist</x:v>
      </x:c>
      <x:c r="C485" s="24" t="str">
        <x:v>Roles &amp; Vocations</x:v>
      </x:c>
      <x:c r="D485" s="24" t="str">
        <x:v>ROL-900</x:v>
      </x:c>
      <x:c r="E485" s="24" t="str">
        <x:f>IF(D485="","",IFERROR(VLOOKUP(D485,$A$2:$B$1226,2,FALSE),""))</x:f>
        <x:v>Progression, Cultivation, and Adventure Roles</x:v>
      </x:c>
      <x:c r="F485" s="24" t="n">
        <x:v>3</x:v>
      </x:c>
      <x:c r="G485" s="24" t="str">
        <x:v>Character whose progression is tied to resource acquisition, exploration, and environmental knowledge.</x:v>
      </x:c>
      <x:c r="H485" s="24" t="str">
        <x:v>Do not assume identical training, social status, powers, or mechanics across settings.</x:v>
      </x:c>
      <x:c r="I485" s="24" t="str">
        <x:v>gathering class; miner; botanist</x:v>
      </x:c>
      <x:c r="J485" s="24" t="str">
        <x:v>Advancement, ranking, exploration, guild economy, cultivation, and system-mediated identity.</x:v>
      </x:c>
      <x:c r="K485" s="24" t="str">
        <x:v>gathering class; miner; botanist</x:v>
      </x:c>
      <x:c r="L485" s="24" t="str">
        <x:v>Preserve each source's ontology, culture, history, and terminology when making comparisons.</x:v>
      </x:c>
      <x:c r="M485" s="24" t="str">
        <x:v>Core Family</x:v>
      </x:c>
    </x:row>
    <x:row r="486" ht="44" customHeight="1">
      <x:c r="A486" s="24" t="str">
        <x:v>ROL-930</x:v>
      </x:c>
      <x:c r="B486" s="24" t="str">
        <x:v>Support-Class Specialist</x:v>
      </x:c>
      <x:c r="C486" s="24" t="str">
        <x:v>Roles &amp; Vocations</x:v>
      </x:c>
      <x:c r="D486" s="24" t="str">
        <x:v>ROL-900</x:v>
      </x:c>
      <x:c r="E486" s="24" t="str">
        <x:f>IF(D486="","",IFERROR(VLOOKUP(D486,$A$2:$B$1226,2,FALSE),""))</x:f>
        <x:v>Progression, Cultivation, and Adventure Roles</x:v>
      </x:c>
      <x:c r="F486" s="24" t="n">
        <x:v>3</x:v>
      </x:c>
      <x:c r="G486" s="24" t="str">
        <x:v>Character whose advancement is primarily measured through enabling allies rather than direct damage.</x:v>
      </x:c>
      <x:c r="H486" s="24" t="str">
        <x:v>Do not assume identical training, social status, powers, or mechanics across settings.</x:v>
      </x:c>
      <x:c r="I486" s="24" t="str">
        <x:v>support class; buffer; healer</x:v>
      </x:c>
      <x:c r="J486" s="24" t="str">
        <x:v>Advancement, ranking, exploration, guild economy, cultivation, and system-mediated identity.</x:v>
      </x:c>
      <x:c r="K486" s="24" t="str">
        <x:v>support class; buffer; healer</x:v>
      </x:c>
      <x:c r="L486" s="24" t="str">
        <x:v>Preserve each source's ontology, culture, history, and terminology when making comparisons.</x:v>
      </x:c>
      <x:c r="M486" s="24" t="str">
        <x:v>Core Family</x:v>
      </x:c>
    </x:row>
    <x:row r="487" ht="44" customHeight="1">
      <x:c r="A487" s="24" t="str">
        <x:v>ROL-931</x:v>
      </x:c>
      <x:c r="B487" s="24" t="str">
        <x:v>Hidden-Class Bearer</x:v>
      </x:c>
      <x:c r="C487" s="24" t="str">
        <x:v>Roles &amp; Vocations</x:v>
      </x:c>
      <x:c r="D487" s="24" t="str">
        <x:v>ROL-900</x:v>
      </x:c>
      <x:c r="E487" s="24" t="str">
        <x:f>IF(D487="","",IFERROR(VLOOKUP(D487,$A$2:$B$1226,2,FALSE),""))</x:f>
        <x:v>Progression, Cultivation, and Adventure Roles</x:v>
      </x:c>
      <x:c r="F487" s="24" t="n">
        <x:v>3</x:v>
      </x:c>
      <x:c r="G487" s="24" t="str">
        <x:v>Character who unlocks a rare, secret, unique, or forbidden class unavailable to ordinary people.</x:v>
      </x:c>
      <x:c r="H487" s="24" t="str">
        <x:v>Do not assume identical training, social status, powers, or mechanics across settings.</x:v>
      </x:c>
      <x:c r="I487" s="24" t="str">
        <x:v>hidden class; unique job; secret profession</x:v>
      </x:c>
      <x:c r="J487" s="24" t="str">
        <x:v>Advancement, ranking, exploration, guild economy, cultivation, and system-mediated identity.</x:v>
      </x:c>
      <x:c r="K487" s="24" t="str">
        <x:v>hidden class; unique job; secret profession</x:v>
      </x:c>
      <x:c r="L487" s="24" t="str">
        <x:v>Preserve each source's ontology, culture, history, and terminology when making comparisons.</x:v>
      </x:c>
      <x:c r="M487" s="24" t="str">
        <x:v>Core Family</x:v>
      </x:c>
    </x:row>
    <x:row r="488" ht="44" customHeight="1">
      <x:c r="A488" s="24" t="str">
        <x:v>ROL-932</x:v>
      </x:c>
      <x:c r="B488" s="24" t="str">
        <x:v>Classless Skill-Builder</x:v>
      </x:c>
      <x:c r="C488" s="24" t="str">
        <x:v>Roles &amp; Vocations</x:v>
      </x:c>
      <x:c r="D488" s="24" t="str">
        <x:v>ROL-900</x:v>
      </x:c>
      <x:c r="E488" s="24" t="str">
        <x:f>IF(D488="","",IFERROR(VLOOKUP(D488,$A$2:$B$1226,2,FALSE),""))</x:f>
        <x:v>Progression, Cultivation, and Adventure Roles</x:v>
      </x:c>
      <x:c r="F488" s="24" t="n">
        <x:v>3</x:v>
      </x:c>
      <x:c r="G488" s="24" t="str">
        <x:v>Character developed through freely chosen skills, attributes, perks, or techniques rather than a fixed class.</x:v>
      </x:c>
      <x:c r="H488" s="24" t="str">
        <x:v>Do not assume identical training, social status, powers, or mechanics across settings.</x:v>
      </x:c>
      <x:c r="I488" s="24" t="str">
        <x:v>classless build; skill-based adventurer</x:v>
      </x:c>
      <x:c r="J488" s="24" t="str">
        <x:v>Advancement, ranking, exploration, guild economy, cultivation, and system-mediated identity.</x:v>
      </x:c>
      <x:c r="K488" s="24" t="str">
        <x:v>classless build; skill-based adventurer</x:v>
      </x:c>
      <x:c r="L488" s="24" t="str">
        <x:v>Preserve each source's ontology, culture, history, and terminology when making comparisons.</x:v>
      </x:c>
      <x:c r="M488" s="24" t="str">
        <x:v>Core Family</x:v>
      </x:c>
    </x:row>
    <x:row r="489" ht="44" customHeight="1">
      <x:c r="A489" s="24" t="str">
        <x:v>PWR-100</x:v>
      </x:c>
      <x:c r="B489" s="24" t="str">
        <x:v>Source and Authorization Models</x:v>
      </x:c>
      <x:c r="C489" s="24" t="str">
        <x:v>Power Traditions</x:v>
      </x:c>
      <x:c r="D489" s="24" t="str">
        <x:v>PWR-000</x:v>
      </x:c>
      <x:c r="E489" s="24" t="str">
        <x:f>IF(D489="","",IFERROR(VLOOKUP(D489,$A$2:$B$1226,2,FALSE),""))</x:f>
        <x:v>Power Traditions</x:v>
      </x:c>
      <x:c r="F489" s="24" t="n">
        <x:v>2</x:v>
      </x:c>
      <x:c r="G489" s="24" t="str">
        <x:v>How power is granted, inherited, learned, bargained for, or embodied.</x:v>
      </x:c>
      <x:c r="H489" s="24" t="str">
        <x:v>A power tradition describes source and method, not the user's profession or moral alignment.</x:v>
      </x:c>
      <x:c r="I489" s="24" t="str"/>
      <x:c r="J489" s="24" t="str">
        <x:v>Allows classes and beings to be compared independently of local job names.</x:v>
      </x:c>
      <x:c r="K489" s="24" t="str">
        <x:v>Source and Authorization Models</x:v>
      </x:c>
      <x:c r="L489" s="24" t="str">
        <x:v>Preserve each source's ontology, culture, history, and terminology when making comparisons.</x:v>
      </x:c>
      <x:c r="M489" s="24" t="str">
        <x:v>Category</x:v>
      </x:c>
    </x:row>
    <x:row r="490" ht="44" customHeight="1">
      <x:c r="A490" s="24" t="str">
        <x:v>PWR-200</x:v>
      </x:c>
      <x:c r="B490" s="24" t="str">
        <x:v>Elemental and Natural Domains</x:v>
      </x:c>
      <x:c r="C490" s="24" t="str">
        <x:v>Power Traditions</x:v>
      </x:c>
      <x:c r="D490" s="24" t="str">
        <x:v>PWR-000</x:v>
      </x:c>
      <x:c r="E490" s="24" t="str">
        <x:f>IF(D490="","",IFERROR(VLOOKUP(D490,$A$2:$B$1226,2,FALSE),""))</x:f>
        <x:v>Power Traditions</x:v>
      </x:c>
      <x:c r="F490" s="24" t="n">
        <x:v>2</x:v>
      </x:c>
      <x:c r="G490" s="24" t="str">
        <x:v>Power organized around matter, energy, weather, life, animals, and environments.</x:v>
      </x:c>
      <x:c r="H490" s="24" t="str">
        <x:v>A power tradition describes source and method, not the user's profession or moral alignment.</x:v>
      </x:c>
      <x:c r="I490" s="24" t="str"/>
      <x:c r="J490" s="24" t="str">
        <x:v>Allows classes and beings to be compared independently of local job names.</x:v>
      </x:c>
      <x:c r="K490" s="24" t="str">
        <x:v>Elemental and Natural Domains</x:v>
      </x:c>
      <x:c r="L490" s="24" t="str">
        <x:v>Preserve each source's ontology, culture, history, and terminology when making comparisons.</x:v>
      </x:c>
      <x:c r="M490" s="24" t="str">
        <x:v>Category</x:v>
      </x:c>
    </x:row>
    <x:row r="491" ht="44" customHeight="1">
      <x:c r="A491" s="24" t="str">
        <x:v>PWR-300</x:v>
      </x:c>
      <x:c r="B491" s="24" t="str">
        <x:v>Soul, Death, and Body Domains</x:v>
      </x:c>
      <x:c r="C491" s="24" t="str">
        <x:v>Power Traditions</x:v>
      </x:c>
      <x:c r="D491" s="24" t="str">
        <x:v>PWR-000</x:v>
      </x:c>
      <x:c r="E491" s="24" t="str">
        <x:f>IF(D491="","",IFERROR(VLOOKUP(D491,$A$2:$B$1226,2,FALSE),""))</x:f>
        <x:v>Power Traditions</x:v>
      </x:c>
      <x:c r="F491" s="24" t="n">
        <x:v>2</x:v>
      </x:c>
      <x:c r="G491" s="24" t="str">
        <x:v>Power acting on life force, blood, flesh, memory, souls, death, and transformation.</x:v>
      </x:c>
      <x:c r="H491" s="24" t="str">
        <x:v>A power tradition describes source and method, not the user's profession or moral alignment.</x:v>
      </x:c>
      <x:c r="I491" s="24" t="str"/>
      <x:c r="J491" s="24" t="str">
        <x:v>Allows classes and beings to be compared independently of local job names.</x:v>
      </x:c>
      <x:c r="K491" s="24" t="str">
        <x:v>Soul, Death, and Body Domains</x:v>
      </x:c>
      <x:c r="L491" s="24" t="str">
        <x:v>Preserve each source's ontology, culture, history, and terminology when making comparisons.</x:v>
      </x:c>
      <x:c r="M491" s="24" t="str">
        <x:v>Category</x:v>
      </x:c>
    </x:row>
    <x:row r="492" ht="44" customHeight="1">
      <x:c r="A492" s="24" t="str">
        <x:v>PWR-400</x:v>
      </x:c>
      <x:c r="B492" s="24" t="str">
        <x:v>Mind, Perception, Fate, and Reality Domains</x:v>
      </x:c>
      <x:c r="C492" s="24" t="str">
        <x:v>Power Traditions</x:v>
      </x:c>
      <x:c r="D492" s="24" t="str">
        <x:v>PWR-000</x:v>
      </x:c>
      <x:c r="E492" s="24" t="str">
        <x:f>IF(D492="","",IFERROR(VLOOKUP(D492,$A$2:$B$1226,2,FALSE),""))</x:f>
        <x:v>Power Traditions</x:v>
      </x:c>
      <x:c r="F492" s="24" t="n">
        <x:v>2</x:v>
      </x:c>
      <x:c r="G492" s="24" t="str">
        <x:v>Power acting on thought, dreams, information, probability, time, space, and causality.</x:v>
      </x:c>
      <x:c r="H492" s="24" t="str">
        <x:v>A power tradition describes source and method, not the user's profession or moral alignment.</x:v>
      </x:c>
      <x:c r="I492" s="24" t="str"/>
      <x:c r="J492" s="24" t="str">
        <x:v>Allows classes and beings to be compared independently of local job names.</x:v>
      </x:c>
      <x:c r="K492" s="24" t="str">
        <x:v>Mind, Perception, Fate, and Reality Domains</x:v>
      </x:c>
      <x:c r="L492" s="24" t="str">
        <x:v>Preserve each source's ontology, culture, history, and terminology when making comparisons.</x:v>
      </x:c>
      <x:c r="M492" s="24" t="str">
        <x:v>Category</x:v>
      </x:c>
    </x:row>
    <x:row r="493" ht="44" customHeight="1">
      <x:c r="A493" s="24" t="str">
        <x:v>PWR-500</x:v>
      </x:c>
      <x:c r="B493" s="24" t="str">
        <x:v>Symbolic, Performative, and Technical Methods</x:v>
      </x:c>
      <x:c r="C493" s="24" t="str">
        <x:v>Power Traditions</x:v>
      </x:c>
      <x:c r="D493" s="24" t="str">
        <x:v>PWR-000</x:v>
      </x:c>
      <x:c r="E493" s="24" t="str">
        <x:f>IF(D493="","",IFERROR(VLOOKUP(D493,$A$2:$B$1226,2,FALSE),""))</x:f>
        <x:v>Power Traditions</x:v>
      </x:c>
      <x:c r="F493" s="24" t="n">
        <x:v>2</x:v>
      </x:c>
      <x:c r="G493" s="24" t="str">
        <x:v>Power encoded in words, names, runes, music, dance, mathematics, artifacts, craft, or technology.</x:v>
      </x:c>
      <x:c r="H493" s="24" t="str">
        <x:v>A power tradition describes source and method, not the user's profession or moral alignment.</x:v>
      </x:c>
      <x:c r="I493" s="24" t="str"/>
      <x:c r="J493" s="24" t="str">
        <x:v>Allows classes and beings to be compared independently of local job names.</x:v>
      </x:c>
      <x:c r="K493" s="24" t="str">
        <x:v>Symbolic, Performative, and Technical Methods</x:v>
      </x:c>
      <x:c r="L493" s="24" t="str">
        <x:v>Preserve each source's ontology, culture, history, and terminology when making comparisons.</x:v>
      </x:c>
      <x:c r="M493" s="24" t="str">
        <x:v>Category</x:v>
      </x:c>
    </x:row>
    <x:row r="494" ht="44" customHeight="1">
      <x:c r="A494" s="24" t="str">
        <x:v>PWR-600</x:v>
      </x:c>
      <x:c r="B494" s="24" t="str">
        <x:v>Oppositional and Meta-Magical Traditions</x:v>
      </x:c>
      <x:c r="C494" s="24" t="str">
        <x:v>Power Traditions</x:v>
      </x:c>
      <x:c r="D494" s="24" t="str">
        <x:v>PWR-000</x:v>
      </x:c>
      <x:c r="E494" s="24" t="str">
        <x:f>IF(D494="","",IFERROR(VLOOKUP(D494,$A$2:$B$1226,2,FALSE),""))</x:f>
        <x:v>Power Traditions</x:v>
      </x:c>
      <x:c r="F494" s="24" t="n">
        <x:v>2</x:v>
      </x:c>
      <x:c r="G494" s="24" t="str">
        <x:v>Power that copies, suppresses, corrupts, randomizes, or otherwise modifies other powers and systems.</x:v>
      </x:c>
      <x:c r="H494" s="24" t="str">
        <x:v>A power tradition describes source and method, not the user's profession or moral alignment.</x:v>
      </x:c>
      <x:c r="I494" s="24" t="str"/>
      <x:c r="J494" s="24" t="str">
        <x:v>Allows classes and beings to be compared independently of local job names.</x:v>
      </x:c>
      <x:c r="K494" s="24" t="str">
        <x:v>Oppositional and Meta-Magical Traditions</x:v>
      </x:c>
      <x:c r="L494" s="24" t="str">
        <x:v>Preserve each source's ontology, culture, history, and terminology when making comparisons.</x:v>
      </x:c>
      <x:c r="M494" s="24" t="str">
        <x:v>Category</x:v>
      </x:c>
    </x:row>
    <x:row r="495" ht="44" customHeight="1">
      <x:c r="A495" s="24" t="str">
        <x:v>PWR-101</x:v>
      </x:c>
      <x:c r="B495" s="24" t="str">
        <x:v>Learned Arcana</x:v>
      </x:c>
      <x:c r="C495" s="24" t="str">
        <x:v>Power Traditions</x:v>
      </x:c>
      <x:c r="D495" s="24" t="str">
        <x:v>PWR-100</x:v>
      </x:c>
      <x:c r="E495" s="24" t="str">
        <x:f>IF(D495="","",IFERROR(VLOOKUP(D495,$A$2:$B$1226,2,FALSE),""))</x:f>
        <x:v>Source and Authorization Models</x:v>
      </x:c>
      <x:c r="F495" s="24" t="n">
        <x:v>3</x:v>
      </x:c>
      <x:c r="G495" s="24" t="str">
        <x:v>Power acquired through study, practice, notation, memorization, experimentation, and teachable technique.</x:v>
      </x:c>
      <x:c r="H495" s="24" t="str">
        <x:v>Record source, method, cost, limits, access, and social control separately.</x:v>
      </x:c>
      <x:c r="I495" s="24" t="str">
        <x:v>wizardry; learned magic; scholastic arcana</x:v>
      </x:c>
      <x:c r="J495" s="24" t="str">
        <x:v>Defines who can access power, why it works, and what obligations accompany it.</x:v>
      </x:c>
      <x:c r="K495" s="24" t="str">
        <x:v>wizardry; learned magic; scholastic arcana</x:v>
      </x:c>
      <x:c r="L495" s="24" t="str">
        <x:v>Preserve each source's ontology, culture, history, and terminology when making comparisons.</x:v>
      </x:c>
      <x:c r="M495" s="24" t="str">
        <x:v>Core Family</x:v>
      </x:c>
    </x:row>
    <x:row r="496" ht="44" customHeight="1">
      <x:c r="A496" s="24" t="str">
        <x:v>PWR-102</x:v>
      </x:c>
      <x:c r="B496" s="24" t="str">
        <x:v>Innate Sorcery</x:v>
      </x:c>
      <x:c r="C496" s="24" t="str">
        <x:v>Power Traditions</x:v>
      </x:c>
      <x:c r="D496" s="24" t="str">
        <x:v>PWR-100</x:v>
      </x:c>
      <x:c r="E496" s="24" t="str">
        <x:f>IF(D496="","",IFERROR(VLOOKUP(D496,$A$2:$B$1226,2,FALSE),""))</x:f>
        <x:v>Source and Authorization Models</x:v>
      </x:c>
      <x:c r="F496" s="24" t="n">
        <x:v>3</x:v>
      </x:c>
      <x:c r="G496" s="24" t="str">
        <x:v>Power arising from birth, bloodline, species, mutation, emotion, or an internal supernatural faculty.</x:v>
      </x:c>
      <x:c r="H496" s="24" t="str">
        <x:v>Record source, method, cost, limits, access, and social control separately.</x:v>
      </x:c>
      <x:c r="I496" s="24" t="str">
        <x:v>sorcery; innate magic; bloodline gift</x:v>
      </x:c>
      <x:c r="J496" s="24" t="str">
        <x:v>Defines who can access power, why it works, and what obligations accompany it.</x:v>
      </x:c>
      <x:c r="K496" s="24" t="str">
        <x:v>sorcery; innate magic; bloodline gift</x:v>
      </x:c>
      <x:c r="L496" s="24" t="str">
        <x:v>Preserve each source's ontology, culture, history, and terminology when making comparisons.</x:v>
      </x:c>
      <x:c r="M496" s="24" t="str">
        <x:v>Core Family</x:v>
      </x:c>
    </x:row>
    <x:row r="497" ht="44" customHeight="1">
      <x:c r="A497" s="24" t="str">
        <x:v>PWR-103</x:v>
      </x:c>
      <x:c r="B497" s="24" t="str">
        <x:v>Divine Miracle</x:v>
      </x:c>
      <x:c r="C497" s="24" t="str">
        <x:v>Power Traditions</x:v>
      </x:c>
      <x:c r="D497" s="24" t="str">
        <x:v>PWR-100</x:v>
      </x:c>
      <x:c r="E497" s="24" t="str">
        <x:f>IF(D497="","",IFERROR(VLOOKUP(D497,$A$2:$B$1226,2,FALSE),""))</x:f>
        <x:v>Source and Authorization Models</x:v>
      </x:c>
      <x:c r="F497" s="24" t="n">
        <x:v>3</x:v>
      </x:c>
      <x:c r="G497" s="24" t="str">
        <x:v>Power granted, mediated, or authorized by a deity, sacred order, cosmic law, or religious covenant.</x:v>
      </x:c>
      <x:c r="H497" s="24" t="str">
        <x:v>Record source, method, cost, limits, access, and social control separately.</x:v>
      </x:c>
      <x:c r="I497" s="24" t="str">
        <x:v>divine magic; miracle; blessing</x:v>
      </x:c>
      <x:c r="J497" s="24" t="str">
        <x:v>Defines who can access power, why it works, and what obligations accompany it.</x:v>
      </x:c>
      <x:c r="K497" s="24" t="str">
        <x:v>divine magic; miracle; blessing</x:v>
      </x:c>
      <x:c r="L497" s="24" t="str">
        <x:v>Preserve each source's ontology, culture, history, and terminology when making comparisons.</x:v>
      </x:c>
      <x:c r="M497" s="24" t="str">
        <x:v>Core Family</x:v>
      </x:c>
    </x:row>
    <x:row r="498" ht="44" customHeight="1">
      <x:c r="A498" s="24" t="str">
        <x:v>PWR-104</x:v>
      </x:c>
      <x:c r="B498" s="24" t="str">
        <x:v>Pact and Contract Magic</x:v>
      </x:c>
      <x:c r="C498" s="24" t="str">
        <x:v>Power Traditions</x:v>
      </x:c>
      <x:c r="D498" s="24" t="str">
        <x:v>PWR-100</x:v>
      </x:c>
      <x:c r="E498" s="24" t="str">
        <x:f>IF(D498="","",IFERROR(VLOOKUP(D498,$A$2:$B$1226,2,FALSE),""))</x:f>
        <x:v>Source and Authorization Models</x:v>
      </x:c>
      <x:c r="F498" s="24" t="n">
        <x:v>3</x:v>
      </x:c>
      <x:c r="G498" s="24" t="str">
        <x:v>Power obtained through negotiated obligation with a spirit, fiend, deity, patron, artifact, or institution.</x:v>
      </x:c>
      <x:c r="H498" s="24" t="str">
        <x:v>Record source, method, cost, limits, access, and social control separately.</x:v>
      </x:c>
      <x:c r="I498" s="24" t="str">
        <x:v>pact magic; contract; bargain</x:v>
      </x:c>
      <x:c r="J498" s="24" t="str">
        <x:v>Defines who can access power, why it works, and what obligations accompany it.</x:v>
      </x:c>
      <x:c r="K498" s="24" t="str">
        <x:v>pact magic; contract; bargain</x:v>
      </x:c>
      <x:c r="L498" s="24" t="str">
        <x:v>Preserve each source's ontology, culture, history, and terminology when making comparisons.</x:v>
      </x:c>
      <x:c r="M498" s="24" t="str">
        <x:v>Core Family</x:v>
      </x:c>
    </x:row>
    <x:row r="499" ht="44" customHeight="1">
      <x:c r="A499" s="24" t="str">
        <x:v>PWR-105</x:v>
      </x:c>
      <x:c r="B499" s="24" t="str">
        <x:v>Spirit Mediation</x:v>
      </x:c>
      <x:c r="C499" s="24" t="str">
        <x:v>Power Traditions</x:v>
      </x:c>
      <x:c r="D499" s="24" t="str">
        <x:v>PWR-100</x:v>
      </x:c>
      <x:c r="E499" s="24" t="str">
        <x:f>IF(D499="","",IFERROR(VLOOKUP(D499,$A$2:$B$1226,2,FALSE),""))</x:f>
        <x:v>Source and Authorization Models</x:v>
      </x:c>
      <x:c r="F499" s="24" t="n">
        <x:v>3</x:v>
      </x:c>
      <x:c r="G499" s="24" t="str">
        <x:v>Power exercised by communicating with, hosting, appeasing, bargaining with, or directing spirits.</x:v>
      </x:c>
      <x:c r="H499" s="24" t="str">
        <x:v>Record source, method, cost, limits, access, and social control separately.</x:v>
      </x:c>
      <x:c r="I499" s="24" t="str">
        <x:v>spirit magic; shamanism; mediumship</x:v>
      </x:c>
      <x:c r="J499" s="24" t="str">
        <x:v>Defines who can access power, why it works, and what obligations accompany it.</x:v>
      </x:c>
      <x:c r="K499" s="24" t="str">
        <x:v>spirit magic; shamanism; mediumship</x:v>
      </x:c>
      <x:c r="L499" s="24" t="str">
        <x:v>Preserve each source's ontology, culture, history, and terminology when making comparisons.</x:v>
      </x:c>
      <x:c r="M499" s="24" t="str">
        <x:v>Core Family</x:v>
      </x:c>
    </x:row>
    <x:row r="500" ht="44" customHeight="1">
      <x:c r="A500" s="24" t="str">
        <x:v>PWR-106</x:v>
      </x:c>
      <x:c r="B500" s="24" t="str">
        <x:v>Animistic Reciprocity</x:v>
      </x:c>
      <x:c r="C500" s="24" t="str">
        <x:v>Power Traditions</x:v>
      </x:c>
      <x:c r="D500" s="24" t="str">
        <x:v>PWR-100</x:v>
      </x:c>
      <x:c r="E500" s="24" t="str">
        <x:f>IF(D500="","",IFERROR(VLOOKUP(D500,$A$2:$B$1226,2,FALSE),""))</x:f>
        <x:v>Source and Authorization Models</x:v>
      </x:c>
      <x:c r="F500" s="24" t="n">
        <x:v>3</x:v>
      </x:c>
      <x:c r="G500" s="24" t="str">
        <x:v>Power grounded in reciprocal relationships with places, animals, ancestors, objects, and nonhuman persons.</x:v>
      </x:c>
      <x:c r="H500" s="24" t="str">
        <x:v>Record source, method, cost, limits, access, and social control separately.</x:v>
      </x:c>
      <x:c r="I500" s="24" t="str">
        <x:v>animism; reciprocal spirit practice</x:v>
      </x:c>
      <x:c r="J500" s="24" t="str">
        <x:v>Defines who can access power, why it works, and what obligations accompany it.</x:v>
      </x:c>
      <x:c r="K500" s="24" t="str">
        <x:v>animism; reciprocal spirit practice</x:v>
      </x:c>
      <x:c r="L500" s="24" t="str">
        <x:v>Preserve each source's ontology, culture, history, and terminology when making comparisons.</x:v>
      </x:c>
      <x:c r="M500" s="24" t="str">
        <x:v>Core Family</x:v>
      </x:c>
    </x:row>
    <x:row r="501" ht="44" customHeight="1">
      <x:c r="A501" s="24" t="str">
        <x:v>PWR-107</x:v>
      </x:c>
      <x:c r="B501" s="24" t="str">
        <x:v>Ancestral Power</x:v>
      </x:c>
      <x:c r="C501" s="24" t="str">
        <x:v>Power Traditions</x:v>
      </x:c>
      <x:c r="D501" s="24" t="str">
        <x:v>PWR-100</x:v>
      </x:c>
      <x:c r="E501" s="24" t="str">
        <x:f>IF(D501="","",IFERROR(VLOOKUP(D501,$A$2:$B$1226,2,FALSE),""))</x:f>
        <x:v>Source and Authorization Models</x:v>
      </x:c>
      <x:c r="F501" s="24" t="n">
        <x:v>3</x:v>
      </x:c>
      <x:c r="G501" s="24" t="str">
        <x:v>Abilities inherited from or actively supplied by ancestors, lineage memory, relics, or clan spirits.</x:v>
      </x:c>
      <x:c r="H501" s="24" t="str">
        <x:v>Record source, method, cost, limits, access, and social control separately.</x:v>
      </x:c>
      <x:c r="I501" s="24" t="str">
        <x:v>ancestor magic; lineage blessing</x:v>
      </x:c>
      <x:c r="J501" s="24" t="str">
        <x:v>Defines who can access power, why it works, and what obligations accompany it.</x:v>
      </x:c>
      <x:c r="K501" s="24" t="str">
        <x:v>ancestor magic; lineage blessing</x:v>
      </x:c>
      <x:c r="L501" s="24" t="str">
        <x:v>Preserve each source's ontology, culture, history, and terminology when making comparisons.</x:v>
      </x:c>
      <x:c r="M501" s="24" t="str">
        <x:v>Core Family</x:v>
      </x:c>
    </x:row>
    <x:row r="502" ht="44" customHeight="1">
      <x:c r="A502" s="24" t="str">
        <x:v>PWR-108</x:v>
      </x:c>
      <x:c r="B502" s="24" t="str">
        <x:v>Bloodline Inheritance</x:v>
      </x:c>
      <x:c r="C502" s="24" t="str">
        <x:v>Power Traditions</x:v>
      </x:c>
      <x:c r="D502" s="24" t="str">
        <x:v>PWR-100</x:v>
      </x:c>
      <x:c r="E502" s="24" t="str">
        <x:f>IF(D502="","",IFERROR(VLOOKUP(D502,$A$2:$B$1226,2,FALSE),""))</x:f>
        <x:v>Source and Authorization Models</x:v>
      </x:c>
      <x:c r="F502" s="24" t="n">
        <x:v>3</x:v>
      </x:c>
      <x:c r="G502" s="24" t="str">
        <x:v>Power transmitted genealogically through family, species, royal descent, or magical heredity.</x:v>
      </x:c>
      <x:c r="H502" s="24" t="str">
        <x:v>Record source, method, cost, limits, access, and social control separately.</x:v>
      </x:c>
      <x:c r="I502" s="24" t="str">
        <x:v>bloodline power; inherited gift</x:v>
      </x:c>
      <x:c r="J502" s="24" t="str">
        <x:v>Defines who can access power, why it works, and what obligations accompany it.</x:v>
      </x:c>
      <x:c r="K502" s="24" t="str">
        <x:v>bloodline power; inherited gift</x:v>
      </x:c>
      <x:c r="L502" s="24" t="str">
        <x:v>Preserve each source's ontology, culture, history, and terminology when making comparisons.</x:v>
      </x:c>
      <x:c r="M502" s="24" t="str">
        <x:v>Core Family</x:v>
      </x:c>
    </x:row>
    <x:row r="503" ht="44" customHeight="1">
      <x:c r="A503" s="24" t="str">
        <x:v>PWR-109</x:v>
      </x:c>
      <x:c r="B503" s="24" t="str">
        <x:v>Chosen or Invested Power</x:v>
      </x:c>
      <x:c r="C503" s="24" t="str">
        <x:v>Power Traditions</x:v>
      </x:c>
      <x:c r="D503" s="24" t="str">
        <x:v>PWR-100</x:v>
      </x:c>
      <x:c r="E503" s="24" t="str">
        <x:f>IF(D503="","",IFERROR(VLOOKUP(D503,$A$2:$B$1226,2,FALSE),""))</x:f>
        <x:v>Source and Authorization Models</x:v>
      </x:c>
      <x:c r="F503" s="24" t="n">
        <x:v>3</x:v>
      </x:c>
      <x:c r="G503" s="24" t="str">
        <x:v>Power bestowed by selection, office, prophecy, relic, crown, deity, or institution.</x:v>
      </x:c>
      <x:c r="H503" s="24" t="str">
        <x:v>Record source, method, cost, limits, access, and social control separately.</x:v>
      </x:c>
      <x:c r="I503" s="24" t="str">
        <x:v>chosen power; investiture; mantle</x:v>
      </x:c>
      <x:c r="J503" s="24" t="str">
        <x:v>Defines who can access power, why it works, and what obligations accompany it.</x:v>
      </x:c>
      <x:c r="K503" s="24" t="str">
        <x:v>chosen power; investiture; mantle</x:v>
      </x:c>
      <x:c r="L503" s="24" t="str">
        <x:v>Preserve each source's ontology, culture, history, and terminology when making comparisons.</x:v>
      </x:c>
      <x:c r="M503" s="24" t="str">
        <x:v>Core Family</x:v>
      </x:c>
    </x:row>
    <x:row r="504" ht="44" customHeight="1">
      <x:c r="A504" s="24" t="str">
        <x:v>PWR-110</x:v>
      </x:c>
      <x:c r="B504" s="24" t="str">
        <x:v>Artifact-Mediated Power</x:v>
      </x:c>
      <x:c r="C504" s="24" t="str">
        <x:v>Power Traditions</x:v>
      </x:c>
      <x:c r="D504" s="24" t="str">
        <x:v>PWR-100</x:v>
      </x:c>
      <x:c r="E504" s="24" t="str">
        <x:f>IF(D504="","",IFERROR(VLOOKUP(D504,$A$2:$B$1226,2,FALSE),""))</x:f>
        <x:v>Source and Authorization Models</x:v>
      </x:c>
      <x:c r="F504" s="24" t="n">
        <x:v>3</x:v>
      </x:c>
      <x:c r="G504" s="24" t="str">
        <x:v>Abilities accessible primarily through a weapon, relic, book, ring, mask, suit, or other external object.</x:v>
      </x:c>
      <x:c r="H504" s="24" t="str">
        <x:v>Record source, method, cost, limits, access, and social control separately.</x:v>
      </x:c>
      <x:c r="I504" s="24" t="str">
        <x:v>artifact magic; relic power; focus-dependent power</x:v>
      </x:c>
      <x:c r="J504" s="24" t="str">
        <x:v>Defines who can access power, why it works, and what obligations accompany it.</x:v>
      </x:c>
      <x:c r="K504" s="24" t="str">
        <x:v>artifact magic; relic power; focus-dependent power</x:v>
      </x:c>
      <x:c r="L504" s="24" t="str">
        <x:v>Preserve each source's ontology, culture, history, and terminology when making comparisons.</x:v>
      </x:c>
      <x:c r="M504" s="24" t="str">
        <x:v>Core Family</x:v>
      </x:c>
    </x:row>
    <x:row r="505" ht="44" customHeight="1">
      <x:c r="A505" s="24" t="str">
        <x:v>PWR-111</x:v>
      </x:c>
      <x:c r="B505" s="24" t="str">
        <x:v>Symbiotic Power</x:v>
      </x:c>
      <x:c r="C505" s="24" t="str">
        <x:v>Power Traditions</x:v>
      </x:c>
      <x:c r="D505" s="24" t="str">
        <x:v>PWR-100</x:v>
      </x:c>
      <x:c r="E505" s="24" t="str">
        <x:f>IF(D505="","",IFERROR(VLOOKUP(D505,$A$2:$B$1226,2,FALSE),""))</x:f>
        <x:v>Source and Authorization Models</x:v>
      </x:c>
      <x:c r="F505" s="24" t="n">
        <x:v>3</x:v>
      </x:c>
      <x:c r="G505" s="24" t="str">
        <x:v>Abilities produced by partnership or entanglement with another organism, spirit, machine, or entity.</x:v>
      </x:c>
      <x:c r="H505" s="24" t="str">
        <x:v>Record source, method, cost, limits, access, and social control separately.</x:v>
      </x:c>
      <x:c r="I505" s="24" t="str">
        <x:v>symbiote power; bonded entity; host power</x:v>
      </x:c>
      <x:c r="J505" s="24" t="str">
        <x:v>Defines who can access power, why it works, and what obligations accompany it.</x:v>
      </x:c>
      <x:c r="K505" s="24" t="str">
        <x:v>symbiote power; bonded entity; host power</x:v>
      </x:c>
      <x:c r="L505" s="24" t="str">
        <x:v>Preserve each source's ontology, culture, history, and terminology when making comparisons.</x:v>
      </x:c>
      <x:c r="M505" s="24" t="str">
        <x:v>Core Family</x:v>
      </x:c>
    </x:row>
    <x:row r="506" ht="44" customHeight="1">
      <x:c r="A506" s="24" t="str">
        <x:v>PWR-112</x:v>
      </x:c>
      <x:c r="B506" s="24" t="str">
        <x:v>Possession and Channeling</x:v>
      </x:c>
      <x:c r="C506" s="24" t="str">
        <x:v>Power Traditions</x:v>
      </x:c>
      <x:c r="D506" s="24" t="str">
        <x:v>PWR-100</x:v>
      </x:c>
      <x:c r="E506" s="24" t="str">
        <x:f>IF(D506="","",IFERROR(VLOOKUP(D506,$A$2:$B$1226,2,FALSE),""))</x:f>
        <x:v>Source and Authorization Models</x:v>
      </x:c>
      <x:c r="F506" s="24" t="n">
        <x:v>3</x:v>
      </x:c>
      <x:c r="G506" s="24" t="str">
        <x:v>Power gained by allowing another being to inhabit, speak through, or partially control the user.</x:v>
      </x:c>
      <x:c r="H506" s="24" t="str">
        <x:v>Record source, method, cost, limits, access, and social control separately.</x:v>
      </x:c>
      <x:c r="I506" s="24" t="str">
        <x:v>channeling; possession power; vessel</x:v>
      </x:c>
      <x:c r="J506" s="24" t="str">
        <x:v>Defines who can access power, why it works, and what obligations accompany it.</x:v>
      </x:c>
      <x:c r="K506" s="24" t="str">
        <x:v>channeling; possession power; vessel</x:v>
      </x:c>
      <x:c r="L506" s="24" t="str">
        <x:v>Preserve each source's ontology, culture, history, and terminology when making comparisons.</x:v>
      </x:c>
      <x:c r="M506" s="24" t="str">
        <x:v>Core Family</x:v>
      </x:c>
    </x:row>
    <x:row r="507" ht="44" customHeight="1">
      <x:c r="A507" s="24" t="str">
        <x:v>PWR-113</x:v>
      </x:c>
      <x:c r="B507" s="24" t="str">
        <x:v>Mutation and Enhancement</x:v>
      </x:c>
      <x:c r="C507" s="24" t="str">
        <x:v>Power Traditions</x:v>
      </x:c>
      <x:c r="D507" s="24" t="str">
        <x:v>PWR-100</x:v>
      </x:c>
      <x:c r="E507" s="24" t="str">
        <x:f>IF(D507="","",IFERROR(VLOOKUP(D507,$A$2:$B$1226,2,FALSE),""))</x:f>
        <x:v>Source and Authorization Models</x:v>
      </x:c>
      <x:c r="F507" s="24" t="n">
        <x:v>3</x:v>
      </x:c>
      <x:c r="G507" s="24" t="str">
        <x:v>Power created through alchemy, surgery, exposure, infection, breeding, or deliberate biological alteration.</x:v>
      </x:c>
      <x:c r="H507" s="24" t="str">
        <x:v>Record source, method, cost, limits, access, and social control separately.</x:v>
      </x:c>
      <x:c r="I507" s="24" t="str">
        <x:v>mutation; augmentation; enhancement</x:v>
      </x:c>
      <x:c r="J507" s="24" t="str">
        <x:v>Defines who can access power, why it works, and what obligations accompany it.</x:v>
      </x:c>
      <x:c r="K507" s="24" t="str">
        <x:v>mutation; augmentation; enhancement</x:v>
      </x:c>
      <x:c r="L507" s="24" t="str">
        <x:v>Preserve each source's ontology, culture, history, and terminology when making comparisons.</x:v>
      </x:c>
      <x:c r="M507" s="24" t="str">
        <x:v>Core Family</x:v>
      </x:c>
    </x:row>
    <x:row r="508" ht="44" customHeight="1">
      <x:c r="A508" s="24" t="str">
        <x:v>PWR-114</x:v>
      </x:c>
      <x:c r="B508" s="24" t="str">
        <x:v>Cultivation and Internal Refinement</x:v>
      </x:c>
      <x:c r="C508" s="24" t="str">
        <x:v>Power Traditions</x:v>
      </x:c>
      <x:c r="D508" s="24" t="str">
        <x:v>PWR-100</x:v>
      </x:c>
      <x:c r="E508" s="24" t="str">
        <x:f>IF(D508="","",IFERROR(VLOOKUP(D508,$A$2:$B$1226,2,FALSE),""))</x:f>
        <x:v>Source and Authorization Models</x:v>
      </x:c>
      <x:c r="F508" s="24" t="n">
        <x:v>3</x:v>
      </x:c>
      <x:c r="G508" s="24" t="str">
        <x:v>Power developed through repeated refinement of body, breath, energy, spirit, insight, and cosmological stage.</x:v>
      </x:c>
      <x:c r="H508" s="24" t="str">
        <x:v>Record source, method, cost, limits, access, and social control separately.</x:v>
      </x:c>
      <x:c r="I508" s="24" t="str">
        <x:v>cultivation; qi refinement; internal alchemy</x:v>
      </x:c>
      <x:c r="J508" s="24" t="str">
        <x:v>Defines who can access power, why it works, and what obligations accompany it.</x:v>
      </x:c>
      <x:c r="K508" s="24" t="str">
        <x:v>cultivation; qi refinement; internal alchemy</x:v>
      </x:c>
      <x:c r="L508" s="24" t="str">
        <x:v>Preserve Chinese philosophical and literary contexts rather than treating cultivation as a generic level system.</x:v>
      </x:c>
      <x:c r="M508" s="24" t="str">
        <x:v>Core Family</x:v>
      </x:c>
    </x:row>
    <x:row r="509" ht="44" customHeight="1">
      <x:c r="A509" s="24" t="str">
        <x:v>PWR-115</x:v>
      </x:c>
      <x:c r="B509" s="24" t="str">
        <x:v>Martial Ki or Qi</x:v>
      </x:c>
      <x:c r="C509" s="24" t="str">
        <x:v>Power Traditions</x:v>
      </x:c>
      <x:c r="D509" s="24" t="str">
        <x:v>PWR-100</x:v>
      </x:c>
      <x:c r="E509" s="24" t="str">
        <x:f>IF(D509="","",IFERROR(VLOOKUP(D509,$A$2:$B$1226,2,FALSE),""))</x:f>
        <x:v>Source and Authorization Models</x:v>
      </x:c>
      <x:c r="F509" s="24" t="n">
        <x:v>3</x:v>
      </x:c>
      <x:c r="G509" s="24" t="str">
        <x:v>Extraordinary physical and energetic feats generated through breath, internal energy, focus, and trained bodily discipline.</x:v>
      </x:c>
      <x:c r="H509" s="24" t="str">
        <x:v>Record source, method, cost, limits, access, and social control separately.</x:v>
      </x:c>
      <x:c r="I509" s="24" t="str">
        <x:v>ki; qi; chi; aura</x:v>
      </x:c>
      <x:c r="J509" s="24" t="str">
        <x:v>Defines who can access power, why it works, and what obligations accompany it.</x:v>
      </x:c>
      <x:c r="K509" s="24" t="str">
        <x:v>ki; qi; chi; aura</x:v>
      </x:c>
      <x:c r="L509" s="24" t="str">
        <x:v>Preserve each source's ontology, culture, history, and terminology when making comparisons.</x:v>
      </x:c>
      <x:c r="M509" s="24" t="str">
        <x:v>Core Family</x:v>
      </x:c>
    </x:row>
    <x:row r="510" ht="44" customHeight="1">
      <x:c r="A510" s="24" t="str">
        <x:v>PWR-116</x:v>
      </x:c>
      <x:c r="B510" s="24" t="str">
        <x:v>Psychic Faculty</x:v>
      </x:c>
      <x:c r="C510" s="24" t="str">
        <x:v>Power Traditions</x:v>
      </x:c>
      <x:c r="D510" s="24" t="str">
        <x:v>PWR-100</x:v>
      </x:c>
      <x:c r="E510" s="24" t="str">
        <x:f>IF(D510="","",IFERROR(VLOOKUP(D510,$A$2:$B$1226,2,FALSE),""))</x:f>
        <x:v>Source and Authorization Models</x:v>
      </x:c>
      <x:c r="F510" s="24" t="n">
        <x:v>3</x:v>
      </x:c>
      <x:c r="G510" s="24" t="str">
        <x:v>Power framed as an inherent or trained capacity of mind rather than spellcraft.</x:v>
      </x:c>
      <x:c r="H510" s="24" t="str">
        <x:v>Record source, method, cost, limits, access, and social control separately.</x:v>
      </x:c>
      <x:c r="I510" s="24" t="str">
        <x:v>psionics; psychic power; mental discipline</x:v>
      </x:c>
      <x:c r="J510" s="24" t="str">
        <x:v>Defines who can access power, why it works, and what obligations accompany it.</x:v>
      </x:c>
      <x:c r="K510" s="24" t="str">
        <x:v>psionics; psychic power; mental discipline</x:v>
      </x:c>
      <x:c r="L510" s="24" t="str">
        <x:v>Preserve each source's ontology, culture, history, and terminology when making comparisons.</x:v>
      </x:c>
      <x:c r="M510" s="24" t="str">
        <x:v>Core Family</x:v>
      </x:c>
    </x:row>
    <x:row r="511" ht="44" customHeight="1">
      <x:c r="A511" s="24" t="str">
        <x:v>PWR-117</x:v>
      </x:c>
      <x:c r="B511" s="24" t="str">
        <x:v>Technological Access</x:v>
      </x:c>
      <x:c r="C511" s="24" t="str">
        <x:v>Power Traditions</x:v>
      </x:c>
      <x:c r="D511" s="24" t="str">
        <x:v>PWR-100</x:v>
      </x:c>
      <x:c r="E511" s="24" t="str">
        <x:f>IF(D511="","",IFERROR(VLOOKUP(D511,$A$2:$B$1226,2,FALSE),""))</x:f>
        <x:v>Source and Authorization Models</x:v>
      </x:c>
      <x:c r="F511" s="24" t="n">
        <x:v>3</x:v>
      </x:c>
      <x:c r="G511" s="24" t="str">
        <x:v>Extraordinary effects produced by sufficiently advanced machinery, code, implants, or engineered systems within a fantasy setting.</x:v>
      </x:c>
      <x:c r="H511" s="24" t="str">
        <x:v>Record source, method, cost, limits, access, and social control separately.</x:v>
      </x:c>
      <x:c r="I511" s="24" t="str">
        <x:v>technology; magitech; cybernetics</x:v>
      </x:c>
      <x:c r="J511" s="24" t="str">
        <x:v>Defines who can access power, why it works, and what obligations accompany it.</x:v>
      </x:c>
      <x:c r="K511" s="24" t="str">
        <x:v>technology; magitech; cybernetics</x:v>
      </x:c>
      <x:c r="L511" s="24" t="str">
        <x:v>Preserve each source's ontology, culture, history, and terminology when making comparisons.</x:v>
      </x:c>
      <x:c r="M511" s="24" t="str">
        <x:v>Core Family</x:v>
      </x:c>
    </x:row>
    <x:row r="512" ht="44" customHeight="1">
      <x:c r="A512" s="24" t="str">
        <x:v>PWR-118</x:v>
      </x:c>
      <x:c r="B512" s="24" t="str">
        <x:v>Environmental Attunement</x:v>
      </x:c>
      <x:c r="C512" s="24" t="str">
        <x:v>Power Traditions</x:v>
      </x:c>
      <x:c r="D512" s="24" t="str">
        <x:v>PWR-100</x:v>
      </x:c>
      <x:c r="E512" s="24" t="str">
        <x:f>IF(D512="","",IFERROR(VLOOKUP(D512,$A$2:$B$1226,2,FALSE),""))</x:f>
        <x:v>Source and Authorization Models</x:v>
      </x:c>
      <x:c r="F512" s="24" t="n">
        <x:v>3</x:v>
      </x:c>
      <x:c r="G512" s="24" t="str">
        <x:v>Power drawn from local terrain, ley lines, weather, seasons, or a specific ecological relationship.</x:v>
      </x:c>
      <x:c r="H512" s="24" t="str">
        <x:v>Record source, method, cost, limits, access, and social control separately.</x:v>
      </x:c>
      <x:c r="I512" s="24" t="str">
        <x:v>ley power; land bond; terrain magic</x:v>
      </x:c>
      <x:c r="J512" s="24" t="str">
        <x:v>Defines who can access power, why it works, and what obligations accompany it.</x:v>
      </x:c>
      <x:c r="K512" s="24" t="str">
        <x:v>ley power; land bond; terrain magic</x:v>
      </x:c>
      <x:c r="L512" s="24" t="str">
        <x:v>Preserve each source's ontology, culture, history, and terminology when making comparisons.</x:v>
      </x:c>
      <x:c r="M512" s="24" t="str">
        <x:v>Core Family</x:v>
      </x:c>
    </x:row>
    <x:row r="513" ht="44" customHeight="1">
      <x:c r="A513" s="24" t="str">
        <x:v>PWR-119</x:v>
      </x:c>
      <x:c r="B513" s="24" t="str">
        <x:v>Sacrifice and Costly Exchange</x:v>
      </x:c>
      <x:c r="C513" s="24" t="str">
        <x:v>Power Traditions</x:v>
      </x:c>
      <x:c r="D513" s="24" t="str">
        <x:v>PWR-100</x:v>
      </x:c>
      <x:c r="E513" s="24" t="str">
        <x:f>IF(D513="","",IFERROR(VLOOKUP(D513,$A$2:$B$1226,2,FALSE),""))</x:f>
        <x:v>Source and Authorization Models</x:v>
      </x:c>
      <x:c r="F513" s="24" t="n">
        <x:v>3</x:v>
      </x:c>
      <x:c r="G513" s="24" t="str">
        <x:v>Power activated through loss of blood, life, memory, years, emotion, identity, wealth, or another valued resource.</x:v>
      </x:c>
      <x:c r="H513" s="24" t="str">
        <x:v>Record source, method, cost, limits, access, and social control separately.</x:v>
      </x:c>
      <x:c r="I513" s="24" t="str">
        <x:v>sacrifice magic; equivalent exchange; costly spell</x:v>
      </x:c>
      <x:c r="J513" s="24" t="str">
        <x:v>Defines who can access power, why it works, and what obligations accompany it.</x:v>
      </x:c>
      <x:c r="K513" s="24" t="str">
        <x:v>sacrifice magic; equivalent exchange; costly spell</x:v>
      </x:c>
      <x:c r="L513" s="24" t="str">
        <x:v>Preserve each source's ontology, culture, history, and terminology when making comparisons.</x:v>
      </x:c>
      <x:c r="M513" s="24" t="str">
        <x:v>Core Family</x:v>
      </x:c>
    </x:row>
    <x:row r="514" ht="44" customHeight="1">
      <x:c r="A514" s="24" t="str">
        <x:v>PWR-120</x:v>
      </x:c>
      <x:c r="B514" s="24" t="str">
        <x:v>Emotional Power</x:v>
      </x:c>
      <x:c r="C514" s="24" t="str">
        <x:v>Power Traditions</x:v>
      </x:c>
      <x:c r="D514" s="24" t="str">
        <x:v>PWR-100</x:v>
      </x:c>
      <x:c r="E514" s="24" t="str">
        <x:f>IF(D514="","",IFERROR(VLOOKUP(D514,$A$2:$B$1226,2,FALSE),""))</x:f>
        <x:v>Source and Authorization Models</x:v>
      </x:c>
      <x:c r="F514" s="24" t="n">
        <x:v>3</x:v>
      </x:c>
      <x:c r="G514" s="24" t="str">
        <x:v>Power amplified, shaped, or triggered by love, rage, hope, fear, grief, resolve, or collective feeling.</x:v>
      </x:c>
      <x:c r="H514" s="24" t="str">
        <x:v>Record source, method, cost, limits, access, and social control separately.</x:v>
      </x:c>
      <x:c r="I514" s="24" t="str">
        <x:v>emotion magic; heart power; rage power</x:v>
      </x:c>
      <x:c r="J514" s="24" t="str">
        <x:v>Defines who can access power, why it works, and what obligations accompany it.</x:v>
      </x:c>
      <x:c r="K514" s="24" t="str">
        <x:v>emotion magic; heart power; rage power</x:v>
      </x:c>
      <x:c r="L514" s="24" t="str">
        <x:v>Preserve each source's ontology, culture, history, and terminology when making comparisons.</x:v>
      </x:c>
      <x:c r="M514" s="24" t="str">
        <x:v>Core Family</x:v>
      </x:c>
    </x:row>
    <x:row r="515" ht="44" customHeight="1">
      <x:c r="A515" s="24" t="str">
        <x:v>PWR-121</x:v>
      </x:c>
      <x:c r="B515" s="24" t="str">
        <x:v>Faith-Responsive Power</x:v>
      </x:c>
      <x:c r="C515" s="24" t="str">
        <x:v>Power Traditions</x:v>
      </x:c>
      <x:c r="D515" s="24" t="str">
        <x:v>PWR-100</x:v>
      </x:c>
      <x:c r="E515" s="24" t="str">
        <x:f>IF(D515="","",IFERROR(VLOOKUP(D515,$A$2:$B$1226,2,FALSE),""))</x:f>
        <x:v>Source and Authorization Models</x:v>
      </x:c>
      <x:c r="F515" s="24" t="n">
        <x:v>3</x:v>
      </x:c>
      <x:c r="G515" s="24" t="str">
        <x:v>Power whose magnitude or availability depends on belief, worship, devotion, communal recognition, or doctrinal alignment.</x:v>
      </x:c>
      <x:c r="H515" s="24" t="str">
        <x:v>Record source, method, cost, limits, access, and social control separately.</x:v>
      </x:c>
      <x:c r="I515" s="24" t="str">
        <x:v>faith magic; belief power</x:v>
      </x:c>
      <x:c r="J515" s="24" t="str">
        <x:v>Defines who can access power, why it works, and what obligations accompany it.</x:v>
      </x:c>
      <x:c r="K515" s="24" t="str">
        <x:v>faith magic; belief power</x:v>
      </x:c>
      <x:c r="L515" s="24" t="str">
        <x:v>Preserve each source's ontology, culture, history, and terminology when making comparisons.</x:v>
      </x:c>
      <x:c r="M515" s="24" t="str">
        <x:v>Core Family</x:v>
      </x:c>
    </x:row>
    <x:row r="516" ht="44" customHeight="1">
      <x:c r="A516" s="24" t="str">
        <x:v>PWR-122</x:v>
      </x:c>
      <x:c r="B516" s="24" t="str">
        <x:v>Narrative or Conceptual Authority</x:v>
      </x:c>
      <x:c r="C516" s="24" t="str">
        <x:v>Power Traditions</x:v>
      </x:c>
      <x:c r="D516" s="24" t="str">
        <x:v>PWR-100</x:v>
      </x:c>
      <x:c r="E516" s="24" t="str">
        <x:f>IF(D516="","",IFERROR(VLOOKUP(D516,$A$2:$B$1226,2,FALSE),""))</x:f>
        <x:v>Source and Authorization Models</x:v>
      </x:c>
      <x:c r="F516" s="24" t="n">
        <x:v>3</x:v>
      </x:c>
      <x:c r="G516" s="24" t="str">
        <x:v>Power derived from names, stories, roles, archetypes, reputation, symbolic office, or metaphysical recognition.</x:v>
      </x:c>
      <x:c r="H516" s="24" t="str">
        <x:v>Record source, method, cost, limits, access, and social control separately.</x:v>
      </x:c>
      <x:c r="I516" s="24" t="str">
        <x:v>story magic; mantle; conceptual power</x:v>
      </x:c>
      <x:c r="J516" s="24" t="str">
        <x:v>Defines who can access power, why it works, and what obligations accompany it.</x:v>
      </x:c>
      <x:c r="K516" s="24" t="str">
        <x:v>story magic; mantle; conceptual power</x:v>
      </x:c>
      <x:c r="L516" s="24" t="str">
        <x:v>Preserve each source's ontology, culture, history, and terminology when making comparisons.</x:v>
      </x:c>
      <x:c r="M516" s="24" t="str">
        <x:v>Core Family</x:v>
      </x:c>
    </x:row>
    <x:row r="517" ht="44" customHeight="1">
      <x:c r="A517" s="24" t="str">
        <x:v>PWR-201</x:v>
      </x:c>
      <x:c r="B517" s="24" t="str">
        <x:v>Fire Magic</x:v>
      </x:c>
      <x:c r="C517" s="24" t="str">
        <x:v>Power Traditions</x:v>
      </x:c>
      <x:c r="D517" s="24" t="str">
        <x:v>PWR-200</x:v>
      </x:c>
      <x:c r="E517" s="24" t="str">
        <x:f>IF(D517="","",IFERROR(VLOOKUP(D517,$A$2:$B$1226,2,FALSE),""))</x:f>
        <x:v>Elemental and Natural Domains</x:v>
      </x:c>
      <x:c r="F517" s="24" t="n">
        <x:v>3</x:v>
      </x:c>
      <x:c r="G517" s="24" t="str">
        <x:v>Control or creation of flame, heat, combustion, ash, magma, or solar fire.</x:v>
      </x:c>
      <x:c r="H517" s="24" t="str">
        <x:v>Record source, method, cost, limits, access, and social control separately.</x:v>
      </x:c>
      <x:c r="I517" s="24" t="str">
        <x:v>pyromancy; firebending-like; flame magic</x:v>
      </x:c>
      <x:c r="J517" s="24" t="str">
        <x:v>Damage, defense, mobility, environmental control, ecological identity, and symbolic alignment.</x:v>
      </x:c>
      <x:c r="K517" s="24" t="str">
        <x:v>pyromancy; firebending-like; flame magic</x:v>
      </x:c>
      <x:c r="L517" s="24" t="str">
        <x:v>Preserve each source's ontology, culture, history, and terminology when making comparisons.</x:v>
      </x:c>
      <x:c r="M517" s="24" t="str">
        <x:v>Core Family</x:v>
      </x:c>
    </x:row>
    <x:row r="518" ht="44" customHeight="1">
      <x:c r="A518" s="24" t="str">
        <x:v>PWR-202</x:v>
      </x:c>
      <x:c r="B518" s="24" t="str">
        <x:v>Water Magic</x:v>
      </x:c>
      <x:c r="C518" s="24" t="str">
        <x:v>Power Traditions</x:v>
      </x:c>
      <x:c r="D518" s="24" t="str">
        <x:v>PWR-200</x:v>
      </x:c>
      <x:c r="E518" s="24" t="str">
        <x:f>IF(D518="","",IFERROR(VLOOKUP(D518,$A$2:$B$1226,2,FALSE),""))</x:f>
        <x:v>Elemental and Natural Domains</x:v>
      </x:c>
      <x:c r="F518" s="24" t="n">
        <x:v>3</x:v>
      </x:c>
      <x:c r="G518" s="24" t="str">
        <x:v>Control or creation of water, currents, pressure, moisture, tides, and fluid motion.</x:v>
      </x:c>
      <x:c r="H518" s="24" t="str">
        <x:v>Record source, method, cost, limits, access, and social control separately.</x:v>
      </x:c>
      <x:c r="I518" s="24" t="str">
        <x:v>hydromancy; water magic</x:v>
      </x:c>
      <x:c r="J518" s="24" t="str">
        <x:v>Damage, defense, mobility, environmental control, ecological identity, and symbolic alignment.</x:v>
      </x:c>
      <x:c r="K518" s="24" t="str">
        <x:v>hydromancy; water magic</x:v>
      </x:c>
      <x:c r="L518" s="24" t="str">
        <x:v>Preserve each source's ontology, culture, history, and terminology when making comparisons.</x:v>
      </x:c>
      <x:c r="M518" s="24" t="str">
        <x:v>Core Family</x:v>
      </x:c>
    </x:row>
    <x:row r="519" ht="44" customHeight="1">
      <x:c r="A519" s="24" t="str">
        <x:v>PWR-203</x:v>
      </x:c>
      <x:c r="B519" s="24" t="str">
        <x:v>Ice and Cold Magic</x:v>
      </x:c>
      <x:c r="C519" s="24" t="str">
        <x:v>Power Traditions</x:v>
      </x:c>
      <x:c r="D519" s="24" t="str">
        <x:v>PWR-200</x:v>
      </x:c>
      <x:c r="E519" s="24" t="str">
        <x:f>IF(D519="","",IFERROR(VLOOKUP(D519,$A$2:$B$1226,2,FALSE),""))</x:f>
        <x:v>Elemental and Natural Domains</x:v>
      </x:c>
      <x:c r="F519" s="24" t="n">
        <x:v>3</x:v>
      </x:c>
      <x:c r="G519" s="24" t="str">
        <x:v>Control of freezing, snow, ice, cold, thermal extraction, and preservation.</x:v>
      </x:c>
      <x:c r="H519" s="24" t="str">
        <x:v>Record source, method, cost, limits, access, and social control separately.</x:v>
      </x:c>
      <x:c r="I519" s="24" t="str">
        <x:v>cryomancy; frost magic</x:v>
      </x:c>
      <x:c r="J519" s="24" t="str">
        <x:v>Damage, defense, mobility, environmental control, ecological identity, and symbolic alignment.</x:v>
      </x:c>
      <x:c r="K519" s="24" t="str">
        <x:v>cryomancy; frost magic</x:v>
      </x:c>
      <x:c r="L519" s="24" t="str">
        <x:v>Preserve each source's ontology, culture, history, and terminology when making comparisons.</x:v>
      </x:c>
      <x:c r="M519" s="24" t="str">
        <x:v>Core Family</x:v>
      </x:c>
    </x:row>
    <x:row r="520" ht="44" customHeight="1">
      <x:c r="A520" s="24" t="str">
        <x:v>PWR-204</x:v>
      </x:c>
      <x:c r="B520" s="24" t="str">
        <x:v>Air and Wind Magic</x:v>
      </x:c>
      <x:c r="C520" s="24" t="str">
        <x:v>Power Traditions</x:v>
      </x:c>
      <x:c r="D520" s="24" t="str">
        <x:v>PWR-200</x:v>
      </x:c>
      <x:c r="E520" s="24" t="str">
        <x:f>IF(D520="","",IFERROR(VLOOKUP(D520,$A$2:$B$1226,2,FALSE),""))</x:f>
        <x:v>Elemental and Natural Domains</x:v>
      </x:c>
      <x:c r="F520" s="24" t="n">
        <x:v>3</x:v>
      </x:c>
      <x:c r="G520" s="24" t="str">
        <x:v>Control of wind, air pressure, flight, breath, and sometimes sound.</x:v>
      </x:c>
      <x:c r="H520" s="24" t="str">
        <x:v>Record source, method, cost, limits, access, and social control separately.</x:v>
      </x:c>
      <x:c r="I520" s="24" t="str">
        <x:v>aeromancy; wind magic</x:v>
      </x:c>
      <x:c r="J520" s="24" t="str">
        <x:v>Damage, defense, mobility, environmental control, ecological identity, and symbolic alignment.</x:v>
      </x:c>
      <x:c r="K520" s="24" t="str">
        <x:v>aeromancy; wind magic</x:v>
      </x:c>
      <x:c r="L520" s="24" t="str">
        <x:v>Preserve each source's ontology, culture, history, and terminology when making comparisons.</x:v>
      </x:c>
      <x:c r="M520" s="24" t="str">
        <x:v>Core Family</x:v>
      </x:c>
    </x:row>
    <x:row r="521" ht="44" customHeight="1">
      <x:c r="A521" s="24" t="str">
        <x:v>PWR-205</x:v>
      </x:c>
      <x:c r="B521" s="24" t="str">
        <x:v>Earth and Stone Magic</x:v>
      </x:c>
      <x:c r="C521" s="24" t="str">
        <x:v>Power Traditions</x:v>
      </x:c>
      <x:c r="D521" s="24" t="str">
        <x:v>PWR-200</x:v>
      </x:c>
      <x:c r="E521" s="24" t="str">
        <x:f>IF(D521="","",IFERROR(VLOOKUP(D521,$A$2:$B$1226,2,FALSE),""))</x:f>
        <x:v>Elemental and Natural Domains</x:v>
      </x:c>
      <x:c r="F521" s="24" t="n">
        <x:v>3</x:v>
      </x:c>
      <x:c r="G521" s="24" t="str">
        <x:v>Control of soil, stone, sand, metal-bearing earth, terrain, and seismic force.</x:v>
      </x:c>
      <x:c r="H521" s="24" t="str">
        <x:v>Record source, method, cost, limits, access, and social control separately.</x:v>
      </x:c>
      <x:c r="I521" s="24" t="str">
        <x:v>geomancy; earth magic</x:v>
      </x:c>
      <x:c r="J521" s="24" t="str">
        <x:v>Damage, defense, mobility, environmental control, ecological identity, and symbolic alignment.</x:v>
      </x:c>
      <x:c r="K521" s="24" t="str">
        <x:v>geomancy; earth magic</x:v>
      </x:c>
      <x:c r="L521" s="24" t="str">
        <x:v>Preserve each source's ontology, culture, history, and terminology when making comparisons.</x:v>
      </x:c>
      <x:c r="M521" s="24" t="str">
        <x:v>Core Family</x:v>
      </x:c>
    </x:row>
    <x:row r="522" ht="44" customHeight="1">
      <x:c r="A522" s="24" t="str">
        <x:v>PWR-206</x:v>
      </x:c>
      <x:c r="B522" s="24" t="str">
        <x:v>Lightning and Storm Magic</x:v>
      </x:c>
      <x:c r="C522" s="24" t="str">
        <x:v>Power Traditions</x:v>
      </x:c>
      <x:c r="D522" s="24" t="str">
        <x:v>PWR-200</x:v>
      </x:c>
      <x:c r="E522" s="24" t="str">
        <x:f>IF(D522="","",IFERROR(VLOOKUP(D522,$A$2:$B$1226,2,FALSE),""))</x:f>
        <x:v>Elemental and Natural Domains</x:v>
      </x:c>
      <x:c r="F522" s="24" t="n">
        <x:v>3</x:v>
      </x:c>
      <x:c r="G522" s="24" t="str">
        <x:v>Control of lightning, thunder, storms, charged energy, and violent weather.</x:v>
      </x:c>
      <x:c r="H522" s="24" t="str">
        <x:v>Record source, method, cost, limits, access, and social control separately.</x:v>
      </x:c>
      <x:c r="I522" s="24" t="str">
        <x:v>electromancy; storm magic; thunder magic</x:v>
      </x:c>
      <x:c r="J522" s="24" t="str">
        <x:v>Damage, defense, mobility, environmental control, ecological identity, and symbolic alignment.</x:v>
      </x:c>
      <x:c r="K522" s="24" t="str">
        <x:v>electromancy; storm magic; thunder magic</x:v>
      </x:c>
      <x:c r="L522" s="24" t="str">
        <x:v>Preserve each source's ontology, culture, history, and terminology when making comparisons.</x:v>
      </x:c>
      <x:c r="M522" s="24" t="str">
        <x:v>Core Family</x:v>
      </x:c>
    </x:row>
    <x:row r="523" ht="44" customHeight="1">
      <x:c r="A523" s="24" t="str">
        <x:v>PWR-207</x:v>
      </x:c>
      <x:c r="B523" s="24" t="str">
        <x:v>Light and Radiance Magic</x:v>
      </x:c>
      <x:c r="C523" s="24" t="str">
        <x:v>Power Traditions</x:v>
      </x:c>
      <x:c r="D523" s="24" t="str">
        <x:v>PWR-200</x:v>
      </x:c>
      <x:c r="E523" s="24" t="str">
        <x:f>IF(D523="","",IFERROR(VLOOKUP(D523,$A$2:$B$1226,2,FALSE),""))</x:f>
        <x:v>Elemental and Natural Domains</x:v>
      </x:c>
      <x:c r="F523" s="24" t="n">
        <x:v>3</x:v>
      </x:c>
      <x:c r="G523" s="24" t="str">
        <x:v>Control of illumination, lasers, revelation, radiance, purity, or photonic force.</x:v>
      </x:c>
      <x:c r="H523" s="24" t="str">
        <x:v>Record source, method, cost, limits, access, and social control separately.</x:v>
      </x:c>
      <x:c r="I523" s="24" t="str">
        <x:v>light magic; radiant power</x:v>
      </x:c>
      <x:c r="J523" s="24" t="str">
        <x:v>Damage, defense, mobility, environmental control, ecological identity, and symbolic alignment.</x:v>
      </x:c>
      <x:c r="K523" s="24" t="str">
        <x:v>light magic; radiant power</x:v>
      </x:c>
      <x:c r="L523" s="24" t="str">
        <x:v>Preserve each source's ontology, culture, history, and terminology when making comparisons.</x:v>
      </x:c>
      <x:c r="M523" s="24" t="str">
        <x:v>Core Family</x:v>
      </x:c>
    </x:row>
    <x:row r="524" ht="44" customHeight="1">
      <x:c r="A524" s="24" t="str">
        <x:v>PWR-208</x:v>
      </x:c>
      <x:c r="B524" s="24" t="str">
        <x:v>Shadow and Darkness Magic</x:v>
      </x:c>
      <x:c r="C524" s="24" t="str">
        <x:v>Power Traditions</x:v>
      </x:c>
      <x:c r="D524" s="24" t="str">
        <x:v>PWR-200</x:v>
      </x:c>
      <x:c r="E524" s="24" t="str">
        <x:f>IF(D524="","",IFERROR(VLOOKUP(D524,$A$2:$B$1226,2,FALSE),""))</x:f>
        <x:v>Elemental and Natural Domains</x:v>
      </x:c>
      <x:c r="F524" s="24" t="n">
        <x:v>3</x:v>
      </x:c>
      <x:c r="G524" s="24" t="str">
        <x:v>Control of darkness, concealment, silhouettes, absence, fear, or umbral substance.</x:v>
      </x:c>
      <x:c r="H524" s="24" t="str">
        <x:v>Record source, method, cost, limits, access, and social control separately.</x:v>
      </x:c>
      <x:c r="I524" s="24" t="str">
        <x:v>shadow magic; darkness; umbral power</x:v>
      </x:c>
      <x:c r="J524" s="24" t="str">
        <x:v>Damage, defense, mobility, environmental control, ecological identity, and symbolic alignment.</x:v>
      </x:c>
      <x:c r="K524" s="24" t="str">
        <x:v>shadow magic; darkness; umbral power</x:v>
      </x:c>
      <x:c r="L524" s="24" t="str">
        <x:v>Preserve each source's ontology, culture, history, and terminology when making comparisons.</x:v>
      </x:c>
      <x:c r="M524" s="24" t="str">
        <x:v>Core Family</x:v>
      </x:c>
    </x:row>
    <x:row r="525" ht="44" customHeight="1">
      <x:c r="A525" s="24" t="str">
        <x:v>PWR-209</x:v>
      </x:c>
      <x:c r="B525" s="24" t="str">
        <x:v>Plant and Growth Magic</x:v>
      </x:c>
      <x:c r="C525" s="24" t="str">
        <x:v>Power Traditions</x:v>
      </x:c>
      <x:c r="D525" s="24" t="str">
        <x:v>PWR-200</x:v>
      </x:c>
      <x:c r="E525" s="24" t="str">
        <x:f>IF(D525="","",IFERROR(VLOOKUP(D525,$A$2:$B$1226,2,FALSE),""))</x:f>
        <x:v>Elemental and Natural Domains</x:v>
      </x:c>
      <x:c r="F525" s="24" t="n">
        <x:v>3</x:v>
      </x:c>
      <x:c r="G525" s="24" t="str">
        <x:v>Acceleration, shaping, communication, or weaponization of plant life and vegetation.</x:v>
      </x:c>
      <x:c r="H525" s="24" t="str">
        <x:v>Record source, method, cost, limits, access, and social control separately.</x:v>
      </x:c>
      <x:c r="I525" s="24" t="str">
        <x:v>plant magic; green magic; floramancy</x:v>
      </x:c>
      <x:c r="J525" s="24" t="str">
        <x:v>Damage, defense, mobility, environmental control, ecological identity, and symbolic alignment.</x:v>
      </x:c>
      <x:c r="K525" s="24" t="str">
        <x:v>plant magic; green magic; floramancy</x:v>
      </x:c>
      <x:c r="L525" s="24" t="str">
        <x:v>Preserve each source's ontology, culture, history, and terminology when making comparisons.</x:v>
      </x:c>
      <x:c r="M525" s="24" t="str">
        <x:v>Core Family</x:v>
      </x:c>
    </x:row>
    <x:row r="526" ht="44" customHeight="1">
      <x:c r="A526" s="24" t="str">
        <x:v>PWR-210</x:v>
      </x:c>
      <x:c r="B526" s="24" t="str">
        <x:v>Animal and Beast Magic</x:v>
      </x:c>
      <x:c r="C526" s="24" t="str">
        <x:v>Power Traditions</x:v>
      </x:c>
      <x:c r="D526" s="24" t="str">
        <x:v>PWR-200</x:v>
      </x:c>
      <x:c r="E526" s="24" t="str">
        <x:f>IF(D526="","",IFERROR(VLOOKUP(D526,$A$2:$B$1226,2,FALSE),""))</x:f>
        <x:v>Elemental and Natural Domains</x:v>
      </x:c>
      <x:c r="F526" s="24" t="n">
        <x:v>3</x:v>
      </x:c>
      <x:c r="G526" s="24" t="str">
        <x:v>Communication with, transformation into, command of, or empowerment through animals.</x:v>
      </x:c>
      <x:c r="H526" s="24" t="str">
        <x:v>Record source, method, cost, limits, access, and social control separately.</x:v>
      </x:c>
      <x:c r="I526" s="24" t="str">
        <x:v>beast magic; zoopathy; animal speech</x:v>
      </x:c>
      <x:c r="J526" s="24" t="str">
        <x:v>Damage, defense, mobility, environmental control, ecological identity, and symbolic alignment.</x:v>
      </x:c>
      <x:c r="K526" s="24" t="str">
        <x:v>beast magic; zoopathy; animal speech</x:v>
      </x:c>
      <x:c r="L526" s="24" t="str">
        <x:v>Preserve each source's ontology, culture, history, and terminology when making comparisons.</x:v>
      </x:c>
      <x:c r="M526" s="24" t="str">
        <x:v>Core Family</x:v>
      </x:c>
    </x:row>
    <x:row r="527" ht="44" customHeight="1">
      <x:c r="A527" s="24" t="str">
        <x:v>PWR-211</x:v>
      </x:c>
      <x:c r="B527" s="24" t="str">
        <x:v>Fungal and Spore Magic</x:v>
      </x:c>
      <x:c r="C527" s="24" t="str">
        <x:v>Power Traditions</x:v>
      </x:c>
      <x:c r="D527" s="24" t="str">
        <x:v>PWR-200</x:v>
      </x:c>
      <x:c r="E527" s="24" t="str">
        <x:f>IF(D527="","",IFERROR(VLOOKUP(D527,$A$2:$B$1226,2,FALSE),""))</x:f>
        <x:v>Elemental and Natural Domains</x:v>
      </x:c>
      <x:c r="F527" s="24" t="n">
        <x:v>3</x:v>
      </x:c>
      <x:c r="G527" s="24" t="str">
        <x:v>Power involving mushrooms, mycelia, spores, decomposition, hallucination, and ecological networks.</x:v>
      </x:c>
      <x:c r="H527" s="24" t="str">
        <x:v>Record source, method, cost, limits, access, and social control separately.</x:v>
      </x:c>
      <x:c r="I527" s="24" t="str">
        <x:v>fungal magic; sporecraft</x:v>
      </x:c>
      <x:c r="J527" s="24" t="str">
        <x:v>Damage, defense, mobility, environmental control, ecological identity, and symbolic alignment.</x:v>
      </x:c>
      <x:c r="K527" s="24" t="str">
        <x:v>fungal magic; sporecraft</x:v>
      </x:c>
      <x:c r="L527" s="24" t="str">
        <x:v>Preserve each source's ontology, culture, history, and terminology when making comparisons.</x:v>
      </x:c>
      <x:c r="M527" s="24" t="str">
        <x:v>Core Family</x:v>
      </x:c>
    </x:row>
    <x:row r="528" ht="44" customHeight="1">
      <x:c r="A528" s="24" t="str">
        <x:v>PWR-212</x:v>
      </x:c>
      <x:c r="B528" s="24" t="str">
        <x:v>Weather Magic</x:v>
      </x:c>
      <x:c r="C528" s="24" t="str">
        <x:v>Power Traditions</x:v>
      </x:c>
      <x:c r="D528" s="24" t="str">
        <x:v>PWR-200</x:v>
      </x:c>
      <x:c r="E528" s="24" t="str">
        <x:f>IF(D528="","",IFERROR(VLOOKUP(D528,$A$2:$B$1226,2,FALSE),""))</x:f>
        <x:v>Elemental and Natural Domains</x:v>
      </x:c>
      <x:c r="F528" s="24" t="n">
        <x:v>3</x:v>
      </x:c>
      <x:c r="G528" s="24" t="str">
        <x:v>Broad control of rain, drought, clouds, seasons, temperature, and atmospheric systems.</x:v>
      </x:c>
      <x:c r="H528" s="24" t="str">
        <x:v>Record source, method, cost, limits, access, and social control separately.</x:v>
      </x:c>
      <x:c r="I528" s="24" t="str">
        <x:v>weather working; climate magic</x:v>
      </x:c>
      <x:c r="J528" s="24" t="str">
        <x:v>Damage, defense, mobility, environmental control, ecological identity, and symbolic alignment.</x:v>
      </x:c>
      <x:c r="K528" s="24" t="str">
        <x:v>weather working; climate magic</x:v>
      </x:c>
      <x:c r="L528" s="24" t="str">
        <x:v>Preserve each source's ontology, culture, history, and terminology when making comparisons.</x:v>
      </x:c>
      <x:c r="M528" s="24" t="str">
        <x:v>Core Family</x:v>
      </x:c>
    </x:row>
    <x:row r="529" ht="44" customHeight="1">
      <x:c r="A529" s="24" t="str">
        <x:v>PWR-213</x:v>
      </x:c>
      <x:c r="B529" s="24" t="str">
        <x:v>Sea and Tide Magic</x:v>
      </x:c>
      <x:c r="C529" s="24" t="str">
        <x:v>Power Traditions</x:v>
      </x:c>
      <x:c r="D529" s="24" t="str">
        <x:v>PWR-200</x:v>
      </x:c>
      <x:c r="E529" s="24" t="str">
        <x:f>IF(D529="","",IFERROR(VLOOKUP(D529,$A$2:$B$1226,2,FALSE),""))</x:f>
        <x:v>Elemental and Natural Domains</x:v>
      </x:c>
      <x:c r="F529" s="24" t="n">
        <x:v>3</x:v>
      </x:c>
      <x:c r="G529" s="24" t="str">
        <x:v>Marine power associated with tides, salt, depth, currents, storms, and ocean beings.</x:v>
      </x:c>
      <x:c r="H529" s="24" t="str">
        <x:v>Record source, method, cost, limits, access, and social control separately.</x:v>
      </x:c>
      <x:c r="I529" s="24" t="str">
        <x:v>tide magic; sea magic</x:v>
      </x:c>
      <x:c r="J529" s="24" t="str">
        <x:v>Damage, defense, mobility, environmental control, ecological identity, and symbolic alignment.</x:v>
      </x:c>
      <x:c r="K529" s="24" t="str">
        <x:v>tide magic; sea magic</x:v>
      </x:c>
      <x:c r="L529" s="24" t="str">
        <x:v>Preserve each source's ontology, culture, history, and terminology when making comparisons.</x:v>
      </x:c>
      <x:c r="M529" s="24" t="str">
        <x:v>Core Family</x:v>
      </x:c>
    </x:row>
    <x:row r="530" ht="44" customHeight="1">
      <x:c r="A530" s="24" t="str">
        <x:v>PWR-214</x:v>
      </x:c>
      <x:c r="B530" s="24" t="str">
        <x:v>Metal Magic</x:v>
      </x:c>
      <x:c r="C530" s="24" t="str">
        <x:v>Power Traditions</x:v>
      </x:c>
      <x:c r="D530" s="24" t="str">
        <x:v>PWR-200</x:v>
      </x:c>
      <x:c r="E530" s="24" t="str">
        <x:f>IF(D530="","",IFERROR(VLOOKUP(D530,$A$2:$B$1226,2,FALSE),""))</x:f>
        <x:v>Elemental and Natural Domains</x:v>
      </x:c>
      <x:c r="F530" s="24" t="n">
        <x:v>3</x:v>
      </x:c>
      <x:c r="G530" s="24" t="str">
        <x:v>Control, sensing, shaping, or transmutation of metal and metallic properties.</x:v>
      </x:c>
      <x:c r="H530" s="24" t="str">
        <x:v>Record source, method, cost, limits, access, and social control separately.</x:v>
      </x:c>
      <x:c r="I530" s="24" t="str">
        <x:v>metallomancy; metalbending-like</x:v>
      </x:c>
      <x:c r="J530" s="24" t="str">
        <x:v>Damage, defense, mobility, environmental control, ecological identity, and symbolic alignment.</x:v>
      </x:c>
      <x:c r="K530" s="24" t="str">
        <x:v>metallomancy; metalbending-like</x:v>
      </x:c>
      <x:c r="L530" s="24" t="str">
        <x:v>Preserve each source's ontology, culture, history, and terminology when making comparisons.</x:v>
      </x:c>
      <x:c r="M530" s="24" t="str">
        <x:v>Core Family</x:v>
      </x:c>
    </x:row>
    <x:row r="531" ht="44" customHeight="1">
      <x:c r="A531" s="24" t="str">
        <x:v>PWR-215</x:v>
      </x:c>
      <x:c r="B531" s="24" t="str">
        <x:v>Crystal and Gem Magic</x:v>
      </x:c>
      <x:c r="C531" s="24" t="str">
        <x:v>Power Traditions</x:v>
      </x:c>
      <x:c r="D531" s="24" t="str">
        <x:v>PWR-200</x:v>
      </x:c>
      <x:c r="E531" s="24" t="str">
        <x:f>IF(D531="","",IFERROR(VLOOKUP(D531,$A$2:$B$1226,2,FALSE),""))</x:f>
        <x:v>Elemental and Natural Domains</x:v>
      </x:c>
      <x:c r="F531" s="24" t="n">
        <x:v>3</x:v>
      </x:c>
      <x:c r="G531" s="24" t="str">
        <x:v>Power stored, refracted, amplified, or structured through crystals and gemstones.</x:v>
      </x:c>
      <x:c r="H531" s="24" t="str">
        <x:v>Record source, method, cost, limits, access, and social control separately.</x:v>
      </x:c>
      <x:c r="I531" s="24" t="str">
        <x:v>crystal magic; gemcraft</x:v>
      </x:c>
      <x:c r="J531" s="24" t="str">
        <x:v>Damage, defense, mobility, environmental control, ecological identity, and symbolic alignment.</x:v>
      </x:c>
      <x:c r="K531" s="24" t="str">
        <x:v>crystal magic; gemcraft</x:v>
      </x:c>
      <x:c r="L531" s="24" t="str">
        <x:v>Preserve each source's ontology, culture, history, and terminology when making comparisons.</x:v>
      </x:c>
      <x:c r="M531" s="24" t="str">
        <x:v>Core Family</x:v>
      </x:c>
    </x:row>
    <x:row r="532" ht="44" customHeight="1">
      <x:c r="A532" s="24" t="str">
        <x:v>PWR-216</x:v>
      </x:c>
      <x:c r="B532" s="24" t="str">
        <x:v>Poison and Toxin Magic</x:v>
      </x:c>
      <x:c r="C532" s="24" t="str">
        <x:v>Power Traditions</x:v>
      </x:c>
      <x:c r="D532" s="24" t="str">
        <x:v>PWR-200</x:v>
      </x:c>
      <x:c r="E532" s="24" t="str">
        <x:f>IF(D532="","",IFERROR(VLOOKUP(D532,$A$2:$B$1226,2,FALSE),""))</x:f>
        <x:v>Elemental and Natural Domains</x:v>
      </x:c>
      <x:c r="F532" s="24" t="n">
        <x:v>3</x:v>
      </x:c>
      <x:c r="G532" s="24" t="str">
        <x:v>Creation, manipulation, purification, or magical intensification of toxins and venoms.</x:v>
      </x:c>
      <x:c r="H532" s="24" t="str">
        <x:v>Record source, method, cost, limits, access, and social control separately.</x:v>
      </x:c>
      <x:c r="I532" s="24" t="str">
        <x:v>poison magic; venomcraft; toxicology</x:v>
      </x:c>
      <x:c r="J532" s="24" t="str">
        <x:v>Damage, defense, mobility, environmental control, ecological identity, and symbolic alignment.</x:v>
      </x:c>
      <x:c r="K532" s="24" t="str">
        <x:v>poison magic; venomcraft; toxicology</x:v>
      </x:c>
      <x:c r="L532" s="24" t="str">
        <x:v>Preserve each source's ontology, culture, history, and terminology when making comparisons.</x:v>
      </x:c>
      <x:c r="M532" s="24" t="str">
        <x:v>Core Family</x:v>
      </x:c>
    </x:row>
    <x:row r="533" ht="44" customHeight="1">
      <x:c r="A533" s="24" t="str">
        <x:v>PWR-217</x:v>
      </x:c>
      <x:c r="B533" s="24" t="str">
        <x:v>Sound and Vibration Magic</x:v>
      </x:c>
      <x:c r="C533" s="24" t="str">
        <x:v>Power Traditions</x:v>
      </x:c>
      <x:c r="D533" s="24" t="str">
        <x:v>PWR-200</x:v>
      </x:c>
      <x:c r="E533" s="24" t="str">
        <x:f>IF(D533="","",IFERROR(VLOOKUP(D533,$A$2:$B$1226,2,FALSE),""))</x:f>
        <x:v>Elemental and Natural Domains</x:v>
      </x:c>
      <x:c r="F533" s="24" t="n">
        <x:v>3</x:v>
      </x:c>
      <x:c r="G533" s="24" t="str">
        <x:v>Manipulation of sound, resonance, silence, vibration, and harmonic structure.</x:v>
      </x:c>
      <x:c r="H533" s="24" t="str">
        <x:v>Record source, method, cost, limits, access, and social control separately.</x:v>
      </x:c>
      <x:c r="I533" s="24" t="str">
        <x:v>sonomancy; resonance magic</x:v>
      </x:c>
      <x:c r="J533" s="24" t="str">
        <x:v>Damage, defense, mobility, environmental control, ecological identity, and symbolic alignment.</x:v>
      </x:c>
      <x:c r="K533" s="24" t="str">
        <x:v>sonomancy; resonance magic</x:v>
      </x:c>
      <x:c r="L533" s="24" t="str">
        <x:v>Preserve each source's ontology, culture, history, and terminology when making comparisons.</x:v>
      </x:c>
      <x:c r="M533" s="24" t="str">
        <x:v>Core Family</x:v>
      </x:c>
    </x:row>
    <x:row r="534" ht="44" customHeight="1">
      <x:c r="A534" s="24" t="str">
        <x:v>PWR-218</x:v>
      </x:c>
      <x:c r="B534" s="24" t="str">
        <x:v>Gravity Magic</x:v>
      </x:c>
      <x:c r="C534" s="24" t="str">
        <x:v>Power Traditions</x:v>
      </x:c>
      <x:c r="D534" s="24" t="str">
        <x:v>PWR-200</x:v>
      </x:c>
      <x:c r="E534" s="24" t="str">
        <x:f>IF(D534="","",IFERROR(VLOOKUP(D534,$A$2:$B$1226,2,FALSE),""))</x:f>
        <x:v>Elemental and Natural Domains</x:v>
      </x:c>
      <x:c r="F534" s="24" t="n">
        <x:v>3</x:v>
      </x:c>
      <x:c r="G534" s="24" t="str">
        <x:v>Control of weight, attraction, falling, compression, and spatial curvature.</x:v>
      </x:c>
      <x:c r="H534" s="24" t="str">
        <x:v>Record source, method, cost, limits, access, and social control separately.</x:v>
      </x:c>
      <x:c r="I534" s="24" t="str">
        <x:v>gravity magic; graviturgy</x:v>
      </x:c>
      <x:c r="J534" s="24" t="str">
        <x:v>Damage, defense, mobility, environmental control, ecological identity, and symbolic alignment.</x:v>
      </x:c>
      <x:c r="K534" s="24" t="str">
        <x:v>gravity magic; graviturgy</x:v>
      </x:c>
      <x:c r="L534" s="24" t="str">
        <x:v>Preserve each source's ontology, culture, history, and terminology when making comparisons.</x:v>
      </x:c>
      <x:c r="M534" s="24" t="str">
        <x:v>Core Family</x:v>
      </x:c>
    </x:row>
    <x:row r="535" ht="44" customHeight="1">
      <x:c r="A535" s="24" t="str">
        <x:v>PWR-219</x:v>
      </x:c>
      <x:c r="B535" s="24" t="str">
        <x:v>Solar Magic</x:v>
      </x:c>
      <x:c r="C535" s="24" t="str">
        <x:v>Power Traditions</x:v>
      </x:c>
      <x:c r="D535" s="24" t="str">
        <x:v>PWR-200</x:v>
      </x:c>
      <x:c r="E535" s="24" t="str">
        <x:f>IF(D535="","",IFERROR(VLOOKUP(D535,$A$2:$B$1226,2,FALSE),""))</x:f>
        <x:v>Elemental and Natural Domains</x:v>
      </x:c>
      <x:c r="F535" s="24" t="n">
        <x:v>3</x:v>
      </x:c>
      <x:c r="G535" s="24" t="str">
        <x:v>Power derived specifically from the sun, daylight, solar cycles, or solar divinity.</x:v>
      </x:c>
      <x:c r="H535" s="24" t="str">
        <x:v>Record source, method, cost, limits, access, and social control separately.</x:v>
      </x:c>
      <x:c r="I535" s="24" t="str">
        <x:v>sun magic; solar power</x:v>
      </x:c>
      <x:c r="J535" s="24" t="str">
        <x:v>Damage, defense, mobility, environmental control, ecological identity, and symbolic alignment.</x:v>
      </x:c>
      <x:c r="K535" s="24" t="str">
        <x:v>sun magic; solar power</x:v>
      </x:c>
      <x:c r="L535" s="24" t="str">
        <x:v>Preserve each source's ontology, culture, history, and terminology when making comparisons.</x:v>
      </x:c>
      <x:c r="M535" s="24" t="str">
        <x:v>Core Family</x:v>
      </x:c>
    </x:row>
    <x:row r="536" ht="44" customHeight="1">
      <x:c r="A536" s="24" t="str">
        <x:v>PWR-220</x:v>
      </x:c>
      <x:c r="B536" s="24" t="str">
        <x:v>Lunar Magic</x:v>
      </x:c>
      <x:c r="C536" s="24" t="str">
        <x:v>Power Traditions</x:v>
      </x:c>
      <x:c r="D536" s="24" t="str">
        <x:v>PWR-200</x:v>
      </x:c>
      <x:c r="E536" s="24" t="str">
        <x:f>IF(D536="","",IFERROR(VLOOKUP(D536,$A$2:$B$1226,2,FALSE),""))</x:f>
        <x:v>Elemental and Natural Domains</x:v>
      </x:c>
      <x:c r="F536" s="24" t="n">
        <x:v>3</x:v>
      </x:c>
      <x:c r="G536" s="24" t="str">
        <x:v>Power derived from the moon, tides, night, dreams, phases, or lunar divinity.</x:v>
      </x:c>
      <x:c r="H536" s="24" t="str">
        <x:v>Record source, method, cost, limits, access, and social control separately.</x:v>
      </x:c>
      <x:c r="I536" s="24" t="str">
        <x:v>moon magic; lunar power</x:v>
      </x:c>
      <x:c r="J536" s="24" t="str">
        <x:v>Damage, defense, mobility, environmental control, ecological identity, and symbolic alignment.</x:v>
      </x:c>
      <x:c r="K536" s="24" t="str">
        <x:v>moon magic; lunar power</x:v>
      </x:c>
      <x:c r="L536" s="24" t="str">
        <x:v>Preserve each source's ontology, culture, history, and terminology when making comparisons.</x:v>
      </x:c>
      <x:c r="M536" s="24" t="str">
        <x:v>Core Family</x:v>
      </x:c>
    </x:row>
    <x:row r="537" ht="44" customHeight="1">
      <x:c r="A537" s="24" t="str">
        <x:v>PWR-221</x:v>
      </x:c>
      <x:c r="B537" s="24" t="str">
        <x:v>Seasonal Magic</x:v>
      </x:c>
      <x:c r="C537" s="24" t="str">
        <x:v>Power Traditions</x:v>
      </x:c>
      <x:c r="D537" s="24" t="str">
        <x:v>PWR-200</x:v>
      </x:c>
      <x:c r="E537" s="24" t="str">
        <x:f>IF(D537="","",IFERROR(VLOOKUP(D537,$A$2:$B$1226,2,FALSE),""))</x:f>
        <x:v>Elemental and Natural Domains</x:v>
      </x:c>
      <x:c r="F537" s="24" t="n">
        <x:v>3</x:v>
      </x:c>
      <x:c r="G537" s="24" t="str">
        <x:v>Power structured by spring, summer, autumn, winter, harvest, or cyclical environmental change.</x:v>
      </x:c>
      <x:c r="H537" s="24" t="str">
        <x:v>Record source, method, cost, limits, access, and social control separately.</x:v>
      </x:c>
      <x:c r="I537" s="24" t="str">
        <x:v>season magic; winter power; spring magic</x:v>
      </x:c>
      <x:c r="J537" s="24" t="str">
        <x:v>Damage, defense, mobility, environmental control, ecological identity, and symbolic alignment.</x:v>
      </x:c>
      <x:c r="K537" s="24" t="str">
        <x:v>season magic; winter power; spring magic</x:v>
      </x:c>
      <x:c r="L537" s="24" t="str">
        <x:v>Preserve each source's ontology, culture, history, and terminology when making comparisons.</x:v>
      </x:c>
      <x:c r="M537" s="24" t="str">
        <x:v>Core Family</x:v>
      </x:c>
    </x:row>
    <x:row r="538" ht="44" customHeight="1">
      <x:c r="A538" s="24" t="str">
        <x:v>PWR-222</x:v>
      </x:c>
      <x:c r="B538" s="24" t="str">
        <x:v>Nature or Primal Magic</x:v>
      </x:c>
      <x:c r="C538" s="24" t="str">
        <x:v>Power Traditions</x:v>
      </x:c>
      <x:c r="D538" s="24" t="str">
        <x:v>PWR-200</x:v>
      </x:c>
      <x:c r="E538" s="24" t="str">
        <x:f>IF(D538="","",IFERROR(VLOOKUP(D538,$A$2:$B$1226,2,FALSE),""))</x:f>
        <x:v>Elemental and Natural Domains</x:v>
      </x:c>
      <x:c r="F538" s="24" t="n">
        <x:v>3</x:v>
      </x:c>
      <x:c r="G538" s="24" t="str">
        <x:v>Broad magic of ecosystems, wilderness, growth, decay, animals, weather, and elemental reciprocity.</x:v>
      </x:c>
      <x:c r="H538" s="24" t="str">
        <x:v>Record source, method, cost, limits, access, and social control separately.</x:v>
      </x:c>
      <x:c r="I538" s="24" t="str">
        <x:v>nature magic; primal magic; druidic power</x:v>
      </x:c>
      <x:c r="J538" s="24" t="str">
        <x:v>Damage, defense, mobility, environmental control, ecological identity, and symbolic alignment.</x:v>
      </x:c>
      <x:c r="K538" s="24" t="str">
        <x:v>nature magic; primal magic; druidic power</x:v>
      </x:c>
      <x:c r="L538" s="24" t="str">
        <x:v>Preserve each source's ontology, culture, history, and terminology when making comparisons.</x:v>
      </x:c>
      <x:c r="M538" s="24" t="str">
        <x:v>Core Family</x:v>
      </x:c>
    </x:row>
    <x:row r="539" ht="44" customHeight="1">
      <x:c r="A539" s="24" t="str">
        <x:v>PWR-301</x:v>
      </x:c>
      <x:c r="B539" s="24" t="str">
        <x:v>Healing and Restoration</x:v>
      </x:c>
      <x:c r="C539" s="24" t="str">
        <x:v>Power Traditions</x:v>
      </x:c>
      <x:c r="D539" s="24" t="str">
        <x:v>PWR-300</x:v>
      </x:c>
      <x:c r="E539" s="24" t="str">
        <x:f>IF(D539="","",IFERROR(VLOOKUP(D539,$A$2:$B$1226,2,FALSE),""))</x:f>
        <x:v>Soul, Death, and Body Domains</x:v>
      </x:c>
      <x:c r="F539" s="24" t="n">
        <x:v>3</x:v>
      </x:c>
      <x:c r="G539" s="24" t="str">
        <x:v>Repair of bodies, minds, souls, conditions, injuries, disease, and exhausted resources.</x:v>
      </x:c>
      <x:c r="H539" s="24" t="str">
        <x:v>Record source, method, cost, limits, access, and social control separately.</x:v>
      </x:c>
      <x:c r="I539" s="24" t="str">
        <x:v>healing magic; restoration; cure</x:v>
      </x:c>
      <x:c r="J539" s="24" t="str">
        <x:v>Healing, horror, transformation, immortality, identity, bodily stakes, and life-death cosmology.</x:v>
      </x:c>
      <x:c r="K539" s="24" t="str">
        <x:v>healing magic; restoration; cure</x:v>
      </x:c>
      <x:c r="L539" s="24" t="str">
        <x:v>Preserve each source's ontology, culture, history, and terminology when making comparisons.</x:v>
      </x:c>
      <x:c r="M539" s="24" t="str">
        <x:v>Core Family</x:v>
      </x:c>
    </x:row>
    <x:row r="540" ht="44" customHeight="1">
      <x:c r="A540" s="24" t="str">
        <x:v>PWR-302</x:v>
      </x:c>
      <x:c r="B540" s="24" t="str">
        <x:v>Life and Vitality Magic</x:v>
      </x:c>
      <x:c r="C540" s="24" t="str">
        <x:v>Power Traditions</x:v>
      </x:c>
      <x:c r="D540" s="24" t="str">
        <x:v>PWR-300</x:v>
      </x:c>
      <x:c r="E540" s="24" t="str">
        <x:f>IF(D540="","",IFERROR(VLOOKUP(D540,$A$2:$B$1226,2,FALSE),""))</x:f>
        <x:v>Soul, Death, and Body Domains</x:v>
      </x:c>
      <x:c r="F540" s="24" t="n">
        <x:v>3</x:v>
      </x:c>
      <x:c r="G540" s="24" t="str">
        <x:v>Manipulation of life force, growth, fertility, vigor, aging, and biological energy.</x:v>
      </x:c>
      <x:c r="H540" s="24" t="str">
        <x:v>Record source, method, cost, limits, access, and social control separately.</x:v>
      </x:c>
      <x:c r="I540" s="24" t="str">
        <x:v>life magic; vitality; biomancy</x:v>
      </x:c>
      <x:c r="J540" s="24" t="str">
        <x:v>Healing, horror, transformation, immortality, identity, bodily stakes, and life-death cosmology.</x:v>
      </x:c>
      <x:c r="K540" s="24" t="str">
        <x:v>life magic; vitality; biomancy</x:v>
      </x:c>
      <x:c r="L540" s="24" t="str">
        <x:v>Preserve each source's ontology, culture, history, and terminology when making comparisons.</x:v>
      </x:c>
      <x:c r="M540" s="24" t="str">
        <x:v>Core Family</x:v>
      </x:c>
    </x:row>
    <x:row r="541" ht="44" customHeight="1">
      <x:c r="A541" s="24" t="str">
        <x:v>PWR-303</x:v>
      </x:c>
      <x:c r="B541" s="24" t="str">
        <x:v>Necromancy</x:v>
      </x:c>
      <x:c r="C541" s="24" t="str">
        <x:v>Power Traditions</x:v>
      </x:c>
      <x:c r="D541" s="24" t="str">
        <x:v>PWR-300</x:v>
      </x:c>
      <x:c r="E541" s="24" t="str">
        <x:f>IF(D541="","",IFERROR(VLOOKUP(D541,$A$2:$B$1226,2,FALSE),""))</x:f>
        <x:v>Soul, Death, and Body Domains</x:v>
      </x:c>
      <x:c r="F541" s="24" t="n">
        <x:v>3</x:v>
      </x:c>
      <x:c r="G541" s="24" t="str">
        <x:v>Magic involving corpses, death, ghosts, souls, entropy, funerary practice, and undead animation.</x:v>
      </x:c>
      <x:c r="H541" s="24" t="str">
        <x:v>Record source, method, cost, limits, access, and social control separately.</x:v>
      </x:c>
      <x:c r="I541" s="24" t="str">
        <x:v>necromancy; death magic</x:v>
      </x:c>
      <x:c r="J541" s="24" t="str">
        <x:v>Healing, horror, transformation, immortality, identity, bodily stakes, and life-death cosmology.</x:v>
      </x:c>
      <x:c r="K541" s="24" t="str">
        <x:v>necromancy; death magic</x:v>
      </x:c>
      <x:c r="L541" s="24" t="str">
        <x:v>Preserve each source's ontology, culture, history, and terminology when making comparisons.</x:v>
      </x:c>
      <x:c r="M541" s="24" t="str">
        <x:v>Core Family</x:v>
      </x:c>
    </x:row>
    <x:row r="542" ht="44" customHeight="1">
      <x:c r="A542" s="24" t="str">
        <x:v>PWR-304</x:v>
      </x:c>
      <x:c r="B542" s="24" t="str">
        <x:v>Soul Magic</x:v>
      </x:c>
      <x:c r="C542" s="24" t="str">
        <x:v>Power Traditions</x:v>
      </x:c>
      <x:c r="D542" s="24" t="str">
        <x:v>PWR-300</x:v>
      </x:c>
      <x:c r="E542" s="24" t="str">
        <x:f>IF(D542="","",IFERROR(VLOOKUP(D542,$A$2:$B$1226,2,FALSE),""))</x:f>
        <x:v>Soul, Death, and Body Domains</x:v>
      </x:c>
      <x:c r="F542" s="24" t="n">
        <x:v>3</x:v>
      </x:c>
      <x:c r="G542" s="24" t="str">
        <x:v>Direct manipulation, transfer, division, binding, consumption, or restoration of souls.</x:v>
      </x:c>
      <x:c r="H542" s="24" t="str">
        <x:v>Record source, method, cost, limits, access, and social control separately.</x:v>
      </x:c>
      <x:c r="I542" s="24" t="str">
        <x:v>soulcraft; anima magic; spirit essence</x:v>
      </x:c>
      <x:c r="J542" s="24" t="str">
        <x:v>Healing, horror, transformation, immortality, identity, bodily stakes, and life-death cosmology.</x:v>
      </x:c>
      <x:c r="K542" s="24" t="str">
        <x:v>soulcraft; anima magic; spirit essence</x:v>
      </x:c>
      <x:c r="L542" s="24" t="str">
        <x:v>Preserve each source's ontology, culture, history, and terminology when making comparisons.</x:v>
      </x:c>
      <x:c r="M542" s="24" t="str">
        <x:v>Core Family</x:v>
      </x:c>
    </x:row>
    <x:row r="543" ht="44" customHeight="1">
      <x:c r="A543" s="24" t="str">
        <x:v>PWR-305</x:v>
      </x:c>
      <x:c r="B543" s="24" t="str">
        <x:v>Blood Magic</x:v>
      </x:c>
      <x:c r="C543" s="24" t="str">
        <x:v>Power Traditions</x:v>
      </x:c>
      <x:c r="D543" s="24" t="str">
        <x:v>PWR-300</x:v>
      </x:c>
      <x:c r="E543" s="24" t="str">
        <x:f>IF(D543="","",IFERROR(VLOOKUP(D543,$A$2:$B$1226,2,FALSE),""))</x:f>
        <x:v>Soul, Death, and Body Domains</x:v>
      </x:c>
      <x:c r="F543" s="24" t="n">
        <x:v>3</x:v>
      </x:c>
      <x:c r="G543" s="24" t="str">
        <x:v>Use of blood as fuel, medium, identity marker, sacrifice, weapon, or inherited key.</x:v>
      </x:c>
      <x:c r="H543" s="24" t="str">
        <x:v>Record source, method, cost, limits, access, and social control separately.</x:v>
      </x:c>
      <x:c r="I543" s="24" t="str">
        <x:v>hemomancy; blood sorcery</x:v>
      </x:c>
      <x:c r="J543" s="24" t="str">
        <x:v>Healing, horror, transformation, immortality, identity, bodily stakes, and life-death cosmology.</x:v>
      </x:c>
      <x:c r="K543" s="24" t="str">
        <x:v>hemomancy; blood sorcery</x:v>
      </x:c>
      <x:c r="L543" s="24" t="str">
        <x:v>Preserve each source's ontology, culture, history, and terminology when making comparisons.</x:v>
      </x:c>
      <x:c r="M543" s="24" t="str">
        <x:v>Core Family</x:v>
      </x:c>
    </x:row>
    <x:row r="544" ht="44" customHeight="1">
      <x:c r="A544" s="24" t="str">
        <x:v>PWR-306</x:v>
      </x:c>
      <x:c r="B544" s="24" t="str">
        <x:v>Bone Magic</x:v>
      </x:c>
      <x:c r="C544" s="24" t="str">
        <x:v>Power Traditions</x:v>
      </x:c>
      <x:c r="D544" s="24" t="str">
        <x:v>PWR-300</x:v>
      </x:c>
      <x:c r="E544" s="24" t="str">
        <x:f>IF(D544="","",IFERROR(VLOOKUP(D544,$A$2:$B$1226,2,FALSE),""))</x:f>
        <x:v>Soul, Death, and Body Domains</x:v>
      </x:c>
      <x:c r="F544" s="24" t="n">
        <x:v>3</x:v>
      </x:c>
      <x:c r="G544" s="24" t="str">
        <x:v>Use of bones as weapons, armor, divinatory media, structural matter, or links to the dead.</x:v>
      </x:c>
      <x:c r="H544" s="24" t="str">
        <x:v>Record source, method, cost, limits, access, and social control separately.</x:v>
      </x:c>
      <x:c r="I544" s="24" t="str">
        <x:v>osteomancy; bonecraft</x:v>
      </x:c>
      <x:c r="J544" s="24" t="str">
        <x:v>Healing, horror, transformation, immortality, identity, bodily stakes, and life-death cosmology.</x:v>
      </x:c>
      <x:c r="K544" s="24" t="str">
        <x:v>osteomancy; bonecraft</x:v>
      </x:c>
      <x:c r="L544" s="24" t="str">
        <x:v>Preserve each source's ontology, culture, history, and terminology when making comparisons.</x:v>
      </x:c>
      <x:c r="M544" s="24" t="str">
        <x:v>Core Family</x:v>
      </x:c>
    </x:row>
    <x:row r="545" ht="44" customHeight="1">
      <x:c r="A545" s="24" t="str">
        <x:v>PWR-307</x:v>
      </x:c>
      <x:c r="B545" s="24" t="str">
        <x:v>Flesh and Body Magic</x:v>
      </x:c>
      <x:c r="C545" s="24" t="str">
        <x:v>Power Traditions</x:v>
      </x:c>
      <x:c r="D545" s="24" t="str">
        <x:v>PWR-300</x:v>
      </x:c>
      <x:c r="E545" s="24" t="str">
        <x:f>IF(D545="","",IFERROR(VLOOKUP(D545,$A$2:$B$1226,2,FALSE),""))</x:f>
        <x:v>Soul, Death, and Body Domains</x:v>
      </x:c>
      <x:c r="F545" s="24" t="n">
        <x:v>3</x:v>
      </x:c>
      <x:c r="G545" s="24" t="str">
        <x:v>Reshaping of anatomy, organs, tissue, appearance, disease, or biological capability.</x:v>
      </x:c>
      <x:c r="H545" s="24" t="str">
        <x:v>Record source, method, cost, limits, access, and social control separately.</x:v>
      </x:c>
      <x:c r="I545" s="24" t="str">
        <x:v>fleshcraft; biomancy; body magic</x:v>
      </x:c>
      <x:c r="J545" s="24" t="str">
        <x:v>Healing, horror, transformation, immortality, identity, bodily stakes, and life-death cosmology.</x:v>
      </x:c>
      <x:c r="K545" s="24" t="str">
        <x:v>fleshcraft; biomancy; body magic</x:v>
      </x:c>
      <x:c r="L545" s="24" t="str">
        <x:v>Preserve each source's ontology, culture, history, and terminology when making comparisons.</x:v>
      </x:c>
      <x:c r="M545" s="24" t="str">
        <x:v>Core Family</x:v>
      </x:c>
    </x:row>
    <x:row r="546" ht="44" customHeight="1">
      <x:c r="A546" s="24" t="str">
        <x:v>PWR-308</x:v>
      </x:c>
      <x:c r="B546" s="24" t="str">
        <x:v>Disease and Plague Magic</x:v>
      </x:c>
      <x:c r="C546" s="24" t="str">
        <x:v>Power Traditions</x:v>
      </x:c>
      <x:c r="D546" s="24" t="str">
        <x:v>PWR-300</x:v>
      </x:c>
      <x:c r="E546" s="24" t="str">
        <x:f>IF(D546="","",IFERROR(VLOOKUP(D546,$A$2:$B$1226,2,FALSE),""))</x:f>
        <x:v>Soul, Death, and Body Domains</x:v>
      </x:c>
      <x:c r="F546" s="24" t="n">
        <x:v>3</x:v>
      </x:c>
      <x:c r="G546" s="24" t="str">
        <x:v>Creation, spread, control, diagnosis, or supernatural embodiment of disease.</x:v>
      </x:c>
      <x:c r="H546" s="24" t="str">
        <x:v>Record source, method, cost, limits, access, and social control separately.</x:v>
      </x:c>
      <x:c r="I546" s="24" t="str">
        <x:v>plague magic; pestilence; diseasecraft</x:v>
      </x:c>
      <x:c r="J546" s="24" t="str">
        <x:v>Healing, horror, transformation, immortality, identity, bodily stakes, and life-death cosmology.</x:v>
      </x:c>
      <x:c r="K546" s="24" t="str">
        <x:v>plague magic; pestilence; diseasecraft</x:v>
      </x:c>
      <x:c r="L546" s="24" t="str">
        <x:v>Preserve each source's ontology, culture, history, and terminology when making comparisons.</x:v>
      </x:c>
      <x:c r="M546" s="24" t="str">
        <x:v>Core Family</x:v>
      </x:c>
    </x:row>
    <x:row r="547" ht="44" customHeight="1">
      <x:c r="A547" s="24" t="str">
        <x:v>PWR-309</x:v>
      </x:c>
      <x:c r="B547" s="24" t="str">
        <x:v>Transformation Magic</x:v>
      </x:c>
      <x:c r="C547" s="24" t="str">
        <x:v>Power Traditions</x:v>
      </x:c>
      <x:c r="D547" s="24" t="str">
        <x:v>PWR-300</x:v>
      </x:c>
      <x:c r="E547" s="24" t="str">
        <x:f>IF(D547="","",IFERROR(VLOOKUP(D547,$A$2:$B$1226,2,FALSE),""))</x:f>
        <x:v>Soul, Death, and Body Domains</x:v>
      </x:c>
      <x:c r="F547" s="24" t="n">
        <x:v>3</x:v>
      </x:c>
      <x:c r="G547" s="24" t="str">
        <x:v>Alteration of bodies, species, size, material, sex, age, or physical properties.</x:v>
      </x:c>
      <x:c r="H547" s="24" t="str">
        <x:v>Record source, method, cost, limits, access, and social control separately.</x:v>
      </x:c>
      <x:c r="I547" s="24" t="str">
        <x:v>transformation; polymorph; transfiguration</x:v>
      </x:c>
      <x:c r="J547" s="24" t="str">
        <x:v>Healing, horror, transformation, immortality, identity, bodily stakes, and life-death cosmology.</x:v>
      </x:c>
      <x:c r="K547" s="24" t="str">
        <x:v>transformation; polymorph; transfiguration</x:v>
      </x:c>
      <x:c r="L547" s="24" t="str">
        <x:v>Preserve each source's ontology, culture, history, and terminology when making comparisons.</x:v>
      </x:c>
      <x:c r="M547" s="24" t="str">
        <x:v>Core Family</x:v>
      </x:c>
    </x:row>
    <x:row r="548" ht="44" customHeight="1">
      <x:c r="A548" s="24" t="str">
        <x:v>PWR-310</x:v>
      </x:c>
      <x:c r="B548" s="24" t="str">
        <x:v>Shapeshifting</x:v>
      </x:c>
      <x:c r="C548" s="24" t="str">
        <x:v>Power Traditions</x:v>
      </x:c>
      <x:c r="D548" s="24" t="str">
        <x:v>PWR-300</x:v>
      </x:c>
      <x:c r="E548" s="24" t="str">
        <x:f>IF(D548="","",IFERROR(VLOOKUP(D548,$A$2:$B$1226,2,FALSE),""))</x:f>
        <x:v>Soul, Death, and Body Domains</x:v>
      </x:c>
      <x:c r="F548" s="24" t="n">
        <x:v>3</x:v>
      </x:c>
      <x:c r="G548" s="24" t="str">
        <x:v>Self-transformation into alternate forms as a repeatable identity or combat practice.</x:v>
      </x:c>
      <x:c r="H548" s="24" t="str">
        <x:v>Record source, method, cost, limits, access, and social control separately.</x:v>
      </x:c>
      <x:c r="I548" s="24" t="str">
        <x:v>shapechange; wildshape; morphing</x:v>
      </x:c>
      <x:c r="J548" s="24" t="str">
        <x:v>Healing, horror, transformation, immortality, identity, bodily stakes, and life-death cosmology.</x:v>
      </x:c>
      <x:c r="K548" s="24" t="str">
        <x:v>shapechange; wildshape; morphing</x:v>
      </x:c>
      <x:c r="L548" s="24" t="str">
        <x:v>Preserve each source's ontology, culture, history, and terminology when making comparisons.</x:v>
      </x:c>
      <x:c r="M548" s="24" t="str">
        <x:v>Core Family</x:v>
      </x:c>
    </x:row>
    <x:row r="549" ht="44" customHeight="1">
      <x:c r="A549" s="24" t="str">
        <x:v>PWR-311</x:v>
      </x:c>
      <x:c r="B549" s="24" t="str">
        <x:v>Resurrection</x:v>
      </x:c>
      <x:c r="C549" s="24" t="str">
        <x:v>Power Traditions</x:v>
      </x:c>
      <x:c r="D549" s="24" t="str">
        <x:v>PWR-300</x:v>
      </x:c>
      <x:c r="E549" s="24" t="str">
        <x:f>IF(D549="","",IFERROR(VLOOKUP(D549,$A$2:$B$1226,2,FALSE),""))</x:f>
        <x:v>Soul, Death, and Body Domains</x:v>
      </x:c>
      <x:c r="F549" s="24" t="n">
        <x:v>3</x:v>
      </x:c>
      <x:c r="G549" s="24" t="str">
        <x:v>Restoration of a dead person to life, body, memory, or social continuity.</x:v>
      </x:c>
      <x:c r="H549" s="24" t="str">
        <x:v>Record source, method, cost, limits, access, and social control separately.</x:v>
      </x:c>
      <x:c r="I549" s="24" t="str">
        <x:v>resurrection; revival; return from death</x:v>
      </x:c>
      <x:c r="J549" s="24" t="str">
        <x:v>Healing, horror, transformation, immortality, identity, bodily stakes, and life-death cosmology.</x:v>
      </x:c>
      <x:c r="K549" s="24" t="str">
        <x:v>resurrection; revival; return from death</x:v>
      </x:c>
      <x:c r="L549" s="24" t="str">
        <x:v>Preserve each source's ontology, culture, history, and terminology when making comparisons.</x:v>
      </x:c>
      <x:c r="M549" s="24" t="str">
        <x:v>Core Family</x:v>
      </x:c>
    </x:row>
    <x:row r="550" ht="44" customHeight="1">
      <x:c r="A550" s="24" t="str">
        <x:v>PWR-312</x:v>
      </x:c>
      <x:c r="B550" s="24" t="str">
        <x:v>Immortality Magic</x:v>
      </x:c>
      <x:c r="C550" s="24" t="str">
        <x:v>Power Traditions</x:v>
      </x:c>
      <x:c r="D550" s="24" t="str">
        <x:v>PWR-300</x:v>
      </x:c>
      <x:c r="E550" s="24" t="str">
        <x:f>IF(D550="","",IFERROR(VLOOKUP(D550,$A$2:$B$1226,2,FALSE),""))</x:f>
        <x:v>Soul, Death, and Body Domains</x:v>
      </x:c>
      <x:c r="F550" s="24" t="n">
        <x:v>3</x:v>
      </x:c>
      <x:c r="G550" s="24" t="str">
        <x:v>Prevention, transfer, suspension, or evasion of aging and death.</x:v>
      </x:c>
      <x:c r="H550" s="24" t="str">
        <x:v>Record source, method, cost, limits, access, and social control separately.</x:v>
      </x:c>
      <x:c r="I550" s="24" t="str">
        <x:v>immortality; longevity; eternal life</x:v>
      </x:c>
      <x:c r="J550" s="24" t="str">
        <x:v>Healing, horror, transformation, immortality, identity, bodily stakes, and life-death cosmology.</x:v>
      </x:c>
      <x:c r="K550" s="24" t="str">
        <x:v>immortality; longevity; eternal life</x:v>
      </x:c>
      <x:c r="L550" s="24" t="str">
        <x:v>Preserve each source's ontology, culture, history, and terminology when making comparisons.</x:v>
      </x:c>
      <x:c r="M550" s="24" t="str">
        <x:v>Core Family</x:v>
      </x:c>
    </x:row>
    <x:row r="551" ht="44" customHeight="1">
      <x:c r="A551" s="24" t="str">
        <x:v>PWR-313</x:v>
      </x:c>
      <x:c r="B551" s="24" t="str">
        <x:v>Memory Magic</x:v>
      </x:c>
      <x:c r="C551" s="24" t="str">
        <x:v>Power Traditions</x:v>
      </x:c>
      <x:c r="D551" s="24" t="str">
        <x:v>PWR-300</x:v>
      </x:c>
      <x:c r="E551" s="24" t="str">
        <x:f>IF(D551="","",IFERROR(VLOOKUP(D551,$A$2:$B$1226,2,FALSE),""))</x:f>
        <x:v>Soul, Death, and Body Domains</x:v>
      </x:c>
      <x:c r="F551" s="24" t="n">
        <x:v>3</x:v>
      </x:c>
      <x:c r="G551" s="24" t="str">
        <x:v>Reading, editing, erasing, storing, transferring, or embodying memory.</x:v>
      </x:c>
      <x:c r="H551" s="24" t="str">
        <x:v>Record source, method, cost, limits, access, and social control separately.</x:v>
      </x:c>
      <x:c r="I551" s="24" t="str">
        <x:v>memory magic; mnemonics; recollection craft</x:v>
      </x:c>
      <x:c r="J551" s="24" t="str">
        <x:v>Healing, horror, transformation, immortality, identity, bodily stakes, and life-death cosmology.</x:v>
      </x:c>
      <x:c r="K551" s="24" t="str">
        <x:v>memory magic; mnemonics; recollection craft</x:v>
      </x:c>
      <x:c r="L551" s="24" t="str">
        <x:v>Preserve each source's ontology, culture, history, and terminology when making comparisons.</x:v>
      </x:c>
      <x:c r="M551" s="24" t="str">
        <x:v>Core Family</x:v>
      </x:c>
    </x:row>
    <x:row r="552" ht="44" customHeight="1">
      <x:c r="A552" s="24" t="str">
        <x:v>PWR-314</x:v>
      </x:c>
      <x:c r="B552" s="24" t="str">
        <x:v>Emotion Magic</x:v>
      </x:c>
      <x:c r="C552" s="24" t="str">
        <x:v>Power Traditions</x:v>
      </x:c>
      <x:c r="D552" s="24" t="str">
        <x:v>PWR-300</x:v>
      </x:c>
      <x:c r="E552" s="24" t="str">
        <x:f>IF(D552="","",IFERROR(VLOOKUP(D552,$A$2:$B$1226,2,FALSE),""))</x:f>
        <x:v>Soul, Death, and Body Domains</x:v>
      </x:c>
      <x:c r="F552" s="24" t="n">
        <x:v>3</x:v>
      </x:c>
      <x:c r="G552" s="24" t="str">
        <x:v>Direct manipulation or embodiment of fear, love, grief, courage, desire, anger, and morale.</x:v>
      </x:c>
      <x:c r="H552" s="24" t="str">
        <x:v>Record source, method, cost, limits, access, and social control separately.</x:v>
      </x:c>
      <x:c r="I552" s="24" t="str">
        <x:v>empathy magic; emotion control</x:v>
      </x:c>
      <x:c r="J552" s="24" t="str">
        <x:v>Healing, horror, transformation, immortality, identity, bodily stakes, and life-death cosmology.</x:v>
      </x:c>
      <x:c r="K552" s="24" t="str">
        <x:v>empathy magic; emotion control</x:v>
      </x:c>
      <x:c r="L552" s="24" t="str">
        <x:v>Preserve each source's ontology, culture, history, and terminology when making comparisons.</x:v>
      </x:c>
      <x:c r="M552" s="24" t="str">
        <x:v>Core Family</x:v>
      </x:c>
    </x:row>
    <x:row r="553" ht="44" customHeight="1">
      <x:c r="A553" s="24" t="str">
        <x:v>PWR-315</x:v>
      </x:c>
      <x:c r="B553" s="24" t="str">
        <x:v>Pain and Wound Magic</x:v>
      </x:c>
      <x:c r="C553" s="24" t="str">
        <x:v>Power Traditions</x:v>
      </x:c>
      <x:c r="D553" s="24" t="str">
        <x:v>PWR-300</x:v>
      </x:c>
      <x:c r="E553" s="24" t="str">
        <x:f>IF(D553="","",IFERROR(VLOOKUP(D553,$A$2:$B$1226,2,FALSE),""))</x:f>
        <x:v>Soul, Death, and Body Domains</x:v>
      </x:c>
      <x:c r="F553" s="24" t="n">
        <x:v>3</x:v>
      </x:c>
      <x:c r="G553" s="24" t="str">
        <x:v>Power derived from inflicting, absorbing, transferring, delaying, or weaponizing pain and injury.</x:v>
      </x:c>
      <x:c r="H553" s="24" t="str">
        <x:v>Record source, method, cost, limits, access, and social control separately.</x:v>
      </x:c>
      <x:c r="I553" s="24" t="str">
        <x:v>pain magic; wound transfer</x:v>
      </x:c>
      <x:c r="J553" s="24" t="str">
        <x:v>Healing, horror, transformation, immortality, identity, bodily stakes, and life-death cosmology.</x:v>
      </x:c>
      <x:c r="K553" s="24" t="str">
        <x:v>pain magic; wound transfer</x:v>
      </x:c>
      <x:c r="L553" s="24" t="str">
        <x:v>Preserve each source's ontology, culture, history, and terminology when making comparisons.</x:v>
      </x:c>
      <x:c r="M553" s="24" t="str">
        <x:v>Core Family</x:v>
      </x:c>
    </x:row>
    <x:row r="554" ht="44" customHeight="1">
      <x:c r="A554" s="24" t="str">
        <x:v>PWR-316</x:v>
      </x:c>
      <x:c r="B554" s="24" t="str">
        <x:v>Shadow-Soul and Astral Projection</x:v>
      </x:c>
      <x:c r="C554" s="24" t="str">
        <x:v>Power Traditions</x:v>
      </x:c>
      <x:c r="D554" s="24" t="str">
        <x:v>PWR-300</x:v>
      </x:c>
      <x:c r="E554" s="24" t="str">
        <x:f>IF(D554="","",IFERROR(VLOOKUP(D554,$A$2:$B$1226,2,FALSE),""))</x:f>
        <x:v>Soul, Death, and Body Domains</x:v>
      </x:c>
      <x:c r="F554" s="24" t="n">
        <x:v>3</x:v>
      </x:c>
      <x:c r="G554" s="24" t="str">
        <x:v>Separation of consciousness or soul from the body for travel, combat, spying, or ritual.</x:v>
      </x:c>
      <x:c r="H554" s="24" t="str">
        <x:v>Record source, method, cost, limits, access, and social control separately.</x:v>
      </x:c>
      <x:c r="I554" s="24" t="str">
        <x:v>astral projection; spirit walk; soul travel</x:v>
      </x:c>
      <x:c r="J554" s="24" t="str">
        <x:v>Healing, horror, transformation, immortality, identity, bodily stakes, and life-death cosmology.</x:v>
      </x:c>
      <x:c r="K554" s="24" t="str">
        <x:v>astral projection; spirit walk; soul travel</x:v>
      </x:c>
      <x:c r="L554" s="24" t="str">
        <x:v>Preserve each source's ontology, culture, history, and terminology when making comparisons.</x:v>
      </x:c>
      <x:c r="M554" s="24" t="str">
        <x:v>Core Family</x:v>
      </x:c>
    </x:row>
    <x:row r="555" ht="44" customHeight="1">
      <x:c r="A555" s="24" t="str">
        <x:v>PWR-317</x:v>
      </x:c>
      <x:c r="B555" s="24" t="str">
        <x:v>Reincarnation</x:v>
      </x:c>
      <x:c r="C555" s="24" t="str">
        <x:v>Power Traditions</x:v>
      </x:c>
      <x:c r="D555" s="24" t="str">
        <x:v>PWR-300</x:v>
      </x:c>
      <x:c r="E555" s="24" t="str">
        <x:f>IF(D555="","",IFERROR(VLOOKUP(D555,$A$2:$B$1226,2,FALSE),""))</x:f>
        <x:v>Soul, Death, and Body Domains</x:v>
      </x:c>
      <x:c r="F555" s="24" t="n">
        <x:v>3</x:v>
      </x:c>
      <x:c r="G555" s="24" t="str">
        <x:v>Transfer or recurrence of identity, soul, memory, or destiny into another life or body.</x:v>
      </x:c>
      <x:c r="H555" s="24" t="str">
        <x:v>Record source, method, cost, limits, access, and social control separately.</x:v>
      </x:c>
      <x:c r="I555" s="24" t="str">
        <x:v>reincarnation; rebirth; samsara analogue</x:v>
      </x:c>
      <x:c r="J555" s="24" t="str">
        <x:v>Healing, horror, transformation, immortality, identity, bodily stakes, and life-death cosmology.</x:v>
      </x:c>
      <x:c r="K555" s="24" t="str">
        <x:v>reincarnation; rebirth; samsara analogue</x:v>
      </x:c>
      <x:c r="L555" s="24" t="str">
        <x:v>Religious doctrines of rebirth differ substantially from fantasy memory-retaining reincarnation systems.</x:v>
      </x:c>
      <x:c r="M555" s="24" t="str">
        <x:v>Core Family</x:v>
      </x:c>
    </x:row>
    <x:row r="556" ht="44" customHeight="1">
      <x:c r="A556" s="24" t="str">
        <x:v>PWR-318</x:v>
      </x:c>
      <x:c r="B556" s="24" t="str">
        <x:v>Consumption and Assimilation</x:v>
      </x:c>
      <x:c r="C556" s="24" t="str">
        <x:v>Power Traditions</x:v>
      </x:c>
      <x:c r="D556" s="24" t="str">
        <x:v>PWR-300</x:v>
      </x:c>
      <x:c r="E556" s="24" t="str">
        <x:f>IF(D556="","",IFERROR(VLOOKUP(D556,$A$2:$B$1226,2,FALSE),""))</x:f>
        <x:v>Soul, Death, and Body Domains</x:v>
      </x:c>
      <x:c r="F556" s="24" t="n">
        <x:v>3</x:v>
      </x:c>
      <x:c r="G556" s="24" t="str">
        <x:v>Acquisition of traits, memories, powers, or forms by eating, absorbing, or merging with others.</x:v>
      </x:c>
      <x:c r="H556" s="24" t="str">
        <x:v>Record source, method, cost, limits, access, and social control separately.</x:v>
      </x:c>
      <x:c r="I556" s="24" t="str">
        <x:v>devour; absorb; assimilation</x:v>
      </x:c>
      <x:c r="J556" s="24" t="str">
        <x:v>Healing, horror, transformation, immortality, identity, bodily stakes, and life-death cosmology.</x:v>
      </x:c>
      <x:c r="K556" s="24" t="str">
        <x:v>devour; absorb; assimilation</x:v>
      </x:c>
      <x:c r="L556" s="24" t="str">
        <x:v>Preserve each source's ontology, culture, history, and terminology when making comparisons.</x:v>
      </x:c>
      <x:c r="M556" s="24" t="str">
        <x:v>Core Family</x:v>
      </x:c>
    </x:row>
    <x:row r="557" ht="44" customHeight="1">
      <x:c r="A557" s="24" t="str">
        <x:v>PWR-319</x:v>
      </x:c>
      <x:c r="B557" s="24" t="str">
        <x:v>Parasite and Infection Power</x:v>
      </x:c>
      <x:c r="C557" s="24" t="str">
        <x:v>Power Traditions</x:v>
      </x:c>
      <x:c r="D557" s="24" t="str">
        <x:v>PWR-300</x:v>
      </x:c>
      <x:c r="E557" s="24" t="str">
        <x:f>IF(D557="","",IFERROR(VLOOKUP(D557,$A$2:$B$1226,2,FALSE),""))</x:f>
        <x:v>Soul, Death, and Body Domains</x:v>
      </x:c>
      <x:c r="F557" s="24" t="n">
        <x:v>3</x:v>
      </x:c>
      <x:c r="G557" s="24" t="str">
        <x:v>Abilities transmitted or operated through infection, spores, parasites, viruses, or invasive symbionts.</x:v>
      </x:c>
      <x:c r="H557" s="24" t="str">
        <x:v>Record source, method, cost, limits, access, and social control separately.</x:v>
      </x:c>
      <x:c r="I557" s="24" t="str">
        <x:v>infection power; parasitic magic</x:v>
      </x:c>
      <x:c r="J557" s="24" t="str">
        <x:v>Healing, horror, transformation, immortality, identity, bodily stakes, and life-death cosmology.</x:v>
      </x:c>
      <x:c r="K557" s="24" t="str">
        <x:v>infection power; parasitic magic</x:v>
      </x:c>
      <x:c r="L557" s="24" t="str">
        <x:v>Preserve each source's ontology, culture, history, and terminology when making comparisons.</x:v>
      </x:c>
      <x:c r="M557" s="24" t="str">
        <x:v>Core Family</x:v>
      </x:c>
    </x:row>
    <x:row r="558" ht="44" customHeight="1">
      <x:c r="A558" s="24" t="str">
        <x:v>PWR-320</x:v>
      </x:c>
      <x:c r="B558" s="24" t="str">
        <x:v>Death and Entropy</x:v>
      </x:c>
      <x:c r="C558" s="24" t="str">
        <x:v>Power Traditions</x:v>
      </x:c>
      <x:c r="D558" s="24" t="str">
        <x:v>PWR-300</x:v>
      </x:c>
      <x:c r="E558" s="24" t="str">
        <x:f>IF(D558="","",IFERROR(VLOOKUP(D558,$A$2:$B$1226,2,FALSE),""))</x:f>
        <x:v>Soul, Death, and Body Domains</x:v>
      </x:c>
      <x:c r="F558" s="24" t="n">
        <x:v>3</x:v>
      </x:c>
      <x:c r="G558" s="24" t="str">
        <x:v>Control of decay, endings, corrosion, aging, exhaustion, silence, and the tendency of systems to break down.</x:v>
      </x:c>
      <x:c r="H558" s="24" t="str">
        <x:v>Record source, method, cost, limits, access, and social control separately.</x:v>
      </x:c>
      <x:c r="I558" s="24" t="str">
        <x:v>entropy magic; decay; death force</x:v>
      </x:c>
      <x:c r="J558" s="24" t="str">
        <x:v>Healing, horror, transformation, immortality, identity, bodily stakes, and life-death cosmology.</x:v>
      </x:c>
      <x:c r="K558" s="24" t="str">
        <x:v>entropy magic; decay; death force</x:v>
      </x:c>
      <x:c r="L558" s="24" t="str">
        <x:v>Preserve each source's ontology, culture, history, and terminology when making comparisons.</x:v>
      </x:c>
      <x:c r="M558" s="24" t="str">
        <x:v>Core Family</x:v>
      </x:c>
    </x:row>
    <x:row r="559" ht="44" customHeight="1">
      <x:c r="A559" s="24" t="str">
        <x:v>PWR-401</x:v>
      </x:c>
      <x:c r="B559" s="24" t="str">
        <x:v>Telepathy</x:v>
      </x:c>
      <x:c r="C559" s="24" t="str">
        <x:v>Power Traditions</x:v>
      </x:c>
      <x:c r="D559" s="24" t="str">
        <x:v>PWR-400</x:v>
      </x:c>
      <x:c r="E559" s="24" t="str">
        <x:f>IF(D559="","",IFERROR(VLOOKUP(D559,$A$2:$B$1226,2,FALSE),""))</x:f>
        <x:v>Mind, Perception, Fate, and Reality Domains</x:v>
      </x:c>
      <x:c r="F559" s="24" t="n">
        <x:v>3</x:v>
      </x:c>
      <x:c r="G559" s="24" t="str">
        <x:v>Transmission, reception, or sharing of thoughts without ordinary senses.</x:v>
      </x:c>
      <x:c r="H559" s="24" t="str">
        <x:v>Record source, method, cost, limits, access, and social control separately.</x:v>
      </x:c>
      <x:c r="I559" s="24" t="str">
        <x:v>telepathy; mind speech</x:v>
      </x:c>
      <x:c r="J559" s="24" t="str">
        <x:v>Information, control, foresight, mobility, metaphysical puzzles, and high-level reality alteration.</x:v>
      </x:c>
      <x:c r="K559" s="24" t="str">
        <x:v>telepathy; mind speech</x:v>
      </x:c>
      <x:c r="L559" s="24" t="str">
        <x:v>Preserve each source's ontology, culture, history, and terminology when making comparisons.</x:v>
      </x:c>
      <x:c r="M559" s="24" t="str">
        <x:v>Core Family</x:v>
      </x:c>
    </x:row>
    <x:row r="560" ht="44" customHeight="1">
      <x:c r="A560" s="24" t="str">
        <x:v>PWR-402</x:v>
      </x:c>
      <x:c r="B560" s="24" t="str">
        <x:v>Telekinesis</x:v>
      </x:c>
      <x:c r="C560" s="24" t="str">
        <x:v>Power Traditions</x:v>
      </x:c>
      <x:c r="D560" s="24" t="str">
        <x:v>PWR-400</x:v>
      </x:c>
      <x:c r="E560" s="24" t="str">
        <x:f>IF(D560="","",IFERROR(VLOOKUP(D560,$A$2:$B$1226,2,FALSE),""))</x:f>
        <x:v>Mind, Perception, Fate, and Reality Domains</x:v>
      </x:c>
      <x:c r="F560" s="24" t="n">
        <x:v>3</x:v>
      </x:c>
      <x:c r="G560" s="24" t="str">
        <x:v>Movement or force applied through mind or psychic power.</x:v>
      </x:c>
      <x:c r="H560" s="24" t="str">
        <x:v>Record source, method, cost, limits, access, and social control separately.</x:v>
      </x:c>
      <x:c r="I560" s="24" t="str">
        <x:v>telekinesis; psychokinesis</x:v>
      </x:c>
      <x:c r="J560" s="24" t="str">
        <x:v>Information, control, foresight, mobility, metaphysical puzzles, and high-level reality alteration.</x:v>
      </x:c>
      <x:c r="K560" s="24" t="str">
        <x:v>telekinesis; psychokinesis</x:v>
      </x:c>
      <x:c r="L560" s="24" t="str">
        <x:v>Preserve each source's ontology, culture, history, and terminology when making comparisons.</x:v>
      </x:c>
      <x:c r="M560" s="24" t="str">
        <x:v>Core Family</x:v>
      </x:c>
    </x:row>
    <x:row r="561" ht="44" customHeight="1">
      <x:c r="A561" s="24" t="str">
        <x:v>PWR-403</x:v>
      </x:c>
      <x:c r="B561" s="24" t="str">
        <x:v>Mind Control</x:v>
      </x:c>
      <x:c r="C561" s="24" t="str">
        <x:v>Power Traditions</x:v>
      </x:c>
      <x:c r="D561" s="24" t="str">
        <x:v>PWR-400</x:v>
      </x:c>
      <x:c r="E561" s="24" t="str">
        <x:f>IF(D561="","",IFERROR(VLOOKUP(D561,$A$2:$B$1226,2,FALSE),""))</x:f>
        <x:v>Mind, Perception, Fate, and Reality Domains</x:v>
      </x:c>
      <x:c r="F561" s="24" t="n">
        <x:v>3</x:v>
      </x:c>
      <x:c r="G561" s="24" t="str">
        <x:v>Compulsion, domination, possession, behavioral rewriting, or enforced obedience.</x:v>
      </x:c>
      <x:c r="H561" s="24" t="str">
        <x:v>Record source, method, cost, limits, access, and social control separately.</x:v>
      </x:c>
      <x:c r="I561" s="24" t="str">
        <x:v>domination; mind control; command</x:v>
      </x:c>
      <x:c r="J561" s="24" t="str">
        <x:v>Information, control, foresight, mobility, metaphysical puzzles, and high-level reality alteration.</x:v>
      </x:c>
      <x:c r="K561" s="24" t="str">
        <x:v>domination; mind control; command</x:v>
      </x:c>
      <x:c r="L561" s="24" t="str">
        <x:v>Preserve each source's ontology, culture, history, and terminology when making comparisons.</x:v>
      </x:c>
      <x:c r="M561" s="24" t="str">
        <x:v>Core Family</x:v>
      </x:c>
    </x:row>
    <x:row r="562" ht="44" customHeight="1">
      <x:c r="A562" s="24" t="str">
        <x:v>PWR-404</x:v>
      </x:c>
      <x:c r="B562" s="24" t="str">
        <x:v>Illusion and Glamour</x:v>
      </x:c>
      <x:c r="C562" s="24" t="str">
        <x:v>Power Traditions</x:v>
      </x:c>
      <x:c r="D562" s="24" t="str">
        <x:v>PWR-400</x:v>
      </x:c>
      <x:c r="E562" s="24" t="str">
        <x:f>IF(D562="","",IFERROR(VLOOKUP(D562,$A$2:$B$1226,2,FALSE),""))</x:f>
        <x:v>Mind, Perception, Fate, and Reality Domains</x:v>
      </x:c>
      <x:c r="F562" s="24" t="n">
        <x:v>3</x:v>
      </x:c>
      <x:c r="G562" s="24" t="str">
        <x:v>Creation or alteration of perception without necessarily changing underlying reality.</x:v>
      </x:c>
      <x:c r="H562" s="24" t="str">
        <x:v>Record source, method, cost, limits, access, and social control separately.</x:v>
      </x:c>
      <x:c r="I562" s="24" t="str">
        <x:v>illusion; glamour; phantasm</x:v>
      </x:c>
      <x:c r="J562" s="24" t="str">
        <x:v>Information, control, foresight, mobility, metaphysical puzzles, and high-level reality alteration.</x:v>
      </x:c>
      <x:c r="K562" s="24" t="str">
        <x:v>illusion; glamour; phantasm</x:v>
      </x:c>
      <x:c r="L562" s="24" t="str">
        <x:v>Preserve each source's ontology, culture, history, and terminology when making comparisons.</x:v>
      </x:c>
      <x:c r="M562" s="24" t="str">
        <x:v>Core Family</x:v>
      </x:c>
    </x:row>
    <x:row r="563" ht="44" customHeight="1">
      <x:c r="A563" s="24" t="str">
        <x:v>PWR-405</x:v>
      </x:c>
      <x:c r="B563" s="24" t="str">
        <x:v>Dream and Nightmare Magic</x:v>
      </x:c>
      <x:c r="C563" s="24" t="str">
        <x:v>Power Traditions</x:v>
      </x:c>
      <x:c r="D563" s="24" t="str">
        <x:v>PWR-400</x:v>
      </x:c>
      <x:c r="E563" s="24" t="str">
        <x:f>IF(D563="","",IFERROR(VLOOKUP(D563,$A$2:$B$1226,2,FALSE),""))</x:f>
        <x:v>Mind, Perception, Fate, and Reality Domains</x:v>
      </x:c>
      <x:c r="F563" s="24" t="n">
        <x:v>3</x:v>
      </x:c>
      <x:c r="G563" s="24" t="str">
        <x:v>Entry into, shaping of, or attacks through dreams and nightmares.</x:v>
      </x:c>
      <x:c r="H563" s="24" t="str">
        <x:v>Record source, method, cost, limits, access, and social control separately.</x:v>
      </x:c>
      <x:c r="I563" s="24" t="str">
        <x:v>oneiromancy; dreamwalking; nightmare magic</x:v>
      </x:c>
      <x:c r="J563" s="24" t="str">
        <x:v>Information, control, foresight, mobility, metaphysical puzzles, and high-level reality alteration.</x:v>
      </x:c>
      <x:c r="K563" s="24" t="str">
        <x:v>oneiromancy; dreamwalking; nightmare magic</x:v>
      </x:c>
      <x:c r="L563" s="24" t="str">
        <x:v>Preserve each source's ontology, culture, history, and terminology when making comparisons.</x:v>
      </x:c>
      <x:c r="M563" s="24" t="str">
        <x:v>Core Family</x:v>
      </x:c>
    </x:row>
    <x:row r="564" ht="44" customHeight="1">
      <x:c r="A564" s="24" t="str">
        <x:v>PWR-406</x:v>
      </x:c>
      <x:c r="B564" s="24" t="str">
        <x:v>Divination</x:v>
      </x:c>
      <x:c r="C564" s="24" t="str">
        <x:v>Power Traditions</x:v>
      </x:c>
      <x:c r="D564" s="24" t="str">
        <x:v>PWR-400</x:v>
      </x:c>
      <x:c r="E564" s="24" t="str">
        <x:f>IF(D564="","",IFERROR(VLOOKUP(D564,$A$2:$B$1226,2,FALSE),""))</x:f>
        <x:v>Mind, Perception, Fate, and Reality Domains</x:v>
      </x:c>
      <x:c r="F564" s="24" t="n">
        <x:v>3</x:v>
      </x:c>
      <x:c r="G564" s="24" t="str">
        <x:v>Acquisition of hidden knowledge through supernatural perception, symbols, omens, or remote viewing.</x:v>
      </x:c>
      <x:c r="H564" s="24" t="str">
        <x:v>Record source, method, cost, limits, access, and social control separately.</x:v>
      </x:c>
      <x:c r="I564" s="24" t="str">
        <x:v>divination; scrying; augury</x:v>
      </x:c>
      <x:c r="J564" s="24" t="str">
        <x:v>Information, control, foresight, mobility, metaphysical puzzles, and high-level reality alteration.</x:v>
      </x:c>
      <x:c r="K564" s="24" t="str">
        <x:v>divination; scrying; augury</x:v>
      </x:c>
      <x:c r="L564" s="24" t="str">
        <x:v>Preserve each source's ontology, culture, history, and terminology when making comparisons.</x:v>
      </x:c>
      <x:c r="M564" s="24" t="str">
        <x:v>Core Family</x:v>
      </x:c>
    </x:row>
    <x:row r="565" ht="44" customHeight="1">
      <x:c r="A565" s="24" t="str">
        <x:v>PWR-407</x:v>
      </x:c>
      <x:c r="B565" s="24" t="str">
        <x:v>Prophecy</x:v>
      </x:c>
      <x:c r="C565" s="24" t="str">
        <x:v>Power Traditions</x:v>
      </x:c>
      <x:c r="D565" s="24" t="str">
        <x:v>PWR-400</x:v>
      </x:c>
      <x:c r="E565" s="24" t="str">
        <x:f>IF(D565="","",IFERROR(VLOOKUP(D565,$A$2:$B$1226,2,FALSE),""))</x:f>
        <x:v>Mind, Perception, Fate, and Reality Domains</x:v>
      </x:c>
      <x:c r="F565" s="24" t="n">
        <x:v>3</x:v>
      </x:c>
      <x:c r="G565" s="24" t="str">
        <x:v>Knowledge or declaration of future events framed as destiny, revelation, probability, or self-fulfilling structure.</x:v>
      </x:c>
      <x:c r="H565" s="24" t="str">
        <x:v>Record source, method, cost, limits, access, and social control separately.</x:v>
      </x:c>
      <x:c r="I565" s="24" t="str">
        <x:v>prophecy; foresight; precognition</x:v>
      </x:c>
      <x:c r="J565" s="24" t="str">
        <x:v>Information, control, foresight, mobility, metaphysical puzzles, and high-level reality alteration.</x:v>
      </x:c>
      <x:c r="K565" s="24" t="str">
        <x:v>prophecy; foresight; precognition</x:v>
      </x:c>
      <x:c r="L565" s="24" t="str">
        <x:v>Preserve each source's ontology, culture, history, and terminology when making comparisons.</x:v>
      </x:c>
      <x:c r="M565" s="24" t="str">
        <x:v>Core Family</x:v>
      </x:c>
    </x:row>
    <x:row r="566" ht="44" customHeight="1">
      <x:c r="A566" s="24" t="str">
        <x:v>PWR-408</x:v>
      </x:c>
      <x:c r="B566" s="24" t="str">
        <x:v>Fate and Destiny Magic</x:v>
      </x:c>
      <x:c r="C566" s="24" t="str">
        <x:v>Power Traditions</x:v>
      </x:c>
      <x:c r="D566" s="24" t="str">
        <x:v>PWR-400</x:v>
      </x:c>
      <x:c r="E566" s="24" t="str">
        <x:f>IF(D566="","",IFERROR(VLOOKUP(D566,$A$2:$B$1226,2,FALSE),""))</x:f>
        <x:v>Mind, Perception, Fate, and Reality Domains</x:v>
      </x:c>
      <x:c r="F566" s="24" t="n">
        <x:v>3</x:v>
      </x:c>
      <x:c r="G566" s="24" t="str">
        <x:v>Manipulation of predetermined outcomes, narrative roles, life paths, or metaphysical necessity.</x:v>
      </x:c>
      <x:c r="H566" s="24" t="str">
        <x:v>Record source, method, cost, limits, access, and social control separately.</x:v>
      </x:c>
      <x:c r="I566" s="24" t="str">
        <x:v>fate magic; destiny; thread cutting</x:v>
      </x:c>
      <x:c r="J566" s="24" t="str">
        <x:v>Information, control, foresight, mobility, metaphysical puzzles, and high-level reality alteration.</x:v>
      </x:c>
      <x:c r="K566" s="24" t="str">
        <x:v>fate magic; destiny; thread cutting</x:v>
      </x:c>
      <x:c r="L566" s="24" t="str">
        <x:v>Preserve each source's ontology, culture, history, and terminology when making comparisons.</x:v>
      </x:c>
      <x:c r="M566" s="24" t="str">
        <x:v>Core Family</x:v>
      </x:c>
    </x:row>
    <x:row r="567" ht="44" customHeight="1">
      <x:c r="A567" s="24" t="str">
        <x:v>PWR-409</x:v>
      </x:c>
      <x:c r="B567" s="24" t="str">
        <x:v>Luck and Probability Magic</x:v>
      </x:c>
      <x:c r="C567" s="24" t="str">
        <x:v>Power Traditions</x:v>
      </x:c>
      <x:c r="D567" s="24" t="str">
        <x:v>PWR-400</x:v>
      </x:c>
      <x:c r="E567" s="24" t="str">
        <x:f>IF(D567="","",IFERROR(VLOOKUP(D567,$A$2:$B$1226,2,FALSE),""))</x:f>
        <x:v>Mind, Perception, Fate, and Reality Domains</x:v>
      </x:c>
      <x:c r="F567" s="24" t="n">
        <x:v>3</x:v>
      </x:c>
      <x:c r="G567" s="24" t="str">
        <x:v>Alteration of chance, coincidence, critical outcomes, risk, and statistical likelihood.</x:v>
      </x:c>
      <x:c r="H567" s="24" t="str">
        <x:v>Record source, method, cost, limits, access, and social control separately.</x:v>
      </x:c>
      <x:c r="I567" s="24" t="str">
        <x:v>luck magic; probability control</x:v>
      </x:c>
      <x:c r="J567" s="24" t="str">
        <x:v>Information, control, foresight, mobility, metaphysical puzzles, and high-level reality alteration.</x:v>
      </x:c>
      <x:c r="K567" s="24" t="str">
        <x:v>luck magic; probability control</x:v>
      </x:c>
      <x:c r="L567" s="24" t="str">
        <x:v>Preserve each source's ontology, culture, history, and terminology when making comparisons.</x:v>
      </x:c>
      <x:c r="M567" s="24" t="str">
        <x:v>Core Family</x:v>
      </x:c>
    </x:row>
    <x:row r="568" ht="44" customHeight="1">
      <x:c r="A568" s="24" t="str">
        <x:v>PWR-410</x:v>
      </x:c>
      <x:c r="B568" s="24" t="str">
        <x:v>Time Magic</x:v>
      </x:c>
      <x:c r="C568" s="24" t="str">
        <x:v>Power Traditions</x:v>
      </x:c>
      <x:c r="D568" s="24" t="str">
        <x:v>PWR-400</x:v>
      </x:c>
      <x:c r="E568" s="24" t="str">
        <x:f>IF(D568="","",IFERROR(VLOOKUP(D568,$A$2:$B$1226,2,FALSE),""))</x:f>
        <x:v>Mind, Perception, Fate, and Reality Domains</x:v>
      </x:c>
      <x:c r="F568" s="24" t="n">
        <x:v>3</x:v>
      </x:c>
      <x:c r="G568" s="24" t="str">
        <x:v>Manipulation of speed, sequence, duration, aging, loops, temporal travel, or causality.</x:v>
      </x:c>
      <x:c r="H568" s="24" t="str">
        <x:v>Record source, method, cost, limits, access, and social control separately.</x:v>
      </x:c>
      <x:c r="I568" s="24" t="str">
        <x:v>chronomancy; haste; slow; time travel</x:v>
      </x:c>
      <x:c r="J568" s="24" t="str">
        <x:v>Information, control, foresight, mobility, metaphysical puzzles, and high-level reality alteration.</x:v>
      </x:c>
      <x:c r="K568" s="24" t="str">
        <x:v>chronomancy; haste; slow; time travel</x:v>
      </x:c>
      <x:c r="L568" s="24" t="str">
        <x:v>Preserve each source's ontology, culture, history, and terminology when making comparisons.</x:v>
      </x:c>
      <x:c r="M568" s="24" t="str">
        <x:v>Core Family</x:v>
      </x:c>
    </x:row>
    <x:row r="569" ht="44" customHeight="1">
      <x:c r="A569" s="24" t="str">
        <x:v>PWR-411</x:v>
      </x:c>
      <x:c r="B569" s="24" t="str">
        <x:v>Space and Portal Magic</x:v>
      </x:c>
      <x:c r="C569" s="24" t="str">
        <x:v>Power Traditions</x:v>
      </x:c>
      <x:c r="D569" s="24" t="str">
        <x:v>PWR-400</x:v>
      </x:c>
      <x:c r="E569" s="24" t="str">
        <x:f>IF(D569="","",IFERROR(VLOOKUP(D569,$A$2:$B$1226,2,FALSE),""))</x:f>
        <x:v>Mind, Perception, Fate, and Reality Domains</x:v>
      </x:c>
      <x:c r="F569" s="24" t="n">
        <x:v>3</x:v>
      </x:c>
      <x:c r="G569" s="24" t="str">
        <x:v>Manipulation of position, distance, gates, dimensions, teleportation, and containment.</x:v>
      </x:c>
      <x:c r="H569" s="24" t="str">
        <x:v>Record source, method, cost, limits, access, and social control separately.</x:v>
      </x:c>
      <x:c r="I569" s="24" t="str">
        <x:v>spatial magic; portal magic; teleportation</x:v>
      </x:c>
      <x:c r="J569" s="24" t="str">
        <x:v>Information, control, foresight, mobility, metaphysical puzzles, and high-level reality alteration.</x:v>
      </x:c>
      <x:c r="K569" s="24" t="str">
        <x:v>spatial magic; portal magic; teleportation</x:v>
      </x:c>
      <x:c r="L569" s="24" t="str">
        <x:v>Preserve each source's ontology, culture, history, and terminology when making comparisons.</x:v>
      </x:c>
      <x:c r="M569" s="24" t="str">
        <x:v>Core Family</x:v>
      </x:c>
    </x:row>
    <x:row r="570" ht="44" customHeight="1">
      <x:c r="A570" s="24" t="str">
        <x:v>PWR-412</x:v>
      </x:c>
      <x:c r="B570" s="24" t="str">
        <x:v>Reality Warping</x:v>
      </x:c>
      <x:c r="C570" s="24" t="str">
        <x:v>Power Traditions</x:v>
      </x:c>
      <x:c r="D570" s="24" t="str">
        <x:v>PWR-400</x:v>
      </x:c>
      <x:c r="E570" s="24" t="str">
        <x:f>IF(D570="","",IFERROR(VLOOKUP(D570,$A$2:$B$1226,2,FALSE),""))</x:f>
        <x:v>Mind, Perception, Fate, and Reality Domains</x:v>
      </x:c>
      <x:c r="F570" s="24" t="n">
        <x:v>3</x:v>
      </x:c>
      <x:c r="G570" s="24" t="str">
        <x:v>Direct alteration of physical, magical, or causal rules beyond a narrower domain.</x:v>
      </x:c>
      <x:c r="H570" s="24" t="str">
        <x:v>Record source, method, cost, limits, access, and social control separately.</x:v>
      </x:c>
      <x:c r="I570" s="24" t="str">
        <x:v>reality warping; wish magic; world editing</x:v>
      </x:c>
      <x:c r="J570" s="24" t="str">
        <x:v>Information, control, foresight, mobility, metaphysical puzzles, and high-level reality alteration.</x:v>
      </x:c>
      <x:c r="K570" s="24" t="str">
        <x:v>reality warping; wish magic; world editing</x:v>
      </x:c>
      <x:c r="L570" s="24" t="str">
        <x:v>Preserve each source's ontology, culture, history, and terminology when making comparisons.</x:v>
      </x:c>
      <x:c r="M570" s="24" t="str">
        <x:v>Core Family</x:v>
      </x:c>
    </x:row>
    <x:row r="571" ht="44" customHeight="1">
      <x:c r="A571" s="24" t="str">
        <x:v>PWR-413</x:v>
      </x:c>
      <x:c r="B571" s="24" t="str">
        <x:v>Creation Magic</x:v>
      </x:c>
      <x:c r="C571" s="24" t="str">
        <x:v>Power Traditions</x:v>
      </x:c>
      <x:c r="D571" s="24" t="str">
        <x:v>PWR-400</x:v>
      </x:c>
      <x:c r="E571" s="24" t="str">
        <x:f>IF(D571="","",IFERROR(VLOOKUP(D571,$A$2:$B$1226,2,FALSE),""))</x:f>
        <x:v>Mind, Perception, Fate, and Reality Domains</x:v>
      </x:c>
      <x:c r="F571" s="24" t="n">
        <x:v>3</x:v>
      </x:c>
      <x:c r="G571" s="24" t="str">
        <x:v>Bringing matter, beings, landscapes, or laws into existence rather than merely transforming existing things.</x:v>
      </x:c>
      <x:c r="H571" s="24" t="str">
        <x:v>Record source, method, cost, limits, access, and social control separately.</x:v>
      </x:c>
      <x:c r="I571" s="24" t="str">
        <x:v>creation; genesis; conjured reality</x:v>
      </x:c>
      <x:c r="J571" s="24" t="str">
        <x:v>Information, control, foresight, mobility, metaphysical puzzles, and high-level reality alteration.</x:v>
      </x:c>
      <x:c r="K571" s="24" t="str">
        <x:v>creation; genesis; conjured reality</x:v>
      </x:c>
      <x:c r="L571" s="24" t="str">
        <x:v>Preserve each source's ontology, culture, history, and terminology when making comparisons.</x:v>
      </x:c>
      <x:c r="M571" s="24" t="str">
        <x:v>Core Family</x:v>
      </x:c>
    </x:row>
    <x:row r="572" ht="44" customHeight="1">
      <x:c r="A572" s="24" t="str">
        <x:v>PWR-414</x:v>
      </x:c>
      <x:c r="B572" s="24" t="str">
        <x:v>Destruction and Disintegration</x:v>
      </x:c>
      <x:c r="C572" s="24" t="str">
        <x:v>Power Traditions</x:v>
      </x:c>
      <x:c r="D572" s="24" t="str">
        <x:v>PWR-400</x:v>
      </x:c>
      <x:c r="E572" s="24" t="str">
        <x:f>IF(D572="","",IFERROR(VLOOKUP(D572,$A$2:$B$1226,2,FALSE),""))</x:f>
        <x:v>Mind, Perception, Fate, and Reality Domains</x:v>
      </x:c>
      <x:c r="F572" s="24" t="n">
        <x:v>3</x:v>
      </x:c>
      <x:c r="G572" s="24" t="str">
        <x:v>Erasure or breakdown of matter, energy, souls, or magical structures.</x:v>
      </x:c>
      <x:c r="H572" s="24" t="str">
        <x:v>Record source, method, cost, limits, access, and social control separately.</x:v>
      </x:c>
      <x:c r="I572" s="24" t="str">
        <x:v>disintegration; annihilation; unmaking</x:v>
      </x:c>
      <x:c r="J572" s="24" t="str">
        <x:v>Information, control, foresight, mobility, metaphysical puzzles, and high-level reality alteration.</x:v>
      </x:c>
      <x:c r="K572" s="24" t="str">
        <x:v>disintegration; annihilation; unmaking</x:v>
      </x:c>
      <x:c r="L572" s="24" t="str">
        <x:v>Preserve each source's ontology, culture, history, and terminology when making comparisons.</x:v>
      </x:c>
      <x:c r="M572" s="24" t="str">
        <x:v>Core Family</x:v>
      </x:c>
    </x:row>
    <x:row r="573" ht="44" customHeight="1">
      <x:c r="A573" s="24" t="str">
        <x:v>PWR-415</x:v>
      </x:c>
      <x:c r="B573" s="24" t="str">
        <x:v>Dream-Reality Manifestation</x:v>
      </x:c>
      <x:c r="C573" s="24" t="str">
        <x:v>Power Traditions</x:v>
      </x:c>
      <x:c r="D573" s="24" t="str">
        <x:v>PWR-400</x:v>
      </x:c>
      <x:c r="E573" s="24" t="str">
        <x:f>IF(D573="","",IFERROR(VLOOKUP(D573,$A$2:$B$1226,2,FALSE),""))</x:f>
        <x:v>Mind, Perception, Fate, and Reality Domains</x:v>
      </x:c>
      <x:c r="F573" s="24" t="n">
        <x:v>3</x:v>
      </x:c>
      <x:c r="G573" s="24" t="str">
        <x:v>Making thoughts, stories, fears, dreams, or imagination materially real.</x:v>
      </x:c>
      <x:c r="H573" s="24" t="str">
        <x:v>Record source, method, cost, limits, access, and social control separately.</x:v>
      </x:c>
      <x:c r="I573" s="24" t="str">
        <x:v>imagination magic; dream made real</x:v>
      </x:c>
      <x:c r="J573" s="24" t="str">
        <x:v>Information, control, foresight, mobility, metaphysical puzzles, and high-level reality alteration.</x:v>
      </x:c>
      <x:c r="K573" s="24" t="str">
        <x:v>imagination magic; dream made real</x:v>
      </x:c>
      <x:c r="L573" s="24" t="str">
        <x:v>Preserve each source's ontology, culture, history, and terminology when making comparisons.</x:v>
      </x:c>
      <x:c r="M573" s="24" t="str">
        <x:v>Core Family</x:v>
      </x:c>
    </x:row>
    <x:row r="574" ht="44" customHeight="1">
      <x:c r="A574" s="24" t="str">
        <x:v>PWR-416</x:v>
      </x:c>
      <x:c r="B574" s="24" t="str">
        <x:v>Conceptual Magic</x:v>
      </x:c>
      <x:c r="C574" s="24" t="str">
        <x:v>Power Traditions</x:v>
      </x:c>
      <x:c r="D574" s="24" t="str">
        <x:v>PWR-400</x:v>
      </x:c>
      <x:c r="E574" s="24" t="str">
        <x:f>IF(D574="","",IFERROR(VLOOKUP(D574,$A$2:$B$1226,2,FALSE),""))</x:f>
        <x:v>Mind, Perception, Fate, and Reality Domains</x:v>
      </x:c>
      <x:c r="F574" s="24" t="n">
        <x:v>3</x:v>
      </x:c>
      <x:c r="G574" s="24" t="str">
        <x:v>Manipulation of abstract properties such as ownership, distance, identity, silence, victory, or names.</x:v>
      </x:c>
      <x:c r="H574" s="24" t="str">
        <x:v>Record source, method, cost, limits, access, and social control separately.</x:v>
      </x:c>
      <x:c r="I574" s="24" t="str">
        <x:v>concept magic; abstract authority</x:v>
      </x:c>
      <x:c r="J574" s="24" t="str">
        <x:v>Information, control, foresight, mobility, metaphysical puzzles, and high-level reality alteration.</x:v>
      </x:c>
      <x:c r="K574" s="24" t="str">
        <x:v>concept magic; abstract authority</x:v>
      </x:c>
      <x:c r="L574" s="24" t="str">
        <x:v>Preserve each source's ontology, culture, history, and terminology when making comparisons.</x:v>
      </x:c>
      <x:c r="M574" s="24" t="str">
        <x:v>Core Family</x:v>
      </x:c>
    </x:row>
    <x:row r="575" ht="44" customHeight="1">
      <x:c r="A575" s="24" t="str">
        <x:v>PWR-417</x:v>
      </x:c>
      <x:c r="B575" s="24" t="str">
        <x:v>Narrative and Story Magic</x:v>
      </x:c>
      <x:c r="C575" s="24" t="str">
        <x:v>Power Traditions</x:v>
      </x:c>
      <x:c r="D575" s="24" t="str">
        <x:v>PWR-400</x:v>
      </x:c>
      <x:c r="E575" s="24" t="str">
        <x:f>IF(D575="","",IFERROR(VLOOKUP(D575,$A$2:$B$1226,2,FALSE),""))</x:f>
        <x:v>Mind, Perception, Fate, and Reality Domains</x:v>
      </x:c>
      <x:c r="F575" s="24" t="n">
        <x:v>3</x:v>
      </x:c>
      <x:c r="G575" s="24" t="str">
        <x:v>Power that operates through stories, tropes, roles, genre expectations, or textual reality.</x:v>
      </x:c>
      <x:c r="H575" s="24" t="str">
        <x:v>Record source, method, cost, limits, access, and social control separately.</x:v>
      </x:c>
      <x:c r="I575" s="24" t="str">
        <x:v>story magic; narrative causality</x:v>
      </x:c>
      <x:c r="J575" s="24" t="str">
        <x:v>Information, control, foresight, mobility, metaphysical puzzles, and high-level reality alteration.</x:v>
      </x:c>
      <x:c r="K575" s="24" t="str">
        <x:v>story magic; narrative causality</x:v>
      </x:c>
      <x:c r="L575" s="24" t="str">
        <x:v>Preserve each source's ontology, culture, history, and terminology when making comparisons.</x:v>
      </x:c>
      <x:c r="M575" s="24" t="str">
        <x:v>Core Family</x:v>
      </x:c>
    </x:row>
    <x:row r="576" ht="44" customHeight="1">
      <x:c r="A576" s="24" t="str">
        <x:v>PWR-418</x:v>
      </x:c>
      <x:c r="B576" s="24" t="str">
        <x:v>Dimensional and Planar Magic</x:v>
      </x:c>
      <x:c r="C576" s="24" t="str">
        <x:v>Power Traditions</x:v>
      </x:c>
      <x:c r="D576" s="24" t="str">
        <x:v>PWR-400</x:v>
      </x:c>
      <x:c r="E576" s="24" t="str">
        <x:f>IF(D576="","",IFERROR(VLOOKUP(D576,$A$2:$B$1226,2,FALSE),""))</x:f>
        <x:v>Mind, Perception, Fate, and Reality Domains</x:v>
      </x:c>
      <x:c r="F576" s="24" t="n">
        <x:v>3</x:v>
      </x:c>
      <x:c r="G576" s="24" t="str">
        <x:v>Travel, binding, alteration, or exploitation of distinct planes and cosmological layers.</x:v>
      </x:c>
      <x:c r="H576" s="24" t="str">
        <x:v>Record source, method, cost, limits, access, and social control separately.</x:v>
      </x:c>
      <x:c r="I576" s="24" t="str">
        <x:v>planar magic; dimension craft</x:v>
      </x:c>
      <x:c r="J576" s="24" t="str">
        <x:v>Information, control, foresight, mobility, metaphysical puzzles, and high-level reality alteration.</x:v>
      </x:c>
      <x:c r="K576" s="24" t="str">
        <x:v>planar magic; dimension craft</x:v>
      </x:c>
      <x:c r="L576" s="24" t="str">
        <x:v>Preserve each source's ontology, culture, history, and terminology when making comparisons.</x:v>
      </x:c>
      <x:c r="M576" s="24" t="str">
        <x:v>Core Family</x:v>
      </x:c>
    </x:row>
    <x:row r="577" ht="44" customHeight="1">
      <x:c r="A577" s="24" t="str">
        <x:v>PWR-419</x:v>
      </x:c>
      <x:c r="B577" s="24" t="str">
        <x:v>Void and Null Magic</x:v>
      </x:c>
      <x:c r="C577" s="24" t="str">
        <x:v>Power Traditions</x:v>
      </x:c>
      <x:c r="D577" s="24" t="str">
        <x:v>PWR-400</x:v>
      </x:c>
      <x:c r="E577" s="24" t="str">
        <x:f>IF(D577="","",IFERROR(VLOOKUP(D577,$A$2:$B$1226,2,FALSE),""))</x:f>
        <x:v>Mind, Perception, Fate, and Reality Domains</x:v>
      </x:c>
      <x:c r="F577" s="24" t="n">
        <x:v>3</x:v>
      </x:c>
      <x:c r="G577" s="24" t="str">
        <x:v>Use of emptiness, anti-magic, anti-reality, silence, or negation as active power.</x:v>
      </x:c>
      <x:c r="H577" s="24" t="str">
        <x:v>Record source, method, cost, limits, access, and social control separately.</x:v>
      </x:c>
      <x:c r="I577" s="24" t="str">
        <x:v>void magic; null power; negation</x:v>
      </x:c>
      <x:c r="J577" s="24" t="str">
        <x:v>Information, control, foresight, mobility, metaphysical puzzles, and high-level reality alteration.</x:v>
      </x:c>
      <x:c r="K577" s="24" t="str">
        <x:v>void magic; null power; negation</x:v>
      </x:c>
      <x:c r="L577" s="24" t="str">
        <x:v>Preserve each source's ontology, culture, history, and terminology when making comparisons.</x:v>
      </x:c>
      <x:c r="M577" s="24" t="str">
        <x:v>Core Family</x:v>
      </x:c>
    </x:row>
    <x:row r="578" ht="44" customHeight="1">
      <x:c r="A578" s="24" t="str">
        <x:v>PWR-420</x:v>
      </x:c>
      <x:c r="B578" s="24" t="str">
        <x:v>Cosmic and Stellar Magic</x:v>
      </x:c>
      <x:c r="C578" s="24" t="str">
        <x:v>Power Traditions</x:v>
      </x:c>
      <x:c r="D578" s="24" t="str">
        <x:v>PWR-400</x:v>
      </x:c>
      <x:c r="E578" s="24" t="str">
        <x:f>IF(D578="","",IFERROR(VLOOKUP(D578,$A$2:$B$1226,2,FALSE),""))</x:f>
        <x:v>Mind, Perception, Fate, and Reality Domains</x:v>
      </x:c>
      <x:c r="F578" s="24" t="n">
        <x:v>3</x:v>
      </x:c>
      <x:c r="G578" s="24" t="str">
        <x:v>Power drawn from stars, constellations, cosmic radiation, deep space, or celestial order.</x:v>
      </x:c>
      <x:c r="H578" s="24" t="str">
        <x:v>Record source, method, cost, limits, access, and social control separately.</x:v>
      </x:c>
      <x:c r="I578" s="24" t="str">
        <x:v>astral magic; star magic; cosmic power</x:v>
      </x:c>
      <x:c r="J578" s="24" t="str">
        <x:v>Information, control, foresight, mobility, metaphysical puzzles, and high-level reality alteration.</x:v>
      </x:c>
      <x:c r="K578" s="24" t="str">
        <x:v>astral magic; star magic; cosmic power</x:v>
      </x:c>
      <x:c r="L578" s="24" t="str">
        <x:v>Preserve each source's ontology, culture, history, and terminology when making comparisons.</x:v>
      </x:c>
      <x:c r="M578" s="24" t="str">
        <x:v>Core Family</x:v>
      </x:c>
    </x:row>
    <x:row r="579" ht="44" customHeight="1">
      <x:c r="A579" s="24" t="str">
        <x:v>PWR-421</x:v>
      </x:c>
      <x:c r="B579" s="24" t="str">
        <x:v>Information and Code Magic</x:v>
      </x:c>
      <x:c r="C579" s="24" t="str">
        <x:v>Power Traditions</x:v>
      </x:c>
      <x:c r="D579" s="24" t="str">
        <x:v>PWR-400</x:v>
      </x:c>
      <x:c r="E579" s="24" t="str">
        <x:f>IF(D579="","",IFERROR(VLOOKUP(D579,$A$2:$B$1226,2,FALSE),""))</x:f>
        <x:v>Mind, Perception, Fate, and Reality Domains</x:v>
      </x:c>
      <x:c r="F579" s="24" t="n">
        <x:v>3</x:v>
      </x:c>
      <x:c r="G579" s="24" t="str">
        <x:v>Power that treats reality, spells, names, memories, or systems as editable information.</x:v>
      </x:c>
      <x:c r="H579" s="24" t="str">
        <x:v>Record source, method, cost, limits, access, and social control separately.</x:v>
      </x:c>
      <x:c r="I579" s="24" t="str">
        <x:v>code magic; information magic; hacking reality</x:v>
      </x:c>
      <x:c r="J579" s="24" t="str">
        <x:v>Information, control, foresight, mobility, metaphysical puzzles, and high-level reality alteration.</x:v>
      </x:c>
      <x:c r="K579" s="24" t="str">
        <x:v>code magic; information magic; hacking reality</x:v>
      </x:c>
      <x:c r="L579" s="24" t="str">
        <x:v>Preserve each source's ontology, culture, history, and terminology when making comparisons.</x:v>
      </x:c>
      <x:c r="M579" s="24" t="str">
        <x:v>Core Family</x:v>
      </x:c>
    </x:row>
    <x:row r="580" ht="44" customHeight="1">
      <x:c r="A580" s="24" t="str">
        <x:v>PWR-422</x:v>
      </x:c>
      <x:c r="B580" s="24" t="str">
        <x:v>Mirror and Reflection Magic</x:v>
      </x:c>
      <x:c r="C580" s="24" t="str">
        <x:v>Power Traditions</x:v>
      </x:c>
      <x:c r="D580" s="24" t="str">
        <x:v>PWR-400</x:v>
      </x:c>
      <x:c r="E580" s="24" t="str">
        <x:f>IF(D580="","",IFERROR(VLOOKUP(D580,$A$2:$B$1226,2,FALSE),""))</x:f>
        <x:v>Mind, Perception, Fate, and Reality Domains</x:v>
      </x:c>
      <x:c r="F580" s="24" t="n">
        <x:v>3</x:v>
      </x:c>
      <x:c r="G580" s="24" t="str">
        <x:v>Power involving mirrors, doubles, reflected attacks, alternate selves, and reversed spaces.</x:v>
      </x:c>
      <x:c r="H580" s="24" t="str">
        <x:v>Record source, method, cost, limits, access, and social control separately.</x:v>
      </x:c>
      <x:c r="I580" s="24" t="str">
        <x:v>mirror magic; reflection; inversion</x:v>
      </x:c>
      <x:c r="J580" s="24" t="str">
        <x:v>Information, control, foresight, mobility, metaphysical puzzles, and high-level reality alteration.</x:v>
      </x:c>
      <x:c r="K580" s="24" t="str">
        <x:v>mirror magic; reflection; inversion</x:v>
      </x:c>
      <x:c r="L580" s="24" t="str">
        <x:v>Preserve each source's ontology, culture, history, and terminology when making comparisons.</x:v>
      </x:c>
      <x:c r="M580" s="24" t="str">
        <x:v>Core Family</x:v>
      </x:c>
    </x:row>
    <x:row r="581" ht="44" customHeight="1">
      <x:c r="A581" s="24" t="str">
        <x:v>PWR-423</x:v>
      </x:c>
      <x:c r="B581" s="24" t="str">
        <x:v>Emotion-Sense and Empathy</x:v>
      </x:c>
      <x:c r="C581" s="24" t="str">
        <x:v>Power Traditions</x:v>
      </x:c>
      <x:c r="D581" s="24" t="str">
        <x:v>PWR-400</x:v>
      </x:c>
      <x:c r="E581" s="24" t="str">
        <x:f>IF(D581="","",IFERROR(VLOOKUP(D581,$A$2:$B$1226,2,FALSE),""))</x:f>
        <x:v>Mind, Perception, Fate, and Reality Domains</x:v>
      </x:c>
      <x:c r="F581" s="24" t="n">
        <x:v>3</x:v>
      </x:c>
      <x:c r="G581" s="24" t="str">
        <x:v>Perception of emotions, intentions, bonds, and social states rather than direct control.</x:v>
      </x:c>
      <x:c r="H581" s="24" t="str">
        <x:v>Record source, method, cost, limits, access, and social control separately.</x:v>
      </x:c>
      <x:c r="I581" s="24" t="str">
        <x:v>empathy; aura reading</x:v>
      </x:c>
      <x:c r="J581" s="24" t="str">
        <x:v>Information, control, foresight, mobility, metaphysical puzzles, and high-level reality alteration.</x:v>
      </x:c>
      <x:c r="K581" s="24" t="str">
        <x:v>empathy; aura reading</x:v>
      </x:c>
      <x:c r="L581" s="24" t="str">
        <x:v>Preserve each source's ontology, culture, history, and terminology when making comparisons.</x:v>
      </x:c>
      <x:c r="M581" s="24" t="str">
        <x:v>Core Family</x:v>
      </x:c>
    </x:row>
    <x:row r="582" ht="44" customHeight="1">
      <x:c r="A582" s="24" t="str">
        <x:v>PWR-424</x:v>
      </x:c>
      <x:c r="B582" s="24" t="str">
        <x:v>Truth and Lie Magic</x:v>
      </x:c>
      <x:c r="C582" s="24" t="str">
        <x:v>Power Traditions</x:v>
      </x:c>
      <x:c r="D582" s="24" t="str">
        <x:v>PWR-400</x:v>
      </x:c>
      <x:c r="E582" s="24" t="str">
        <x:f>IF(D582="","",IFERROR(VLOOKUP(D582,$A$2:$B$1226,2,FALSE),""))</x:f>
        <x:v>Mind, Perception, Fate, and Reality Domains</x:v>
      </x:c>
      <x:c r="F582" s="24" t="n">
        <x:v>3</x:v>
      </x:c>
      <x:c r="G582" s="24" t="str">
        <x:v>Detection, enforcement, concealment, or ontological manipulation of truth and falsehood.</x:v>
      </x:c>
      <x:c r="H582" s="24" t="str">
        <x:v>Record source, method, cost, limits, access, and social control separately.</x:v>
      </x:c>
      <x:c r="I582" s="24" t="str">
        <x:v>truth magic; oath detection; liecraft</x:v>
      </x:c>
      <x:c r="J582" s="24" t="str">
        <x:v>Information, control, foresight, mobility, metaphysical puzzles, and high-level reality alteration.</x:v>
      </x:c>
      <x:c r="K582" s="24" t="str">
        <x:v>truth magic; oath detection; liecraft</x:v>
      </x:c>
      <x:c r="L582" s="24" t="str">
        <x:v>Preserve each source's ontology, culture, history, and terminology when making comparisons.</x:v>
      </x:c>
      <x:c r="M582" s="24" t="str">
        <x:v>Core Family</x:v>
      </x:c>
    </x:row>
    <x:row r="583" ht="44" customHeight="1">
      <x:c r="A583" s="24" t="str">
        <x:v>PWR-501</x:v>
      </x:c>
      <x:c r="B583" s="24" t="str">
        <x:v>Rune Magic</x:v>
      </x:c>
      <x:c r="C583" s="24" t="str">
        <x:v>Power Traditions</x:v>
      </x:c>
      <x:c r="D583" s="24" t="str">
        <x:v>PWR-500</x:v>
      </x:c>
      <x:c r="E583" s="24" t="str">
        <x:f>IF(D583="","",IFERROR(VLOOKUP(D583,$A$2:$B$1226,2,FALSE),""))</x:f>
        <x:v>Symbolic, Performative, and Technical Methods</x:v>
      </x:c>
      <x:c r="F583" s="24" t="n">
        <x:v>3</x:v>
      </x:c>
      <x:c r="G583" s="24" t="str">
        <x:v>Power stored or activated through carved or written runes with culturally specific symbolic systems.</x:v>
      </x:c>
      <x:c r="H583" s="24" t="str">
        <x:v>Record source, method, cost, limits, access, and social control separately.</x:v>
      </x:c>
      <x:c r="I583" s="24" t="str">
        <x:v>runes; runecraft; runic magic</x:v>
      </x:c>
      <x:c r="J583" s="24" t="str">
        <x:v>Encoding, storing, channeling, and institutionalizing power through repeatable media and practices.</x:v>
      </x:c>
      <x:c r="K583" s="24" t="str">
        <x:v>runes; runecraft; runic magic</x:v>
      </x:c>
      <x:c r="L583" s="24" t="str">
        <x:v>Preserve each source's ontology, culture, history, and terminology when making comparisons.</x:v>
      </x:c>
      <x:c r="M583" s="24" t="str">
        <x:v>Core Family</x:v>
      </x:c>
    </x:row>
    <x:row r="584" ht="44" customHeight="1">
      <x:c r="A584" s="24" t="str">
        <x:v>PWR-502</x:v>
      </x:c>
      <x:c r="B584" s="24" t="str">
        <x:v>Sigils, Seals, and Wards</x:v>
      </x:c>
      <x:c r="C584" s="24" t="str">
        <x:v>Power Traditions</x:v>
      </x:c>
      <x:c r="D584" s="24" t="str">
        <x:v>PWR-500</x:v>
      </x:c>
      <x:c r="E584" s="24" t="str">
        <x:f>IF(D584="","",IFERROR(VLOOKUP(D584,$A$2:$B$1226,2,FALSE),""))</x:f>
        <x:v>Symbolic, Performative, and Technical Methods</x:v>
      </x:c>
      <x:c r="F584" s="24" t="n">
        <x:v>3</x:v>
      </x:c>
      <x:c r="G584" s="24" t="str">
        <x:v>Power structured through diagrams, boundaries, written marks, talismans, and protective or binding symbols.</x:v>
      </x:c>
      <x:c r="H584" s="24" t="str">
        <x:v>Record source, method, cost, limits, access, and social control separately.</x:v>
      </x:c>
      <x:c r="I584" s="24" t="str">
        <x:v>sigil magic; seals; wards</x:v>
      </x:c>
      <x:c r="J584" s="24" t="str">
        <x:v>Encoding, storing, channeling, and institutionalizing power through repeatable media and practices.</x:v>
      </x:c>
      <x:c r="K584" s="24" t="str">
        <x:v>sigil magic; seals; wards</x:v>
      </x:c>
      <x:c r="L584" s="24" t="str">
        <x:v>Preserve each source's ontology, culture, history, and terminology when making comparisons.</x:v>
      </x:c>
      <x:c r="M584" s="24" t="str">
        <x:v>Core Family</x:v>
      </x:c>
    </x:row>
    <x:row r="585" ht="44" customHeight="1">
      <x:c r="A585" s="24" t="str">
        <x:v>PWR-503</x:v>
      </x:c>
      <x:c r="B585" s="24" t="str">
        <x:v>True Names and Naming</x:v>
      </x:c>
      <x:c r="C585" s="24" t="str">
        <x:v>Power Traditions</x:v>
      </x:c>
      <x:c r="D585" s="24" t="str">
        <x:v>PWR-500</x:v>
      </x:c>
      <x:c r="E585" s="24" t="str">
        <x:f>IF(D585="","",IFERROR(VLOOKUP(D585,$A$2:$B$1226,2,FALSE),""))</x:f>
        <x:v>Symbolic, Performative, and Technical Methods</x:v>
      </x:c>
      <x:c r="F585" s="24" t="n">
        <x:v>3</x:v>
      </x:c>
      <x:c r="G585" s="24" t="str">
        <x:v>Power gained by knowing, speaking, granting, erasing, or changing a being's true name.</x:v>
      </x:c>
      <x:c r="H585" s="24" t="str">
        <x:v>Record source, method, cost, limits, access, and social control separately.</x:v>
      </x:c>
      <x:c r="I585" s="24" t="str">
        <x:v>true-name magic; naming; name binding</x:v>
      </x:c>
      <x:c r="J585" s="24" t="str">
        <x:v>Encoding, storing, channeling, and institutionalizing power through repeatable media and practices.</x:v>
      </x:c>
      <x:c r="K585" s="24" t="str">
        <x:v>true-name magic; naming; name binding</x:v>
      </x:c>
      <x:c r="L585" s="24" t="str">
        <x:v>Preserve each source's ontology, culture, history, and terminology when making comparisons.</x:v>
      </x:c>
      <x:c r="M585" s="24" t="str">
        <x:v>Core Family</x:v>
      </x:c>
    </x:row>
    <x:row r="586" ht="44" customHeight="1">
      <x:c r="A586" s="24" t="str">
        <x:v>PWR-504</x:v>
      </x:c>
      <x:c r="B586" s="24" t="str">
        <x:v>Word and Language Magic</x:v>
      </x:c>
      <x:c r="C586" s="24" t="str">
        <x:v>Power Traditions</x:v>
      </x:c>
      <x:c r="D586" s="24" t="str">
        <x:v>PWR-500</x:v>
      </x:c>
      <x:c r="E586" s="24" t="str">
        <x:f>IF(D586="","",IFERROR(VLOOKUP(D586,$A$2:$B$1226,2,FALSE),""))</x:f>
        <x:v>Symbolic, Performative, and Technical Methods</x:v>
      </x:c>
      <x:c r="F586" s="24" t="n">
        <x:v>3</x:v>
      </x:c>
      <x:c r="G586" s="24" t="str">
        <x:v>Power exercised through grammar, commands, poetry, sacred speech, or magical languages.</x:v>
      </x:c>
      <x:c r="H586" s="24" t="str">
        <x:v>Record source, method, cost, limits, access, and social control separately.</x:v>
      </x:c>
      <x:c r="I586" s="24" t="str">
        <x:v>word magic; logomancy; power words</x:v>
      </x:c>
      <x:c r="J586" s="24" t="str">
        <x:v>Encoding, storing, channeling, and institutionalizing power through repeatable media and practices.</x:v>
      </x:c>
      <x:c r="K586" s="24" t="str">
        <x:v>word magic; logomancy; power words</x:v>
      </x:c>
      <x:c r="L586" s="24" t="str">
        <x:v>Preserve each source's ontology, culture, history, and terminology when making comparisons.</x:v>
      </x:c>
      <x:c r="M586" s="24" t="str">
        <x:v>Core Family</x:v>
      </x:c>
    </x:row>
    <x:row r="587" ht="44" customHeight="1">
      <x:c r="A587" s="24" t="str">
        <x:v>PWR-505</x:v>
      </x:c>
      <x:c r="B587" s="24" t="str">
        <x:v>Writing and Book Magic</x:v>
      </x:c>
      <x:c r="C587" s="24" t="str">
        <x:v>Power Traditions</x:v>
      </x:c>
      <x:c r="D587" s="24" t="str">
        <x:v>PWR-500</x:v>
      </x:c>
      <x:c r="E587" s="24" t="str">
        <x:f>IF(D587="","",IFERROR(VLOOKUP(D587,$A$2:$B$1226,2,FALSE),""))</x:f>
        <x:v>Symbolic, Performative, and Technical Methods</x:v>
      </x:c>
      <x:c r="F587" s="24" t="n">
        <x:v>3</x:v>
      </x:c>
      <x:c r="G587" s="24" t="str">
        <x:v>Spells or beings stored, summoned, modified, or enacted through texts, grimoires, scrolls, and written narratives.</x:v>
      </x:c>
      <x:c r="H587" s="24" t="str">
        <x:v>Record source, method, cost, limits, access, and social control separately.</x:v>
      </x:c>
      <x:c r="I587" s="24" t="str">
        <x:v>grimoire magic; scrollcraft; living book</x:v>
      </x:c>
      <x:c r="J587" s="24" t="str">
        <x:v>Encoding, storing, channeling, and institutionalizing power through repeatable media and practices.</x:v>
      </x:c>
      <x:c r="K587" s="24" t="str">
        <x:v>grimoire magic; scrollcraft; living book</x:v>
      </x:c>
      <x:c r="L587" s="24" t="str">
        <x:v>Preserve each source's ontology, culture, history, and terminology when making comparisons.</x:v>
      </x:c>
      <x:c r="M587" s="24" t="str">
        <x:v>Core Family</x:v>
      </x:c>
    </x:row>
    <x:row r="588" ht="44" customHeight="1">
      <x:c r="A588" s="24" t="str">
        <x:v>PWR-506</x:v>
      </x:c>
      <x:c r="B588" s="24" t="str">
        <x:v>Talisman and Charm Magic</x:v>
      </x:c>
      <x:c r="C588" s="24" t="str">
        <x:v>Power Traditions</x:v>
      </x:c>
      <x:c r="D588" s="24" t="str">
        <x:v>PWR-500</x:v>
      </x:c>
      <x:c r="E588" s="24" t="str">
        <x:f>IF(D588="","",IFERROR(VLOOKUP(D588,$A$2:$B$1226,2,FALSE),""))</x:f>
        <x:v>Symbolic, Performative, and Technical Methods</x:v>
      </x:c>
      <x:c r="F588" s="24" t="n">
        <x:v>3</x:v>
      </x:c>
      <x:c r="G588" s="24" t="str">
        <x:v>Prepared portable inscriptions, knots, amulets, papers, or tokens that hold specific effects.</x:v>
      </x:c>
      <x:c r="H588" s="24" t="str">
        <x:v>Record source, method, cost, limits, access, and social control separately.</x:v>
      </x:c>
      <x:c r="I588" s="24" t="str">
        <x:v>talisman; charm; amulet; ofuda-like</x:v>
      </x:c>
      <x:c r="J588" s="24" t="str">
        <x:v>Encoding, storing, channeling, and institutionalizing power through repeatable media and practices.</x:v>
      </x:c>
      <x:c r="K588" s="24" t="str">
        <x:v>talisman; charm; amulet; ofuda-like</x:v>
      </x:c>
      <x:c r="L588" s="24" t="str">
        <x:v>Ofuda and related talismans have specific Japanese religious contexts; preserve source distinctions.</x:v>
      </x:c>
      <x:c r="M588" s="24" t="str">
        <x:v>Core Family</x:v>
      </x:c>
    </x:row>
    <x:row r="589" ht="44" customHeight="1">
      <x:c r="A589" s="24" t="str">
        <x:v>PWR-507</x:v>
      </x:c>
      <x:c r="B589" s="24" t="str">
        <x:v>Circle and Geometric Magic</x:v>
      </x:c>
      <x:c r="C589" s="24" t="str">
        <x:v>Power Traditions</x:v>
      </x:c>
      <x:c r="D589" s="24" t="str">
        <x:v>PWR-500</x:v>
      </x:c>
      <x:c r="E589" s="24" t="str">
        <x:f>IF(D589="","",IFERROR(VLOOKUP(D589,$A$2:$B$1226,2,FALSE),""))</x:f>
        <x:v>Symbolic, Performative, and Technical Methods</x:v>
      </x:c>
      <x:c r="F589" s="24" t="n">
        <x:v>3</x:v>
      </x:c>
      <x:c r="G589" s="24" t="str">
        <x:v>Power generated by circles, arrays, sacred geometry, spatial relationships, and formal diagrams.</x:v>
      </x:c>
      <x:c r="H589" s="24" t="str">
        <x:v>Record source, method, cost, limits, access, and social control separately.</x:v>
      </x:c>
      <x:c r="I589" s="24" t="str">
        <x:v>magic circle; array; sacred geometry</x:v>
      </x:c>
      <x:c r="J589" s="24" t="str">
        <x:v>Encoding, storing, channeling, and institutionalizing power through repeatable media and practices.</x:v>
      </x:c>
      <x:c r="K589" s="24" t="str">
        <x:v>magic circle; array; sacred geometry</x:v>
      </x:c>
      <x:c r="L589" s="24" t="str">
        <x:v>Preserve each source's ontology, culture, history, and terminology when making comparisons.</x:v>
      </x:c>
      <x:c r="M589" s="24" t="str">
        <x:v>Core Family</x:v>
      </x:c>
    </x:row>
    <x:row r="590" ht="44" customHeight="1">
      <x:c r="A590" s="24" t="str">
        <x:v>PWR-508</x:v>
      </x:c>
      <x:c r="B590" s="24" t="str">
        <x:v>Mathematical Magic</x:v>
      </x:c>
      <x:c r="C590" s="24" t="str">
        <x:v>Power Traditions</x:v>
      </x:c>
      <x:c r="D590" s="24" t="str">
        <x:v>PWR-500</x:v>
      </x:c>
      <x:c r="E590" s="24" t="str">
        <x:f>IF(D590="","",IFERROR(VLOOKUP(D590,$A$2:$B$1226,2,FALSE),""))</x:f>
        <x:v>Symbolic, Performative, and Technical Methods</x:v>
      </x:c>
      <x:c r="F590" s="24" t="n">
        <x:v>3</x:v>
      </x:c>
      <x:c r="G590" s="24" t="str">
        <x:v>Power controlled through numbers, ratios, equations, calculation, or algorithmic conditions.</x:v>
      </x:c>
      <x:c r="H590" s="24" t="str">
        <x:v>Record source, method, cost, limits, access, and social control separately.</x:v>
      </x:c>
      <x:c r="I590" s="24" t="str">
        <x:v>mathemagic; arithmancy; calculation</x:v>
      </x:c>
      <x:c r="J590" s="24" t="str">
        <x:v>Encoding, storing, channeling, and institutionalizing power through repeatable media and practices.</x:v>
      </x:c>
      <x:c r="K590" s="24" t="str">
        <x:v>mathemagic; arithmancy; calculation</x:v>
      </x:c>
      <x:c r="L590" s="24" t="str">
        <x:v>Preserve each source's ontology, culture, history, and terminology when making comparisons.</x:v>
      </x:c>
      <x:c r="M590" s="24" t="str">
        <x:v>Core Family</x:v>
      </x:c>
    </x:row>
    <x:row r="591" ht="44" customHeight="1">
      <x:c r="A591" s="24" t="str">
        <x:v>PWR-509</x:v>
      </x:c>
      <x:c r="B591" s="24" t="str">
        <x:v>Music and Song Magic</x:v>
      </x:c>
      <x:c r="C591" s="24" t="str">
        <x:v>Power Traditions</x:v>
      </x:c>
      <x:c r="D591" s="24" t="str">
        <x:v>PWR-500</x:v>
      </x:c>
      <x:c r="E591" s="24" t="str">
        <x:f>IF(D591="","",IFERROR(VLOOKUP(D591,$A$2:$B$1226,2,FALSE),""))</x:f>
        <x:v>Symbolic, Performative, and Technical Methods</x:v>
      </x:c>
      <x:c r="F591" s="24" t="n">
        <x:v>3</x:v>
      </x:c>
      <x:c r="G591" s="24" t="str">
        <x:v>Power channeled through melody, rhythm, harmony, voice, instruments, and collective performance.</x:v>
      </x:c>
      <x:c r="H591" s="24" t="str">
        <x:v>Record source, method, cost, limits, access, and social control separately.</x:v>
      </x:c>
      <x:c r="I591" s="24" t="str">
        <x:v>song magic; bardic music; spell-song</x:v>
      </x:c>
      <x:c r="J591" s="24" t="str">
        <x:v>Encoding, storing, channeling, and institutionalizing power through repeatable media and practices.</x:v>
      </x:c>
      <x:c r="K591" s="24" t="str">
        <x:v>song magic; bardic music; spell-song</x:v>
      </x:c>
      <x:c r="L591" s="24" t="str">
        <x:v>Preserve each source's ontology, culture, history, and terminology when making comparisons.</x:v>
      </x:c>
      <x:c r="M591" s="24" t="str">
        <x:v>Core Family</x:v>
      </x:c>
    </x:row>
    <x:row r="592" ht="44" customHeight="1">
      <x:c r="A592" s="24" t="str">
        <x:v>PWR-510</x:v>
      </x:c>
      <x:c r="B592" s="24" t="str">
        <x:v>Dance and Movement Magic</x:v>
      </x:c>
      <x:c r="C592" s="24" t="str">
        <x:v>Power Traditions</x:v>
      </x:c>
      <x:c r="D592" s="24" t="str">
        <x:v>PWR-500</x:v>
      </x:c>
      <x:c r="E592" s="24" t="str">
        <x:f>IF(D592="","",IFERROR(VLOOKUP(D592,$A$2:$B$1226,2,FALSE),""))</x:f>
        <x:v>Symbolic, Performative, and Technical Methods</x:v>
      </x:c>
      <x:c r="F592" s="24" t="n">
        <x:v>3</x:v>
      </x:c>
      <x:c r="G592" s="24" t="str">
        <x:v>Power channeled through choreographed movement, posture, gesture, and embodied rhythm.</x:v>
      </x:c>
      <x:c r="H592" s="24" t="str">
        <x:v>Record source, method, cost, limits, access, and social control separately.</x:v>
      </x:c>
      <x:c r="I592" s="24" t="str">
        <x:v>dance magic; mudra-like gesture; battle dance</x:v>
      </x:c>
      <x:c r="J592" s="24" t="str">
        <x:v>Encoding, storing, channeling, and institutionalizing power through repeatable media and practices.</x:v>
      </x:c>
      <x:c r="K592" s="24" t="str">
        <x:v>dance magic; mudra-like gesture; battle dance</x:v>
      </x:c>
      <x:c r="L592" s="24" t="str">
        <x:v>Preserve each source's ontology, culture, history, and terminology when making comparisons.</x:v>
      </x:c>
      <x:c r="M592" s="24" t="str">
        <x:v>Core Family</x:v>
      </x:c>
    </x:row>
    <x:row r="593" ht="44" customHeight="1">
      <x:c r="A593" s="24" t="str">
        <x:v>PWR-511</x:v>
      </x:c>
      <x:c r="B593" s="24" t="str">
        <x:v>Visual Art and Painting Magic</x:v>
      </x:c>
      <x:c r="C593" s="24" t="str">
        <x:v>Power Traditions</x:v>
      </x:c>
      <x:c r="D593" s="24" t="str">
        <x:v>PWR-500</x:v>
      </x:c>
      <x:c r="E593" s="24" t="str">
        <x:f>IF(D593="","",IFERROR(VLOOKUP(D593,$A$2:$B$1226,2,FALSE),""))</x:f>
        <x:v>Symbolic, Performative, and Technical Methods</x:v>
      </x:c>
      <x:c r="F593" s="24" t="n">
        <x:v>3</x:v>
      </x:c>
      <x:c r="G593" s="24" t="str">
        <x:v>Images, sculpture, calligraphy, or design used to create, trap, animate, or alter reality.</x:v>
      </x:c>
      <x:c r="H593" s="24" t="str">
        <x:v>Record source, method, cost, limits, access, and social control separately.</x:v>
      </x:c>
      <x:c r="I593" s="24" t="str">
        <x:v>painting magic; pictomancy; art sorcery</x:v>
      </x:c>
      <x:c r="J593" s="24" t="str">
        <x:v>Encoding, storing, channeling, and institutionalizing power through repeatable media and practices.</x:v>
      </x:c>
      <x:c r="K593" s="24" t="str">
        <x:v>painting magic; pictomancy; art sorcery</x:v>
      </x:c>
      <x:c r="L593" s="24" t="str">
        <x:v>Preserve each source's ontology, culture, history, and terminology when making comparisons.</x:v>
      </x:c>
      <x:c r="M593" s="24" t="str">
        <x:v>Core Family</x:v>
      </x:c>
    </x:row>
    <x:row r="594" ht="44" customHeight="1">
      <x:c r="A594" s="24" t="str">
        <x:v>PWR-512</x:v>
      </x:c>
      <x:c r="B594" s="24" t="str">
        <x:v>Mask and Costume Magic</x:v>
      </x:c>
      <x:c r="C594" s="24" t="str">
        <x:v>Power Traditions</x:v>
      </x:c>
      <x:c r="D594" s="24" t="str">
        <x:v>PWR-500</x:v>
      </x:c>
      <x:c r="E594" s="24" t="str">
        <x:f>IF(D594="","",IFERROR(VLOOKUP(D594,$A$2:$B$1226,2,FALSE),""))</x:f>
        <x:v>Symbolic, Performative, and Technical Methods</x:v>
      </x:c>
      <x:c r="F594" s="24" t="n">
        <x:v>3</x:v>
      </x:c>
      <x:c r="G594" s="24" t="str">
        <x:v>Power accessed through masks, ritual clothing, identities, personas, and transformation regalia.</x:v>
      </x:c>
      <x:c r="H594" s="24" t="str">
        <x:v>Record source, method, cost, limits, access, and social control separately.</x:v>
      </x:c>
      <x:c r="I594" s="24" t="str">
        <x:v>mask magic; transformation costume</x:v>
      </x:c>
      <x:c r="J594" s="24" t="str">
        <x:v>Encoding, storing, channeling, and institutionalizing power through repeatable media and practices.</x:v>
      </x:c>
      <x:c r="K594" s="24" t="str">
        <x:v>mask magic; transformation costume</x:v>
      </x:c>
      <x:c r="L594" s="24" t="str">
        <x:v>Preserve each source's ontology, culture, history, and terminology when making comparisons.</x:v>
      </x:c>
      <x:c r="M594" s="24" t="str">
        <x:v>Core Family</x:v>
      </x:c>
    </x:row>
    <x:row r="595" ht="44" customHeight="1">
      <x:c r="A595" s="24" t="str">
        <x:v>PWR-513</x:v>
      </x:c>
      <x:c r="B595" s="24" t="str">
        <x:v>Alchemy</x:v>
      </x:c>
      <x:c r="C595" s="24" t="str">
        <x:v>Power Traditions</x:v>
      </x:c>
      <x:c r="D595" s="24" t="str">
        <x:v>PWR-500</x:v>
      </x:c>
      <x:c r="E595" s="24" t="str">
        <x:f>IF(D595="","",IFERROR(VLOOKUP(D595,$A$2:$B$1226,2,FALSE),""))</x:f>
        <x:v>Symbolic, Performative, and Technical Methods</x:v>
      </x:c>
      <x:c r="F595" s="24" t="n">
        <x:v>3</x:v>
      </x:c>
      <x:c r="G595" s="24" t="str">
        <x:v>Systematic transformation of substances, life, and essences through compounds, symbols, reactions, and equivalence.</x:v>
      </x:c>
      <x:c r="H595" s="24" t="str">
        <x:v>Record source, method, cost, limits, access, and social control separately.</x:v>
      </x:c>
      <x:c r="I595" s="24" t="str">
        <x:v>alchemy; potioncraft; transmutation</x:v>
      </x:c>
      <x:c r="J595" s="24" t="str">
        <x:v>Encoding, storing, channeling, and institutionalizing power through repeatable media and practices.</x:v>
      </x:c>
      <x:c r="K595" s="24" t="str">
        <x:v>alchemy; potioncraft; transmutation</x:v>
      </x:c>
      <x:c r="L595" s="24" t="str">
        <x:v>Preserve each source's ontology, culture, history, and terminology when making comparisons.</x:v>
      </x:c>
      <x:c r="M595" s="24" t="str">
        <x:v>Core Family</x:v>
      </x:c>
    </x:row>
    <x:row r="596" ht="44" customHeight="1">
      <x:c r="A596" s="24" t="str">
        <x:v>PWR-514</x:v>
      </x:c>
      <x:c r="B596" s="24" t="str">
        <x:v>Potion and Consumable Magic</x:v>
      </x:c>
      <x:c r="C596" s="24" t="str">
        <x:v>Power Traditions</x:v>
      </x:c>
      <x:c r="D596" s="24" t="str">
        <x:v>PWR-500</x:v>
      </x:c>
      <x:c r="E596" s="24" t="str">
        <x:f>IF(D596="","",IFERROR(VLOOKUP(D596,$A$2:$B$1226,2,FALSE),""))</x:f>
        <x:v>Symbolic, Performative, and Technical Methods</x:v>
      </x:c>
      <x:c r="F596" s="24" t="n">
        <x:v>3</x:v>
      </x:c>
      <x:c r="G596" s="24" t="str">
        <x:v>Prepared single-use substances that store healing, transformation, enhancement, or harmful effects.</x:v>
      </x:c>
      <x:c r="H596" s="24" t="str">
        <x:v>Record source, method, cost, limits, access, and social control separately.</x:v>
      </x:c>
      <x:c r="I596" s="24" t="str">
        <x:v>potioncraft; elixir; bomb</x:v>
      </x:c>
      <x:c r="J596" s="24" t="str">
        <x:v>Encoding, storing, channeling, and institutionalizing power through repeatable media and practices.</x:v>
      </x:c>
      <x:c r="K596" s="24" t="str">
        <x:v>potioncraft; elixir; bomb</x:v>
      </x:c>
      <x:c r="L596" s="24" t="str">
        <x:v>Preserve each source's ontology, culture, history, and terminology when making comparisons.</x:v>
      </x:c>
      <x:c r="M596" s="24" t="str">
        <x:v>Core Family</x:v>
      </x:c>
    </x:row>
    <x:row r="597" ht="44" customHeight="1">
      <x:c r="A597" s="24" t="str">
        <x:v>PWR-515</x:v>
      </x:c>
      <x:c r="B597" s="24" t="str">
        <x:v>Artifice and Enchantment</x:v>
      </x:c>
      <x:c r="C597" s="24" t="str">
        <x:v>Power Traditions</x:v>
      </x:c>
      <x:c r="D597" s="24" t="str">
        <x:v>PWR-500</x:v>
      </x:c>
      <x:c r="E597" s="24" t="str">
        <x:f>IF(D597="","",IFERROR(VLOOKUP(D597,$A$2:$B$1226,2,FALSE),""))</x:f>
        <x:v>Symbolic, Performative, and Technical Methods</x:v>
      </x:c>
      <x:c r="F597" s="24" t="n">
        <x:v>3</x:v>
      </x:c>
      <x:c r="G597" s="24" t="str">
        <x:v>Construction of persistent magical items, devices, constructs, and infused tools.</x:v>
      </x:c>
      <x:c r="H597" s="24" t="str">
        <x:v>Record source, method, cost, limits, access, and social control separately.</x:v>
      </x:c>
      <x:c r="I597" s="24" t="str">
        <x:v>artifice; enchanting; magical engineering</x:v>
      </x:c>
      <x:c r="J597" s="24" t="str">
        <x:v>Encoding, storing, channeling, and institutionalizing power through repeatable media and practices.</x:v>
      </x:c>
      <x:c r="K597" s="24" t="str">
        <x:v>artifice; enchanting; magical engineering</x:v>
      </x:c>
      <x:c r="L597" s="24" t="str">
        <x:v>Preserve each source's ontology, culture, history, and terminology when making comparisons.</x:v>
      </x:c>
      <x:c r="M597" s="24" t="str">
        <x:v>Core Family</x:v>
      </x:c>
    </x:row>
    <x:row r="598" ht="44" customHeight="1">
      <x:c r="A598" s="24" t="str">
        <x:v>PWR-516</x:v>
      </x:c>
      <x:c r="B598" s="24" t="str">
        <x:v>Magitech</x:v>
      </x:c>
      <x:c r="C598" s="24" t="str">
        <x:v>Power Traditions</x:v>
      </x:c>
      <x:c r="D598" s="24" t="str">
        <x:v>PWR-500</x:v>
      </x:c>
      <x:c r="E598" s="24" t="str">
        <x:f>IF(D598="","",IFERROR(VLOOKUP(D598,$A$2:$B$1226,2,FALSE),""))</x:f>
        <x:v>Symbolic, Performative, and Technical Methods</x:v>
      </x:c>
      <x:c r="F598" s="24" t="n">
        <x:v>3</x:v>
      </x:c>
      <x:c r="G598" s="24" t="str">
        <x:v>Integrated magical and technological systems in which spells, crystals, engines, code, and industry interoperate.</x:v>
      </x:c>
      <x:c r="H598" s="24" t="str">
        <x:v>Record source, method, cost, limits, access, and social control separately.</x:v>
      </x:c>
      <x:c r="I598" s="24" t="str">
        <x:v>magitech; arcane technology</x:v>
      </x:c>
      <x:c r="J598" s="24" t="str">
        <x:v>Encoding, storing, channeling, and institutionalizing power through repeatable media and practices.</x:v>
      </x:c>
      <x:c r="K598" s="24" t="str">
        <x:v>magitech; arcane technology</x:v>
      </x:c>
      <x:c r="L598" s="24" t="str">
        <x:v>Preserve each source's ontology, culture, history, and terminology when making comparisons.</x:v>
      </x:c>
      <x:c r="M598" s="24" t="str">
        <x:v>Core Family</x:v>
      </x:c>
    </x:row>
    <x:row r="599" ht="44" customHeight="1">
      <x:c r="A599" s="24" t="str">
        <x:v>PWR-517</x:v>
      </x:c>
      <x:c r="B599" s="24" t="str">
        <x:v>Clockwork and Mechanical Magic</x:v>
      </x:c>
      <x:c r="C599" s="24" t="str">
        <x:v>Power Traditions</x:v>
      </x:c>
      <x:c r="D599" s="24" t="str">
        <x:v>PWR-500</x:v>
      </x:c>
      <x:c r="E599" s="24" t="str">
        <x:f>IF(D599="","",IFERROR(VLOOKUP(D599,$A$2:$B$1226,2,FALSE),""))</x:f>
        <x:v>Symbolic, Performative, and Technical Methods</x:v>
      </x:c>
      <x:c r="F599" s="24" t="n">
        <x:v>3</x:v>
      </x:c>
      <x:c r="G599" s="24" t="str">
        <x:v>Power expressed through gears, automata, precision devices, stored motion, and engineered mechanisms.</x:v>
      </x:c>
      <x:c r="H599" s="24" t="str">
        <x:v>Record source, method, cost, limits, access, and social control separately.</x:v>
      </x:c>
      <x:c r="I599" s="24" t="str">
        <x:v>clockwork magic; mechanical sorcery</x:v>
      </x:c>
      <x:c r="J599" s="24" t="str">
        <x:v>Encoding, storing, channeling, and institutionalizing power through repeatable media and practices.</x:v>
      </x:c>
      <x:c r="K599" s="24" t="str">
        <x:v>clockwork magic; mechanical sorcery</x:v>
      </x:c>
      <x:c r="L599" s="24" t="str">
        <x:v>Preserve each source's ontology, culture, history, and terminology when making comparisons.</x:v>
      </x:c>
      <x:c r="M599" s="24" t="str">
        <x:v>Core Family</x:v>
      </x:c>
    </x:row>
    <x:row r="600" ht="44" customHeight="1">
      <x:c r="A600" s="24" t="str">
        <x:v>PWR-518</x:v>
      </x:c>
      <x:c r="B600" s="24" t="str">
        <x:v>Weapon-Channeling</x:v>
      </x:c>
      <x:c r="C600" s="24" t="str">
        <x:v>Power Traditions</x:v>
      </x:c>
      <x:c r="D600" s="24" t="str">
        <x:v>PWR-500</x:v>
      </x:c>
      <x:c r="E600" s="24" t="str">
        <x:f>IF(D600="","",IFERROR(VLOOKUP(D600,$A$2:$B$1226,2,FALSE),""))</x:f>
        <x:v>Symbolic, Performative, and Technical Methods</x:v>
      </x:c>
      <x:c r="F600" s="24" t="n">
        <x:v>3</x:v>
      </x:c>
      <x:c r="G600" s="24" t="str">
        <x:v>Power delivered or focused through blades, bows, guns, armor, or martial forms.</x:v>
      </x:c>
      <x:c r="H600" s="24" t="str">
        <x:v>Record source, method, cost, limits, access, and social control separately.</x:v>
      </x:c>
      <x:c r="I600" s="24" t="str">
        <x:v>spellblade; weapon art; channeling weapon</x:v>
      </x:c>
      <x:c r="J600" s="24" t="str">
        <x:v>Encoding, storing, channeling, and institutionalizing power through repeatable media and practices.</x:v>
      </x:c>
      <x:c r="K600" s="24" t="str">
        <x:v>spellblade; weapon art; channeling weapon</x:v>
      </x:c>
      <x:c r="L600" s="24" t="str">
        <x:v>Preserve each source's ontology, culture, history, and terminology when making comparisons.</x:v>
      </x:c>
      <x:c r="M600" s="24" t="str">
        <x:v>Core Family</x:v>
      </x:c>
    </x:row>
    <x:row r="601" ht="44" customHeight="1">
      <x:c r="A601" s="24" t="str">
        <x:v>PWR-519</x:v>
      </x:c>
      <x:c r="B601" s="24" t="str">
        <x:v>Card, Dice, and Game Magic</x:v>
      </x:c>
      <x:c r="C601" s="24" t="str">
        <x:v>Power Traditions</x:v>
      </x:c>
      <x:c r="D601" s="24" t="str">
        <x:v>PWR-500</x:v>
      </x:c>
      <x:c r="E601" s="24" t="str">
        <x:f>IF(D601="","",IFERROR(VLOOKUP(D601,$A$2:$B$1226,2,FALSE),""))</x:f>
        <x:v>Symbolic, Performative, and Technical Methods</x:v>
      </x:c>
      <x:c r="F601" s="24" t="n">
        <x:v>3</x:v>
      </x:c>
      <x:c r="G601" s="24" t="str">
        <x:v>Power activated through cards, dice, games, wagers, hands, draws, or symbolic randomness.</x:v>
      </x:c>
      <x:c r="H601" s="24" t="str">
        <x:v>Record source, method, cost, limits, access, and social control separately.</x:v>
      </x:c>
      <x:c r="I601" s="24" t="str">
        <x:v>card magic; dice magic; game sorcery</x:v>
      </x:c>
      <x:c r="J601" s="24" t="str">
        <x:v>Encoding, storing, channeling, and institutionalizing power through repeatable media and practices.</x:v>
      </x:c>
      <x:c r="K601" s="24" t="str">
        <x:v>card magic; dice magic; game sorcery</x:v>
      </x:c>
      <x:c r="L601" s="24" t="str">
        <x:v>Preserve each source's ontology, culture, history, and terminology when making comparisons.</x:v>
      </x:c>
      <x:c r="M601" s="24" t="str">
        <x:v>Core Family</x:v>
      </x:c>
    </x:row>
    <x:row r="602" ht="44" customHeight="1">
      <x:c r="A602" s="24" t="str">
        <x:v>PWR-520</x:v>
      </x:c>
      <x:c r="B602" s="24" t="str">
        <x:v>Cooking and Food Magic</x:v>
      </x:c>
      <x:c r="C602" s="24" t="str">
        <x:v>Power Traditions</x:v>
      </x:c>
      <x:c r="D602" s="24" t="str">
        <x:v>PWR-500</x:v>
      </x:c>
      <x:c r="E602" s="24" t="str">
        <x:f>IF(D602="","",IFERROR(VLOOKUP(D602,$A$2:$B$1226,2,FALSE),""))</x:f>
        <x:v>Symbolic, Performative, and Technical Methods</x:v>
      </x:c>
      <x:c r="F602" s="24" t="n">
        <x:v>3</x:v>
      </x:c>
      <x:c r="G602" s="24" t="str">
        <x:v>Food preparation that heals, buffs, transforms, enchants, or creates social and ritual power.</x:v>
      </x:c>
      <x:c r="H602" s="24" t="str">
        <x:v>Record source, method, cost, limits, access, and social control separately.</x:v>
      </x:c>
      <x:c r="I602" s="24" t="str">
        <x:v>culinary magic; enchanted cuisine</x:v>
      </x:c>
      <x:c r="J602" s="24" t="str">
        <x:v>Encoding, storing, channeling, and institutionalizing power through repeatable media and practices.</x:v>
      </x:c>
      <x:c r="K602" s="24" t="str">
        <x:v>culinary magic; enchanted cuisine</x:v>
      </x:c>
      <x:c r="L602" s="24" t="str">
        <x:v>Preserve each source's ontology, culture, history, and terminology when making comparisons.</x:v>
      </x:c>
      <x:c r="M602" s="24" t="str">
        <x:v>Core Family</x:v>
      </x:c>
    </x:row>
    <x:row r="603" ht="44" customHeight="1">
      <x:c r="A603" s="24" t="str">
        <x:v>PWR-521</x:v>
      </x:c>
      <x:c r="B603" s="24" t="str">
        <x:v>Weaving, Thread, and Knot Magic</x:v>
      </x:c>
      <x:c r="C603" s="24" t="str">
        <x:v>Power Traditions</x:v>
      </x:c>
      <x:c r="D603" s="24" t="str">
        <x:v>PWR-500</x:v>
      </x:c>
      <x:c r="E603" s="24" t="str">
        <x:f>IF(D603="","",IFERROR(VLOOKUP(D603,$A$2:$B$1226,2,FALSE),""))</x:f>
        <x:v>Symbolic, Performative, and Technical Methods</x:v>
      </x:c>
      <x:c r="F603" s="24" t="n">
        <x:v>3</x:v>
      </x:c>
      <x:c r="G603" s="24" t="str">
        <x:v>Power encoded in textiles, threads, knots, fate strings, nets, and patterns.</x:v>
      </x:c>
      <x:c r="H603" s="24" t="str">
        <x:v>Record source, method, cost, limits, access, and social control separately.</x:v>
      </x:c>
      <x:c r="I603" s="24" t="str">
        <x:v>thread magic; knot magic; weaving</x:v>
      </x:c>
      <x:c r="J603" s="24" t="str">
        <x:v>Encoding, storing, channeling, and institutionalizing power through repeatable media and practices.</x:v>
      </x:c>
      <x:c r="K603" s="24" t="str">
        <x:v>thread magic; knot magic; weaving</x:v>
      </x:c>
      <x:c r="L603" s="24" t="str">
        <x:v>Preserve each source's ontology, culture, history, and terminology when making comparisons.</x:v>
      </x:c>
      <x:c r="M603" s="24" t="str">
        <x:v>Core Family</x:v>
      </x:c>
    </x:row>
    <x:row r="604" ht="44" customHeight="1">
      <x:c r="A604" s="24" t="str">
        <x:v>PWR-522</x:v>
      </x:c>
      <x:c r="B604" s="24" t="str">
        <x:v>Tattoo, Scar, and Body-Script Magic</x:v>
      </x:c>
      <x:c r="C604" s="24" t="str">
        <x:v>Power Traditions</x:v>
      </x:c>
      <x:c r="D604" s="24" t="str">
        <x:v>PWR-500</x:v>
      </x:c>
      <x:c r="E604" s="24" t="str">
        <x:f>IF(D604="","",IFERROR(VLOOKUP(D604,$A$2:$B$1226,2,FALSE),""))</x:f>
        <x:v>Symbolic, Performative, and Technical Methods</x:v>
      </x:c>
      <x:c r="F604" s="24" t="n">
        <x:v>3</x:v>
      </x:c>
      <x:c r="G604" s="24" t="str">
        <x:v>Power inscribed directly on the body through tattoos, brands, scars, seals, or circuits.</x:v>
      </x:c>
      <x:c r="H604" s="24" t="str">
        <x:v>Record source, method, cost, limits, access, and social control separately.</x:v>
      </x:c>
      <x:c r="I604" s="24" t="str">
        <x:v>tattoo magic; body runes; brands</x:v>
      </x:c>
      <x:c r="J604" s="24" t="str">
        <x:v>Encoding, storing, channeling, and institutionalizing power through repeatable media and practices.</x:v>
      </x:c>
      <x:c r="K604" s="24" t="str">
        <x:v>tattoo magic; body runes; brands</x:v>
      </x:c>
      <x:c r="L604" s="24" t="str">
        <x:v>Preserve each source's ontology, culture, history, and terminology when making comparisons.</x:v>
      </x:c>
      <x:c r="M604" s="24" t="str">
        <x:v>Core Family</x:v>
      </x:c>
    </x:row>
    <x:row r="605" ht="44" customHeight="1">
      <x:c r="A605" s="24" t="str">
        <x:v>PWR-523</x:v>
      </x:c>
      <x:c r="B605" s="24" t="str">
        <x:v>Relic and Inheritance Magic</x:v>
      </x:c>
      <x:c r="C605" s="24" t="str">
        <x:v>Power Traditions</x:v>
      </x:c>
      <x:c r="D605" s="24" t="str">
        <x:v>PWR-500</x:v>
      </x:c>
      <x:c r="E605" s="24" t="str">
        <x:f>IF(D605="","",IFERROR(VLOOKUP(D605,$A$2:$B$1226,2,FALSE),""))</x:f>
        <x:v>Symbolic, Performative, and Technical Methods</x:v>
      </x:c>
      <x:c r="F605" s="24" t="n">
        <x:v>3</x:v>
      </x:c>
      <x:c r="G605" s="24" t="str">
        <x:v>Power preserved in ancestral objects, crowns, swords, bloodline treasures, and institutional regalia.</x:v>
      </x:c>
      <x:c r="H605" s="24" t="str">
        <x:v>Record source, method, cost, limits, access, and social control separately.</x:v>
      </x:c>
      <x:c r="I605" s="24" t="str">
        <x:v>relic power; heirloom magic</x:v>
      </x:c>
      <x:c r="J605" s="24" t="str">
        <x:v>Encoding, storing, channeling, and institutionalizing power through repeatable media and practices.</x:v>
      </x:c>
      <x:c r="K605" s="24" t="str">
        <x:v>relic power; heirloom magic</x:v>
      </x:c>
      <x:c r="L605" s="24" t="str">
        <x:v>Preserve each source's ontology, culture, history, and terminology when making comparisons.</x:v>
      </x:c>
      <x:c r="M605" s="24" t="str">
        <x:v>Core Family</x:v>
      </x:c>
    </x:row>
    <x:row r="606" ht="44" customHeight="1">
      <x:c r="A606" s="24" t="str">
        <x:v>PWR-524</x:v>
      </x:c>
      <x:c r="B606" s="24" t="str">
        <x:v>Architecture and City Magic</x:v>
      </x:c>
      <x:c r="C606" s="24" t="str">
        <x:v>Power Traditions</x:v>
      </x:c>
      <x:c r="D606" s="24" t="str">
        <x:v>PWR-500</x:v>
      </x:c>
      <x:c r="E606" s="24" t="str">
        <x:f>IF(D606="","",IFERROR(VLOOKUP(D606,$A$2:$B$1226,2,FALSE),""))</x:f>
        <x:v>Symbolic, Performative, and Technical Methods</x:v>
      </x:c>
      <x:c r="F606" s="24" t="n">
        <x:v>3</x:v>
      </x:c>
      <x:c r="G606" s="24" t="str">
        <x:v>Magic embedded in buildings, roads, walls, cities, temples, and spatial infrastructure.</x:v>
      </x:c>
      <x:c r="H606" s="24" t="str">
        <x:v>Record source, method, cost, limits, access, and social control separately.</x:v>
      </x:c>
      <x:c r="I606" s="24" t="str">
        <x:v>architectural magic; warded city; living fortress</x:v>
      </x:c>
      <x:c r="J606" s="24" t="str">
        <x:v>Encoding, storing, channeling, and institutionalizing power through repeatable media and practices.</x:v>
      </x:c>
      <x:c r="K606" s="24" t="str">
        <x:v>architectural magic; warded city; living fortress</x:v>
      </x:c>
      <x:c r="L606" s="24" t="str">
        <x:v>Preserve each source's ontology, culture, history, and terminology when making comparisons.</x:v>
      </x:c>
      <x:c r="M606" s="24" t="str">
        <x:v>Core Family</x:v>
      </x:c>
    </x:row>
    <x:row r="607" ht="44" customHeight="1">
      <x:c r="A607" s="24" t="str">
        <x:v>PWR-525</x:v>
      </x:c>
      <x:c r="B607" s="24" t="str">
        <x:v>Cartographic and Map Magic</x:v>
      </x:c>
      <x:c r="C607" s="24" t="str">
        <x:v>Power Traditions</x:v>
      </x:c>
      <x:c r="D607" s="24" t="str">
        <x:v>PWR-500</x:v>
      </x:c>
      <x:c r="E607" s="24" t="str">
        <x:f>IF(D607="","",IFERROR(VLOOKUP(D607,$A$2:$B$1226,2,FALSE),""))</x:f>
        <x:v>Symbolic, Performative, and Technical Methods</x:v>
      </x:c>
      <x:c r="F607" s="24" t="n">
        <x:v>3</x:v>
      </x:c>
      <x:c r="G607" s="24" t="str">
        <x:v>Maps used to reveal, reshape, navigate, claim, or create territory and dimensions.</x:v>
      </x:c>
      <x:c r="H607" s="24" t="str">
        <x:v>Record source, method, cost, limits, access, and social control separately.</x:v>
      </x:c>
      <x:c r="I607" s="24" t="str">
        <x:v>map magic; cartomancy; wayfinding</x:v>
      </x:c>
      <x:c r="J607" s="24" t="str">
        <x:v>Encoding, storing, channeling, and institutionalizing power through repeatable media and practices.</x:v>
      </x:c>
      <x:c r="K607" s="24" t="str">
        <x:v>map magic; cartomancy; wayfinding</x:v>
      </x:c>
      <x:c r="L607" s="24" t="str">
        <x:v>Preserve each source's ontology, culture, history, and terminology when making comparisons.</x:v>
      </x:c>
      <x:c r="M607" s="24" t="str">
        <x:v>Core Family</x:v>
      </x:c>
    </x:row>
    <x:row r="608" ht="44" customHeight="1">
      <x:c r="A608" s="24" t="str">
        <x:v>PWR-526</x:v>
      </x:c>
      <x:c r="B608" s="24" t="str">
        <x:v>Law, Oath, and Contract Magic</x:v>
      </x:c>
      <x:c r="C608" s="24" t="str">
        <x:v>Power Traditions</x:v>
      </x:c>
      <x:c r="D608" s="24" t="str">
        <x:v>PWR-500</x:v>
      </x:c>
      <x:c r="E608" s="24" t="str">
        <x:f>IF(D608="","",IFERROR(VLOOKUP(D608,$A$2:$B$1226,2,FALSE),""))</x:f>
        <x:v>Symbolic, Performative, and Technical Methods</x:v>
      </x:c>
      <x:c r="F608" s="24" t="n">
        <x:v>3</x:v>
      </x:c>
      <x:c r="G608" s="24" t="str">
        <x:v>Power enforced through sworn promises, legal language, geasa, jurisdiction, and metaphysical contracts.</x:v>
      </x:c>
      <x:c r="H608" s="24" t="str">
        <x:v>Record source, method, cost, limits, access, and social control separately.</x:v>
      </x:c>
      <x:c r="I608" s="24" t="str">
        <x:v>oath magic; geas; contract law</x:v>
      </x:c>
      <x:c r="J608" s="24" t="str">
        <x:v>Encoding, storing, channeling, and institutionalizing power through repeatable media and practices.</x:v>
      </x:c>
      <x:c r="K608" s="24" t="str">
        <x:v>oath magic; geas; contract law</x:v>
      </x:c>
      <x:c r="L608" s="24" t="str">
        <x:v>Preserve each source's ontology, culture, history, and terminology when making comparisons.</x:v>
      </x:c>
      <x:c r="M608" s="24" t="str">
        <x:v>Core Family</x:v>
      </x:c>
    </x:row>
    <x:row r="609" ht="44" customHeight="1">
      <x:c r="A609" s="24" t="str">
        <x:v>PWR-527</x:v>
      </x:c>
      <x:c r="B609" s="24" t="str">
        <x:v>Ritual Sacrifice</x:v>
      </x:c>
      <x:c r="C609" s="24" t="str">
        <x:v>Power Traditions</x:v>
      </x:c>
      <x:c r="D609" s="24" t="str">
        <x:v>PWR-500</x:v>
      </x:c>
      <x:c r="E609" s="24" t="str">
        <x:f>IF(D609="","",IFERROR(VLOOKUP(D609,$A$2:$B$1226,2,FALSE),""))</x:f>
        <x:v>Symbolic, Performative, and Technical Methods</x:v>
      </x:c>
      <x:c r="F609" s="24" t="n">
        <x:v>3</x:v>
      </x:c>
      <x:c r="G609" s="24" t="str">
        <x:v>Ceremonial exchange of life, blood, wealth, memory, or symbolic value for supernatural effect.</x:v>
      </x:c>
      <x:c r="H609" s="24" t="str">
        <x:v>Record source, method, cost, limits, access, and social control separately.</x:v>
      </x:c>
      <x:c r="I609" s="24" t="str">
        <x:v>sacrificial magic; offering; blood rite</x:v>
      </x:c>
      <x:c r="J609" s="24" t="str">
        <x:v>Encoding, storing, channeling, and institutionalizing power through repeatable media and practices.</x:v>
      </x:c>
      <x:c r="K609" s="24" t="str">
        <x:v>sacrificial magic; offering; blood rite</x:v>
      </x:c>
      <x:c r="L609" s="24" t="str">
        <x:v>Preserve each source's ontology, culture, history, and terminology when making comparisons.</x:v>
      </x:c>
      <x:c r="M609" s="24" t="str">
        <x:v>Core Family</x:v>
      </x:c>
    </x:row>
    <x:row r="610" ht="44" customHeight="1">
      <x:c r="A610" s="24" t="str">
        <x:v>PWR-528</x:v>
      </x:c>
      <x:c r="B610" s="24" t="str">
        <x:v>Prayer and Liturgy</x:v>
      </x:c>
      <x:c r="C610" s="24" t="str">
        <x:v>Power Traditions</x:v>
      </x:c>
      <x:c r="D610" s="24" t="str">
        <x:v>PWR-500</x:v>
      </x:c>
      <x:c r="E610" s="24" t="str">
        <x:f>IF(D610="","",IFERROR(VLOOKUP(D610,$A$2:$B$1226,2,FALSE),""))</x:f>
        <x:v>Symbolic, Performative, and Technical Methods</x:v>
      </x:c>
      <x:c r="F610" s="24" t="n">
        <x:v>3</x:v>
      </x:c>
      <x:c r="G610" s="24" t="str">
        <x:v>Power activated through prescribed worship, recitation, communal rite, devotion, and sacred office.</x:v>
      </x:c>
      <x:c r="H610" s="24" t="str">
        <x:v>Record source, method, cost, limits, access, and social control separately.</x:v>
      </x:c>
      <x:c r="I610" s="24" t="str">
        <x:v>prayer; liturgy; hymn</x:v>
      </x:c>
      <x:c r="J610" s="24" t="str">
        <x:v>Encoding, storing, channeling, and institutionalizing power through repeatable media and practices.</x:v>
      </x:c>
      <x:c r="K610" s="24" t="str">
        <x:v>prayer; liturgy; hymn</x:v>
      </x:c>
      <x:c r="L610" s="24" t="str">
        <x:v>Preserve each source's ontology, culture, history, and terminology when making comparisons.</x:v>
      </x:c>
      <x:c r="M610" s="24" t="str">
        <x:v>Core Family</x:v>
      </x:c>
    </x:row>
    <x:row r="611" ht="44" customHeight="1">
      <x:c r="A611" s="24" t="str">
        <x:v>PWR-529</x:v>
      </x:c>
      <x:c r="B611" s="24" t="str">
        <x:v>Meditation and Breath Practice</x:v>
      </x:c>
      <x:c r="C611" s="24" t="str">
        <x:v>Power Traditions</x:v>
      </x:c>
      <x:c r="D611" s="24" t="str">
        <x:v>PWR-500</x:v>
      </x:c>
      <x:c r="E611" s="24" t="str">
        <x:f>IF(D611="","",IFERROR(VLOOKUP(D611,$A$2:$B$1226,2,FALSE),""))</x:f>
        <x:v>Symbolic, Performative, and Technical Methods</x:v>
      </x:c>
      <x:c r="F611" s="24" t="n">
        <x:v>3</x:v>
      </x:c>
      <x:c r="G611" s="24" t="str">
        <x:v>Power developed through concentration, breath, visualization, internal circulation, and disciplined awareness.</x:v>
      </x:c>
      <x:c r="H611" s="24" t="str">
        <x:v>Record source, method, cost, limits, access, and social control separately.</x:v>
      </x:c>
      <x:c r="I611" s="24" t="str">
        <x:v>meditation; breathwork; internal practice</x:v>
      </x:c>
      <x:c r="J611" s="24" t="str">
        <x:v>Encoding, storing, channeling, and institutionalizing power through repeatable media and practices.</x:v>
      </x:c>
      <x:c r="K611" s="24" t="str">
        <x:v>meditation; breathwork; internal practice</x:v>
      </x:c>
      <x:c r="L611" s="24" t="str">
        <x:v>Preserve each source's ontology, culture, history, and terminology when making comparisons.</x:v>
      </x:c>
      <x:c r="M611" s="24" t="str">
        <x:v>Core Family</x:v>
      </x:c>
    </x:row>
    <x:row r="612" ht="44" customHeight="1">
      <x:c r="A612" s="24" t="str">
        <x:v>PWR-530</x:v>
      </x:c>
      <x:c r="B612" s="24" t="str">
        <x:v>Dance-Combat Forms</x:v>
      </x:c>
      <x:c r="C612" s="24" t="str">
        <x:v>Power Traditions</x:v>
      </x:c>
      <x:c r="D612" s="24" t="str">
        <x:v>PWR-500</x:v>
      </x:c>
      <x:c r="E612" s="24" t="str">
        <x:f>IF(D612="","",IFERROR(VLOOKUP(D612,$A$2:$B$1226,2,FALSE),""))</x:f>
        <x:v>Symbolic, Performative, and Technical Methods</x:v>
      </x:c>
      <x:c r="F612" s="24" t="n">
        <x:v>3</x:v>
      </x:c>
      <x:c r="G612" s="24" t="str">
        <x:v>Martial techniques whose effectiveness depends on ritualized movement, cadence, and embodied pattern.</x:v>
      </x:c>
      <x:c r="H612" s="24" t="str">
        <x:v>Record source, method, cost, limits, access, and social control separately.</x:v>
      </x:c>
      <x:c r="I612" s="24" t="str">
        <x:v>battle dance; martial form; kata-like magic</x:v>
      </x:c>
      <x:c r="J612" s="24" t="str">
        <x:v>Encoding, storing, channeling, and institutionalizing power through repeatable media and practices.</x:v>
      </x:c>
      <x:c r="K612" s="24" t="str">
        <x:v>battle dance; martial form; kata-like magic</x:v>
      </x:c>
      <x:c r="L612" s="24" t="str">
        <x:v>Preserve each source's ontology, culture, history, and terminology when making comparisons.</x:v>
      </x:c>
      <x:c r="M612" s="24" t="str">
        <x:v>Core Family</x:v>
      </x:c>
    </x:row>
    <x:row r="613" ht="44" customHeight="1">
      <x:c r="A613" s="24" t="str">
        <x:v>PWR-601</x:v>
      </x:c>
      <x:c r="B613" s="24" t="str">
        <x:v>Copy and Mimicry</x:v>
      </x:c>
      <x:c r="C613" s="24" t="str">
        <x:v>Power Traditions</x:v>
      </x:c>
      <x:c r="D613" s="24" t="str">
        <x:v>PWR-600</x:v>
      </x:c>
      <x:c r="E613" s="24" t="str">
        <x:f>IF(D613="","",IFERROR(VLOOKUP(D613,$A$2:$B$1226,2,FALSE),""))</x:f>
        <x:v>Oppositional and Meta-Magical Traditions</x:v>
      </x:c>
      <x:c r="F613" s="24" t="n">
        <x:v>3</x:v>
      </x:c>
      <x:c r="G613" s="24" t="str">
        <x:v>Acquisition or reproduction of another being's spells, techniques, forms, or traits.</x:v>
      </x:c>
      <x:c r="H613" s="24" t="str">
        <x:v>Record source, method, cost, limits, access, and social control separately.</x:v>
      </x:c>
      <x:c r="I613" s="24" t="str">
        <x:v>copy magic; mimicry; skill theft</x:v>
      </x:c>
      <x:c r="J613" s="24" t="str">
        <x:v>Counters, escalation, copying, corruption, rule modification, and system-level interaction.</x:v>
      </x:c>
      <x:c r="K613" s="24" t="str">
        <x:v>copy magic; mimicry; skill theft</x:v>
      </x:c>
      <x:c r="L613" s="24" t="str">
        <x:v>Preserve each source's ontology, culture, history, and terminology when making comparisons.</x:v>
      </x:c>
      <x:c r="M613" s="24" t="str">
        <x:v>Core Family</x:v>
      </x:c>
    </x:row>
    <x:row r="614" ht="44" customHeight="1">
      <x:c r="A614" s="24" t="str">
        <x:v>PWR-602</x:v>
      </x:c>
      <x:c r="B614" s="24" t="str">
        <x:v>Power Theft and Drain</x:v>
      </x:c>
      <x:c r="C614" s="24" t="str">
        <x:v>Power Traditions</x:v>
      </x:c>
      <x:c r="D614" s="24" t="str">
        <x:v>PWR-600</x:v>
      </x:c>
      <x:c r="E614" s="24" t="str">
        <x:f>IF(D614="","",IFERROR(VLOOKUP(D614,$A$2:$B$1226,2,FALSE),""))</x:f>
        <x:v>Oppositional and Meta-Magical Traditions</x:v>
      </x:c>
      <x:c r="F614" s="24" t="n">
        <x:v>3</x:v>
      </x:c>
      <x:c r="G614" s="24" t="str">
        <x:v>Removal and appropriation of energy, abilities, levels, memories, or supernatural status.</x:v>
      </x:c>
      <x:c r="H614" s="24" t="str">
        <x:v>Record source, method, cost, limits, access, and social control separately.</x:v>
      </x:c>
      <x:c r="I614" s="24" t="str">
        <x:v>power drain; ability theft; siphoning</x:v>
      </x:c>
      <x:c r="J614" s="24" t="str">
        <x:v>Counters, escalation, copying, corruption, rule modification, and system-level interaction.</x:v>
      </x:c>
      <x:c r="K614" s="24" t="str">
        <x:v>power drain; ability theft; siphoning</x:v>
      </x:c>
      <x:c r="L614" s="24" t="str">
        <x:v>Preserve each source's ontology, culture, history, and terminology when making comparisons.</x:v>
      </x:c>
      <x:c r="M614" s="24" t="str">
        <x:v>Core Family</x:v>
      </x:c>
    </x:row>
    <x:row r="615" ht="44" customHeight="1">
      <x:c r="A615" s="24" t="str">
        <x:v>PWR-603</x:v>
      </x:c>
      <x:c r="B615" s="24" t="str">
        <x:v>Anti-Magic and Nullification</x:v>
      </x:c>
      <x:c r="C615" s="24" t="str">
        <x:v>Power Traditions</x:v>
      </x:c>
      <x:c r="D615" s="24" t="str">
        <x:v>PWR-600</x:v>
      </x:c>
      <x:c r="E615" s="24" t="str">
        <x:f>IF(D615="","",IFERROR(VLOOKUP(D615,$A$2:$B$1226,2,FALSE),""))</x:f>
        <x:v>Oppositional and Meta-Magical Traditions</x:v>
      </x:c>
      <x:c r="F615" s="24" t="n">
        <x:v>3</x:v>
      </x:c>
      <x:c r="G615" s="24" t="str">
        <x:v>Suppression, cancellation, resistance, severance, or absence of magic.</x:v>
      </x:c>
      <x:c r="H615" s="24" t="str">
        <x:v>Record source, method, cost, limits, access, and social control separately.</x:v>
      </x:c>
      <x:c r="I615" s="24" t="str">
        <x:v>anti-magic; nullification; silence</x:v>
      </x:c>
      <x:c r="J615" s="24" t="str">
        <x:v>Counters, escalation, copying, corruption, rule modification, and system-level interaction.</x:v>
      </x:c>
      <x:c r="K615" s="24" t="str">
        <x:v>anti-magic; nullification; silence</x:v>
      </x:c>
      <x:c r="L615" s="24" t="str">
        <x:v>Preserve each source's ontology, culture, history, and terminology when making comparisons.</x:v>
      </x:c>
      <x:c r="M615" s="24" t="str">
        <x:v>Core Family</x:v>
      </x:c>
    </x:row>
    <x:row r="616" ht="44" customHeight="1">
      <x:c r="A616" s="24" t="str">
        <x:v>PWR-604</x:v>
      </x:c>
      <x:c r="B616" s="24" t="str">
        <x:v>Dispel and Countermagic</x:v>
      </x:c>
      <x:c r="C616" s="24" t="str">
        <x:v>Power Traditions</x:v>
      </x:c>
      <x:c r="D616" s="24" t="str">
        <x:v>PWR-600</x:v>
      </x:c>
      <x:c r="E616" s="24" t="str">
        <x:f>IF(D616="","",IFERROR(VLOOKUP(D616,$A$2:$B$1226,2,FALSE),""))</x:f>
        <x:v>Oppositional and Meta-Magical Traditions</x:v>
      </x:c>
      <x:c r="F616" s="24" t="n">
        <x:v>3</x:v>
      </x:c>
      <x:c r="G616" s="24" t="str">
        <x:v>Reactive interruption, unraveling, reflection, or removal of active spells and enchantments.</x:v>
      </x:c>
      <x:c r="H616" s="24" t="str">
        <x:v>Record source, method, cost, limits, access, and social control separately.</x:v>
      </x:c>
      <x:c r="I616" s="24" t="str">
        <x:v>dispel; counterspell; spellbreak</x:v>
      </x:c>
      <x:c r="J616" s="24" t="str">
        <x:v>Counters, escalation, copying, corruption, rule modification, and system-level interaction.</x:v>
      </x:c>
      <x:c r="K616" s="24" t="str">
        <x:v>dispel; counterspell; spellbreak</x:v>
      </x:c>
      <x:c r="L616" s="24" t="str">
        <x:v>Preserve each source's ontology, culture, history, and terminology when making comparisons.</x:v>
      </x:c>
      <x:c r="M616" s="24" t="str">
        <x:v>Core Family</x:v>
      </x:c>
    </x:row>
    <x:row r="617" ht="44" customHeight="1">
      <x:c r="A617" s="24" t="str">
        <x:v>PWR-605</x:v>
      </x:c>
      <x:c r="B617" s="24" t="str">
        <x:v>Wild and Chaos Magic</x:v>
      </x:c>
      <x:c r="C617" s="24" t="str">
        <x:v>Power Traditions</x:v>
      </x:c>
      <x:c r="D617" s="24" t="str">
        <x:v>PWR-600</x:v>
      </x:c>
      <x:c r="E617" s="24" t="str">
        <x:f>IF(D617="","",IFERROR(VLOOKUP(D617,$A$2:$B$1226,2,FALSE),""))</x:f>
        <x:v>Oppositional and Meta-Magical Traditions</x:v>
      </x:c>
      <x:c r="F617" s="24" t="n">
        <x:v>3</x:v>
      </x:c>
      <x:c r="G617" s="24" t="str">
        <x:v>Unstable power producing unpredictable, emergent, probabilistic, or reality-warping effects.</x:v>
      </x:c>
      <x:c r="H617" s="24" t="str">
        <x:v>Record source, method, cost, limits, access, and social control separately.</x:v>
      </x:c>
      <x:c r="I617" s="24" t="str">
        <x:v>wild magic; chaos magic</x:v>
      </x:c>
      <x:c r="J617" s="24" t="str">
        <x:v>Counters, escalation, copying, corruption, rule modification, and system-level interaction.</x:v>
      </x:c>
      <x:c r="K617" s="24" t="str">
        <x:v>wild magic; chaos magic</x:v>
      </x:c>
      <x:c r="L617" s="24" t="str">
        <x:v>Preserve each source's ontology, culture, history, and terminology when making comparisons.</x:v>
      </x:c>
      <x:c r="M617" s="24" t="str">
        <x:v>Core Family</x:v>
      </x:c>
    </x:row>
    <x:row r="618" ht="44" customHeight="1">
      <x:c r="A618" s="24" t="str">
        <x:v>PWR-606</x:v>
      </x:c>
      <x:c r="B618" s="24" t="str">
        <x:v>Order and Law Magic</x:v>
      </x:c>
      <x:c r="C618" s="24" t="str">
        <x:v>Power Traditions</x:v>
      </x:c>
      <x:c r="D618" s="24" t="str">
        <x:v>PWR-600</x:v>
      </x:c>
      <x:c r="E618" s="24" t="str">
        <x:f>IF(D618="","",IFERROR(VLOOKUP(D618,$A$2:$B$1226,2,FALSE),""))</x:f>
        <x:v>Oppositional and Meta-Magical Traditions</x:v>
      </x:c>
      <x:c r="F618" s="24" t="n">
        <x:v>3</x:v>
      </x:c>
      <x:c r="G618" s="24" t="str">
        <x:v>Power that stabilizes, binds, regularizes, categorizes, and enforces cosmic or social rules.</x:v>
      </x:c>
      <x:c r="H618" s="24" t="str">
        <x:v>Record source, method, cost, limits, access, and social control separately.</x:v>
      </x:c>
      <x:c r="I618" s="24" t="str">
        <x:v>law magic; order magic; binding</x:v>
      </x:c>
      <x:c r="J618" s="24" t="str">
        <x:v>Counters, escalation, copying, corruption, rule modification, and system-level interaction.</x:v>
      </x:c>
      <x:c r="K618" s="24" t="str">
        <x:v>law magic; order magic; binding</x:v>
      </x:c>
      <x:c r="L618" s="24" t="str">
        <x:v>Preserve each source's ontology, culture, history, and terminology when making comparisons.</x:v>
      </x:c>
      <x:c r="M618" s="24" t="str">
        <x:v>Core Family</x:v>
      </x:c>
    </x:row>
    <x:row r="619" ht="44" customHeight="1">
      <x:c r="A619" s="24" t="str">
        <x:v>PWR-607</x:v>
      </x:c>
      <x:c r="B619" s="24" t="str">
        <x:v>Corruption and Taint</x:v>
      </x:c>
      <x:c r="C619" s="24" t="str">
        <x:v>Power Traditions</x:v>
      </x:c>
      <x:c r="D619" s="24" t="str">
        <x:v>PWR-600</x:v>
      </x:c>
      <x:c r="E619" s="24" t="str">
        <x:f>IF(D619="","",IFERROR(VLOOKUP(D619,$A$2:$B$1226,2,FALSE),""))</x:f>
        <x:v>Oppositional and Meta-Magical Traditions</x:v>
      </x:c>
      <x:c r="F619" s="24" t="n">
        <x:v>3</x:v>
      </x:c>
      <x:c r="G619" s="24" t="str">
        <x:v>Power that spreads metaphysical pollution, mutation, moral compromise, madness, or environmental degradation.</x:v>
      </x:c>
      <x:c r="H619" s="24" t="str">
        <x:v>Record source, method, cost, limits, access, and social control separately.</x:v>
      </x:c>
      <x:c r="I619" s="24" t="str">
        <x:v>corruption; taint; blight</x:v>
      </x:c>
      <x:c r="J619" s="24" t="str">
        <x:v>Counters, escalation, copying, corruption, rule modification, and system-level interaction.</x:v>
      </x:c>
      <x:c r="K619" s="24" t="str">
        <x:v>corruption; taint; blight</x:v>
      </x:c>
      <x:c r="L619" s="24" t="str">
        <x:v>Preserve each source's ontology, culture, history, and terminology when making comparisons.</x:v>
      </x:c>
      <x:c r="M619" s="24" t="str">
        <x:v>Core Family</x:v>
      </x:c>
    </x:row>
    <x:row r="620" ht="44" customHeight="1">
      <x:c r="A620" s="24" t="str">
        <x:v>PWR-608</x:v>
      </x:c>
      <x:c r="B620" s="24" t="str">
        <x:v>Forbidden and Taboo Magic</x:v>
      </x:c>
      <x:c r="C620" s="24" t="str">
        <x:v>Power Traditions</x:v>
      </x:c>
      <x:c r="D620" s="24" t="str">
        <x:v>PWR-600</x:v>
      </x:c>
      <x:c r="E620" s="24" t="str">
        <x:f>IF(D620="","",IFERROR(VLOOKUP(D620,$A$2:$B$1226,2,FALSE),""))</x:f>
        <x:v>Oppositional and Meta-Magical Traditions</x:v>
      </x:c>
      <x:c r="F620" s="24" t="n">
        <x:v>3</x:v>
      </x:c>
      <x:c r="G620" s="24" t="str">
        <x:v>Practices prohibited because of cost, danger, doctrine, social power, or moral boundary.</x:v>
      </x:c>
      <x:c r="H620" s="24" t="str">
        <x:v>Record source, method, cost, limits, access, and social control separately.</x:v>
      </x:c>
      <x:c r="I620" s="24" t="str">
        <x:v>forbidden magic; black arts; taboo spell</x:v>
      </x:c>
      <x:c r="J620" s="24" t="str">
        <x:v>Counters, escalation, copying, corruption, rule modification, and system-level interaction.</x:v>
      </x:c>
      <x:c r="K620" s="24" t="str">
        <x:v>forbidden magic; black arts; taboo spell</x:v>
      </x:c>
      <x:c r="L620" s="24" t="str">
        <x:v>Preserve each source's ontology, culture, history, and terminology when making comparisons.</x:v>
      </x:c>
      <x:c r="M620" s="24" t="str">
        <x:v>Core Family</x:v>
      </x:c>
    </x:row>
    <x:row r="621" ht="44" customHeight="1">
      <x:c r="A621" s="24" t="str">
        <x:v>PWR-609</x:v>
      </x:c>
      <x:c r="B621" s="24" t="str">
        <x:v>Chaos Mutation</x:v>
      </x:c>
      <x:c r="C621" s="24" t="str">
        <x:v>Power Traditions</x:v>
      </x:c>
      <x:c r="D621" s="24" t="str">
        <x:v>PWR-600</x:v>
      </x:c>
      <x:c r="E621" s="24" t="str">
        <x:f>IF(D621="","",IFERROR(VLOOKUP(D621,$A$2:$B$1226,2,FALSE),""))</x:f>
        <x:v>Oppositional and Meta-Magical Traditions</x:v>
      </x:c>
      <x:c r="F621" s="24" t="n">
        <x:v>3</x:v>
      </x:c>
      <x:c r="G621" s="24" t="str">
        <x:v>Power that changes bodies and abilities unpredictably through exposure to disorder or hostile magic.</x:v>
      </x:c>
      <x:c r="H621" s="24" t="str">
        <x:v>Record source, method, cost, limits, access, and social control separately.</x:v>
      </x:c>
      <x:c r="I621" s="24" t="str">
        <x:v>mutation; warp change; chaos gift</x:v>
      </x:c>
      <x:c r="J621" s="24" t="str">
        <x:v>Counters, escalation, copying, corruption, rule modification, and system-level interaction.</x:v>
      </x:c>
      <x:c r="K621" s="24" t="str">
        <x:v>mutation; warp change; chaos gift</x:v>
      </x:c>
      <x:c r="L621" s="24" t="str">
        <x:v>Preserve each source's ontology, culture, history, and terminology when making comparisons.</x:v>
      </x:c>
      <x:c r="M621" s="24" t="str">
        <x:v>Core Family</x:v>
      </x:c>
    </x:row>
    <x:row r="622" ht="44" customHeight="1">
      <x:c r="A622" s="24" t="str">
        <x:v>PWR-610</x:v>
      </x:c>
      <x:c r="B622" s="24" t="str">
        <x:v>Metamagic</x:v>
      </x:c>
      <x:c r="C622" s="24" t="str">
        <x:v>Power Traditions</x:v>
      </x:c>
      <x:c r="D622" s="24" t="str">
        <x:v>PWR-600</x:v>
      </x:c>
      <x:c r="E622" s="24" t="str">
        <x:f>IF(D622="","",IFERROR(VLOOKUP(D622,$A$2:$B$1226,2,FALSE),""))</x:f>
        <x:v>Oppositional and Meta-Magical Traditions</x:v>
      </x:c>
      <x:c r="F622" s="24" t="n">
        <x:v>3</x:v>
      </x:c>
      <x:c r="G622" s="24" t="str">
        <x:v>Techniques that alter a spell's range, duration, target, form, cost, or rule behavior.</x:v>
      </x:c>
      <x:c r="H622" s="24" t="str">
        <x:v>Record source, method, cost, limits, access, and social control separately.</x:v>
      </x:c>
      <x:c r="I622" s="24" t="str">
        <x:v>metamagic; spell shaping</x:v>
      </x:c>
      <x:c r="J622" s="24" t="str">
        <x:v>Counters, escalation, copying, corruption, rule modification, and system-level interaction.</x:v>
      </x:c>
      <x:c r="K622" s="24" t="str">
        <x:v>metamagic; spell shaping</x:v>
      </x:c>
      <x:c r="L622" s="24" t="str">
        <x:v>Preserve each source's ontology, culture, history, and terminology when making comparisons.</x:v>
      </x:c>
      <x:c r="M622" s="24" t="str">
        <x:v>Core Family</x:v>
      </x:c>
    </x:row>
    <x:row r="623" ht="44" customHeight="1">
      <x:c r="A623" s="24" t="str">
        <x:v>PWR-611</x:v>
      </x:c>
      <x:c r="B623" s="24" t="str">
        <x:v>Magic Absorption</x:v>
      </x:c>
      <x:c r="C623" s="24" t="str">
        <x:v>Power Traditions</x:v>
      </x:c>
      <x:c r="D623" s="24" t="str">
        <x:v>PWR-600</x:v>
      </x:c>
      <x:c r="E623" s="24" t="str">
        <x:f>IF(D623="","",IFERROR(VLOOKUP(D623,$A$2:$B$1226,2,FALSE),""))</x:f>
        <x:v>Oppositional and Meta-Magical Traditions</x:v>
      </x:c>
      <x:c r="F623" s="24" t="n">
        <x:v>3</x:v>
      </x:c>
      <x:c r="G623" s="24" t="str">
        <x:v>Conversion of incoming magic into energy, healing, stored power, or immunity.</x:v>
      </x:c>
      <x:c r="H623" s="24" t="str">
        <x:v>Record source, method, cost, limits, access, and social control separately.</x:v>
      </x:c>
      <x:c r="I623" s="24" t="str">
        <x:v>spell absorption; mana drain</x:v>
      </x:c>
      <x:c r="J623" s="24" t="str">
        <x:v>Counters, escalation, copying, corruption, rule modification, and system-level interaction.</x:v>
      </x:c>
      <x:c r="K623" s="24" t="str">
        <x:v>spell absorption; mana drain</x:v>
      </x:c>
      <x:c r="L623" s="24" t="str">
        <x:v>Preserve each source's ontology, culture, history, and terminology when making comparisons.</x:v>
      </x:c>
      <x:c r="M623" s="24" t="str">
        <x:v>Core Family</x:v>
      </x:c>
    </x:row>
    <x:row r="624" ht="44" customHeight="1">
      <x:c r="A624" s="24" t="str">
        <x:v>PWR-612</x:v>
      </x:c>
      <x:c r="B624" s="24" t="str">
        <x:v>Reflection and Redirection</x:v>
      </x:c>
      <x:c r="C624" s="24" t="str">
        <x:v>Power Traditions</x:v>
      </x:c>
      <x:c r="D624" s="24" t="str">
        <x:v>PWR-600</x:v>
      </x:c>
      <x:c r="E624" s="24" t="str">
        <x:f>IF(D624="","",IFERROR(VLOOKUP(D624,$A$2:$B$1226,2,FALSE),""))</x:f>
        <x:v>Oppositional and Meta-Magical Traditions</x:v>
      </x:c>
      <x:c r="F624" s="24" t="n">
        <x:v>3</x:v>
      </x:c>
      <x:c r="G624" s="24" t="str">
        <x:v>Returning, transferring, or retargeting powers and attacks.</x:v>
      </x:c>
      <x:c r="H624" s="24" t="str">
        <x:v>Record source, method, cost, limits, access, and social control separately.</x:v>
      </x:c>
      <x:c r="I624" s="24" t="str">
        <x:v>reflect; redirect; rebound</x:v>
      </x:c>
      <x:c r="J624" s="24" t="str">
        <x:v>Counters, escalation, copying, corruption, rule modification, and system-level interaction.</x:v>
      </x:c>
      <x:c r="K624" s="24" t="str">
        <x:v>reflect; redirect; rebound</x:v>
      </x:c>
      <x:c r="L624" s="24" t="str">
        <x:v>Preserve each source's ontology, culture, history, and terminology when making comparisons.</x:v>
      </x:c>
      <x:c r="M624" s="24" t="str">
        <x:v>Core Family</x:v>
      </x:c>
    </x:row>
    <x:row r="625" ht="44" customHeight="1">
      <x:c r="A625" s="24" t="str">
        <x:v>PWR-613</x:v>
      </x:c>
      <x:c r="B625" s="24" t="str">
        <x:v>Sealing and Binding</x:v>
      </x:c>
      <x:c r="C625" s="24" t="str">
        <x:v>Power Traditions</x:v>
      </x:c>
      <x:c r="D625" s="24" t="str">
        <x:v>PWR-600</x:v>
      </x:c>
      <x:c r="E625" s="24" t="str">
        <x:f>IF(D625="","",IFERROR(VLOOKUP(D625,$A$2:$B$1226,2,FALSE),""))</x:f>
        <x:v>Oppositional and Meta-Magical Traditions</x:v>
      </x:c>
      <x:c r="F625" s="24" t="n">
        <x:v>3</x:v>
      </x:c>
      <x:c r="G625" s="24" t="str">
        <x:v>Restraining beings, powers, memories, portals, or conditions through containment.</x:v>
      </x:c>
      <x:c r="H625" s="24" t="str">
        <x:v>Record source, method, cost, limits, access, and social control separately.</x:v>
      </x:c>
      <x:c r="I625" s="24" t="str">
        <x:v>seal; bind; imprison</x:v>
      </x:c>
      <x:c r="J625" s="24" t="str">
        <x:v>Counters, escalation, copying, corruption, rule modification, and system-level interaction.</x:v>
      </x:c>
      <x:c r="K625" s="24" t="str">
        <x:v>seal; bind; imprison</x:v>
      </x:c>
      <x:c r="L625" s="24" t="str">
        <x:v>Preserve each source's ontology, culture, history, and terminology when making comparisons.</x:v>
      </x:c>
      <x:c r="M625" s="24" t="str">
        <x:v>Core Family</x:v>
      </x:c>
    </x:row>
    <x:row r="626" ht="44" customHeight="1">
      <x:c r="A626" s="24" t="str">
        <x:v>PWR-614</x:v>
      </x:c>
      <x:c r="B626" s="24" t="str">
        <x:v>Exorcism and Banishment</x:v>
      </x:c>
      <x:c r="C626" s="24" t="str">
        <x:v>Power Traditions</x:v>
      </x:c>
      <x:c r="D626" s="24" t="str">
        <x:v>PWR-600</x:v>
      </x:c>
      <x:c r="E626" s="24" t="str">
        <x:f>IF(D626="","",IFERROR(VLOOKUP(D626,$A$2:$B$1226,2,FALSE),""))</x:f>
        <x:v>Oppositional and Meta-Magical Traditions</x:v>
      </x:c>
      <x:c r="F626" s="24" t="n">
        <x:v>3</x:v>
      </x:c>
      <x:c r="G626" s="24" t="str">
        <x:v>Expelling possessing, summoned, undead, or extraplanar beings from a body or realm.</x:v>
      </x:c>
      <x:c r="H626" s="24" t="str">
        <x:v>Record source, method, cost, limits, access, and social control separately.</x:v>
      </x:c>
      <x:c r="I626" s="24" t="str">
        <x:v>banishment; exorcism; dismissal</x:v>
      </x:c>
      <x:c r="J626" s="24" t="str">
        <x:v>Counters, escalation, copying, corruption, rule modification, and system-level interaction.</x:v>
      </x:c>
      <x:c r="K626" s="24" t="str">
        <x:v>banishment; exorcism; dismissal</x:v>
      </x:c>
      <x:c r="L626" s="24" t="str">
        <x:v>Preserve each source's ontology, culture, history, and terminology when making comparisons.</x:v>
      </x:c>
      <x:c r="M626" s="24" t="str">
        <x:v>Core Family</x:v>
      </x:c>
    </x:row>
    <x:row r="627" ht="44" customHeight="1">
      <x:c r="A627" s="24" t="str">
        <x:v>PWR-615</x:v>
      </x:c>
      <x:c r="B627" s="24" t="str">
        <x:v>Power Amplification</x:v>
      </x:c>
      <x:c r="C627" s="24" t="str">
        <x:v>Power Traditions</x:v>
      </x:c>
      <x:c r="D627" s="24" t="str">
        <x:v>PWR-600</x:v>
      </x:c>
      <x:c r="E627" s="24" t="str">
        <x:f>IF(D627="","",IFERROR(VLOOKUP(D627,$A$2:$B$1226,2,FALSE),""))</x:f>
        <x:v>Oppositional and Meta-Magical Traditions</x:v>
      </x:c>
      <x:c r="F627" s="24" t="n">
        <x:v>3</x:v>
      </x:c>
      <x:c r="G627" s="24" t="str">
        <x:v>Increasing another ability's scale, duration, precision, or output through support or resonance.</x:v>
      </x:c>
      <x:c r="H627" s="24" t="str">
        <x:v>Record source, method, cost, limits, access, and social control separately.</x:v>
      </x:c>
      <x:c r="I627" s="24" t="str">
        <x:v>amplification; empower; boost</x:v>
      </x:c>
      <x:c r="J627" s="24" t="str">
        <x:v>Counters, escalation, copying, corruption, rule modification, and system-level interaction.</x:v>
      </x:c>
      <x:c r="K627" s="24" t="str">
        <x:v>amplification; empower; boost</x:v>
      </x:c>
      <x:c r="L627" s="24" t="str">
        <x:v>Preserve each source's ontology, culture, history, and terminology when making comparisons.</x:v>
      </x:c>
      <x:c r="M627" s="24" t="str">
        <x:v>Core Family</x:v>
      </x:c>
    </x:row>
    <x:row r="628" ht="44" customHeight="1">
      <x:c r="A628" s="24" t="str">
        <x:v>PWR-616</x:v>
      </x:c>
      <x:c r="B628" s="24" t="str">
        <x:v>Power Suppression</x:v>
      </x:c>
      <x:c r="C628" s="24" t="str">
        <x:v>Power Traditions</x:v>
      </x:c>
      <x:c r="D628" s="24" t="str">
        <x:v>PWR-600</x:v>
      </x:c>
      <x:c r="E628" s="24" t="str">
        <x:f>IF(D628="","",IFERROR(VLOOKUP(D628,$A$2:$B$1226,2,FALSE),""))</x:f>
        <x:v>Oppositional and Meta-Magical Traditions</x:v>
      </x:c>
      <x:c r="F628" s="24" t="n">
        <x:v>3</x:v>
      </x:c>
      <x:c r="G628" s="24" t="str">
        <x:v>Reducing or preventing another being's access to abilities without fully removing them.</x:v>
      </x:c>
      <x:c r="H628" s="24" t="str">
        <x:v>Record source, method, cost, limits, access, and social control separately.</x:v>
      </x:c>
      <x:c r="I628" s="24" t="str">
        <x:v>suppression; dampening; inhibitor</x:v>
      </x:c>
      <x:c r="J628" s="24" t="str">
        <x:v>Counters, escalation, copying, corruption, rule modification, and system-level interaction.</x:v>
      </x:c>
      <x:c r="K628" s="24" t="str">
        <x:v>suppression; dampening; inhibitor</x:v>
      </x:c>
      <x:c r="L628" s="24" t="str">
        <x:v>Preserve each source's ontology, culture, history, and terminology when making comparisons.</x:v>
      </x:c>
      <x:c r="M628" s="24" t="str">
        <x:v>Core Family</x:v>
      </x:c>
    </x:row>
    <x:row r="629" ht="44" customHeight="1">
      <x:c r="A629" s="24" t="str">
        <x:v>PWR-617</x:v>
      </x:c>
      <x:c r="B629" s="24" t="str">
        <x:v>Adaptive Resistance</x:v>
      </x:c>
      <x:c r="C629" s="24" t="str">
        <x:v>Power Traditions</x:v>
      </x:c>
      <x:c r="D629" s="24" t="str">
        <x:v>PWR-600</x:v>
      </x:c>
      <x:c r="E629" s="24" t="str">
        <x:f>IF(D629="","",IFERROR(VLOOKUP(D629,$A$2:$B$1226,2,FALSE),""))</x:f>
        <x:v>Oppositional and Meta-Magical Traditions</x:v>
      </x:c>
      <x:c r="F629" s="24" t="n">
        <x:v>3</x:v>
      </x:c>
      <x:c r="G629" s="24" t="str">
        <x:v>Developing immunity or counters after exposure to an attack or environment.</x:v>
      </x:c>
      <x:c r="H629" s="24" t="str">
        <x:v>Record source, method, cost, limits, access, and social control separately.</x:v>
      </x:c>
      <x:c r="I629" s="24" t="str">
        <x:v>adaptation; evolving resistance</x:v>
      </x:c>
      <x:c r="J629" s="24" t="str">
        <x:v>Counters, escalation, copying, corruption, rule modification, and system-level interaction.</x:v>
      </x:c>
      <x:c r="K629" s="24" t="str">
        <x:v>adaptation; evolving resistance</x:v>
      </x:c>
      <x:c r="L629" s="24" t="str">
        <x:v>Preserve each source's ontology, culture, history, and terminology when making comparisons.</x:v>
      </x:c>
      <x:c r="M629" s="24" t="str">
        <x:v>Core Family</x:v>
      </x:c>
    </x:row>
    <x:row r="630" ht="44" customHeight="1">
      <x:c r="A630" s="24" t="str">
        <x:v>PWR-618</x:v>
      </x:c>
      <x:c r="B630" s="24" t="str">
        <x:v>Randomized and Luck-Based Power</x:v>
      </x:c>
      <x:c r="C630" s="24" t="str">
        <x:v>Power Traditions</x:v>
      </x:c>
      <x:c r="D630" s="24" t="str">
        <x:v>PWR-600</x:v>
      </x:c>
      <x:c r="E630" s="24" t="str">
        <x:f>IF(D630="","",IFERROR(VLOOKUP(D630,$A$2:$B$1226,2,FALSE),""))</x:f>
        <x:v>Oppositional and Meta-Magical Traditions</x:v>
      </x:c>
      <x:c r="F630" s="24" t="n">
        <x:v>3</x:v>
      </x:c>
      <x:c r="G630" s="24" t="str">
        <x:v>Effects selected or modified by chance, draws, dice, uncertain tables, or probability.</x:v>
      </x:c>
      <x:c r="H630" s="24" t="str">
        <x:v>Record source, method, cost, limits, access, and social control separately.</x:v>
      </x:c>
      <x:c r="I630" s="24" t="str">
        <x:v>random magic; roulette; gamble</x:v>
      </x:c>
      <x:c r="J630" s="24" t="str">
        <x:v>Counters, escalation, copying, corruption, rule modification, and system-level interaction.</x:v>
      </x:c>
      <x:c r="K630" s="24" t="str">
        <x:v>random magic; roulette; gamble</x:v>
      </x:c>
      <x:c r="L630" s="24" t="str">
        <x:v>Preserve each source's ontology, culture, history, and terminology when making comparisons.</x:v>
      </x:c>
      <x:c r="M630" s="24" t="str">
        <x:v>Core Family</x:v>
      </x:c>
    </x:row>
    <x:row r="631" ht="44" customHeight="1">
      <x:c r="A631" s="24" t="str">
        <x:v>PWR-619</x:v>
      </x:c>
      <x:c r="B631" s="24" t="str">
        <x:v>Combination and Fusion</x:v>
      </x:c>
      <x:c r="C631" s="24" t="str">
        <x:v>Power Traditions</x:v>
      </x:c>
      <x:c r="D631" s="24" t="str">
        <x:v>PWR-600</x:v>
      </x:c>
      <x:c r="E631" s="24" t="str">
        <x:f>IF(D631="","",IFERROR(VLOOKUP(D631,$A$2:$B$1226,2,FALSE),""))</x:f>
        <x:v>Oppositional and Meta-Magical Traditions</x:v>
      </x:c>
      <x:c r="F631" s="24" t="n">
        <x:v>3</x:v>
      </x:c>
      <x:c r="G631" s="24" t="str">
        <x:v>Merging beings, powers, spells, elements, or classes into a composite form.</x:v>
      </x:c>
      <x:c r="H631" s="24" t="str">
        <x:v>Record source, method, cost, limits, access, and social control separately.</x:v>
      </x:c>
      <x:c r="I631" s="24" t="str">
        <x:v>fusion; synthesis; combination</x:v>
      </x:c>
      <x:c r="J631" s="24" t="str">
        <x:v>Counters, escalation, copying, corruption, rule modification, and system-level interaction.</x:v>
      </x:c>
      <x:c r="K631" s="24" t="str">
        <x:v>fusion; synthesis; combination</x:v>
      </x:c>
      <x:c r="L631" s="24" t="str">
        <x:v>Preserve each source's ontology, culture, history, and terminology when making comparisons.</x:v>
      </x:c>
      <x:c r="M631" s="24" t="str">
        <x:v>Core Family</x:v>
      </x:c>
    </x:row>
    <x:row r="632" ht="44" customHeight="1">
      <x:c r="A632" s="24" t="str">
        <x:v>PWR-620</x:v>
      </x:c>
      <x:c r="B632" s="24" t="str">
        <x:v>Transformation Sequence</x:v>
      </x:c>
      <x:c r="C632" s="24" t="str">
        <x:v>Power Traditions</x:v>
      </x:c>
      <x:c r="D632" s="24" t="str">
        <x:v>PWR-600</x:v>
      </x:c>
      <x:c r="E632" s="24" t="str">
        <x:f>IF(D632="","",IFERROR(VLOOKUP(D632,$A$2:$B$1226,2,FALSE),""))</x:f>
        <x:v>Oppositional and Meta-Magical Traditions</x:v>
      </x:c>
      <x:c r="F632" s="24" t="n">
        <x:v>3</x:v>
      </x:c>
      <x:c r="G632" s="24" t="str">
        <x:v>Power accessed through a repeatable change of form that also changes equipment, role, and identity.</x:v>
      </x:c>
      <x:c r="H632" s="24" t="str">
        <x:v>Record source, method, cost, limits, access, and social control separately.</x:v>
      </x:c>
      <x:c r="I632" s="24" t="str">
        <x:v>henshin; magical transformation; battle form</x:v>
      </x:c>
      <x:c r="J632" s="24" t="str">
        <x:v>Counters, escalation, copying, corruption, rule modification, and system-level interaction.</x:v>
      </x:c>
      <x:c r="K632" s="24" t="str">
        <x:v>henshin; magical transformation; battle form</x:v>
      </x:c>
      <x:c r="L632" s="24" t="str">
        <x:v>Preserve each source's ontology, culture, history, and terminology when making comparisons.</x:v>
      </x:c>
      <x:c r="M632" s="24" t="str">
        <x:v>Core Family</x:v>
      </x:c>
    </x:row>
    <x:row r="633" ht="44" customHeight="1">
      <x:c r="A633" s="24" t="str">
        <x:v>PWR-621</x:v>
      </x:c>
      <x:c r="B633" s="24" t="str">
        <x:v>Limit Break and Crisis Power</x:v>
      </x:c>
      <x:c r="C633" s="24" t="str">
        <x:v>Power Traditions</x:v>
      </x:c>
      <x:c r="D633" s="24" t="str">
        <x:v>PWR-600</x:v>
      </x:c>
      <x:c r="E633" s="24" t="str">
        <x:f>IF(D633="","",IFERROR(VLOOKUP(D633,$A$2:$B$1226,2,FALSE),""))</x:f>
        <x:v>Oppositional and Meta-Magical Traditions</x:v>
      </x:c>
      <x:c r="F633" s="24" t="n">
        <x:v>3</x:v>
      </x:c>
      <x:c r="G633" s="24" t="str">
        <x:v>Temporary extraordinary output triggered by danger, damage, emotion, or accumulated resource.</x:v>
      </x:c>
      <x:c r="H633" s="24" t="str">
        <x:v>Record source, method, cost, limits, access, and social control separately.</x:v>
      </x:c>
      <x:c r="I633" s="24" t="str">
        <x:v>limit break; desperation move; overdrive</x:v>
      </x:c>
      <x:c r="J633" s="24" t="str">
        <x:v>Counters, escalation, copying, corruption, rule modification, and system-level interaction.</x:v>
      </x:c>
      <x:c r="K633" s="24" t="str">
        <x:v>limit break; desperation move; overdrive</x:v>
      </x:c>
      <x:c r="L633" s="24" t="str">
        <x:v>Preserve each source's ontology, culture, history, and terminology when making comparisons.</x:v>
      </x:c>
      <x:c r="M633" s="24" t="str">
        <x:v>Core Family</x:v>
      </x:c>
    </x:row>
    <x:row r="634" ht="44" customHeight="1">
      <x:c r="A634" s="24" t="str">
        <x:v>PWR-622</x:v>
      </x:c>
      <x:c r="B634" s="24" t="str">
        <x:v>World-System Authority</x:v>
      </x:c>
      <x:c r="C634" s="24" t="str">
        <x:v>Power Traditions</x:v>
      </x:c>
      <x:c r="D634" s="24" t="str">
        <x:v>PWR-600</x:v>
      </x:c>
      <x:c r="E634" s="24" t="str">
        <x:f>IF(D634="","",IFERROR(VLOOKUP(D634,$A$2:$B$1226,2,FALSE),""))</x:f>
        <x:v>Oppositional and Meta-Magical Traditions</x:v>
      </x:c>
      <x:c r="F634" s="24" t="n">
        <x:v>3</x:v>
      </x:c>
      <x:c r="G634" s="24" t="str">
        <x:v>Administrative or interface-like power to inspect, assign, edit, spawn, or override system rules.</x:v>
      </x:c>
      <x:c r="H634" s="24" t="str">
        <x:v>Record source, method, cost, limits, access, and social control separately.</x:v>
      </x:c>
      <x:c r="I634" s="24" t="str">
        <x:v>system authority; administrator power; game master power</x:v>
      </x:c>
      <x:c r="J634" s="24" t="str">
        <x:v>Counters, escalation, copying, corruption, rule modification, and system-level interaction.</x:v>
      </x:c>
      <x:c r="K634" s="24" t="str">
        <x:v>system authority; administrator power; game master power</x:v>
      </x:c>
      <x:c r="L634" s="24" t="str">
        <x:v>Preserve each source's ontology, culture, history, and terminology when making comparisons.</x:v>
      </x:c>
      <x:c r="M634" s="24" t="str">
        <x:v>Core Family</x:v>
      </x:c>
    </x:row>
    <x:row r="635" ht="44" customHeight="1">
      <x:c r="A635" s="24" t="str">
        <x:v>STA-100</x:v>
      </x:c>
      <x:c r="B635" s="24" t="str">
        <x:v>Death and Undeath States</x:v>
      </x:c>
      <x:c r="C635" s="24" t="str">
        <x:v>States &amp; Transformations</x:v>
      </x:c>
      <x:c r="D635" s="24" t="str">
        <x:v>STA-000</x:v>
      </x:c>
      <x:c r="E635" s="24" t="str">
        <x:f>IF(D635="","",IFERROR(VLOOKUP(D635,$A$2:$B$1226,2,FALSE),""))</x:f>
        <x:v>States &amp; Transformations</x:v>
      </x:c>
      <x:c r="F635" s="24" t="n">
        <x:v>2</x:v>
      </x:c>
      <x:c r="G635" s="24" t="str">
        <x:v>Conditions arising from death, interrupted death, postmortem persistence, or necromantic continuation.</x:v>
      </x:c>
      <x:c r="H635" s="24" t="str">
        <x:v>A state is acquired or changeable; do not automatically treat it as a species, culture, or profession.</x:v>
      </x:c>
      <x:c r="I635" s="24" t="str"/>
      <x:c r="J635" s="24" t="str">
        <x:v>Models templates, curses, awakenings, and transformations independently of the base person.</x:v>
      </x:c>
      <x:c r="K635" s="24" t="str">
        <x:v>Death and Undeath States</x:v>
      </x:c>
      <x:c r="L635" s="24" t="str">
        <x:v>Preserve each source's ontology, culture, history, and terminology when making comparisons.</x:v>
      </x:c>
      <x:c r="M635" s="24" t="str">
        <x:v>Category</x:v>
      </x:c>
    </x:row>
    <x:row r="636" ht="44" customHeight="1">
      <x:c r="A636" s="24" t="str">
        <x:v>STA-200</x:v>
      </x:c>
      <x:c r="B636" s="24" t="str">
        <x:v>Bodily Transformation States</x:v>
      </x:c>
      <x:c r="C636" s="24" t="str">
        <x:v>States &amp; Transformations</x:v>
      </x:c>
      <x:c r="D636" s="24" t="str">
        <x:v>STA-000</x:v>
      </x:c>
      <x:c r="E636" s="24" t="str">
        <x:f>IF(D636="","",IFERROR(VLOOKUP(D636,$A$2:$B$1226,2,FALSE),""))</x:f>
        <x:v>States &amp; Transformations</x:v>
      </x:c>
      <x:c r="F636" s="24" t="n">
        <x:v>2</x:v>
      </x:c>
      <x:c r="G636" s="24" t="str">
        <x:v>Changes to species, anatomy, scale, material, health, or biological capability.</x:v>
      </x:c>
      <x:c r="H636" s="24" t="str">
        <x:v>A state is acquired or changeable; do not automatically treat it as a species, culture, or profession.</x:v>
      </x:c>
      <x:c r="I636" s="24" t="str"/>
      <x:c r="J636" s="24" t="str">
        <x:v>Models templates, curses, awakenings, and transformations independently of the base person.</x:v>
      </x:c>
      <x:c r="K636" s="24" t="str">
        <x:v>Bodily Transformation States</x:v>
      </x:c>
      <x:c r="L636" s="24" t="str">
        <x:v>Preserve each source's ontology, culture, history, and terminology when making comparisons.</x:v>
      </x:c>
      <x:c r="M636" s="24" t="str">
        <x:v>Category</x:v>
      </x:c>
    </x:row>
    <x:row r="637" ht="44" customHeight="1">
      <x:c r="A637" s="24" t="str">
        <x:v>STA-300</x:v>
      </x:c>
      <x:c r="B637" s="24" t="str">
        <x:v>Spiritual and Identity States</x:v>
      </x:c>
      <x:c r="C637" s="24" t="str">
        <x:v>States &amp; Transformations</x:v>
      </x:c>
      <x:c r="D637" s="24" t="str">
        <x:v>STA-000</x:v>
      </x:c>
      <x:c r="E637" s="24" t="str">
        <x:f>IF(D637="","",IFERROR(VLOOKUP(D637,$A$2:$B$1226,2,FALSE),""))</x:f>
        <x:v>States &amp; Transformations</x:v>
      </x:c>
      <x:c r="F637" s="24" t="n">
        <x:v>2</x:v>
      </x:c>
      <x:c r="G637" s="24" t="str">
        <x:v>Changes to soul, memory, possession, consciousness, destiny, or continuity of self.</x:v>
      </x:c>
      <x:c r="H637" s="24" t="str">
        <x:v>A state is acquired or changeable; do not automatically treat it as a species, culture, or profession.</x:v>
      </x:c>
      <x:c r="I637" s="24" t="str"/>
      <x:c r="J637" s="24" t="str">
        <x:v>Models templates, curses, awakenings, and transformations independently of the base person.</x:v>
      </x:c>
      <x:c r="K637" s="24" t="str">
        <x:v>Spiritual and Identity States</x:v>
      </x:c>
      <x:c r="L637" s="24" t="str">
        <x:v>Preserve each source's ontology, culture, history, and terminology when making comparisons.</x:v>
      </x:c>
      <x:c r="M637" s="24" t="str">
        <x:v>Category</x:v>
      </x:c>
    </x:row>
    <x:row r="638" ht="44" customHeight="1">
      <x:c r="A638" s="24" t="str">
        <x:v>STA-400</x:v>
      </x:c>
      <x:c r="B638" s="24" t="str">
        <x:v>Empowerment, Bond, and Alignment States</x:v>
      </x:c>
      <x:c r="C638" s="24" t="str">
        <x:v>States &amp; Transformations</x:v>
      </x:c>
      <x:c r="D638" s="24" t="str">
        <x:v>STA-000</x:v>
      </x:c>
      <x:c r="E638" s="24" t="str">
        <x:f>IF(D638="","",IFERROR(VLOOKUP(D638,$A$2:$B$1226,2,FALSE),""))</x:f>
        <x:v>States &amp; Transformations</x:v>
      </x:c>
      <x:c r="F638" s="24" t="n">
        <x:v>2</x:v>
      </x:c>
      <x:c r="G638" s="24" t="str">
        <x:v>Acquired affiliations, awakenings, blessings, pacts, attunements, and power-bearing conditions.</x:v>
      </x:c>
      <x:c r="H638" s="24" t="str">
        <x:v>A state is acquired or changeable; do not automatically treat it as a species, culture, or profession.</x:v>
      </x:c>
      <x:c r="I638" s="24" t="str"/>
      <x:c r="J638" s="24" t="str">
        <x:v>Models templates, curses, awakenings, and transformations independently of the base person.</x:v>
      </x:c>
      <x:c r="K638" s="24" t="str">
        <x:v>Empowerment, Bond, and Alignment States</x:v>
      </x:c>
      <x:c r="L638" s="24" t="str">
        <x:v>Preserve each source's ontology, culture, history, and terminology when making comparisons.</x:v>
      </x:c>
      <x:c r="M638" s="24" t="str">
        <x:v>Category</x:v>
      </x:c>
    </x:row>
    <x:row r="639" ht="44" customHeight="1">
      <x:c r="A639" s="24" t="str">
        <x:v>STA-500</x:v>
      </x:c>
      <x:c r="B639" s="24" t="str">
        <x:v>Displacement and Meta-Narrative States</x:v>
      </x:c>
      <x:c r="C639" s="24" t="str">
        <x:v>States &amp; Transformations</x:v>
      </x:c>
      <x:c r="D639" s="24" t="str">
        <x:v>STA-000</x:v>
      </x:c>
      <x:c r="E639" s="24" t="str">
        <x:f>IF(D639="","",IFERROR(VLOOKUP(D639,$A$2:$B$1226,2,FALSE),""))</x:f>
        <x:v>States &amp; Transformations</x:v>
      </x:c>
      <x:c r="F639" s="24" t="n">
        <x:v>2</x:v>
      </x:c>
      <x:c r="G639" s="24" t="str">
        <x:v>Conditions involving reincarnation, summoning, time travel, systemization, or migration between worlds.</x:v>
      </x:c>
      <x:c r="H639" s="24" t="str">
        <x:v>A state is acquired or changeable; do not automatically treat it as a species, culture, or profession.</x:v>
      </x:c>
      <x:c r="I639" s="24" t="str"/>
      <x:c r="J639" s="24" t="str">
        <x:v>Models templates, curses, awakenings, and transformations independently of the base person.</x:v>
      </x:c>
      <x:c r="K639" s="24" t="str">
        <x:v>Displacement and Meta-Narrative States</x:v>
      </x:c>
      <x:c r="L639" s="24" t="str">
        <x:v>Preserve each source's ontology, culture, history, and terminology when making comparisons.</x:v>
      </x:c>
      <x:c r="M639" s="24" t="str">
        <x:v>Category</x:v>
      </x:c>
    </x:row>
    <x:row r="640" ht="44" customHeight="1">
      <x:c r="A640" s="24" t="str">
        <x:v>STA-101</x:v>
      </x:c>
      <x:c r="B640" s="24" t="str">
        <x:v>Dead</x:v>
      </x:c>
      <x:c r="C640" s="24" t="str">
        <x:v>States &amp; Transformations</x:v>
      </x:c>
      <x:c r="D640" s="24" t="str">
        <x:v>STA-100</x:v>
      </x:c>
      <x:c r="E640" s="24" t="str">
        <x:f>IF(D640="","",IFERROR(VLOOKUP(D640,$A$2:$B$1226,2,FALSE),""))</x:f>
        <x:v>Death and Undeath States</x:v>
      </x:c>
      <x:c r="F640" s="24" t="n">
        <x:v>3</x:v>
      </x:c>
      <x:c r="G640" s="24" t="str">
        <x:v>Biological life has ended and no continuing agency is assumed.</x:v>
      </x:c>
      <x:c r="H640" s="24" t="str">
        <x:v>Record reversibility, agency, transmission, cost, social recognition, and identity continuity.</x:v>
      </x:c>
      <x:c r="I640" s="24" t="str">
        <x:v>death; deceased</x:v>
      </x:c>
      <x:c r="J640" s="24" t="str">
        <x:v>Horror, immortality, grief, persistence, postmortem duty, and life-death cosmology.</x:v>
      </x:c>
      <x:c r="K640" s="24" t="str">
        <x:v>death; deceased</x:v>
      </x:c>
      <x:c r="L640" s="24" t="str">
        <x:v>Preserve each source's ontology, culture, history, and terminology when making comparisons.</x:v>
      </x:c>
      <x:c r="M640" s="24" t="str">
        <x:v>Core Family</x:v>
      </x:c>
    </x:row>
    <x:row r="641" ht="44" customHeight="1">
      <x:c r="A641" s="24" t="str">
        <x:v>STA-102</x:v>
      </x:c>
      <x:c r="B641" s="24" t="str">
        <x:v>Ghosthood</x:v>
      </x:c>
      <x:c r="C641" s="24" t="str">
        <x:v>States &amp; Transformations</x:v>
      </x:c>
      <x:c r="D641" s="24" t="str">
        <x:v>STA-100</x:v>
      </x:c>
      <x:c r="E641" s="24" t="str">
        <x:f>IF(D641="","",IFERROR(VLOOKUP(D641,$A$2:$B$1226,2,FALSE),""))</x:f>
        <x:v>Death and Undeath States</x:v>
      </x:c>
      <x:c r="F641" s="24" t="n">
        <x:v>3</x:v>
      </x:c>
      <x:c r="G641" s="24" t="str">
        <x:v>The deceased persists as a disembodied spirit retaining some identity or attachment.</x:v>
      </x:c>
      <x:c r="H641" s="24" t="str">
        <x:v>Record reversibility, agency, transmission, cost, social recognition, and identity continuity.</x:v>
      </x:c>
      <x:c r="I641" s="24" t="str">
        <x:v>ghost; shade; spirit</x:v>
      </x:c>
      <x:c r="J641" s="24" t="str">
        <x:v>Horror, immortality, grief, persistence, postmortem duty, and life-death cosmology.</x:v>
      </x:c>
      <x:c r="K641" s="24" t="str">
        <x:v>ghost; shade; spirit</x:v>
      </x:c>
      <x:c r="L641" s="24" t="str">
        <x:v>Preserve each source's ontology, culture, history, and terminology when making comparisons.</x:v>
      </x:c>
      <x:c r="M641" s="24" t="str">
        <x:v>Core Family</x:v>
      </x:c>
    </x:row>
    <x:row r="642" ht="44" customHeight="1">
      <x:c r="A642" s="24" t="str">
        <x:v>STA-103</x:v>
      </x:c>
      <x:c r="B642" s="24" t="str">
        <x:v>Revenant Return</x:v>
      </x:c>
      <x:c r="C642" s="24" t="str">
        <x:v>States &amp; Transformations</x:v>
      </x:c>
      <x:c r="D642" s="24" t="str">
        <x:v>STA-100</x:v>
      </x:c>
      <x:c r="E642" s="24" t="str">
        <x:f>IF(D642="","",IFERROR(VLOOKUP(D642,$A$2:$B$1226,2,FALSE),""))</x:f>
        <x:v>Death and Undeath States</x:v>
      </x:c>
      <x:c r="F642" s="24" t="n">
        <x:v>3</x:v>
      </x:c>
      <x:c r="G642" s="24" t="str">
        <x:v>A dead person returns bodily or spiritually to complete a specific purpose.</x:v>
      </x:c>
      <x:c r="H642" s="24" t="str">
        <x:v>Record reversibility, agency, transmission, cost, social recognition, and identity continuity.</x:v>
      </x:c>
      <x:c r="I642" s="24" t="str">
        <x:v>revenant; returned dead</x:v>
      </x:c>
      <x:c r="J642" s="24" t="str">
        <x:v>Horror, immortality, grief, persistence, postmortem duty, and life-death cosmology.</x:v>
      </x:c>
      <x:c r="K642" s="24" t="str">
        <x:v>revenant; returned dead</x:v>
      </x:c>
      <x:c r="L642" s="24" t="str">
        <x:v>Preserve each source's ontology, culture, history, and terminology when making comparisons.</x:v>
      </x:c>
      <x:c r="M642" s="24" t="str">
        <x:v>Core Family</x:v>
      </x:c>
    </x:row>
    <x:row r="643" ht="44" customHeight="1">
      <x:c r="A643" s="24" t="str">
        <x:v>STA-104</x:v>
      </x:c>
      <x:c r="B643" s="24" t="str">
        <x:v>Zombification</x:v>
      </x:c>
      <x:c r="C643" s="24" t="str">
        <x:v>States &amp; Transformations</x:v>
      </x:c>
      <x:c r="D643" s="24" t="str">
        <x:v>STA-100</x:v>
      </x:c>
      <x:c r="E643" s="24" t="str">
        <x:f>IF(D643="","",IFERROR(VLOOKUP(D643,$A$2:$B$1226,2,FALSE),""))</x:f>
        <x:v>Death and Undeath States</x:v>
      </x:c>
      <x:c r="F643" s="24" t="n">
        <x:v>3</x:v>
      </x:c>
      <x:c r="G643" s="24" t="str">
        <x:v>A corpse or living person becomes a decayed, controlled, infected, or hunger-driven undead body.</x:v>
      </x:c>
      <x:c r="H643" s="24" t="str">
        <x:v>Record reversibility, agency, transmission, cost, social recognition, and identity continuity.</x:v>
      </x:c>
      <x:c r="I643" s="24" t="str">
        <x:v>zombie; walking dead; infection</x:v>
      </x:c>
      <x:c r="J643" s="24" t="str">
        <x:v>Horror, immortality, grief, persistence, postmortem duty, and life-death cosmology.</x:v>
      </x:c>
      <x:c r="K643" s="24" t="str">
        <x:v>zombie; walking dead; infection</x:v>
      </x:c>
      <x:c r="L643" s="24" t="str">
        <x:v>Preserve each source's ontology, culture, history, and terminology when making comparisons.</x:v>
      </x:c>
      <x:c r="M643" s="24" t="str">
        <x:v>Core Family</x:v>
      </x:c>
    </x:row>
    <x:row r="644" ht="44" customHeight="1">
      <x:c r="A644" s="24" t="str">
        <x:v>STA-105</x:v>
      </x:c>
      <x:c r="B644" s="24" t="str">
        <x:v>Skeletal Animation</x:v>
      </x:c>
      <x:c r="C644" s="24" t="str">
        <x:v>States &amp; Transformations</x:v>
      </x:c>
      <x:c r="D644" s="24" t="str">
        <x:v>STA-100</x:v>
      </x:c>
      <x:c r="E644" s="24" t="str">
        <x:f>IF(D644="","",IFERROR(VLOOKUP(D644,$A$2:$B$1226,2,FALSE),""))</x:f>
        <x:v>Death and Undeath States</x:v>
      </x:c>
      <x:c r="F644" s="24" t="n">
        <x:v>3</x:v>
      </x:c>
      <x:c r="G644" s="24" t="str">
        <x:v>Bones are animated as a servant, soldier, or autonomous undead form.</x:v>
      </x:c>
      <x:c r="H644" s="24" t="str">
        <x:v>Record reversibility, agency, transmission, cost, social recognition, and identity continuity.</x:v>
      </x:c>
      <x:c r="I644" s="24" t="str">
        <x:v>skeleton; bone animation</x:v>
      </x:c>
      <x:c r="J644" s="24" t="str">
        <x:v>Horror, immortality, grief, persistence, postmortem duty, and life-death cosmology.</x:v>
      </x:c>
      <x:c r="K644" s="24" t="str">
        <x:v>skeleton; bone animation</x:v>
      </x:c>
      <x:c r="L644" s="24" t="str">
        <x:v>Preserve each source's ontology, culture, history, and terminology when making comparisons.</x:v>
      </x:c>
      <x:c r="M644" s="24" t="str">
        <x:v>Core Family</x:v>
      </x:c>
    </x:row>
    <x:row r="645" ht="44" customHeight="1">
      <x:c r="A645" s="24" t="str">
        <x:v>STA-106</x:v>
      </x:c>
      <x:c r="B645" s="24" t="str">
        <x:v>Vampirism</x:v>
      </x:c>
      <x:c r="C645" s="24" t="str">
        <x:v>States &amp; Transformations</x:v>
      </x:c>
      <x:c r="D645" s="24" t="str">
        <x:v>STA-100</x:v>
      </x:c>
      <x:c r="E645" s="24" t="str">
        <x:f>IF(D645="","",IFERROR(VLOOKUP(D645,$A$2:$B$1226,2,FALSE),""))</x:f>
        <x:v>Death and Undeath States</x:v>
      </x:c>
      <x:c r="F645" s="24" t="n">
        <x:v>3</x:v>
      </x:c>
      <x:c r="G645" s="24" t="str">
        <x:v>A person becomes a blood-, life-, emotion-, or soul-feeding immortal or undead being.</x:v>
      </x:c>
      <x:c r="H645" s="24" t="str">
        <x:v>Record reversibility, agency, transmission, cost, social recognition, and identity continuity.</x:v>
      </x:c>
      <x:c r="I645" s="24" t="str">
        <x:v>vampire; blood curse</x:v>
      </x:c>
      <x:c r="J645" s="24" t="str">
        <x:v>Horror, immortality, grief, persistence, postmortem duty, and life-death cosmology.</x:v>
      </x:c>
      <x:c r="K645" s="24" t="str">
        <x:v>vampire; blood curse</x:v>
      </x:c>
      <x:c r="L645" s="24" t="str">
        <x:v>Preserve each source's ontology, culture, history, and terminology when making comparisons.</x:v>
      </x:c>
      <x:c r="M645" s="24" t="str">
        <x:v>Core Family</x:v>
      </x:c>
    </x:row>
    <x:row r="646" ht="44" customHeight="1">
      <x:c r="A646" s="24" t="str">
        <x:v>STA-107</x:v>
      </x:c>
      <x:c r="B646" s="24" t="str">
        <x:v>Lichdom</x:v>
      </x:c>
      <x:c r="C646" s="24" t="str">
        <x:v>States &amp; Transformations</x:v>
      </x:c>
      <x:c r="D646" s="24" t="str">
        <x:v>STA-100</x:v>
      </x:c>
      <x:c r="E646" s="24" t="str">
        <x:f>IF(D646="","",IFERROR(VLOOKUP(D646,$A$2:$B$1226,2,FALSE),""))</x:f>
        <x:v>Death and Undeath States</x:v>
      </x:c>
      <x:c r="F646" s="24" t="n">
        <x:v>3</x:v>
      </x:c>
      <x:c r="G646" s="24" t="str">
        <x:v>A person deliberately converts into an undead, soul-anchored form to preserve intellect and power.</x:v>
      </x:c>
      <x:c r="H646" s="24" t="str">
        <x:v>Record reversibility, agency, transmission, cost, social recognition, and identity continuity.</x:v>
      </x:c>
      <x:c r="I646" s="24" t="str">
        <x:v>lich; soul vessel</x:v>
      </x:c>
      <x:c r="J646" s="24" t="str">
        <x:v>Horror, immortality, grief, persistence, postmortem duty, and life-death cosmology.</x:v>
      </x:c>
      <x:c r="K646" s="24" t="str">
        <x:v>lich; soul vessel</x:v>
      </x:c>
      <x:c r="L646" s="24" t="str">
        <x:v>Preserve each source's ontology, culture, history, and terminology when making comparisons.</x:v>
      </x:c>
      <x:c r="M646" s="24" t="str">
        <x:v>Core Family</x:v>
      </x:c>
    </x:row>
    <x:row r="647" ht="44" customHeight="1">
      <x:c r="A647" s="24" t="str">
        <x:v>STA-108</x:v>
      </x:c>
      <x:c r="B647" s="24" t="str">
        <x:v>Wight or Wraith Transformation</x:v>
      </x:c>
      <x:c r="C647" s="24" t="str">
        <x:v>States &amp; Transformations</x:v>
      </x:c>
      <x:c r="D647" s="24" t="str">
        <x:v>STA-100</x:v>
      </x:c>
      <x:c r="E647" s="24" t="str">
        <x:f>IF(D647="","",IFERROR(VLOOKUP(D647,$A$2:$B$1226,2,FALSE),""))</x:f>
        <x:v>Death and Undeath States</x:v>
      </x:c>
      <x:c r="F647" s="24" t="n">
        <x:v>3</x:v>
      </x:c>
      <x:c r="G647" s="24" t="str">
        <x:v>A person becomes a powerful spectral or preserved undead associated with draining, curse, or barrow power.</x:v>
      </x:c>
      <x:c r="H647" s="24" t="str">
        <x:v>Record reversibility, agency, transmission, cost, social recognition, and identity continuity.</x:v>
      </x:c>
      <x:c r="I647" s="24" t="str">
        <x:v>wight; wraith; shade</x:v>
      </x:c>
      <x:c r="J647" s="24" t="str">
        <x:v>Horror, immortality, grief, persistence, postmortem duty, and life-death cosmology.</x:v>
      </x:c>
      <x:c r="K647" s="24" t="str">
        <x:v>wight; wraith; shade</x:v>
      </x:c>
      <x:c r="L647" s="24" t="str">
        <x:v>Preserve each source's ontology, culture, history, and terminology when making comparisons.</x:v>
      </x:c>
      <x:c r="M647" s="24" t="str">
        <x:v>Core Family</x:v>
      </x:c>
    </x:row>
    <x:row r="648" ht="44" customHeight="1">
      <x:c r="A648" s="24" t="str">
        <x:v>STA-109</x:v>
      </x:c>
      <x:c r="B648" s="24" t="str">
        <x:v>Mummification and Tomb Binding</x:v>
      </x:c>
      <x:c r="C648" s="24" t="str">
        <x:v>States &amp; Transformations</x:v>
      </x:c>
      <x:c r="D648" s="24" t="str">
        <x:v>STA-100</x:v>
      </x:c>
      <x:c r="E648" s="24" t="str">
        <x:f>IF(D648="","",IFERROR(VLOOKUP(D648,$A$2:$B$1226,2,FALSE),""))</x:f>
        <x:v>Death and Undeath States</x:v>
      </x:c>
      <x:c r="F648" s="24" t="n">
        <x:v>3</x:v>
      </x:c>
      <x:c r="G648" s="24" t="str">
        <x:v>A preserved dead body is animated or bound to royal, funerary, or territorial duties.</x:v>
      </x:c>
      <x:c r="H648" s="24" t="str">
        <x:v>Record reversibility, agency, transmission, cost, social recognition, and identity continuity.</x:v>
      </x:c>
      <x:c r="I648" s="24" t="str">
        <x:v>mummy; tomb guardian</x:v>
      </x:c>
      <x:c r="J648" s="24" t="str">
        <x:v>Horror, immortality, grief, persistence, postmortem duty, and life-death cosmology.</x:v>
      </x:c>
      <x:c r="K648" s="24" t="str">
        <x:v>mummy; tomb guardian</x:v>
      </x:c>
      <x:c r="L648" s="24" t="str">
        <x:v>Preserve each source's ontology, culture, history, and terminology when making comparisons.</x:v>
      </x:c>
      <x:c r="M648" s="24" t="str">
        <x:v>Core Family</x:v>
      </x:c>
    </x:row>
    <x:row r="649" ht="44" customHeight="1">
      <x:c r="A649" s="24" t="str">
        <x:v>STA-110</x:v>
      </x:c>
      <x:c r="B649" s="24" t="str">
        <x:v>Death-Knight Transformation</x:v>
      </x:c>
      <x:c r="C649" s="24" t="str">
        <x:v>States &amp; Transformations</x:v>
      </x:c>
      <x:c r="D649" s="24" t="str">
        <x:v>STA-100</x:v>
      </x:c>
      <x:c r="E649" s="24" t="str">
        <x:f>IF(D649="","",IFERROR(VLOOKUP(D649,$A$2:$B$1226,2,FALSE),""))</x:f>
        <x:v>Death and Undeath States</x:v>
      </x:c>
      <x:c r="F649" s="24" t="n">
        <x:v>3</x:v>
      </x:c>
      <x:c r="G649" s="24" t="str">
        <x:v>A martial figure becomes undead or death-bound while retaining skill, armor, and command.</x:v>
      </x:c>
      <x:c r="H649" s="24" t="str">
        <x:v>Record reversibility, agency, transmission, cost, social recognition, and identity continuity.</x:v>
      </x:c>
      <x:c r="I649" s="24" t="str">
        <x:v>death knight; grave knight</x:v>
      </x:c>
      <x:c r="J649" s="24" t="str">
        <x:v>Horror, immortality, grief, persistence, postmortem duty, and life-death cosmology.</x:v>
      </x:c>
      <x:c r="K649" s="24" t="str">
        <x:v>death knight; grave knight</x:v>
      </x:c>
      <x:c r="L649" s="24" t="str">
        <x:v>Preserve each source's ontology, culture, history, and terminology when making comparisons.</x:v>
      </x:c>
      <x:c r="M649" s="24" t="str">
        <x:v>Core Family</x:v>
      </x:c>
    </x:row>
    <x:row r="650" ht="44" customHeight="1">
      <x:c r="A650" s="24" t="str">
        <x:v>STA-111</x:v>
      </x:c>
      <x:c r="B650" s="24" t="str">
        <x:v>Soul Trapping</x:v>
      </x:c>
      <x:c r="C650" s="24" t="str">
        <x:v>States &amp; Transformations</x:v>
      </x:c>
      <x:c r="D650" s="24" t="str">
        <x:v>STA-100</x:v>
      </x:c>
      <x:c r="E650" s="24" t="str">
        <x:f>IF(D650="","",IFERROR(VLOOKUP(D650,$A$2:$B$1226,2,FALSE),""))</x:f>
        <x:v>Death and Undeath States</x:v>
      </x:c>
      <x:c r="F650" s="24" t="n">
        <x:v>3</x:v>
      </x:c>
      <x:c r="G650" s="24" t="str">
        <x:v>A soul is confined in an object, body, location, spell, or captor rather than passing on.</x:v>
      </x:c>
      <x:c r="H650" s="24" t="str">
        <x:v>Record reversibility, agency, transmission, cost, social recognition, and identity continuity.</x:v>
      </x:c>
      <x:c r="I650" s="24" t="str">
        <x:v>soul trap; spirit prison</x:v>
      </x:c>
      <x:c r="J650" s="24" t="str">
        <x:v>Horror, immortality, grief, persistence, postmortem duty, and life-death cosmology.</x:v>
      </x:c>
      <x:c r="K650" s="24" t="str">
        <x:v>soul trap; spirit prison</x:v>
      </x:c>
      <x:c r="L650" s="24" t="str">
        <x:v>Preserve each source's ontology, culture, history, and terminology when making comparisons.</x:v>
      </x:c>
      <x:c r="M650" s="24" t="str">
        <x:v>Core Family</x:v>
      </x:c>
    </x:row>
    <x:row r="651" ht="44" customHeight="1">
      <x:c r="A651" s="24" t="str">
        <x:v>STA-112</x:v>
      </x:c>
      <x:c r="B651" s="24" t="str">
        <x:v>Soul Fragmentation</x:v>
      </x:c>
      <x:c r="C651" s="24" t="str">
        <x:v>States &amp; Transformations</x:v>
      </x:c>
      <x:c r="D651" s="24" t="str">
        <x:v>STA-100</x:v>
      </x:c>
      <x:c r="E651" s="24" t="str">
        <x:f>IF(D651="","",IFERROR(VLOOKUP(D651,$A$2:$B$1226,2,FALSE),""))</x:f>
        <x:v>Death and Undeath States</x:v>
      </x:c>
      <x:c r="F651" s="24" t="n">
        <x:v>3</x:v>
      </x:c>
      <x:c r="G651" s="24" t="str">
        <x:v>A person's soul or identity is divided into pieces, vessels, copies, or incomplete aspects.</x:v>
      </x:c>
      <x:c r="H651" s="24" t="str">
        <x:v>Record reversibility, agency, transmission, cost, social recognition, and identity continuity.</x:v>
      </x:c>
      <x:c r="I651" s="24" t="str">
        <x:v>soul split; horcrux-like division; fragment</x:v>
      </x:c>
      <x:c r="J651" s="24" t="str">
        <x:v>Horror, immortality, grief, persistence, postmortem duty, and life-death cosmology.</x:v>
      </x:c>
      <x:c r="K651" s="24" t="str">
        <x:v>soul split; horcrux-like division; fragment</x:v>
      </x:c>
      <x:c r="L651" s="24" t="str">
        <x:v>Preserve each source's ontology, culture, history, and terminology when making comparisons.</x:v>
      </x:c>
      <x:c r="M651" s="24" t="str">
        <x:v>Core Family</x:v>
      </x:c>
    </x:row>
    <x:row r="652" ht="44" customHeight="1">
      <x:c r="A652" s="24" t="str">
        <x:v>STA-113</x:v>
      </x:c>
      <x:c r="B652" s="24" t="str">
        <x:v>Resurrection</x:v>
      </x:c>
      <x:c r="C652" s="24" t="str">
        <x:v>States &amp; Transformations</x:v>
      </x:c>
      <x:c r="D652" s="24" t="str">
        <x:v>STA-100</x:v>
      </x:c>
      <x:c r="E652" s="24" t="str">
        <x:f>IF(D652="","",IFERROR(VLOOKUP(D652,$A$2:$B$1226,2,FALSE),""))</x:f>
        <x:v>Death and Undeath States</x:v>
      </x:c>
      <x:c r="F652" s="24" t="n">
        <x:v>3</x:v>
      </x:c>
      <x:c r="G652" s="24" t="str">
        <x:v>A dead person is restored to life with some degree of bodily and identity continuity.</x:v>
      </x:c>
      <x:c r="H652" s="24" t="str">
        <x:v>Record reversibility, agency, transmission, cost, social recognition, and identity continuity.</x:v>
      </x:c>
      <x:c r="I652" s="24" t="str">
        <x:v>resurrection; revival</x:v>
      </x:c>
      <x:c r="J652" s="24" t="str">
        <x:v>Horror, immortality, grief, persistence, postmortem duty, and life-death cosmology.</x:v>
      </x:c>
      <x:c r="K652" s="24" t="str">
        <x:v>resurrection; revival</x:v>
      </x:c>
      <x:c r="L652" s="24" t="str">
        <x:v>Preserve each source's ontology, culture, history, and terminology when making comparisons.</x:v>
      </x:c>
      <x:c r="M652" s="24" t="str">
        <x:v>Core Family</x:v>
      </x:c>
    </x:row>
    <x:row r="653" ht="44" customHeight="1">
      <x:c r="A653" s="24" t="str">
        <x:v>STA-114</x:v>
      </x:c>
      <x:c r="B653" s="24" t="str">
        <x:v>Imperfect Resurrection</x:v>
      </x:c>
      <x:c r="C653" s="24" t="str">
        <x:v>States &amp; Transformations</x:v>
      </x:c>
      <x:c r="D653" s="24" t="str">
        <x:v>STA-100</x:v>
      </x:c>
      <x:c r="E653" s="24" t="str">
        <x:f>IF(D653="","",IFERROR(VLOOKUP(D653,$A$2:$B$1226,2,FALSE),""))</x:f>
        <x:v>Death and Undeath States</x:v>
      </x:c>
      <x:c r="F653" s="24" t="n">
        <x:v>3</x:v>
      </x:c>
      <x:c r="G653" s="24" t="str">
        <x:v>Return from death introduces missing memories, altered personality, corruption, decay, or a wrong soul.</x:v>
      </x:c>
      <x:c r="H653" s="24" t="str">
        <x:v>Record reversibility, agency, transmission, cost, social recognition, and identity continuity.</x:v>
      </x:c>
      <x:c r="I653" s="24" t="str">
        <x:v>flawed revival; wrong return</x:v>
      </x:c>
      <x:c r="J653" s="24" t="str">
        <x:v>Horror, immortality, grief, persistence, postmortem duty, and life-death cosmology.</x:v>
      </x:c>
      <x:c r="K653" s="24" t="str">
        <x:v>flawed revival; wrong return</x:v>
      </x:c>
      <x:c r="L653" s="24" t="str">
        <x:v>Preserve each source's ontology, culture, history, and terminology when making comparisons.</x:v>
      </x:c>
      <x:c r="M653" s="24" t="str">
        <x:v>Core Family</x:v>
      </x:c>
    </x:row>
    <x:row r="654" ht="44" customHeight="1">
      <x:c r="A654" s="24" t="str">
        <x:v>STA-115</x:v>
      </x:c>
      <x:c r="B654" s="24" t="str">
        <x:v>Undead Servitude</x:v>
      </x:c>
      <x:c r="C654" s="24" t="str">
        <x:v>States &amp; Transformations</x:v>
      </x:c>
      <x:c r="D654" s="24" t="str">
        <x:v>STA-100</x:v>
      </x:c>
      <x:c r="E654" s="24" t="str">
        <x:f>IF(D654="","",IFERROR(VLOOKUP(D654,$A$2:$B$1226,2,FALSE),""))</x:f>
        <x:v>Death and Undeath States</x:v>
      </x:c>
      <x:c r="F654" s="24" t="n">
        <x:v>3</x:v>
      </x:c>
      <x:c r="G654" s="24" t="str">
        <x:v>An undead being's agency is constrained by a creator, necromancer, oath, object, or command structure.</x:v>
      </x:c>
      <x:c r="H654" s="24" t="str">
        <x:v>Record reversibility, agency, transmission, cost, social recognition, and identity continuity.</x:v>
      </x:c>
      <x:c r="I654" s="24" t="str">
        <x:v>controlled undead; thrall</x:v>
      </x:c>
      <x:c r="J654" s="24" t="str">
        <x:v>Horror, immortality, grief, persistence, postmortem duty, and life-death cosmology.</x:v>
      </x:c>
      <x:c r="K654" s="24" t="str">
        <x:v>controlled undead; thrall</x:v>
      </x:c>
      <x:c r="L654" s="24" t="str">
        <x:v>Preserve each source's ontology, culture, history, and terminology when making comparisons.</x:v>
      </x:c>
      <x:c r="M654" s="24" t="str">
        <x:v>Core Family</x:v>
      </x:c>
    </x:row>
    <x:row r="655" ht="44" customHeight="1">
      <x:c r="A655" s="24" t="str">
        <x:v>STA-116</x:v>
      </x:c>
      <x:c r="B655" s="24" t="str">
        <x:v>Deathlessness</x:v>
      </x:c>
      <x:c r="C655" s="24" t="str">
        <x:v>States &amp; Transformations</x:v>
      </x:c>
      <x:c r="D655" s="24" t="str">
        <x:v>STA-100</x:v>
      </x:c>
      <x:c r="E655" s="24" t="str">
        <x:f>IF(D655="","",IFERROR(VLOOKUP(D655,$A$2:$B$1226,2,FALSE),""))</x:f>
        <x:v>Death and Undeath States</x:v>
      </x:c>
      <x:c r="F655" s="24" t="n">
        <x:v>3</x:v>
      </x:c>
      <x:c r="G655" s="24" t="str">
        <x:v>A person persists beyond death through sacred or metaphysical means without fitting conventional undeath.</x:v>
      </x:c>
      <x:c r="H655" s="24" t="str">
        <x:v>Record reversibility, agency, transmission, cost, social recognition, and identity continuity.</x:v>
      </x:c>
      <x:c r="I655" s="24" t="str">
        <x:v>deathless; blessed immortal; ancestral guardian</x:v>
      </x:c>
      <x:c r="J655" s="24" t="str">
        <x:v>Horror, immortality, grief, persistence, postmortem duty, and life-death cosmology.</x:v>
      </x:c>
      <x:c r="K655" s="24" t="str">
        <x:v>deathless; blessed immortal; ancestral guardian</x:v>
      </x:c>
      <x:c r="L655" s="24" t="str">
        <x:v>Preserve each source's ontology, culture, history, and terminology when making comparisons.</x:v>
      </x:c>
      <x:c r="M655" s="24" t="str">
        <x:v>Core Family</x:v>
      </x:c>
    </x:row>
    <x:row r="656" ht="44" customHeight="1">
      <x:c r="A656" s="24" t="str">
        <x:v>STA-201</x:v>
      </x:c>
      <x:c r="B656" s="24" t="str">
        <x:v>Lycanthropy and Therianthropic Curse</x:v>
      </x:c>
      <x:c r="C656" s="24" t="str">
        <x:v>States &amp; Transformations</x:v>
      </x:c>
      <x:c r="D656" s="24" t="str">
        <x:v>STA-200</x:v>
      </x:c>
      <x:c r="E656" s="24" t="str">
        <x:f>IF(D656="","",IFERROR(VLOOKUP(D656,$A$2:$B$1226,2,FALSE),""))</x:f>
        <x:v>Bodily Transformation States</x:v>
      </x:c>
      <x:c r="F656" s="24" t="n">
        <x:v>3</x:v>
      </x:c>
      <x:c r="G656" s="24" t="str">
        <x:v>A person transforms into an animal or hybrid form through curse, infection, inheritance, ritual, or lunar cycle.</x:v>
      </x:c>
      <x:c r="H656" s="24" t="str">
        <x:v>Record reversibility, agency, transmission, cost, social recognition, and identity continuity.</x:v>
      </x:c>
      <x:c r="I656" s="24" t="str">
        <x:v>lycanthropy; werewolf curse; therianthropy</x:v>
      </x:c>
      <x:c r="J656" s="24" t="str">
        <x:v>Transformation, horror, empowerment, identity, embodiment, and combat-mode change.</x:v>
      </x:c>
      <x:c r="K656" s="24" t="str">
        <x:v>lycanthropy; werewolf curse; therianthropy</x:v>
      </x:c>
      <x:c r="L656" s="24" t="str">
        <x:v>Preserve each source's ontology, culture, history, and terminology when making comparisons.</x:v>
      </x:c>
      <x:c r="M656" s="24" t="str">
        <x:v>Core Family</x:v>
      </x:c>
    </x:row>
    <x:row r="657" ht="44" customHeight="1">
      <x:c r="A657" s="24" t="str">
        <x:v>STA-202</x:v>
      </x:c>
      <x:c r="B657" s="24" t="str">
        <x:v>Voluntary Shapeshifting</x:v>
      </x:c>
      <x:c r="C657" s="24" t="str">
        <x:v>States &amp; Transformations</x:v>
      </x:c>
      <x:c r="D657" s="24" t="str">
        <x:v>STA-200</x:v>
      </x:c>
      <x:c r="E657" s="24" t="str">
        <x:f>IF(D657="","",IFERROR(VLOOKUP(D657,$A$2:$B$1226,2,FALSE),""))</x:f>
        <x:v>Bodily Transformation States</x:v>
      </x:c>
      <x:c r="F657" s="24" t="n">
        <x:v>3</x:v>
      </x:c>
      <x:c r="G657" s="24" t="str">
        <x:v>A person consciously changes form as an ability rather than an involuntary affliction.</x:v>
      </x:c>
      <x:c r="H657" s="24" t="str">
        <x:v>Record reversibility, agency, transmission, cost, social recognition, and identity continuity.</x:v>
      </x:c>
      <x:c r="I657" s="24" t="str">
        <x:v>shapeshift; wildshape; transformation</x:v>
      </x:c>
      <x:c r="J657" s="24" t="str">
        <x:v>Transformation, horror, empowerment, identity, embodiment, and combat-mode change.</x:v>
      </x:c>
      <x:c r="K657" s="24" t="str">
        <x:v>shapeshift; wildshape; transformation</x:v>
      </x:c>
      <x:c r="L657" s="24" t="str">
        <x:v>Preserve each source's ontology, culture, history, and terminology when making comparisons.</x:v>
      </x:c>
      <x:c r="M657" s="24" t="str">
        <x:v>Core Family</x:v>
      </x:c>
    </x:row>
    <x:row r="658" ht="44" customHeight="1">
      <x:c r="A658" s="24" t="str">
        <x:v>STA-203</x:v>
      </x:c>
      <x:c r="B658" s="24" t="str">
        <x:v>Polymorph Enchantment</x:v>
      </x:c>
      <x:c r="C658" s="24" t="str">
        <x:v>States &amp; Transformations</x:v>
      </x:c>
      <x:c r="D658" s="24" t="str">
        <x:v>STA-200</x:v>
      </x:c>
      <x:c r="E658" s="24" t="str">
        <x:f>IF(D658="","",IFERROR(VLOOKUP(D658,$A$2:$B$1226,2,FALSE),""))</x:f>
        <x:v>Bodily Transformation States</x:v>
      </x:c>
      <x:c r="F658" s="24" t="n">
        <x:v>3</x:v>
      </x:c>
      <x:c r="G658" s="24" t="str">
        <x:v>External magic changes a being into another form, temporarily or permanently.</x:v>
      </x:c>
      <x:c r="H658" s="24" t="str">
        <x:v>Record reversibility, agency, transmission, cost, social recognition, and identity continuity.</x:v>
      </x:c>
      <x:c r="I658" s="24" t="str">
        <x:v>polymorph; transfiguration; transformation spell</x:v>
      </x:c>
      <x:c r="J658" s="24" t="str">
        <x:v>Transformation, horror, empowerment, identity, embodiment, and combat-mode change.</x:v>
      </x:c>
      <x:c r="K658" s="24" t="str">
        <x:v>polymorph; transfiguration; transformation spell</x:v>
      </x:c>
      <x:c r="L658" s="24" t="str">
        <x:v>Preserve each source's ontology, culture, history, and terminology when making comparisons.</x:v>
      </x:c>
      <x:c r="M658" s="24" t="str">
        <x:v>Core Family</x:v>
      </x:c>
    </x:row>
    <x:row r="659" ht="44" customHeight="1">
      <x:c r="A659" s="24" t="str">
        <x:v>STA-204</x:v>
      </x:c>
      <x:c r="B659" s="24" t="str">
        <x:v>Petrification</x:v>
      </x:c>
      <x:c r="C659" s="24" t="str">
        <x:v>States &amp; Transformations</x:v>
      </x:c>
      <x:c r="D659" s="24" t="str">
        <x:v>STA-200</x:v>
      </x:c>
      <x:c r="E659" s="24" t="str">
        <x:f>IF(D659="","",IFERROR(VLOOKUP(D659,$A$2:$B$1226,2,FALSE),""))</x:f>
        <x:v>Bodily Transformation States</x:v>
      </x:c>
      <x:c r="F659" s="24" t="n">
        <x:v>3</x:v>
      </x:c>
      <x:c r="G659" s="24" t="str">
        <x:v>A body is converted into stone, crystal, salt, metal, or another immobile material.</x:v>
      </x:c>
      <x:c r="H659" s="24" t="str">
        <x:v>Record reversibility, agency, transmission, cost, social recognition, and identity continuity.</x:v>
      </x:c>
      <x:c r="I659" s="24" t="str">
        <x:v>petrified; turned to stone</x:v>
      </x:c>
      <x:c r="J659" s="24" t="str">
        <x:v>Transformation, horror, empowerment, identity, embodiment, and combat-mode change.</x:v>
      </x:c>
      <x:c r="K659" s="24" t="str">
        <x:v>petrified; turned to stone</x:v>
      </x:c>
      <x:c r="L659" s="24" t="str">
        <x:v>Preserve each source's ontology, culture, history, and terminology when making comparisons.</x:v>
      </x:c>
      <x:c r="M659" s="24" t="str">
        <x:v>Core Family</x:v>
      </x:c>
    </x:row>
    <x:row r="660" ht="44" customHeight="1">
      <x:c r="A660" s="24" t="str">
        <x:v>STA-205</x:v>
      </x:c>
      <x:c r="B660" s="24" t="str">
        <x:v>Miniaturization or Gigantification</x:v>
      </x:c>
      <x:c r="C660" s="24" t="str">
        <x:v>States &amp; Transformations</x:v>
      </x:c>
      <x:c r="D660" s="24" t="str">
        <x:v>STA-200</x:v>
      </x:c>
      <x:c r="E660" s="24" t="str">
        <x:f>IF(D660="","",IFERROR(VLOOKUP(D660,$A$2:$B$1226,2,FALSE),""))</x:f>
        <x:v>Bodily Transformation States</x:v>
      </x:c>
      <x:c r="F660" s="24" t="n">
        <x:v>3</x:v>
      </x:c>
      <x:c r="G660" s="24" t="str">
        <x:v>A being's scale is altered significantly without changing identity.</x:v>
      </x:c>
      <x:c r="H660" s="24" t="str">
        <x:v>Record reversibility, agency, transmission, cost, social recognition, and identity continuity.</x:v>
      </x:c>
      <x:c r="I660" s="24" t="str">
        <x:v>shrink; enlarge; giant form</x:v>
      </x:c>
      <x:c r="J660" s="24" t="str">
        <x:v>Transformation, horror, empowerment, identity, embodiment, and combat-mode change.</x:v>
      </x:c>
      <x:c r="K660" s="24" t="str">
        <x:v>shrink; enlarge; giant form</x:v>
      </x:c>
      <x:c r="L660" s="24" t="str">
        <x:v>Preserve each source's ontology, culture, history, and terminology when making comparisons.</x:v>
      </x:c>
      <x:c r="M660" s="24" t="str">
        <x:v>Core Family</x:v>
      </x:c>
    </x:row>
    <x:row r="661" ht="44" customHeight="1">
      <x:c r="A661" s="24" t="str">
        <x:v>STA-206</x:v>
      </x:c>
      <x:c r="B661" s="24" t="str">
        <x:v>Alchemical Enhancement</x:v>
      </x:c>
      <x:c r="C661" s="24" t="str">
        <x:v>States &amp; Transformations</x:v>
      </x:c>
      <x:c r="D661" s="24" t="str">
        <x:v>STA-200</x:v>
      </x:c>
      <x:c r="E661" s="24" t="str">
        <x:f>IF(D661="","",IFERROR(VLOOKUP(D661,$A$2:$B$1226,2,FALSE),""))</x:f>
        <x:v>Bodily Transformation States</x:v>
      </x:c>
      <x:c r="F661" s="24" t="n">
        <x:v>3</x:v>
      </x:c>
      <x:c r="G661" s="24" t="str">
        <x:v>A body is deliberately altered by potions, mutagens, trials, or alchemical procedures.</x:v>
      </x:c>
      <x:c r="H661" s="24" t="str">
        <x:v>Record reversibility, agency, transmission, cost, social recognition, and identity continuity.</x:v>
      </x:c>
      <x:c r="I661" s="24" t="str">
        <x:v>mutation; witcher-like trial; mutagen</x:v>
      </x:c>
      <x:c r="J661" s="24" t="str">
        <x:v>Transformation, horror, empowerment, identity, embodiment, and combat-mode change.</x:v>
      </x:c>
      <x:c r="K661" s="24" t="str">
        <x:v>mutation; witcher-like trial; mutagen</x:v>
      </x:c>
      <x:c r="L661" s="24" t="str">
        <x:v>Preserve each source's ontology, culture, history, and terminology when making comparisons.</x:v>
      </x:c>
      <x:c r="M661" s="24" t="str">
        <x:v>Core Family</x:v>
      </x:c>
    </x:row>
    <x:row r="662" ht="44" customHeight="1">
      <x:c r="A662" s="24" t="str">
        <x:v>STA-207</x:v>
      </x:c>
      <x:c r="B662" s="24" t="str">
        <x:v>Magical Mutation</x:v>
      </x:c>
      <x:c r="C662" s="24" t="str">
        <x:v>States &amp; Transformations</x:v>
      </x:c>
      <x:c r="D662" s="24" t="str">
        <x:v>STA-200</x:v>
      </x:c>
      <x:c r="E662" s="24" t="str">
        <x:f>IF(D662="","",IFERROR(VLOOKUP(D662,$A$2:$B$1226,2,FALSE),""))</x:f>
        <x:v>Bodily Transformation States</x:v>
      </x:c>
      <x:c r="F662" s="24" t="n">
        <x:v>3</x:v>
      </x:c>
      <x:c r="G662" s="24" t="str">
        <x:v>Exposure to magic produces new anatomy, powers, instability, or species-like traits.</x:v>
      </x:c>
      <x:c r="H662" s="24" t="str">
        <x:v>Record reversibility, agency, transmission, cost, social recognition, and identity continuity.</x:v>
      </x:c>
      <x:c r="I662" s="24" t="str">
        <x:v>mutation; warp change; mana mutation</x:v>
      </x:c>
      <x:c r="J662" s="24" t="str">
        <x:v>Transformation, horror, empowerment, identity, embodiment, and combat-mode change.</x:v>
      </x:c>
      <x:c r="K662" s="24" t="str">
        <x:v>mutation; warp change; mana mutation</x:v>
      </x:c>
      <x:c r="L662" s="24" t="str">
        <x:v>Preserve each source's ontology, culture, history, and terminology when making comparisons.</x:v>
      </x:c>
      <x:c r="M662" s="24" t="str">
        <x:v>Core Family</x:v>
      </x:c>
    </x:row>
    <x:row r="663" ht="44" customHeight="1">
      <x:c r="A663" s="24" t="str">
        <x:v>STA-208</x:v>
      </x:c>
      <x:c r="B663" s="24" t="str">
        <x:v>Demonic Transformation</x:v>
      </x:c>
      <x:c r="C663" s="24" t="str">
        <x:v>States &amp; Transformations</x:v>
      </x:c>
      <x:c r="D663" s="24" t="str">
        <x:v>STA-200</x:v>
      </x:c>
      <x:c r="E663" s="24" t="str">
        <x:f>IF(D663="","",IFERROR(VLOOKUP(D663,$A$2:$B$1226,2,FALSE),""))</x:f>
        <x:v>Bodily Transformation States</x:v>
      </x:c>
      <x:c r="F663" s="24" t="n">
        <x:v>3</x:v>
      </x:c>
      <x:c r="G663" s="24" t="str">
        <x:v>A mortal becomes partly or wholly demonic through pact, corruption, possession, ancestry, or ascension.</x:v>
      </x:c>
      <x:c r="H663" s="24" t="str">
        <x:v>Record reversibility, agency, transmission, cost, social recognition, and identity continuity.</x:v>
      </x:c>
      <x:c r="I663" s="24" t="str">
        <x:v>demon form; fiend transformation</x:v>
      </x:c>
      <x:c r="J663" s="24" t="str">
        <x:v>Transformation, horror, empowerment, identity, embodiment, and combat-mode change.</x:v>
      </x:c>
      <x:c r="K663" s="24" t="str">
        <x:v>demon form; fiend transformation</x:v>
      </x:c>
      <x:c r="L663" s="24" t="str">
        <x:v>Preserve each source's ontology, culture, history, and terminology when making comparisons.</x:v>
      </x:c>
      <x:c r="M663" s="24" t="str">
        <x:v>Core Family</x:v>
      </x:c>
    </x:row>
    <x:row r="664" ht="44" customHeight="1">
      <x:c r="A664" s="24" t="str">
        <x:v>STA-209</x:v>
      </x:c>
      <x:c r="B664" s="24" t="str">
        <x:v>Celestial Transformation</x:v>
      </x:c>
      <x:c r="C664" s="24" t="str">
        <x:v>States &amp; Transformations</x:v>
      </x:c>
      <x:c r="D664" s="24" t="str">
        <x:v>STA-200</x:v>
      </x:c>
      <x:c r="E664" s="24" t="str">
        <x:f>IF(D664="","",IFERROR(VLOOKUP(D664,$A$2:$B$1226,2,FALSE),""))</x:f>
        <x:v>Bodily Transformation States</x:v>
      </x:c>
      <x:c r="F664" s="24" t="n">
        <x:v>3</x:v>
      </x:c>
      <x:c r="G664" s="24" t="str">
        <x:v>A mortal becomes angelic, saintly, radiant, or aligned with a celestial order.</x:v>
      </x:c>
      <x:c r="H664" s="24" t="str">
        <x:v>Record reversibility, agency, transmission, cost, social recognition, and identity continuity.</x:v>
      </x:c>
      <x:c r="I664" s="24" t="str">
        <x:v>angelic ascension; celestial form</x:v>
      </x:c>
      <x:c r="J664" s="24" t="str">
        <x:v>Transformation, horror, empowerment, identity, embodiment, and combat-mode change.</x:v>
      </x:c>
      <x:c r="K664" s="24" t="str">
        <x:v>angelic ascension; celestial form</x:v>
      </x:c>
      <x:c r="L664" s="24" t="str">
        <x:v>Preserve each source's ontology, culture, history, and terminology when making comparisons.</x:v>
      </x:c>
      <x:c r="M664" s="24" t="str">
        <x:v>Core Family</x:v>
      </x:c>
    </x:row>
    <x:row r="665" ht="44" customHeight="1">
      <x:c r="A665" s="24" t="str">
        <x:v>STA-210</x:v>
      </x:c>
      <x:c r="B665" s="24" t="str">
        <x:v>Draconic Transformation</x:v>
      </x:c>
      <x:c r="C665" s="24" t="str">
        <x:v>States &amp; Transformations</x:v>
      </x:c>
      <x:c r="D665" s="24" t="str">
        <x:v>STA-200</x:v>
      </x:c>
      <x:c r="E665" s="24" t="str">
        <x:f>IF(D665="","",IFERROR(VLOOKUP(D665,$A$2:$B$1226,2,FALSE),""))</x:f>
        <x:v>Bodily Transformation States</x:v>
      </x:c>
      <x:c r="F665" s="24" t="n">
        <x:v>3</x:v>
      </x:c>
      <x:c r="G665" s="24" t="str">
        <x:v>A being acquires dragon traits or becomes a dragon through lineage, magic, curse, or cultivation.</x:v>
      </x:c>
      <x:c r="H665" s="24" t="str">
        <x:v>Record reversibility, agency, transmission, cost, social recognition, and identity continuity.</x:v>
      </x:c>
      <x:c r="I665" s="24" t="str">
        <x:v>dragon form; half-dragon; dragon ascension</x:v>
      </x:c>
      <x:c r="J665" s="24" t="str">
        <x:v>Transformation, horror, empowerment, identity, embodiment, and combat-mode change.</x:v>
      </x:c>
      <x:c r="K665" s="24" t="str">
        <x:v>dragon form; half-dragon; dragon ascension</x:v>
      </x:c>
      <x:c r="L665" s="24" t="str">
        <x:v>Preserve each source's ontology, culture, history, and terminology when making comparisons.</x:v>
      </x:c>
      <x:c r="M665" s="24" t="str">
        <x:v>Core Family</x:v>
      </x:c>
    </x:row>
    <x:row r="666" ht="44" customHeight="1">
      <x:c r="A666" s="24" t="str">
        <x:v>STA-211</x:v>
      </x:c>
      <x:c r="B666" s="24" t="str">
        <x:v>Beast Transformation</x:v>
      </x:c>
      <x:c r="C666" s="24" t="str">
        <x:v>States &amp; Transformations</x:v>
      </x:c>
      <x:c r="D666" s="24" t="str">
        <x:v>STA-200</x:v>
      </x:c>
      <x:c r="E666" s="24" t="str">
        <x:f>IF(D666="","",IFERROR(VLOOKUP(D666,$A$2:$B$1226,2,FALSE),""))</x:f>
        <x:v>Bodily Transformation States</x:v>
      </x:c>
      <x:c r="F666" s="24" t="n">
        <x:v>3</x:v>
      </x:c>
      <x:c r="G666" s="24" t="str">
        <x:v>A person develops permanent or temporary animal traits outside classic lycanthropy.</x:v>
      </x:c>
      <x:c r="H666" s="24" t="str">
        <x:v>Record reversibility, agency, transmission, cost, social recognition, and identity continuity.</x:v>
      </x:c>
      <x:c r="I666" s="24" t="str">
        <x:v>beast form; feral transformation</x:v>
      </x:c>
      <x:c r="J666" s="24" t="str">
        <x:v>Transformation, horror, empowerment, identity, embodiment, and combat-mode change.</x:v>
      </x:c>
      <x:c r="K666" s="24" t="str">
        <x:v>beast form; feral transformation</x:v>
      </x:c>
      <x:c r="L666" s="24" t="str">
        <x:v>Preserve each source's ontology, culture, history, and terminology when making comparisons.</x:v>
      </x:c>
      <x:c r="M666" s="24" t="str">
        <x:v>Core Family</x:v>
      </x:c>
    </x:row>
    <x:row r="667" ht="44" customHeight="1">
      <x:c r="A667" s="24" t="str">
        <x:v>STA-212</x:v>
      </x:c>
      <x:c r="B667" s="24" t="str">
        <x:v>Plant Transformation</x:v>
      </x:c>
      <x:c r="C667" s="24" t="str">
        <x:v>States &amp; Transformations</x:v>
      </x:c>
      <x:c r="D667" s="24" t="str">
        <x:v>STA-200</x:v>
      </x:c>
      <x:c r="E667" s="24" t="str">
        <x:f>IF(D667="","",IFERROR(VLOOKUP(D667,$A$2:$B$1226,2,FALSE),""))</x:f>
        <x:v>Bodily Transformation States</x:v>
      </x:c>
      <x:c r="F667" s="24" t="n">
        <x:v>3</x:v>
      </x:c>
      <x:c r="G667" s="24" t="str">
        <x:v>A person becomes plantlike, tree-bound, fungal, or integrated with an ecosystem.</x:v>
      </x:c>
      <x:c r="H667" s="24" t="str">
        <x:v>Record reversibility, agency, transmission, cost, social recognition, and identity continuity.</x:v>
      </x:c>
      <x:c r="I667" s="24" t="str">
        <x:v>tree form; plant curse; fungal change</x:v>
      </x:c>
      <x:c r="J667" s="24" t="str">
        <x:v>Transformation, horror, empowerment, identity, embodiment, and combat-mode change.</x:v>
      </x:c>
      <x:c r="K667" s="24" t="str">
        <x:v>tree form; plant curse; fungal change</x:v>
      </x:c>
      <x:c r="L667" s="24" t="str">
        <x:v>Preserve each source's ontology, culture, history, and terminology when making comparisons.</x:v>
      </x:c>
      <x:c r="M667" s="24" t="str">
        <x:v>Core Family</x:v>
      </x:c>
    </x:row>
    <x:row r="668" ht="44" customHeight="1">
      <x:c r="A668" s="24" t="str">
        <x:v>STA-213</x:v>
      </x:c>
      <x:c r="B668" s="24" t="str">
        <x:v>Construct Conversion</x:v>
      </x:c>
      <x:c r="C668" s="24" t="str">
        <x:v>States &amp; Transformations</x:v>
      </x:c>
      <x:c r="D668" s="24" t="str">
        <x:v>STA-200</x:v>
      </x:c>
      <x:c r="E668" s="24" t="str">
        <x:f>IF(D668="","",IFERROR(VLOOKUP(D668,$A$2:$B$1226,2,FALSE),""))</x:f>
        <x:v>Bodily Transformation States</x:v>
      </x:c>
      <x:c r="F668" s="24" t="n">
        <x:v>3</x:v>
      </x:c>
      <x:c r="G668" s="24" t="str">
        <x:v>A biological person is transferred into armor, a machine, golem, doll, or artificial body.</x:v>
      </x:c>
      <x:c r="H668" s="24" t="str">
        <x:v>Record reversibility, agency, transmission, cost, social recognition, and identity continuity.</x:v>
      </x:c>
      <x:c r="I668" s="24" t="str">
        <x:v>mechanization; soul armor; construct body</x:v>
      </x:c>
      <x:c r="J668" s="24" t="str">
        <x:v>Transformation, horror, empowerment, identity, embodiment, and combat-mode change.</x:v>
      </x:c>
      <x:c r="K668" s="24" t="str">
        <x:v>mechanization; soul armor; construct body</x:v>
      </x:c>
      <x:c r="L668" s="24" t="str">
        <x:v>Preserve each source's ontology, culture, history, and terminology when making comparisons.</x:v>
      </x:c>
      <x:c r="M668" s="24" t="str">
        <x:v>Core Family</x:v>
      </x:c>
    </x:row>
    <x:row r="669" ht="44" customHeight="1">
      <x:c r="A669" s="24" t="str">
        <x:v>STA-214</x:v>
      </x:c>
      <x:c r="B669" s="24" t="str">
        <x:v>Cyborg or Magitech Augmentation</x:v>
      </x:c>
      <x:c r="C669" s="24" t="str">
        <x:v>States &amp; Transformations</x:v>
      </x:c>
      <x:c r="D669" s="24" t="str">
        <x:v>STA-200</x:v>
      </x:c>
      <x:c r="E669" s="24" t="str">
        <x:f>IF(D669="","",IFERROR(VLOOKUP(D669,$A$2:$B$1226,2,FALSE),""))</x:f>
        <x:v>Bodily Transformation States</x:v>
      </x:c>
      <x:c r="F669" s="24" t="n">
        <x:v>3</x:v>
      </x:c>
      <x:c r="G669" s="24" t="str">
        <x:v>A person gains mechanical, magical, or artificial replacement parts and enhanced capabilities.</x:v>
      </x:c>
      <x:c r="H669" s="24" t="str">
        <x:v>Record reversibility, agency, transmission, cost, social recognition, and identity continuity.</x:v>
      </x:c>
      <x:c r="I669" s="24" t="str">
        <x:v>cyborg; prosthetic enhancement; magitech augmentation</x:v>
      </x:c>
      <x:c r="J669" s="24" t="str">
        <x:v>Transformation, horror, empowerment, identity, embodiment, and combat-mode change.</x:v>
      </x:c>
      <x:c r="K669" s="24" t="str">
        <x:v>cyborg; prosthetic enhancement; magitech augmentation</x:v>
      </x:c>
      <x:c r="L669" s="24" t="str">
        <x:v>Preserve each source's ontology, culture, history, and terminology when making comparisons.</x:v>
      </x:c>
      <x:c r="M669" s="24" t="str">
        <x:v>Core Family</x:v>
      </x:c>
    </x:row>
    <x:row r="670" ht="44" customHeight="1">
      <x:c r="A670" s="24" t="str">
        <x:v>STA-215</x:v>
      </x:c>
      <x:c r="B670" s="24" t="str">
        <x:v>Body Swap</x:v>
      </x:c>
      <x:c r="C670" s="24" t="str">
        <x:v>States &amp; Transformations</x:v>
      </x:c>
      <x:c r="D670" s="24" t="str">
        <x:v>STA-200</x:v>
      </x:c>
      <x:c r="E670" s="24" t="str">
        <x:f>IF(D670="","",IFERROR(VLOOKUP(D670,$A$2:$B$1226,2,FALSE),""))</x:f>
        <x:v>Bodily Transformation States</x:v>
      </x:c>
      <x:c r="F670" s="24" t="n">
        <x:v>3</x:v>
      </x:c>
      <x:c r="G670" s="24" t="str">
        <x:v>Two or more minds exchange bodies while retaining some identity continuity.</x:v>
      </x:c>
      <x:c r="H670" s="24" t="str">
        <x:v>Record reversibility, agency, transmission, cost, social recognition, and identity continuity.</x:v>
      </x:c>
      <x:c r="I670" s="24" t="str">
        <x:v>body swap; exchanged bodies</x:v>
      </x:c>
      <x:c r="J670" s="24" t="str">
        <x:v>Transformation, horror, empowerment, identity, embodiment, and combat-mode change.</x:v>
      </x:c>
      <x:c r="K670" s="24" t="str">
        <x:v>body swap; exchanged bodies</x:v>
      </x:c>
      <x:c r="L670" s="24" t="str">
        <x:v>Preserve each source's ontology, culture, history, and terminology when making comparisons.</x:v>
      </x:c>
      <x:c r="M670" s="24" t="str">
        <x:v>Core Family</x:v>
      </x:c>
    </x:row>
    <x:row r="671" ht="44" customHeight="1">
      <x:c r="A671" s="24" t="str">
        <x:v>STA-216</x:v>
      </x:c>
      <x:c r="B671" s="24" t="str">
        <x:v>Age Transformation</x:v>
      </x:c>
      <x:c r="C671" s="24" t="str">
        <x:v>States &amp; Transformations</x:v>
      </x:c>
      <x:c r="D671" s="24" t="str">
        <x:v>STA-200</x:v>
      </x:c>
      <x:c r="E671" s="24" t="str">
        <x:f>IF(D671="","",IFERROR(VLOOKUP(D671,$A$2:$B$1226,2,FALSE),""))</x:f>
        <x:v>Bodily Transformation States</x:v>
      </x:c>
      <x:c r="F671" s="24" t="n">
        <x:v>3</x:v>
      </x:c>
      <x:c r="G671" s="24" t="str">
        <x:v>A person is magically aged, rejuvenated, frozen at an age, or shifted along their lifespan.</x:v>
      </x:c>
      <x:c r="H671" s="24" t="str">
        <x:v>Record reversibility, agency, transmission, cost, social recognition, and identity continuity.</x:v>
      </x:c>
      <x:c r="I671" s="24" t="str">
        <x:v>de-aging; rapid aging; youth curse</x:v>
      </x:c>
      <x:c r="J671" s="24" t="str">
        <x:v>Transformation, horror, empowerment, identity, embodiment, and combat-mode change.</x:v>
      </x:c>
      <x:c r="K671" s="24" t="str">
        <x:v>de-aging; rapid aging; youth curse</x:v>
      </x:c>
      <x:c r="L671" s="24" t="str">
        <x:v>Preserve each source's ontology, culture, history, and terminology when making comparisons.</x:v>
      </x:c>
      <x:c r="M671" s="24" t="str">
        <x:v>Core Family</x:v>
      </x:c>
    </x:row>
    <x:row r="672" ht="44" customHeight="1">
      <x:c r="A672" s="24" t="str">
        <x:v>STA-217</x:v>
      </x:c>
      <x:c r="B672" s="24" t="str">
        <x:v>Sex or Gendered Embodiment Change</x:v>
      </x:c>
      <x:c r="C672" s="24" t="str">
        <x:v>States &amp; Transformations</x:v>
      </x:c>
      <x:c r="D672" s="24" t="str">
        <x:v>STA-200</x:v>
      </x:c>
      <x:c r="E672" s="24" t="str">
        <x:f>IF(D672="","",IFERROR(VLOOKUP(D672,$A$2:$B$1226,2,FALSE),""))</x:f>
        <x:v>Bodily Transformation States</x:v>
      </x:c>
      <x:c r="F672" s="24" t="n">
        <x:v>3</x:v>
      </x:c>
      <x:c r="G672" s="24" t="str">
        <x:v>A person's bodily sex or gendered form changes through magic, biology, curse, or transformation.</x:v>
      </x:c>
      <x:c r="H672" s="24" t="str">
        <x:v>Record reversibility, agency, transmission, cost, social recognition, and identity continuity.</x:v>
      </x:c>
      <x:c r="I672" s="24" t="str">
        <x:v>sex change; gender transformation; form change</x:v>
      </x:c>
      <x:c r="J672" s="24" t="str">
        <x:v>Transformation, horror, empowerment, identity, embodiment, and combat-mode change.</x:v>
      </x:c>
      <x:c r="K672" s="24" t="str">
        <x:v>sex change; gender transformation; form change</x:v>
      </x:c>
      <x:c r="L672" s="24" t="str">
        <x:v>Preserve each source's ontology, culture, history, and terminology when making comparisons.</x:v>
      </x:c>
      <x:c r="M672" s="24" t="str">
        <x:v>Core Family</x:v>
      </x:c>
    </x:row>
    <x:row r="673" ht="44" customHeight="1">
      <x:c r="A673" s="24" t="str">
        <x:v>STA-218</x:v>
      </x:c>
      <x:c r="B673" s="24" t="str">
        <x:v>Disease or Magical Illness</x:v>
      </x:c>
      <x:c r="C673" s="24" t="str">
        <x:v>States &amp; Transformations</x:v>
      </x:c>
      <x:c r="D673" s="24" t="str">
        <x:v>STA-200</x:v>
      </x:c>
      <x:c r="E673" s="24" t="str">
        <x:f>IF(D673="","",IFERROR(VLOOKUP(D673,$A$2:$B$1226,2,FALSE),""))</x:f>
        <x:v>Bodily Transformation States</x:v>
      </x:c>
      <x:c r="F673" s="24" t="n">
        <x:v>3</x:v>
      </x:c>
      <x:c r="G673" s="24" t="str">
        <x:v>A supernatural or mundane disease alters function, identity, social status, or powers.</x:v>
      </x:c>
      <x:c r="H673" s="24" t="str">
        <x:v>Record reversibility, agency, transmission, cost, social recognition, and identity continuity.</x:v>
      </x:c>
      <x:c r="I673" s="24" t="str">
        <x:v>plague; magical disease; curse sickness</x:v>
      </x:c>
      <x:c r="J673" s="24" t="str">
        <x:v>Transformation, horror, empowerment, identity, embodiment, and combat-mode change.</x:v>
      </x:c>
      <x:c r="K673" s="24" t="str">
        <x:v>plague; magical disease; curse sickness</x:v>
      </x:c>
      <x:c r="L673" s="24" t="str">
        <x:v>Preserve each source's ontology, culture, history, and terminology when making comparisons.</x:v>
      </x:c>
      <x:c r="M673" s="24" t="str">
        <x:v>Core Family</x:v>
      </x:c>
    </x:row>
    <x:row r="674" ht="44" customHeight="1">
      <x:c r="A674" s="24" t="str">
        <x:v>STA-219</x:v>
      </x:c>
      <x:c r="B674" s="24" t="str">
        <x:v>Parasitic Infection</x:v>
      </x:c>
      <x:c r="C674" s="24" t="str">
        <x:v>States &amp; Transformations</x:v>
      </x:c>
      <x:c r="D674" s="24" t="str">
        <x:v>STA-200</x:v>
      </x:c>
      <x:c r="E674" s="24" t="str">
        <x:f>IF(D674="","",IFERROR(VLOOKUP(D674,$A$2:$B$1226,2,FALSE),""))</x:f>
        <x:v>Bodily Transformation States</x:v>
      </x:c>
      <x:c r="F674" s="24" t="n">
        <x:v>3</x:v>
      </x:c>
      <x:c r="G674" s="24" t="str">
        <x:v>An organism or supernatural agent inhabits and changes a host body.</x:v>
      </x:c>
      <x:c r="H674" s="24" t="str">
        <x:v>Record reversibility, agency, transmission, cost, social recognition, and identity continuity.</x:v>
      </x:c>
      <x:c r="I674" s="24" t="str">
        <x:v>parasite; infection; host state</x:v>
      </x:c>
      <x:c r="J674" s="24" t="str">
        <x:v>Transformation, horror, empowerment, identity, embodiment, and combat-mode change.</x:v>
      </x:c>
      <x:c r="K674" s="24" t="str">
        <x:v>parasite; infection; host state</x:v>
      </x:c>
      <x:c r="L674" s="24" t="str">
        <x:v>Preserve each source's ontology, culture, history, and terminology when making comparisons.</x:v>
      </x:c>
      <x:c r="M674" s="24" t="str">
        <x:v>Core Family</x:v>
      </x:c>
    </x:row>
    <x:row r="675" ht="44" customHeight="1">
      <x:c r="A675" s="24" t="str">
        <x:v>STA-220</x:v>
      </x:c>
      <x:c r="B675" s="24" t="str">
        <x:v>Symbiotic Bond</x:v>
      </x:c>
      <x:c r="C675" s="24" t="str">
        <x:v>States &amp; Transformations</x:v>
      </x:c>
      <x:c r="D675" s="24" t="str">
        <x:v>STA-200</x:v>
      </x:c>
      <x:c r="E675" s="24" t="str">
        <x:f>IF(D675="","",IFERROR(VLOOKUP(D675,$A$2:$B$1226,2,FALSE),""))</x:f>
        <x:v>Bodily Transformation States</x:v>
      </x:c>
      <x:c r="F675" s="24" t="n">
        <x:v>3</x:v>
      </x:c>
      <x:c r="G675" s="24" t="str">
        <x:v>A host and another being form a mutually sustaining bodily and power relationship.</x:v>
      </x:c>
      <x:c r="H675" s="24" t="str">
        <x:v>Record reversibility, agency, transmission, cost, social recognition, and identity continuity.</x:v>
      </x:c>
      <x:c r="I675" s="24" t="str">
        <x:v>symbiote; bonded organism</x:v>
      </x:c>
      <x:c r="J675" s="24" t="str">
        <x:v>Transformation, horror, empowerment, identity, embodiment, and combat-mode change.</x:v>
      </x:c>
      <x:c r="K675" s="24" t="str">
        <x:v>symbiote; bonded organism</x:v>
      </x:c>
      <x:c r="L675" s="24" t="str">
        <x:v>Preserve each source's ontology, culture, history, and terminology when making comparisons.</x:v>
      </x:c>
      <x:c r="M675" s="24" t="str">
        <x:v>Core Family</x:v>
      </x:c>
    </x:row>
    <x:row r="676" ht="44" customHeight="1">
      <x:c r="A676" s="24" t="str">
        <x:v>STA-221</x:v>
      </x:c>
      <x:c r="B676" s="24" t="str">
        <x:v>Possessed Body</x:v>
      </x:c>
      <x:c r="C676" s="24" t="str">
        <x:v>States &amp; Transformations</x:v>
      </x:c>
      <x:c r="D676" s="24" t="str">
        <x:v>STA-200</x:v>
      </x:c>
      <x:c r="E676" s="24" t="str">
        <x:f>IF(D676="","",IFERROR(VLOOKUP(D676,$A$2:$B$1226,2,FALSE),""))</x:f>
        <x:v>Bodily Transformation States</x:v>
      </x:c>
      <x:c r="F676" s="24" t="n">
        <x:v>3</x:v>
      </x:c>
      <x:c r="G676" s="24" t="str">
        <x:v>An external being occupies or shares the body, with degrees of control and coexistence.</x:v>
      </x:c>
      <x:c r="H676" s="24" t="str">
        <x:v>Record reversibility, agency, transmission, cost, social recognition, and identity continuity.</x:v>
      </x:c>
      <x:c r="I676" s="24" t="str">
        <x:v>possession; vessel; ridden</x:v>
      </x:c>
      <x:c r="J676" s="24" t="str">
        <x:v>Transformation, horror, empowerment, identity, embodiment, and combat-mode change.</x:v>
      </x:c>
      <x:c r="K676" s="24" t="str">
        <x:v>possession; vessel; ridden</x:v>
      </x:c>
      <x:c r="L676" s="24" t="str">
        <x:v>Preserve each source's ontology, culture, history, and terminology when making comparisons.</x:v>
      </x:c>
      <x:c r="M676" s="24" t="str">
        <x:v>Core Family</x:v>
      </x:c>
    </x:row>
    <x:row r="677" ht="44" customHeight="1">
      <x:c r="A677" s="24" t="str">
        <x:v>STA-222</x:v>
      </x:c>
      <x:c r="B677" s="24" t="str">
        <x:v>Cloned or Replicated Body</x:v>
      </x:c>
      <x:c r="C677" s="24" t="str">
        <x:v>States &amp; Transformations</x:v>
      </x:c>
      <x:c r="D677" s="24" t="str">
        <x:v>STA-200</x:v>
      </x:c>
      <x:c r="E677" s="24" t="str">
        <x:f>IF(D677="","",IFERROR(VLOOKUP(D677,$A$2:$B$1226,2,FALSE),""))</x:f>
        <x:v>Bodily Transformation States</x:v>
      </x:c>
      <x:c r="F677" s="24" t="n">
        <x:v>3</x:v>
      </x:c>
      <x:c r="G677" s="24" t="str">
        <x:v>A person exists in a copied, reconstructed, or duplicate biological form.</x:v>
      </x:c>
      <x:c r="H677" s="24" t="str">
        <x:v>Record reversibility, agency, transmission, cost, social recognition, and identity continuity.</x:v>
      </x:c>
      <x:c r="I677" s="24" t="str">
        <x:v>clone body; replica; vat-grown</x:v>
      </x:c>
      <x:c r="J677" s="24" t="str">
        <x:v>Transformation, horror, empowerment, identity, embodiment, and combat-mode change.</x:v>
      </x:c>
      <x:c r="K677" s="24" t="str">
        <x:v>clone body; replica; vat-grown</x:v>
      </x:c>
      <x:c r="L677" s="24" t="str">
        <x:v>Preserve each source's ontology, culture, history, and terminology when making comparisons.</x:v>
      </x:c>
      <x:c r="M677" s="24" t="str">
        <x:v>Core Family</x:v>
      </x:c>
    </x:row>
    <x:row r="678" ht="44" customHeight="1">
      <x:c r="A678" s="24" t="str">
        <x:v>STA-223</x:v>
      </x:c>
      <x:c r="B678" s="24" t="str">
        <x:v>Artificial Rebirth</x:v>
      </x:c>
      <x:c r="C678" s="24" t="str">
        <x:v>States &amp; Transformations</x:v>
      </x:c>
      <x:c r="D678" s="24" t="str">
        <x:v>STA-200</x:v>
      </x:c>
      <x:c r="E678" s="24" t="str">
        <x:f>IF(D678="","",IFERROR(VLOOKUP(D678,$A$2:$B$1226,2,FALSE),""))</x:f>
        <x:v>Bodily Transformation States</x:v>
      </x:c>
      <x:c r="F678" s="24" t="n">
        <x:v>3</x:v>
      </x:c>
      <x:c r="G678" s="24" t="str">
        <x:v>A person is recreated in an engineered or manufactured body after death or destruction.</x:v>
      </x:c>
      <x:c r="H678" s="24" t="str">
        <x:v>Record reversibility, agency, transmission, cost, social recognition, and identity continuity.</x:v>
      </x:c>
      <x:c r="I678" s="24" t="str">
        <x:v>reconstruction; synthetic resurrection</x:v>
      </x:c>
      <x:c r="J678" s="24" t="str">
        <x:v>Transformation, horror, empowerment, identity, embodiment, and combat-mode change.</x:v>
      </x:c>
      <x:c r="K678" s="24" t="str">
        <x:v>reconstruction; synthetic resurrection</x:v>
      </x:c>
      <x:c r="L678" s="24" t="str">
        <x:v>Preserve each source's ontology, culture, history, and terminology when making comparisons.</x:v>
      </x:c>
      <x:c r="M678" s="24" t="str">
        <x:v>Core Family</x:v>
      </x:c>
    </x:row>
    <x:row r="679" ht="44" customHeight="1">
      <x:c r="A679" s="24" t="str">
        <x:v>STA-224</x:v>
      </x:c>
      <x:c r="B679" s="24" t="str">
        <x:v>Berserk State</x:v>
      </x:c>
      <x:c r="C679" s="24" t="str">
        <x:v>States &amp; Transformations</x:v>
      </x:c>
      <x:c r="D679" s="24" t="str">
        <x:v>STA-200</x:v>
      </x:c>
      <x:c r="E679" s="24" t="str">
        <x:f>IF(D679="","",IFERROR(VLOOKUP(D679,$A$2:$B$1226,2,FALSE),""))</x:f>
        <x:v>Bodily Transformation States</x:v>
      </x:c>
      <x:c r="F679" s="24" t="n">
        <x:v>3</x:v>
      </x:c>
      <x:c r="G679" s="24" t="str">
        <x:v>A temporary form grants heightened power while reducing judgment, control, safety, or identity.</x:v>
      </x:c>
      <x:c r="H679" s="24" t="str">
        <x:v>Record reversibility, agency, transmission, cost, social recognition, and identity continuity.</x:v>
      </x:c>
      <x:c r="I679" s="24" t="str">
        <x:v>berserk; rage form; frenzy</x:v>
      </x:c>
      <x:c r="J679" s="24" t="str">
        <x:v>Transformation, horror, empowerment, identity, embodiment, and combat-mode change.</x:v>
      </x:c>
      <x:c r="K679" s="24" t="str">
        <x:v>berserk; rage form; frenzy</x:v>
      </x:c>
      <x:c r="L679" s="24" t="str">
        <x:v>Preserve each source's ontology, culture, history, and terminology when making comparisons.</x:v>
      </x:c>
      <x:c r="M679" s="24" t="str">
        <x:v>Core Family</x:v>
      </x:c>
    </x:row>
    <x:row r="680" ht="44" customHeight="1">
      <x:c r="A680" s="24" t="str">
        <x:v>STA-225</x:v>
      </x:c>
      <x:c r="B680" s="24" t="str">
        <x:v>Overdrive or Limit State</x:v>
      </x:c>
      <x:c r="C680" s="24" t="str">
        <x:v>States &amp; Transformations</x:v>
      </x:c>
      <x:c r="D680" s="24" t="str">
        <x:v>STA-200</x:v>
      </x:c>
      <x:c r="E680" s="24" t="str">
        <x:f>IF(D680="","",IFERROR(VLOOKUP(D680,$A$2:$B$1226,2,FALSE),""))</x:f>
        <x:v>Bodily Transformation States</x:v>
      </x:c>
      <x:c r="F680" s="24" t="n">
        <x:v>3</x:v>
      </x:c>
      <x:c r="G680" s="24" t="str">
        <x:v>Accumulated stress or resource unlocks temporary exceptional output beyond normal limits.</x:v>
      </x:c>
      <x:c r="H680" s="24" t="str">
        <x:v>Record reversibility, agency, transmission, cost, social recognition, and identity continuity.</x:v>
      </x:c>
      <x:c r="I680" s="24" t="str">
        <x:v>limit break; overdrive; crisis form</x:v>
      </x:c>
      <x:c r="J680" s="24" t="str">
        <x:v>Transformation, horror, empowerment, identity, embodiment, and combat-mode change.</x:v>
      </x:c>
      <x:c r="K680" s="24" t="str">
        <x:v>limit break; overdrive; crisis form</x:v>
      </x:c>
      <x:c r="L680" s="24" t="str">
        <x:v>Preserve each source's ontology, culture, history, and terminology when making comparisons.</x:v>
      </x:c>
      <x:c r="M680" s="24" t="str">
        <x:v>Core Family</x:v>
      </x:c>
    </x:row>
    <x:row r="681" ht="44" customHeight="1">
      <x:c r="A681" s="24" t="str">
        <x:v>STA-226</x:v>
      </x:c>
      <x:c r="B681" s="24" t="str">
        <x:v>Elemental Attunement</x:v>
      </x:c>
      <x:c r="C681" s="24" t="str">
        <x:v>States &amp; Transformations</x:v>
      </x:c>
      <x:c r="D681" s="24" t="str">
        <x:v>STA-200</x:v>
      </x:c>
      <x:c r="E681" s="24" t="str">
        <x:f>IF(D681="","",IFERROR(VLOOKUP(D681,$A$2:$B$1226,2,FALSE),""))</x:f>
        <x:v>Bodily Transformation States</x:v>
      </x:c>
      <x:c r="F681" s="24" t="n">
        <x:v>3</x:v>
      </x:c>
      <x:c r="G681" s="24" t="str">
        <x:v>A body becomes aligned with or partially composed of an element.</x:v>
      </x:c>
      <x:c r="H681" s="24" t="str">
        <x:v>Record reversibility, agency, transmission, cost, social recognition, and identity continuity.</x:v>
      </x:c>
      <x:c r="I681" s="24" t="str">
        <x:v>fire-touched; frostbound; elemental form</x:v>
      </x:c>
      <x:c r="J681" s="24" t="str">
        <x:v>Transformation, horror, empowerment, identity, embodiment, and combat-mode change.</x:v>
      </x:c>
      <x:c r="K681" s="24" t="str">
        <x:v>fire-touched; frostbound; elemental form</x:v>
      </x:c>
      <x:c r="L681" s="24" t="str">
        <x:v>Preserve each source's ontology, culture, history, and terminology when making comparisons.</x:v>
      </x:c>
      <x:c r="M681" s="24" t="str">
        <x:v>Core Family</x:v>
      </x:c>
    </x:row>
    <x:row r="682" ht="44" customHeight="1">
      <x:c r="A682" s="24" t="str">
        <x:v>STA-227</x:v>
      </x:c>
      <x:c r="B682" s="24" t="str">
        <x:v>Corrupted or Blighted Body</x:v>
      </x:c>
      <x:c r="C682" s="24" t="str">
        <x:v>States &amp; Transformations</x:v>
      </x:c>
      <x:c r="D682" s="24" t="str">
        <x:v>STA-200</x:v>
      </x:c>
      <x:c r="E682" s="24" t="str">
        <x:f>IF(D682="","",IFERROR(VLOOKUP(D682,$A$2:$B$1226,2,FALSE),""))</x:f>
        <x:v>Bodily Transformation States</x:v>
      </x:c>
      <x:c r="F682" s="24" t="n">
        <x:v>3</x:v>
      </x:c>
      <x:c r="G682" s="24" t="str">
        <x:v>Hostile magic, taint, or environmental force deforms and empowers the body while imposing cost.</x:v>
      </x:c>
      <x:c r="H682" s="24" t="str">
        <x:v>Record reversibility, agency, transmission, cost, social recognition, and identity continuity.</x:v>
      </x:c>
      <x:c r="I682" s="24" t="str">
        <x:v>corruption; blight; taint</x:v>
      </x:c>
      <x:c r="J682" s="24" t="str">
        <x:v>Transformation, horror, empowerment, identity, embodiment, and combat-mode change.</x:v>
      </x:c>
      <x:c r="K682" s="24" t="str">
        <x:v>corruption; blight; taint</x:v>
      </x:c>
      <x:c r="L682" s="24" t="str">
        <x:v>Preserve each source's ontology, culture, history, and terminology when making comparisons.</x:v>
      </x:c>
      <x:c r="M682" s="24" t="str">
        <x:v>Core Family</x:v>
      </x:c>
    </x:row>
    <x:row r="683" ht="44" customHeight="1">
      <x:c r="A683" s="24" t="str">
        <x:v>STA-228</x:v>
      </x:c>
      <x:c r="B683" s="24" t="str">
        <x:v>Cursed Mark or Brand</x:v>
      </x:c>
      <x:c r="C683" s="24" t="str">
        <x:v>States &amp; Transformations</x:v>
      </x:c>
      <x:c r="D683" s="24" t="str">
        <x:v>STA-200</x:v>
      </x:c>
      <x:c r="E683" s="24" t="str">
        <x:f>IF(D683="","",IFERROR(VLOOKUP(D683,$A$2:$B$1226,2,FALSE),""))</x:f>
        <x:v>Bodily Transformation States</x:v>
      </x:c>
      <x:c r="F683" s="24" t="n">
        <x:v>3</x:v>
      </x:c>
      <x:c r="G683" s="24" t="str">
        <x:v>A visible or hidden inscription changes abilities, obligations, fate, or bodily integrity.</x:v>
      </x:c>
      <x:c r="H683" s="24" t="str">
        <x:v>Record reversibility, agency, transmission, cost, social recognition, and identity continuity.</x:v>
      </x:c>
      <x:c r="I683" s="24" t="str">
        <x:v>curse mark; brand; seal</x:v>
      </x:c>
      <x:c r="J683" s="24" t="str">
        <x:v>Transformation, horror, empowerment, identity, embodiment, and combat-mode change.</x:v>
      </x:c>
      <x:c r="K683" s="24" t="str">
        <x:v>curse mark; brand; seal</x:v>
      </x:c>
      <x:c r="L683" s="24" t="str">
        <x:v>Preserve each source's ontology, culture, history, and terminology when making comparisons.</x:v>
      </x:c>
      <x:c r="M683" s="24" t="str">
        <x:v>Core Family</x:v>
      </x:c>
    </x:row>
    <x:row r="684" ht="44" customHeight="1">
      <x:c r="A684" s="24" t="str">
        <x:v>STA-229</x:v>
      </x:c>
      <x:c r="B684" s="24" t="str">
        <x:v>Living Weapon State</x:v>
      </x:c>
      <x:c r="C684" s="24" t="str">
        <x:v>States &amp; Transformations</x:v>
      </x:c>
      <x:c r="D684" s="24" t="str">
        <x:v>STA-200</x:v>
      </x:c>
      <x:c r="E684" s="24" t="str">
        <x:f>IF(D684="","",IFERROR(VLOOKUP(D684,$A$2:$B$1226,2,FALSE),""))</x:f>
        <x:v>Bodily Transformation States</x:v>
      </x:c>
      <x:c r="F684" s="24" t="n">
        <x:v>3</x:v>
      </x:c>
      <x:c r="G684" s="24" t="str">
        <x:v>A person becomes or can transform into a weapon, armor, or tool.</x:v>
      </x:c>
      <x:c r="H684" s="24" t="str">
        <x:v>Record reversibility, agency, transmission, cost, social recognition, and identity continuity.</x:v>
      </x:c>
      <x:c r="I684" s="24" t="str">
        <x:v>weapon form; living blade</x:v>
      </x:c>
      <x:c r="J684" s="24" t="str">
        <x:v>Transformation, horror, empowerment, identity, embodiment, and combat-mode change.</x:v>
      </x:c>
      <x:c r="K684" s="24" t="str">
        <x:v>weapon form; living blade</x:v>
      </x:c>
      <x:c r="L684" s="24" t="str">
        <x:v>Preserve each source's ontology, culture, history, and terminology when making comparisons.</x:v>
      </x:c>
      <x:c r="M684" s="24" t="str">
        <x:v>Core Family</x:v>
      </x:c>
    </x:row>
    <x:row r="685" ht="44" customHeight="1">
      <x:c r="A685" s="24" t="str">
        <x:v>STA-230</x:v>
      </x:c>
      <x:c r="B685" s="24" t="str">
        <x:v>Hybridization</x:v>
      </x:c>
      <x:c r="C685" s="24" t="str">
        <x:v>States &amp; Transformations</x:v>
      </x:c>
      <x:c r="D685" s="24" t="str">
        <x:v>STA-200</x:v>
      </x:c>
      <x:c r="E685" s="24" t="str">
        <x:f>IF(D685="","",IFERROR(VLOOKUP(D685,$A$2:$B$1226,2,FALSE),""))</x:f>
        <x:v>Bodily Transformation States</x:v>
      </x:c>
      <x:c r="F685" s="24" t="n">
        <x:v>3</x:v>
      </x:c>
      <x:c r="G685" s="24" t="str">
        <x:v>A person permanently combines biological or metaphysical traits from multiple kinds.</x:v>
      </x:c>
      <x:c r="H685" s="24" t="str">
        <x:v>Record reversibility, agency, transmission, cost, social recognition, and identity continuity.</x:v>
      </x:c>
      <x:c r="I685" s="24" t="str">
        <x:v>hybrid; splice; chimera state</x:v>
      </x:c>
      <x:c r="J685" s="24" t="str">
        <x:v>Transformation, horror, empowerment, identity, embodiment, and combat-mode change.</x:v>
      </x:c>
      <x:c r="K685" s="24" t="str">
        <x:v>hybrid; splice; chimera state</x:v>
      </x:c>
      <x:c r="L685" s="24" t="str">
        <x:v>Preserve each source's ontology, culture, history, and terminology when making comparisons.</x:v>
      </x:c>
      <x:c r="M685" s="24" t="str">
        <x:v>Core Family</x:v>
      </x:c>
    </x:row>
    <x:row r="686" ht="44" customHeight="1">
      <x:c r="A686" s="24" t="str">
        <x:v>STA-301</x:v>
      </x:c>
      <x:c r="B686" s="24" t="str">
        <x:v>Possession</x:v>
      </x:c>
      <x:c r="C686" s="24" t="str">
        <x:v>States &amp; Transformations</x:v>
      </x:c>
      <x:c r="D686" s="24" t="str">
        <x:v>STA-300</x:v>
      </x:c>
      <x:c r="E686" s="24" t="str">
        <x:f>IF(D686="","",IFERROR(VLOOKUP(D686,$A$2:$B$1226,2,FALSE),""))</x:f>
        <x:v>Spiritual and Identity States</x:v>
      </x:c>
      <x:c r="F686" s="24" t="n">
        <x:v>3</x:v>
      </x:c>
      <x:c r="G686" s="24" t="str">
        <x:v>A spirit, demon, deity, ancestor, or alien intelligence enters and influences a person.</x:v>
      </x:c>
      <x:c r="H686" s="24" t="str">
        <x:v>Record reversibility, agency, transmission, cost, social recognition, and identity continuity.</x:v>
      </x:c>
      <x:c r="I686" s="24" t="str">
        <x:v>possessed; ridden; vessel</x:v>
      </x:c>
      <x:c r="J686" s="24" t="str">
        <x:v>Agency, identity, obligation, memory, corruption, sacred status, and interpersonal metaphysics.</x:v>
      </x:c>
      <x:c r="K686" s="24" t="str">
        <x:v>possessed; ridden; vessel</x:v>
      </x:c>
      <x:c r="L686" s="24" t="str">
        <x:v>Preserve each source's ontology, culture, history, and terminology when making comparisons.</x:v>
      </x:c>
      <x:c r="M686" s="24" t="str">
        <x:v>Core Family</x:v>
      </x:c>
    </x:row>
    <x:row r="687" ht="44" customHeight="1">
      <x:c r="A687" s="24" t="str">
        <x:v>STA-302</x:v>
      </x:c>
      <x:c r="B687" s="24" t="str">
        <x:v>Co-Possession and Shared Body</x:v>
      </x:c>
      <x:c r="C687" s="24" t="str">
        <x:v>States &amp; Transformations</x:v>
      </x:c>
      <x:c r="D687" s="24" t="str">
        <x:v>STA-300</x:v>
      </x:c>
      <x:c r="E687" s="24" t="str">
        <x:f>IF(D687="","",IFERROR(VLOOKUP(D687,$A$2:$B$1226,2,FALSE),""))</x:f>
        <x:v>Spiritual and Identity States</x:v>
      </x:c>
      <x:c r="F687" s="24" t="n">
        <x:v>3</x:v>
      </x:c>
      <x:c r="G687" s="24" t="str">
        <x:v>Multiple minds or souls coexist in one body with negotiated or shifting control.</x:v>
      </x:c>
      <x:c r="H687" s="24" t="str">
        <x:v>Record reversibility, agency, transmission, cost, social recognition, and identity continuity.</x:v>
      </x:c>
      <x:c r="I687" s="24" t="str">
        <x:v>shared body; cohabitation; plural vessel</x:v>
      </x:c>
      <x:c r="J687" s="24" t="str">
        <x:v>Agency, identity, obligation, memory, corruption, sacred status, and interpersonal metaphysics.</x:v>
      </x:c>
      <x:c r="K687" s="24" t="str">
        <x:v>shared body; cohabitation; plural vessel</x:v>
      </x:c>
      <x:c r="L687" s="24" t="str">
        <x:v>Preserve each source's ontology, culture, history, and terminology when making comparisons.</x:v>
      </x:c>
      <x:c r="M687" s="24" t="str">
        <x:v>Core Family</x:v>
      </x:c>
    </x:row>
    <x:row r="688" ht="44" customHeight="1">
      <x:c r="A688" s="24" t="str">
        <x:v>STA-303</x:v>
      </x:c>
      <x:c r="B688" s="24" t="str">
        <x:v>Mind Control</x:v>
      </x:c>
      <x:c r="C688" s="24" t="str">
        <x:v>States &amp; Transformations</x:v>
      </x:c>
      <x:c r="D688" s="24" t="str">
        <x:v>STA-300</x:v>
      </x:c>
      <x:c r="E688" s="24" t="str">
        <x:f>IF(D688="","",IFERROR(VLOOKUP(D688,$A$2:$B$1226,2,FALSE),""))</x:f>
        <x:v>Spiritual and Identity States</x:v>
      </x:c>
      <x:c r="F688" s="24" t="n">
        <x:v>3</x:v>
      </x:c>
      <x:c r="G688" s="24" t="str">
        <x:v>A person's choices are externally compelled, overwritten, or constrained.</x:v>
      </x:c>
      <x:c r="H688" s="24" t="str">
        <x:v>Record reversibility, agency, transmission, cost, social recognition, and identity continuity.</x:v>
      </x:c>
      <x:c r="I688" s="24" t="str">
        <x:v>dominated; enthralled; controlled</x:v>
      </x:c>
      <x:c r="J688" s="24" t="str">
        <x:v>Agency, identity, obligation, memory, corruption, sacred status, and interpersonal metaphysics.</x:v>
      </x:c>
      <x:c r="K688" s="24" t="str">
        <x:v>dominated; enthralled; controlled</x:v>
      </x:c>
      <x:c r="L688" s="24" t="str">
        <x:v>Preserve each source's ontology, culture, history, and terminology when making comparisons.</x:v>
      </x:c>
      <x:c r="M688" s="24" t="str">
        <x:v>Core Family</x:v>
      </x:c>
    </x:row>
    <x:row r="689" ht="44" customHeight="1">
      <x:c r="A689" s="24" t="str">
        <x:v>STA-304</x:v>
      </x:c>
      <x:c r="B689" s="24" t="str">
        <x:v>Charm and Enchantment</x:v>
      </x:c>
      <x:c r="C689" s="24" t="str">
        <x:v>States &amp; Transformations</x:v>
      </x:c>
      <x:c r="D689" s="24" t="str">
        <x:v>STA-300</x:v>
      </x:c>
      <x:c r="E689" s="24" t="str">
        <x:f>IF(D689="","",IFERROR(VLOOKUP(D689,$A$2:$B$1226,2,FALSE),""))</x:f>
        <x:v>Spiritual and Identity States</x:v>
      </x:c>
      <x:c r="F689" s="24" t="n">
        <x:v>3</x:v>
      </x:c>
      <x:c r="G689" s="24" t="str">
        <x:v>A person's emotions, loyalties, perceptions, or desires are supernaturally altered.</x:v>
      </x:c>
      <x:c r="H689" s="24" t="str">
        <x:v>Record reversibility, agency, transmission, cost, social recognition, and identity continuity.</x:v>
      </x:c>
      <x:c r="I689" s="24" t="str">
        <x:v>charmed; bewitched; enchanted</x:v>
      </x:c>
      <x:c r="J689" s="24" t="str">
        <x:v>Agency, identity, obligation, memory, corruption, sacred status, and interpersonal metaphysics.</x:v>
      </x:c>
      <x:c r="K689" s="24" t="str">
        <x:v>charmed; bewitched; enchanted</x:v>
      </x:c>
      <x:c r="L689" s="24" t="str">
        <x:v>Preserve each source's ontology, culture, history, and terminology when making comparisons.</x:v>
      </x:c>
      <x:c r="M689" s="24" t="str">
        <x:v>Core Family</x:v>
      </x:c>
    </x:row>
    <x:row r="690" ht="44" customHeight="1">
      <x:c r="A690" s="24" t="str">
        <x:v>STA-305</x:v>
      </x:c>
      <x:c r="B690" s="24" t="str">
        <x:v>Memory Loss</x:v>
      </x:c>
      <x:c r="C690" s="24" t="str">
        <x:v>States &amp; Transformations</x:v>
      </x:c>
      <x:c r="D690" s="24" t="str">
        <x:v>STA-300</x:v>
      </x:c>
      <x:c r="E690" s="24" t="str">
        <x:f>IF(D690="","",IFERROR(VLOOKUP(D690,$A$2:$B$1226,2,FALSE),""))</x:f>
        <x:v>Spiritual and Identity States</x:v>
      </x:c>
      <x:c r="F690" s="24" t="n">
        <x:v>3</x:v>
      </x:c>
      <x:c r="G690" s="24" t="str">
        <x:v>Identity-relevant memory is removed, sealed, damaged, or inaccessible.</x:v>
      </x:c>
      <x:c r="H690" s="24" t="str">
        <x:v>Record reversibility, agency, transmission, cost, social recognition, and identity continuity.</x:v>
      </x:c>
      <x:c r="I690" s="24" t="str">
        <x:v>amnesia; memory seal</x:v>
      </x:c>
      <x:c r="J690" s="24" t="str">
        <x:v>Agency, identity, obligation, memory, corruption, sacred status, and interpersonal metaphysics.</x:v>
      </x:c>
      <x:c r="K690" s="24" t="str">
        <x:v>amnesia; memory seal</x:v>
      </x:c>
      <x:c r="L690" s="24" t="str">
        <x:v>Preserve each source's ontology, culture, history, and terminology when making comparisons.</x:v>
      </x:c>
      <x:c r="M690" s="24" t="str">
        <x:v>Core Family</x:v>
      </x:c>
    </x:row>
    <x:row r="691" ht="44" customHeight="1">
      <x:c r="A691" s="24" t="str">
        <x:v>STA-306</x:v>
      </x:c>
      <x:c r="B691" s="24" t="str">
        <x:v>Memory Implantation</x:v>
      </x:c>
      <x:c r="C691" s="24" t="str">
        <x:v>States &amp; Transformations</x:v>
      </x:c>
      <x:c r="D691" s="24" t="str">
        <x:v>STA-300</x:v>
      </x:c>
      <x:c r="E691" s="24" t="str">
        <x:f>IF(D691="","",IFERROR(VLOOKUP(D691,$A$2:$B$1226,2,FALSE),""))</x:f>
        <x:v>Spiritual and Identity States</x:v>
      </x:c>
      <x:c r="F691" s="24" t="n">
        <x:v>3</x:v>
      </x:c>
      <x:c r="G691" s="24" t="str">
        <x:v>False or external memories are inserted, creating altered identity or allegiance.</x:v>
      </x:c>
      <x:c r="H691" s="24" t="str">
        <x:v>Record reversibility, agency, transmission, cost, social recognition, and identity continuity.</x:v>
      </x:c>
      <x:c r="I691" s="24" t="str">
        <x:v>implanted memory; fabricated past</x:v>
      </x:c>
      <x:c r="J691" s="24" t="str">
        <x:v>Agency, identity, obligation, memory, corruption, sacred status, and interpersonal metaphysics.</x:v>
      </x:c>
      <x:c r="K691" s="24" t="str">
        <x:v>implanted memory; fabricated past</x:v>
      </x:c>
      <x:c r="L691" s="24" t="str">
        <x:v>Preserve each source's ontology, culture, history, and terminology when making comparisons.</x:v>
      </x:c>
      <x:c r="M691" s="24" t="str">
        <x:v>Core Family</x:v>
      </x:c>
    </x:row>
    <x:row r="692" ht="44" customHeight="1">
      <x:c r="A692" s="24" t="str">
        <x:v>STA-307</x:v>
      </x:c>
      <x:c r="B692" s="24" t="str">
        <x:v>Soul Bond</x:v>
      </x:c>
      <x:c r="C692" s="24" t="str">
        <x:v>States &amp; Transformations</x:v>
      </x:c>
      <x:c r="D692" s="24" t="str">
        <x:v>STA-300</x:v>
      </x:c>
      <x:c r="E692" s="24" t="str">
        <x:f>IF(D692="","",IFERROR(VLOOKUP(D692,$A$2:$B$1226,2,FALSE),""))</x:f>
        <x:v>Spiritual and Identity States</x:v>
      </x:c>
      <x:c r="F692" s="24" t="n">
        <x:v>3</x:v>
      </x:c>
      <x:c r="G692" s="24" t="str">
        <x:v>Two or more beings share life, sensation, fate, power, or mortality through a spiritual connection.</x:v>
      </x:c>
      <x:c r="H692" s="24" t="str">
        <x:v>Record reversibility, agency, transmission, cost, social recognition, and identity continuity.</x:v>
      </x:c>
      <x:c r="I692" s="24" t="str">
        <x:v>soul bond; life link; fated pair</x:v>
      </x:c>
      <x:c r="J692" s="24" t="str">
        <x:v>Agency, identity, obligation, memory, corruption, sacred status, and interpersonal metaphysics.</x:v>
      </x:c>
      <x:c r="K692" s="24" t="str">
        <x:v>soul bond; life link; fated pair</x:v>
      </x:c>
      <x:c r="L692" s="24" t="str">
        <x:v>Preserve each source's ontology, culture, history, and terminology when making comparisons.</x:v>
      </x:c>
      <x:c r="M692" s="24" t="str">
        <x:v>Core Family</x:v>
      </x:c>
    </x:row>
    <x:row r="693" ht="44" customHeight="1">
      <x:c r="A693" s="24" t="str">
        <x:v>STA-308</x:v>
      </x:c>
      <x:c r="B693" s="24" t="str">
        <x:v>Familiar Bond</x:v>
      </x:c>
      <x:c r="C693" s="24" t="str">
        <x:v>States &amp; Transformations</x:v>
      </x:c>
      <x:c r="D693" s="24" t="str">
        <x:v>STA-300</x:v>
      </x:c>
      <x:c r="E693" s="24" t="str">
        <x:f>IF(D693="","",IFERROR(VLOOKUP(D693,$A$2:$B$1226,2,FALSE),""))</x:f>
        <x:v>Spiritual and Identity States</x:v>
      </x:c>
      <x:c r="F693" s="24" t="n">
        <x:v>3</x:v>
      </x:c>
      <x:c r="G693" s="24" t="str">
        <x:v>A practitioner and companion spirit or creature share communication, power, senses, or life force.</x:v>
      </x:c>
      <x:c r="H693" s="24" t="str">
        <x:v>Record reversibility, agency, transmission, cost, social recognition, and identity continuity.</x:v>
      </x:c>
      <x:c r="I693" s="24" t="str">
        <x:v>familiar bond; companion link</x:v>
      </x:c>
      <x:c r="J693" s="24" t="str">
        <x:v>Agency, identity, obligation, memory, corruption, sacred status, and interpersonal metaphysics.</x:v>
      </x:c>
      <x:c r="K693" s="24" t="str">
        <x:v>familiar bond; companion link</x:v>
      </x:c>
      <x:c r="L693" s="24" t="str">
        <x:v>Preserve each source's ontology, culture, history, and terminology when making comparisons.</x:v>
      </x:c>
      <x:c r="M693" s="24" t="str">
        <x:v>Core Family</x:v>
      </x:c>
    </x:row>
    <x:row r="694" ht="44" customHeight="1">
      <x:c r="A694" s="24" t="str">
        <x:v>STA-309</x:v>
      </x:c>
      <x:c r="B694" s="24" t="str">
        <x:v>Oathbound State</x:v>
      </x:c>
      <x:c r="C694" s="24" t="str">
        <x:v>States &amp; Transformations</x:v>
      </x:c>
      <x:c r="D694" s="24" t="str">
        <x:v>STA-300</x:v>
      </x:c>
      <x:c r="E694" s="24" t="str">
        <x:f>IF(D694="","",IFERROR(VLOOKUP(D694,$A$2:$B$1226,2,FALSE),""))</x:f>
        <x:v>Spiritual and Identity States</x:v>
      </x:c>
      <x:c r="F694" s="24" t="n">
        <x:v>3</x:v>
      </x:c>
      <x:c r="G694" s="24" t="str">
        <x:v>A vow or geas grants power and imposes metaphysical consequences for violation.</x:v>
      </x:c>
      <x:c r="H694" s="24" t="str">
        <x:v>Record reversibility, agency, transmission, cost, social recognition, and identity continuity.</x:v>
      </x:c>
      <x:c r="I694" s="24" t="str">
        <x:v>oathbound; geas; vow</x:v>
      </x:c>
      <x:c r="J694" s="24" t="str">
        <x:v>Agency, identity, obligation, memory, corruption, sacred status, and interpersonal metaphysics.</x:v>
      </x:c>
      <x:c r="K694" s="24" t="str">
        <x:v>oathbound; geas; vow</x:v>
      </x:c>
      <x:c r="L694" s="24" t="str">
        <x:v>Preserve each source's ontology, culture, history, and terminology when making comparisons.</x:v>
      </x:c>
      <x:c r="M694" s="24" t="str">
        <x:v>Core Family</x:v>
      </x:c>
    </x:row>
    <x:row r="695" ht="44" customHeight="1">
      <x:c r="A695" s="24" t="str">
        <x:v>STA-310</x:v>
      </x:c>
      <x:c r="B695" s="24" t="str">
        <x:v>Pact-Bound State</x:v>
      </x:c>
      <x:c r="C695" s="24" t="str">
        <x:v>States &amp; Transformations</x:v>
      </x:c>
      <x:c r="D695" s="24" t="str">
        <x:v>STA-300</x:v>
      </x:c>
      <x:c r="E695" s="24" t="str">
        <x:f>IF(D695="","",IFERROR(VLOOKUP(D695,$A$2:$B$1226,2,FALSE),""))</x:f>
        <x:v>Spiritual and Identity States</x:v>
      </x:c>
      <x:c r="F695" s="24" t="n">
        <x:v>3</x:v>
      </x:c>
      <x:c r="G695" s="24" t="str">
        <x:v>A person is contractually linked to a patron, spirit, fiend, or artifact.</x:v>
      </x:c>
      <x:c r="H695" s="24" t="str">
        <x:v>Record reversibility, agency, transmission, cost, social recognition, and identity continuity.</x:v>
      </x:c>
      <x:c r="I695" s="24" t="str">
        <x:v>pactbound; warlock pact; contract</x:v>
      </x:c>
      <x:c r="J695" s="24" t="str">
        <x:v>Agency, identity, obligation, memory, corruption, sacred status, and interpersonal metaphysics.</x:v>
      </x:c>
      <x:c r="K695" s="24" t="str">
        <x:v>pactbound; warlock pact; contract</x:v>
      </x:c>
      <x:c r="L695" s="24" t="str">
        <x:v>Preserve each source's ontology, culture, history, and terminology when making comparisons.</x:v>
      </x:c>
      <x:c r="M695" s="24" t="str">
        <x:v>Core Family</x:v>
      </x:c>
    </x:row>
    <x:row r="696" ht="44" customHeight="1">
      <x:c r="A696" s="24" t="str">
        <x:v>STA-311</x:v>
      </x:c>
      <x:c r="B696" s="24" t="str">
        <x:v>Cursed State</x:v>
      </x:c>
      <x:c r="C696" s="24" t="str">
        <x:v>States &amp; Transformations</x:v>
      </x:c>
      <x:c r="D696" s="24" t="str">
        <x:v>STA-300</x:v>
      </x:c>
      <x:c r="E696" s="24" t="str">
        <x:f>IF(D696="","",IFERROR(VLOOKUP(D696,$A$2:$B$1226,2,FALSE),""))</x:f>
        <x:v>Spiritual and Identity States</x:v>
      </x:c>
      <x:c r="F696" s="24" t="n">
        <x:v>3</x:v>
      </x:c>
      <x:c r="G696" s="24" t="str">
        <x:v>A persistent hostile condition is imposed through magic, fate, taboo, inheritance, or transgression.</x:v>
      </x:c>
      <x:c r="H696" s="24" t="str">
        <x:v>Record reversibility, agency, transmission, cost, social recognition, and identity continuity.</x:v>
      </x:c>
      <x:c r="I696" s="24" t="str">
        <x:v>curse; hex; malediction</x:v>
      </x:c>
      <x:c r="J696" s="24" t="str">
        <x:v>Agency, identity, obligation, memory, corruption, sacred status, and interpersonal metaphysics.</x:v>
      </x:c>
      <x:c r="K696" s="24" t="str">
        <x:v>curse; hex; malediction</x:v>
      </x:c>
      <x:c r="L696" s="24" t="str">
        <x:v>Preserve each source's ontology, culture, history, and terminology when making comparisons.</x:v>
      </x:c>
      <x:c r="M696" s="24" t="str">
        <x:v>Core Family</x:v>
      </x:c>
    </x:row>
    <x:row r="697" ht="44" customHeight="1">
      <x:c r="A697" s="24" t="str">
        <x:v>STA-312</x:v>
      </x:c>
      <x:c r="B697" s="24" t="str">
        <x:v>Blessed State</x:v>
      </x:c>
      <x:c r="C697" s="24" t="str">
        <x:v>States &amp; Transformations</x:v>
      </x:c>
      <x:c r="D697" s="24" t="str">
        <x:v>STA-300</x:v>
      </x:c>
      <x:c r="E697" s="24" t="str">
        <x:f>IF(D697="","",IFERROR(VLOOKUP(D697,$A$2:$B$1226,2,FALSE),""))</x:f>
        <x:v>Spiritual and Identity States</x:v>
      </x:c>
      <x:c r="F697" s="24" t="n">
        <x:v>3</x:v>
      </x:c>
      <x:c r="G697" s="24" t="str">
        <x:v>A persistent beneficial condition is granted by sacred, cosmic, ancestral, or social authority.</x:v>
      </x:c>
      <x:c r="H697" s="24" t="str">
        <x:v>Record reversibility, agency, transmission, cost, social recognition, and identity continuity.</x:v>
      </x:c>
      <x:c r="I697" s="24" t="str">
        <x:v>blessing; benediction; favor</x:v>
      </x:c>
      <x:c r="J697" s="24" t="str">
        <x:v>Agency, identity, obligation, memory, corruption, sacred status, and interpersonal metaphysics.</x:v>
      </x:c>
      <x:c r="K697" s="24" t="str">
        <x:v>blessing; benediction; favor</x:v>
      </x:c>
      <x:c r="L697" s="24" t="str">
        <x:v>Preserve each source's ontology, culture, history, and terminology when making comparisons.</x:v>
      </x:c>
      <x:c r="M697" s="24" t="str">
        <x:v>Core Family</x:v>
      </x:c>
    </x:row>
    <x:row r="698" ht="44" customHeight="1">
      <x:c r="A698" s="24" t="str">
        <x:v>STA-313</x:v>
      </x:c>
      <x:c r="B698" s="24" t="str">
        <x:v>Marked by Destiny</x:v>
      </x:c>
      <x:c r="C698" s="24" t="str">
        <x:v>States &amp; Transformations</x:v>
      </x:c>
      <x:c r="D698" s="24" t="str">
        <x:v>STA-300</x:v>
      </x:c>
      <x:c r="E698" s="24" t="str">
        <x:f>IF(D698="","",IFERROR(VLOOKUP(D698,$A$2:$B$1226,2,FALSE),""))</x:f>
        <x:v>Spiritual and Identity States</x:v>
      </x:c>
      <x:c r="F698" s="24" t="n">
        <x:v>3</x:v>
      </x:c>
      <x:c r="G698" s="24" t="str">
        <x:v>A person is identified by prophecy, fate, symbol, birth sign, or cosmic role.</x:v>
      </x:c>
      <x:c r="H698" s="24" t="str">
        <x:v>Record reversibility, agency, transmission, cost, social recognition, and identity continuity.</x:v>
      </x:c>
      <x:c r="I698" s="24" t="str">
        <x:v>chosen one; destined; marked</x:v>
      </x:c>
      <x:c r="J698" s="24" t="str">
        <x:v>Agency, identity, obligation, memory, corruption, sacred status, and interpersonal metaphysics.</x:v>
      </x:c>
      <x:c r="K698" s="24" t="str">
        <x:v>chosen one; destined; marked</x:v>
      </x:c>
      <x:c r="L698" s="24" t="str">
        <x:v>Preserve each source's ontology, culture, history, and terminology when making comparisons.</x:v>
      </x:c>
      <x:c r="M698" s="24" t="str">
        <x:v>Core Family</x:v>
      </x:c>
    </x:row>
    <x:row r="699" ht="44" customHeight="1">
      <x:c r="A699" s="24" t="str">
        <x:v>STA-314</x:v>
      </x:c>
      <x:c r="B699" s="24" t="str">
        <x:v>Corrupted Mind or Soul</x:v>
      </x:c>
      <x:c r="C699" s="24" t="str">
        <x:v>States &amp; Transformations</x:v>
      </x:c>
      <x:c r="D699" s="24" t="str">
        <x:v>STA-300</x:v>
      </x:c>
      <x:c r="E699" s="24" t="str">
        <x:f>IF(D699="","",IFERROR(VLOOKUP(D699,$A$2:$B$1226,2,FALSE),""))</x:f>
        <x:v>Spiritual and Identity States</x:v>
      </x:c>
      <x:c r="F699" s="24" t="n">
        <x:v>3</x:v>
      </x:c>
      <x:c r="G699" s="24" t="str">
        <x:v>A person's values, perceptions, agency, or spiritual integrity are eroded by hostile power.</x:v>
      </x:c>
      <x:c r="H699" s="24" t="str">
        <x:v>Record reversibility, agency, transmission, cost, social recognition, and identity continuity.</x:v>
      </x:c>
      <x:c r="I699" s="24" t="str">
        <x:v>corruption; madness; taint</x:v>
      </x:c>
      <x:c r="J699" s="24" t="str">
        <x:v>Agency, identity, obligation, memory, corruption, sacred status, and interpersonal metaphysics.</x:v>
      </x:c>
      <x:c r="K699" s="24" t="str">
        <x:v>corruption; madness; taint</x:v>
      </x:c>
      <x:c r="L699" s="24" t="str">
        <x:v>Preserve each source's ontology, culture, history, and terminology when making comparisons.</x:v>
      </x:c>
      <x:c r="M699" s="24" t="str">
        <x:v>Core Family</x:v>
      </x:c>
    </x:row>
    <x:row r="700" ht="44" customHeight="1">
      <x:c r="A700" s="24" t="str">
        <x:v>STA-315</x:v>
      </x:c>
      <x:c r="B700" s="24" t="str">
        <x:v>Madness or Altered Perception</x:v>
      </x:c>
      <x:c r="C700" s="24" t="str">
        <x:v>States &amp; Transformations</x:v>
      </x:c>
      <x:c r="D700" s="24" t="str">
        <x:v>STA-300</x:v>
      </x:c>
      <x:c r="E700" s="24" t="str">
        <x:f>IF(D700="","",IFERROR(VLOOKUP(D700,$A$2:$B$1226,2,FALSE),""))</x:f>
        <x:v>Spiritual and Identity States</x:v>
      </x:c>
      <x:c r="F700" s="24" t="n">
        <x:v>3</x:v>
      </x:c>
      <x:c r="G700" s="24" t="str">
        <x:v>A person experiences reality through a destabilized or supernaturally expanded mental state.</x:v>
      </x:c>
      <x:c r="H700" s="24" t="str">
        <x:v>Record reversibility, agency, transmission, cost, social recognition, and identity continuity.</x:v>
      </x:c>
      <x:c r="I700" s="24" t="str">
        <x:v>madness; insanity; eldritch perception</x:v>
      </x:c>
      <x:c r="J700" s="24" t="str">
        <x:v>Agency, identity, obligation, memory, corruption, sacred status, and interpersonal metaphysics.</x:v>
      </x:c>
      <x:c r="K700" s="24" t="str">
        <x:v>madness; insanity; eldritch perception</x:v>
      </x:c>
      <x:c r="L700" s="24" t="str">
        <x:v>Avoid using mental illness as shorthand for evil or cosmic insight; distinguish clinical, magical, and narrative states.</x:v>
      </x:c>
      <x:c r="M700" s="24" t="str">
        <x:v>Core Family</x:v>
      </x:c>
    </x:row>
    <x:row r="701" ht="44" customHeight="1">
      <x:c r="A701" s="24" t="str">
        <x:v>STA-316</x:v>
      </x:c>
      <x:c r="B701" s="24" t="str">
        <x:v>Ascension</x:v>
      </x:c>
      <x:c r="C701" s="24" t="str">
        <x:v>States &amp; Transformations</x:v>
      </x:c>
      <x:c r="D701" s="24" t="str">
        <x:v>STA-300</x:v>
      </x:c>
      <x:c r="E701" s="24" t="str">
        <x:f>IF(D701="","",IFERROR(VLOOKUP(D701,$A$2:$B$1226,2,FALSE),""))</x:f>
        <x:v>Spiritual and Identity States</x:v>
      </x:c>
      <x:c r="F701" s="24" t="n">
        <x:v>3</x:v>
      </x:c>
      <x:c r="G701" s="24" t="str">
        <x:v>A person crosses into a higher metaphysical, divine, immortal, or cosmological state.</x:v>
      </x:c>
      <x:c r="H701" s="24" t="str">
        <x:v>Record reversibility, agency, transmission, cost, social recognition, and identity continuity.</x:v>
      </x:c>
      <x:c r="I701" s="24" t="str">
        <x:v>ascended; apotheosis; transcendence</x:v>
      </x:c>
      <x:c r="J701" s="24" t="str">
        <x:v>Agency, identity, obligation, memory, corruption, sacred status, and interpersonal metaphysics.</x:v>
      </x:c>
      <x:c r="K701" s="24" t="str">
        <x:v>ascended; apotheosis; transcendence</x:v>
      </x:c>
      <x:c r="L701" s="24" t="str">
        <x:v>Preserve each source's ontology, culture, history, and terminology when making comparisons.</x:v>
      </x:c>
      <x:c r="M701" s="24" t="str">
        <x:v>Core Family</x:v>
      </x:c>
    </x:row>
    <x:row r="702" ht="44" customHeight="1">
      <x:c r="A702" s="24" t="str">
        <x:v>STA-317</x:v>
      </x:c>
      <x:c r="B702" s="24" t="str">
        <x:v>Fall or Spiritual Inversion</x:v>
      </x:c>
      <x:c r="C702" s="24" t="str">
        <x:v>States &amp; Transformations</x:v>
      </x:c>
      <x:c r="D702" s="24" t="str">
        <x:v>STA-300</x:v>
      </x:c>
      <x:c r="E702" s="24" t="str">
        <x:f>IF(D702="","",IFERROR(VLOOKUP(D702,$A$2:$B$1226,2,FALSE),""))</x:f>
        <x:v>Spiritual and Identity States</x:v>
      </x:c>
      <x:c r="F702" s="24" t="n">
        <x:v>3</x:v>
      </x:c>
      <x:c r="G702" s="24" t="str">
        <x:v>A sacred, heroic, or ordered being becomes corrupted, exiled, demonic, or opposed to former purpose.</x:v>
      </x:c>
      <x:c r="H702" s="24" t="str">
        <x:v>Record reversibility, agency, transmission, cost, social recognition, and identity continuity.</x:v>
      </x:c>
      <x:c r="I702" s="24" t="str">
        <x:v>fallen; corrupted angel; dark transformation</x:v>
      </x:c>
      <x:c r="J702" s="24" t="str">
        <x:v>Agency, identity, obligation, memory, corruption, sacred status, and interpersonal metaphysics.</x:v>
      </x:c>
      <x:c r="K702" s="24" t="str">
        <x:v>fallen; corrupted angel; dark transformation</x:v>
      </x:c>
      <x:c r="L702" s="24" t="str">
        <x:v>Preserve each source's ontology, culture, history, and terminology when making comparisons.</x:v>
      </x:c>
      <x:c r="M702" s="24" t="str">
        <x:v>Core Family</x:v>
      </x:c>
    </x:row>
    <x:row r="703" ht="44" customHeight="1">
      <x:c r="A703" s="24" t="str">
        <x:v>STA-318</x:v>
      </x:c>
      <x:c r="B703" s="24" t="str">
        <x:v>Awakening</x:v>
      </x:c>
      <x:c r="C703" s="24" t="str">
        <x:v>States &amp; Transformations</x:v>
      </x:c>
      <x:c r="D703" s="24" t="str">
        <x:v>STA-300</x:v>
      </x:c>
      <x:c r="E703" s="24" t="str">
        <x:f>IF(D703="","",IFERROR(VLOOKUP(D703,$A$2:$B$1226,2,FALSE),""))</x:f>
        <x:v>Spiritual and Identity States</x:v>
      </x:c>
      <x:c r="F703" s="24" t="n">
        <x:v>3</x:v>
      </x:c>
      <x:c r="G703" s="24" t="str">
        <x:v>Dormant power, memory, species identity, or cosmic role becomes active.</x:v>
      </x:c>
      <x:c r="H703" s="24" t="str">
        <x:v>Record reversibility, agency, transmission, cost, social recognition, and identity continuity.</x:v>
      </x:c>
      <x:c r="I703" s="24" t="str">
        <x:v>awakening; power activation; true self</x:v>
      </x:c>
      <x:c r="J703" s="24" t="str">
        <x:v>Agency, identity, obligation, memory, corruption, sacred status, and interpersonal metaphysics.</x:v>
      </x:c>
      <x:c r="K703" s="24" t="str">
        <x:v>awakening; power activation; true self</x:v>
      </x:c>
      <x:c r="L703" s="24" t="str">
        <x:v>Preserve each source's ontology, culture, history, and terminology when making comparisons.</x:v>
      </x:c>
      <x:c r="M703" s="24" t="str">
        <x:v>Core Family</x:v>
      </x:c>
    </x:row>
    <x:row r="704" ht="44" customHeight="1">
      <x:c r="A704" s="24" t="str">
        <x:v>STA-319</x:v>
      </x:c>
      <x:c r="B704" s="24" t="str">
        <x:v>Sealed Power</x:v>
      </x:c>
      <x:c r="C704" s="24" t="str">
        <x:v>States &amp; Transformations</x:v>
      </x:c>
      <x:c r="D704" s="24" t="str">
        <x:v>STA-300</x:v>
      </x:c>
      <x:c r="E704" s="24" t="str">
        <x:f>IF(D704="","",IFERROR(VLOOKUP(D704,$A$2:$B$1226,2,FALSE),""))</x:f>
        <x:v>Spiritual and Identity States</x:v>
      </x:c>
      <x:c r="F704" s="24" t="n">
        <x:v>3</x:v>
      </x:c>
      <x:c r="G704" s="24" t="str">
        <x:v>A person's abilities, identity, memories, or dangerous entity are suppressed by a seal.</x:v>
      </x:c>
      <x:c r="H704" s="24" t="str">
        <x:v>Record reversibility, agency, transmission, cost, social recognition, and identity continuity.</x:v>
      </x:c>
      <x:c r="I704" s="24" t="str">
        <x:v>sealed; bound power; limiter</x:v>
      </x:c>
      <x:c r="J704" s="24" t="str">
        <x:v>Agency, identity, obligation, memory, corruption, sacred status, and interpersonal metaphysics.</x:v>
      </x:c>
      <x:c r="K704" s="24" t="str">
        <x:v>sealed; bound power; limiter</x:v>
      </x:c>
      <x:c r="L704" s="24" t="str">
        <x:v>Preserve each source's ontology, culture, history, and terminology when making comparisons.</x:v>
      </x:c>
      <x:c r="M704" s="24" t="str">
        <x:v>Core Family</x:v>
      </x:c>
    </x:row>
    <x:row r="705" ht="44" customHeight="1">
      <x:c r="A705" s="24" t="str">
        <x:v>STA-320</x:v>
      </x:c>
      <x:c r="B705" s="24" t="str">
        <x:v>Fragmented Identity</x:v>
      </x:c>
      <x:c r="C705" s="24" t="str">
        <x:v>States &amp; Transformations</x:v>
      </x:c>
      <x:c r="D705" s="24" t="str">
        <x:v>STA-300</x:v>
      </x:c>
      <x:c r="E705" s="24" t="str">
        <x:f>IF(D705="","",IFERROR(VLOOKUP(D705,$A$2:$B$1226,2,FALSE),""))</x:f>
        <x:v>Spiritual and Identity States</x:v>
      </x:c>
      <x:c r="F705" s="24" t="n">
        <x:v>3</x:v>
      </x:c>
      <x:c r="G705" s="24" t="str">
        <x:v>A person contains separated personas, reincarnated selves, clones, echoes, or magical partitions.</x:v>
      </x:c>
      <x:c r="H705" s="24" t="str">
        <x:v>Record reversibility, agency, transmission, cost, social recognition, and identity continuity.</x:v>
      </x:c>
      <x:c r="I705" s="24" t="str">
        <x:v>split identity; multiple selves; shard</x:v>
      </x:c>
      <x:c r="J705" s="24" t="str">
        <x:v>Agency, identity, obligation, memory, corruption, sacred status, and interpersonal metaphysics.</x:v>
      </x:c>
      <x:c r="K705" s="24" t="str">
        <x:v>split identity; multiple selves; shard</x:v>
      </x:c>
      <x:c r="L705" s="24" t="str">
        <x:v>Preserve each source's ontology, culture, history, and terminology when making comparisons.</x:v>
      </x:c>
      <x:c r="M705" s="24" t="str">
        <x:v>Core Family</x:v>
      </x:c>
    </x:row>
    <x:row r="706" ht="44" customHeight="1">
      <x:c r="A706" s="24" t="str">
        <x:v>STA-321</x:v>
      </x:c>
      <x:c r="B706" s="24" t="str">
        <x:v>Merged Identity</x:v>
      </x:c>
      <x:c r="C706" s="24" t="str">
        <x:v>States &amp; Transformations</x:v>
      </x:c>
      <x:c r="D706" s="24" t="str">
        <x:v>STA-300</x:v>
      </x:c>
      <x:c r="E706" s="24" t="str">
        <x:f>IF(D706="","",IFERROR(VLOOKUP(D706,$A$2:$B$1226,2,FALSE),""))</x:f>
        <x:v>Spiritual and Identity States</x:v>
      </x:c>
      <x:c r="F706" s="24" t="n">
        <x:v>3</x:v>
      </x:c>
      <x:c r="G706" s="24" t="str">
        <x:v>Multiple persons, souls, memories, or timelines fuse into one continuing self.</x:v>
      </x:c>
      <x:c r="H706" s="24" t="str">
        <x:v>Record reversibility, agency, transmission, cost, social recognition, and identity continuity.</x:v>
      </x:c>
      <x:c r="I706" s="24" t="str">
        <x:v>fusion; gestalt; composite self</x:v>
      </x:c>
      <x:c r="J706" s="24" t="str">
        <x:v>Agency, identity, obligation, memory, corruption, sacred status, and interpersonal metaphysics.</x:v>
      </x:c>
      <x:c r="K706" s="24" t="str">
        <x:v>fusion; gestalt; composite self</x:v>
      </x:c>
      <x:c r="L706" s="24" t="str">
        <x:v>Preserve each source's ontology, culture, history, and terminology when making comparisons.</x:v>
      </x:c>
      <x:c r="M706" s="24" t="str">
        <x:v>Core Family</x:v>
      </x:c>
    </x:row>
    <x:row r="707" ht="44" customHeight="1">
      <x:c r="A707" s="24" t="str">
        <x:v>STA-322</x:v>
      </x:c>
      <x:c r="B707" s="24" t="str">
        <x:v>Name Loss or Identity Erasure</x:v>
      </x:c>
      <x:c r="C707" s="24" t="str">
        <x:v>States &amp; Transformations</x:v>
      </x:c>
      <x:c r="D707" s="24" t="str">
        <x:v>STA-300</x:v>
      </x:c>
      <x:c r="E707" s="24" t="str">
        <x:f>IF(D707="","",IFERROR(VLOOKUP(D707,$A$2:$B$1226,2,FALSE),""))</x:f>
        <x:v>Spiritual and Identity States</x:v>
      </x:c>
      <x:c r="F707" s="24" t="n">
        <x:v>3</x:v>
      </x:c>
      <x:c r="G707" s="24" t="str">
        <x:v>A person's name, social existence, memory in others, or metaphysical identity is removed.</x:v>
      </x:c>
      <x:c r="H707" s="24" t="str">
        <x:v>Record reversibility, agency, transmission, cost, social recognition, and identity continuity.</x:v>
      </x:c>
      <x:c r="I707" s="24" t="str">
        <x:v>nameless; erased; forgotten</x:v>
      </x:c>
      <x:c r="J707" s="24" t="str">
        <x:v>Agency, identity, obligation, memory, corruption, sacred status, and interpersonal metaphysics.</x:v>
      </x:c>
      <x:c r="K707" s="24" t="str">
        <x:v>nameless; erased; forgotten</x:v>
      </x:c>
      <x:c r="L707" s="24" t="str">
        <x:v>Preserve each source's ontology, culture, history, and terminology when making comparisons.</x:v>
      </x:c>
      <x:c r="M707" s="24" t="str">
        <x:v>Core Family</x:v>
      </x:c>
    </x:row>
    <x:row r="708" ht="44" customHeight="1">
      <x:c r="A708" s="24" t="str">
        <x:v>STA-323</x:v>
      </x:c>
      <x:c r="B708" s="24" t="str">
        <x:v>True-Name Binding</x:v>
      </x:c>
      <x:c r="C708" s="24" t="str">
        <x:v>States &amp; Transformations</x:v>
      </x:c>
      <x:c r="D708" s="24" t="str">
        <x:v>STA-300</x:v>
      </x:c>
      <x:c r="E708" s="24" t="str">
        <x:f>IF(D708="","",IFERROR(VLOOKUP(D708,$A$2:$B$1226,2,FALSE),""))</x:f>
        <x:v>Spiritual and Identity States</x:v>
      </x:c>
      <x:c r="F708" s="24" t="n">
        <x:v>3</x:v>
      </x:c>
      <x:c r="G708" s="24" t="str">
        <x:v>Knowledge or ownership of a true name constrains or empowers another being.</x:v>
      </x:c>
      <x:c r="H708" s="24" t="str">
        <x:v>Record reversibility, agency, transmission, cost, social recognition, and identity continuity.</x:v>
      </x:c>
      <x:c r="I708" s="24" t="str">
        <x:v>name-bound; true-name pact</x:v>
      </x:c>
      <x:c r="J708" s="24" t="str">
        <x:v>Agency, identity, obligation, memory, corruption, sacred status, and interpersonal metaphysics.</x:v>
      </x:c>
      <x:c r="K708" s="24" t="str">
        <x:v>name-bound; true-name pact</x:v>
      </x:c>
      <x:c r="L708" s="24" t="str">
        <x:v>Preserve each source's ontology, culture, history, and terminology when making comparisons.</x:v>
      </x:c>
      <x:c r="M708" s="24" t="str">
        <x:v>Core Family</x:v>
      </x:c>
    </x:row>
    <x:row r="709" ht="44" customHeight="1">
      <x:c r="A709" s="24" t="str">
        <x:v>STA-324</x:v>
      </x:c>
      <x:c r="B709" s="24" t="str">
        <x:v>Soul Debt</x:v>
      </x:c>
      <x:c r="C709" s="24" t="str">
        <x:v>States &amp; Transformations</x:v>
      </x:c>
      <x:c r="D709" s="24" t="str">
        <x:v>STA-300</x:v>
      </x:c>
      <x:c r="E709" s="24" t="str">
        <x:f>IF(D709="","",IFERROR(VLOOKUP(D709,$A$2:$B$1226,2,FALSE),""))</x:f>
        <x:v>Spiritual and Identity States</x:v>
      </x:c>
      <x:c r="F709" s="24" t="n">
        <x:v>3</x:v>
      </x:c>
      <x:c r="G709" s="24" t="str">
        <x:v>A person's soul, afterlife, reincarnation, or service is owed under contract or judgment.</x:v>
      </x:c>
      <x:c r="H709" s="24" t="str">
        <x:v>Record reversibility, agency, transmission, cost, social recognition, and identity continuity.</x:v>
      </x:c>
      <x:c r="I709" s="24" t="str">
        <x:v>soul debt; damned; claimed</x:v>
      </x:c>
      <x:c r="J709" s="24" t="str">
        <x:v>Agency, identity, obligation, memory, corruption, sacred status, and interpersonal metaphysics.</x:v>
      </x:c>
      <x:c r="K709" s="24" t="str">
        <x:v>soul debt; damned; claimed</x:v>
      </x:c>
      <x:c r="L709" s="24" t="str">
        <x:v>Preserve each source's ontology, culture, history, and terminology when making comparisons.</x:v>
      </x:c>
      <x:c r="M709" s="24" t="str">
        <x:v>Core Family</x:v>
      </x:c>
    </x:row>
    <x:row r="710" ht="44" customHeight="1">
      <x:c r="A710" s="24" t="str">
        <x:v>STA-325</x:v>
      </x:c>
      <x:c r="B710" s="24" t="str">
        <x:v>Haunted State</x:v>
      </x:c>
      <x:c r="C710" s="24" t="str">
        <x:v>States &amp; Transformations</x:v>
      </x:c>
      <x:c r="D710" s="24" t="str">
        <x:v>STA-300</x:v>
      </x:c>
      <x:c r="E710" s="24" t="str">
        <x:f>IF(D710="","",IFERROR(VLOOKUP(D710,$A$2:$B$1226,2,FALSE),""))</x:f>
        <x:v>Spiritual and Identity States</x:v>
      </x:c>
      <x:c r="F710" s="24" t="n">
        <x:v>3</x:v>
      </x:c>
      <x:c r="G710" s="24" t="str">
        <x:v>A living person or place is persistently accompanied or affected by the dead.</x:v>
      </x:c>
      <x:c r="H710" s="24" t="str">
        <x:v>Record reversibility, agency, transmission, cost, social recognition, and identity continuity.</x:v>
      </x:c>
      <x:c r="I710" s="24" t="str">
        <x:v>haunted; ghost-bound</x:v>
      </x:c>
      <x:c r="J710" s="24" t="str">
        <x:v>Agency, identity, obligation, memory, corruption, sacred status, and interpersonal metaphysics.</x:v>
      </x:c>
      <x:c r="K710" s="24" t="str">
        <x:v>haunted; ghost-bound</x:v>
      </x:c>
      <x:c r="L710" s="24" t="str">
        <x:v>Preserve each source's ontology, culture, history, and terminology when making comparisons.</x:v>
      </x:c>
      <x:c r="M710" s="24" t="str">
        <x:v>Core Family</x:v>
      </x:c>
    </x:row>
    <x:row r="711" ht="44" customHeight="1">
      <x:c r="A711" s="24" t="str">
        <x:v>STA-326</x:v>
      </x:c>
      <x:c r="B711" s="24" t="str">
        <x:v>Channeling State</x:v>
      </x:c>
      <x:c r="C711" s="24" t="str">
        <x:v>States &amp; Transformations</x:v>
      </x:c>
      <x:c r="D711" s="24" t="str">
        <x:v>STA-300</x:v>
      </x:c>
      <x:c r="E711" s="24" t="str">
        <x:f>IF(D711="","",IFERROR(VLOOKUP(D711,$A$2:$B$1226,2,FALSE),""))</x:f>
        <x:v>Spiritual and Identity States</x:v>
      </x:c>
      <x:c r="F711" s="24" t="n">
        <x:v>3</x:v>
      </x:c>
      <x:c r="G711" s="24" t="str">
        <x:v>A person temporarily allows a spirit, deity, ancestor, or archetypal power to act through them.</x:v>
      </x:c>
      <x:c r="H711" s="24" t="str">
        <x:v>Record reversibility, agency, transmission, cost, social recognition, and identity continuity.</x:v>
      </x:c>
      <x:c r="I711" s="24" t="str">
        <x:v>channeling; invocation; mounted by spirit</x:v>
      </x:c>
      <x:c r="J711" s="24" t="str">
        <x:v>Agency, identity, obligation, memory, corruption, sacred status, and interpersonal metaphysics.</x:v>
      </x:c>
      <x:c r="K711" s="24" t="str">
        <x:v>channeling; invocation; mounted by spirit</x:v>
      </x:c>
      <x:c r="L711" s="24" t="str">
        <x:v>Preserve each source's ontology, culture, history, and terminology when making comparisons.</x:v>
      </x:c>
      <x:c r="M711" s="24" t="str">
        <x:v>Core Family</x:v>
      </x:c>
    </x:row>
    <x:row r="712" ht="44" customHeight="1">
      <x:c r="A712" s="24" t="str">
        <x:v>STA-401</x:v>
      </x:c>
      <x:c r="B712" s="24" t="str">
        <x:v>Chosen Champion</x:v>
      </x:c>
      <x:c r="C712" s="24" t="str">
        <x:v>States &amp; Transformations</x:v>
      </x:c>
      <x:c r="D712" s="24" t="str">
        <x:v>STA-400</x:v>
      </x:c>
      <x:c r="E712" s="24" t="str">
        <x:f>IF(D712="","",IFERROR(VLOOKUP(D712,$A$2:$B$1226,2,FALSE),""))</x:f>
        <x:v>Empowerment, Bond, and Alignment States</x:v>
      </x:c>
      <x:c r="F712" s="24" t="n">
        <x:v>3</x:v>
      </x:c>
      <x:c r="G712" s="24" t="str">
        <x:v>A person is formally selected by deity, artifact, institution, prophecy, or people to bear power and responsibility.</x:v>
      </x:c>
      <x:c r="H712" s="24" t="str">
        <x:v>Record reversibility, agency, transmission, cost, social recognition, and identity continuity.</x:v>
      </x:c>
      <x:c r="I712" s="24" t="str">
        <x:v>chosen; champion; bearer</x:v>
      </x:c>
      <x:c r="J712" s="24" t="str">
        <x:v>Status, access, duty, progression, patronage, and role-based empowerment.</x:v>
      </x:c>
      <x:c r="K712" s="24" t="str">
        <x:v>chosen; champion; bearer</x:v>
      </x:c>
      <x:c r="L712" s="24" t="str">
        <x:v>Preserve each source's ontology, culture, history, and terminology when making comparisons.</x:v>
      </x:c>
      <x:c r="M712" s="24" t="str">
        <x:v>Core Family</x:v>
      </x:c>
    </x:row>
    <x:row r="713" ht="44" customHeight="1">
      <x:c r="A713" s="24" t="str">
        <x:v>STA-402</x:v>
      </x:c>
      <x:c r="B713" s="24" t="str">
        <x:v>Relic Bearer</x:v>
      </x:c>
      <x:c r="C713" s="24" t="str">
        <x:v>States &amp; Transformations</x:v>
      </x:c>
      <x:c r="D713" s="24" t="str">
        <x:v>STA-400</x:v>
      </x:c>
      <x:c r="E713" s="24" t="str">
        <x:f>IF(D713="","",IFERROR(VLOOKUP(D713,$A$2:$B$1226,2,FALSE),""))</x:f>
        <x:v>Empowerment, Bond, and Alignment States</x:v>
      </x:c>
      <x:c r="F713" s="24" t="n">
        <x:v>3</x:v>
      </x:c>
      <x:c r="G713" s="24" t="str">
        <x:v>A person's role and abilities depend on possession or acceptance by a unique artifact.</x:v>
      </x:c>
      <x:c r="H713" s="24" t="str">
        <x:v>Record reversibility, agency, transmission, cost, social recognition, and identity continuity.</x:v>
      </x:c>
      <x:c r="I713" s="24" t="str">
        <x:v>ring bearer; sword bearer; relic host</x:v>
      </x:c>
      <x:c r="J713" s="24" t="str">
        <x:v>Status, access, duty, progression, patronage, and role-based empowerment.</x:v>
      </x:c>
      <x:c r="K713" s="24" t="str">
        <x:v>ring bearer; sword bearer; relic host</x:v>
      </x:c>
      <x:c r="L713" s="24" t="str">
        <x:v>Preserve each source's ontology, culture, history, and terminology when making comparisons.</x:v>
      </x:c>
      <x:c r="M713" s="24" t="str">
        <x:v>Core Family</x:v>
      </x:c>
    </x:row>
    <x:row r="714" ht="44" customHeight="1">
      <x:c r="A714" s="24" t="str">
        <x:v>STA-403</x:v>
      </x:c>
      <x:c r="B714" s="24" t="str">
        <x:v>Crowned or Invested Sovereign</x:v>
      </x:c>
      <x:c r="C714" s="24" t="str">
        <x:v>States &amp; Transformations</x:v>
      </x:c>
      <x:c r="D714" s="24" t="str">
        <x:v>STA-400</x:v>
      </x:c>
      <x:c r="E714" s="24" t="str">
        <x:f>IF(D714="","",IFERROR(VLOOKUP(D714,$A$2:$B$1226,2,FALSE),""))</x:f>
        <x:v>Empowerment, Bond, and Alignment States</x:v>
      </x:c>
      <x:c r="F714" s="24" t="n">
        <x:v>3</x:v>
      </x:c>
      <x:c r="G714" s="24" t="str">
        <x:v>A ruler gains metaphysical or magical authority through coronation, mantle, office, or regalia.</x:v>
      </x:c>
      <x:c r="H714" s="24" t="str">
        <x:v>Record reversibility, agency, transmission, cost, social recognition, and identity continuity.</x:v>
      </x:c>
      <x:c r="I714" s="24" t="str">
        <x:v>invested king; crown-bonded; mantle</x:v>
      </x:c>
      <x:c r="J714" s="24" t="str">
        <x:v>Status, access, duty, progression, patronage, and role-based empowerment.</x:v>
      </x:c>
      <x:c r="K714" s="24" t="str">
        <x:v>invested king; crown-bonded; mantle</x:v>
      </x:c>
      <x:c r="L714" s="24" t="str">
        <x:v>Preserve each source's ontology, culture, history, and terminology when making comparisons.</x:v>
      </x:c>
      <x:c r="M714" s="24" t="str">
        <x:v>Core Family</x:v>
      </x:c>
    </x:row>
    <x:row r="715" ht="44" customHeight="1">
      <x:c r="A715" s="24" t="str">
        <x:v>STA-404</x:v>
      </x:c>
      <x:c r="B715" s="24" t="str">
        <x:v>Class Awakening</x:v>
      </x:c>
      <x:c r="C715" s="24" t="str">
        <x:v>States &amp; Transformations</x:v>
      </x:c>
      <x:c r="D715" s="24" t="str">
        <x:v>STA-400</x:v>
      </x:c>
      <x:c r="E715" s="24" t="str">
        <x:f>IF(D715="","",IFERROR(VLOOKUP(D715,$A$2:$B$1226,2,FALSE),""))</x:f>
        <x:v>Empowerment, Bond, and Alignment States</x:v>
      </x:c>
      <x:c r="F715" s="24" t="n">
        <x:v>3</x:v>
      </x:c>
      <x:c r="G715" s="24" t="str">
        <x:v>A formal class, job, or vocation becomes available through system recognition or personal breakthrough.</x:v>
      </x:c>
      <x:c r="H715" s="24" t="str">
        <x:v>Record reversibility, agency, transmission, cost, social recognition, and identity continuity.</x:v>
      </x:c>
      <x:c r="I715" s="24" t="str">
        <x:v>class awakening; job unlock</x:v>
      </x:c>
      <x:c r="J715" s="24" t="str">
        <x:v>Status, access, duty, progression, patronage, and role-based empowerment.</x:v>
      </x:c>
      <x:c r="K715" s="24" t="str">
        <x:v>class awakening; job unlock</x:v>
      </x:c>
      <x:c r="L715" s="24" t="str">
        <x:v>Preserve each source's ontology, culture, history, and terminology when making comparisons.</x:v>
      </x:c>
      <x:c r="M715" s="24" t="str">
        <x:v>Core Family</x:v>
      </x:c>
    </x:row>
    <x:row r="716" ht="44" customHeight="1">
      <x:c r="A716" s="24" t="str">
        <x:v>STA-405</x:v>
      </x:c>
      <x:c r="B716" s="24" t="str">
        <x:v>Hidden-Class State</x:v>
      </x:c>
      <x:c r="C716" s="24" t="str">
        <x:v>States &amp; Transformations</x:v>
      </x:c>
      <x:c r="D716" s="24" t="str">
        <x:v>STA-400</x:v>
      </x:c>
      <x:c r="E716" s="24" t="str">
        <x:f>IF(D716="","",IFERROR(VLOOKUP(D716,$A$2:$B$1226,2,FALSE),""))</x:f>
        <x:v>Empowerment, Bond, and Alignment States</x:v>
      </x:c>
      <x:c r="F716" s="24" t="n">
        <x:v>3</x:v>
      </x:c>
      <x:c r="G716" s="24" t="str">
        <x:v>A rare or unique class is acquired under exceptional conditions.</x:v>
      </x:c>
      <x:c r="H716" s="24" t="str">
        <x:v>Record reversibility, agency, transmission, cost, social recognition, and identity continuity.</x:v>
      </x:c>
      <x:c r="I716" s="24" t="str">
        <x:v>hidden class; unique profession</x:v>
      </x:c>
      <x:c r="J716" s="24" t="str">
        <x:v>Status, access, duty, progression, patronage, and role-based empowerment.</x:v>
      </x:c>
      <x:c r="K716" s="24" t="str">
        <x:v>hidden class; unique profession</x:v>
      </x:c>
      <x:c r="L716" s="24" t="str">
        <x:v>Preserve each source's ontology, culture, history, and terminology when making comparisons.</x:v>
      </x:c>
      <x:c r="M716" s="24" t="str">
        <x:v>Core Family</x:v>
      </x:c>
    </x:row>
    <x:row r="717" ht="44" customHeight="1">
      <x:c r="A717" s="24" t="str">
        <x:v>STA-406</x:v>
      </x:c>
      <x:c r="B717" s="24" t="str">
        <x:v>Divine Favor</x:v>
      </x:c>
      <x:c r="C717" s="24" t="str">
        <x:v>States &amp; Transformations</x:v>
      </x:c>
      <x:c r="D717" s="24" t="str">
        <x:v>STA-400</x:v>
      </x:c>
      <x:c r="E717" s="24" t="str">
        <x:f>IF(D717="","",IFERROR(VLOOKUP(D717,$A$2:$B$1226,2,FALSE),""))</x:f>
        <x:v>Empowerment, Bond, and Alignment States</x:v>
      </x:c>
      <x:c r="F717" s="24" t="n">
        <x:v>3</x:v>
      </x:c>
      <x:c r="G717" s="24" t="str">
        <x:v>A deity or sacred power actively supports, protects, or empowers a person.</x:v>
      </x:c>
      <x:c r="H717" s="24" t="str">
        <x:v>Record reversibility, agency, transmission, cost, social recognition, and identity continuity.</x:v>
      </x:c>
      <x:c r="I717" s="24" t="str">
        <x:v>favored; blessed; god-touched</x:v>
      </x:c>
      <x:c r="J717" s="24" t="str">
        <x:v>Status, access, duty, progression, patronage, and role-based empowerment.</x:v>
      </x:c>
      <x:c r="K717" s="24" t="str">
        <x:v>favored; blessed; god-touched</x:v>
      </x:c>
      <x:c r="L717" s="24" t="str">
        <x:v>Preserve each source's ontology, culture, history, and terminology when making comparisons.</x:v>
      </x:c>
      <x:c r="M717" s="24" t="str">
        <x:v>Core Family</x:v>
      </x:c>
    </x:row>
    <x:row r="718" ht="44" customHeight="1">
      <x:c r="A718" s="24" t="str">
        <x:v>STA-407</x:v>
      </x:c>
      <x:c r="B718" s="24" t="str">
        <x:v>Divine Disfavor</x:v>
      </x:c>
      <x:c r="C718" s="24" t="str">
        <x:v>States &amp; Transformations</x:v>
      </x:c>
      <x:c r="D718" s="24" t="str">
        <x:v>STA-400</x:v>
      </x:c>
      <x:c r="E718" s="24" t="str">
        <x:f>IF(D718="","",IFERROR(VLOOKUP(D718,$A$2:$B$1226,2,FALSE),""))</x:f>
        <x:v>Empowerment, Bond, and Alignment States</x:v>
      </x:c>
      <x:c r="F718" s="24" t="n">
        <x:v>3</x:v>
      </x:c>
      <x:c r="G718" s="24" t="str">
        <x:v>A deity or sacred order withdraws power, curses, exiles, or marks a person.</x:v>
      </x:c>
      <x:c r="H718" s="24" t="str">
        <x:v>Record reversibility, agency, transmission, cost, social recognition, and identity continuity.</x:v>
      </x:c>
      <x:c r="I718" s="24" t="str">
        <x:v>forsaken; cursed by god; fallen from grace</x:v>
      </x:c>
      <x:c r="J718" s="24" t="str">
        <x:v>Status, access, duty, progression, patronage, and role-based empowerment.</x:v>
      </x:c>
      <x:c r="K718" s="24" t="str">
        <x:v>forsaken; cursed by god; fallen from grace</x:v>
      </x:c>
      <x:c r="L718" s="24" t="str">
        <x:v>Preserve each source's ontology, culture, history, and terminology when making comparisons.</x:v>
      </x:c>
      <x:c r="M718" s="24" t="str">
        <x:v>Core Family</x:v>
      </x:c>
    </x:row>
    <x:row r="719" ht="44" customHeight="1">
      <x:c r="A719" s="24" t="str">
        <x:v>STA-408</x:v>
      </x:c>
      <x:c r="B719" s="24" t="str">
        <x:v>Elemental Bond</x:v>
      </x:c>
      <x:c r="C719" s="24" t="str">
        <x:v>States &amp; Transformations</x:v>
      </x:c>
      <x:c r="D719" s="24" t="str">
        <x:v>STA-400</x:v>
      </x:c>
      <x:c r="E719" s="24" t="str">
        <x:f>IF(D719="","",IFERROR(VLOOKUP(D719,$A$2:$B$1226,2,FALSE),""))</x:f>
        <x:v>Empowerment, Bond, and Alignment States</x:v>
      </x:c>
      <x:c r="F719" s="24" t="n">
        <x:v>3</x:v>
      </x:c>
      <x:c r="G719" s="24" t="str">
        <x:v>A person forms a persistent connection with an elemental, spirit, or natural domain.</x:v>
      </x:c>
      <x:c r="H719" s="24" t="str">
        <x:v>Record reversibility, agency, transmission, cost, social recognition, and identity continuity.</x:v>
      </x:c>
      <x:c r="I719" s="24" t="str">
        <x:v>element-bonded; fire chosen; tidebound</x:v>
      </x:c>
      <x:c r="J719" s="24" t="str">
        <x:v>Status, access, duty, progression, patronage, and role-based empowerment.</x:v>
      </x:c>
      <x:c r="K719" s="24" t="str">
        <x:v>element-bonded; fire chosen; tidebound</x:v>
      </x:c>
      <x:c r="L719" s="24" t="str">
        <x:v>Preserve each source's ontology, culture, history, and terminology when making comparisons.</x:v>
      </x:c>
      <x:c r="M719" s="24" t="str">
        <x:v>Core Family</x:v>
      </x:c>
    </x:row>
    <x:row r="720" ht="44" customHeight="1">
      <x:c r="A720" s="24" t="str">
        <x:v>STA-409</x:v>
      </x:c>
      <x:c r="B720" s="24" t="str">
        <x:v>Dragon Bond</x:v>
      </x:c>
      <x:c r="C720" s="24" t="str">
        <x:v>States &amp; Transformations</x:v>
      </x:c>
      <x:c r="D720" s="24" t="str">
        <x:v>STA-400</x:v>
      </x:c>
      <x:c r="E720" s="24" t="str">
        <x:f>IF(D720="","",IFERROR(VLOOKUP(D720,$A$2:$B$1226,2,FALSE),""))</x:f>
        <x:v>Empowerment, Bond, and Alignment States</x:v>
      </x:c>
      <x:c r="F720" s="24" t="n">
        <x:v>3</x:v>
      </x:c>
      <x:c r="G720" s="24" t="str">
        <x:v>A person and dragon share loyalty, sensation, power, life, or magical resonance.</x:v>
      </x:c>
      <x:c r="H720" s="24" t="str">
        <x:v>Record reversibility, agency, transmission, cost, social recognition, and identity continuity.</x:v>
      </x:c>
      <x:c r="I720" s="24" t="str">
        <x:v>dragon rider bond; dragonmarked; draconic pact</x:v>
      </x:c>
      <x:c r="J720" s="24" t="str">
        <x:v>Status, access, duty, progression, patronage, and role-based empowerment.</x:v>
      </x:c>
      <x:c r="K720" s="24" t="str">
        <x:v>dragon rider bond; dragonmarked; draconic pact</x:v>
      </x:c>
      <x:c r="L720" s="24" t="str">
        <x:v>Preserve each source's ontology, culture, history, and terminology when making comparisons.</x:v>
      </x:c>
      <x:c r="M720" s="24" t="str">
        <x:v>Core Family</x:v>
      </x:c>
    </x:row>
    <x:row r="721" ht="44" customHeight="1">
      <x:c r="A721" s="24" t="str">
        <x:v>STA-410</x:v>
      </x:c>
      <x:c r="B721" s="24" t="str">
        <x:v>Monster Bond</x:v>
      </x:c>
      <x:c r="C721" s="24" t="str">
        <x:v>States &amp; Transformations</x:v>
      </x:c>
      <x:c r="D721" s="24" t="str">
        <x:v>STA-400</x:v>
      </x:c>
      <x:c r="E721" s="24" t="str">
        <x:f>IF(D721="","",IFERROR(VLOOKUP(D721,$A$2:$B$1226,2,FALSE),""))</x:f>
        <x:v>Empowerment, Bond, and Alignment States</x:v>
      </x:c>
      <x:c r="F721" s="24" t="n">
        <x:v>3</x:v>
      </x:c>
      <x:c r="G721" s="24" t="str">
        <x:v>A person is linked with a specific monster or companion that defines powers and identity.</x:v>
      </x:c>
      <x:c r="H721" s="24" t="str">
        <x:v>Record reversibility, agency, transmission, cost, social recognition, and identity continuity.</x:v>
      </x:c>
      <x:c r="I721" s="24" t="str">
        <x:v>monster tamer bond; beast partner</x:v>
      </x:c>
      <x:c r="J721" s="24" t="str">
        <x:v>Status, access, duty, progression, patronage, and role-based empowerment.</x:v>
      </x:c>
      <x:c r="K721" s="24" t="str">
        <x:v>monster tamer bond; beast partner</x:v>
      </x:c>
      <x:c r="L721" s="24" t="str">
        <x:v>Preserve each source's ontology, culture, history, and terminology when making comparisons.</x:v>
      </x:c>
      <x:c r="M721" s="24" t="str">
        <x:v>Core Family</x:v>
      </x:c>
    </x:row>
    <x:row r="722" ht="44" customHeight="1">
      <x:c r="A722" s="24" t="str">
        <x:v>STA-411</x:v>
      </x:c>
      <x:c r="B722" s="24" t="str">
        <x:v>Weapon Bond</x:v>
      </x:c>
      <x:c r="C722" s="24" t="str">
        <x:v>States &amp; Transformations</x:v>
      </x:c>
      <x:c r="D722" s="24" t="str">
        <x:v>STA-400</x:v>
      </x:c>
      <x:c r="E722" s="24" t="str">
        <x:f>IF(D722="","",IFERROR(VLOOKUP(D722,$A$2:$B$1226,2,FALSE),""))</x:f>
        <x:v>Empowerment, Bond, and Alignment States</x:v>
      </x:c>
      <x:c r="F722" s="24" t="n">
        <x:v>3</x:v>
      </x:c>
      <x:c r="G722" s="24" t="str">
        <x:v>A weapon chooses, recognizes, feeds on, or shares power with its wielder.</x:v>
      </x:c>
      <x:c r="H722" s="24" t="str">
        <x:v>Record reversibility, agency, transmission, cost, social recognition, and identity continuity.</x:v>
      </x:c>
      <x:c r="I722" s="24" t="str">
        <x:v>soulbound weapon; cursed sword bond</x:v>
      </x:c>
      <x:c r="J722" s="24" t="str">
        <x:v>Status, access, duty, progression, patronage, and role-based empowerment.</x:v>
      </x:c>
      <x:c r="K722" s="24" t="str">
        <x:v>soulbound weapon; cursed sword bond</x:v>
      </x:c>
      <x:c r="L722" s="24" t="str">
        <x:v>Preserve each source's ontology, culture, history, and terminology when making comparisons.</x:v>
      </x:c>
      <x:c r="M722" s="24" t="str">
        <x:v>Core Family</x:v>
      </x:c>
    </x:row>
    <x:row r="723" ht="44" customHeight="1">
      <x:c r="A723" s="24" t="str">
        <x:v>STA-412</x:v>
      </x:c>
      <x:c r="B723" s="24" t="str">
        <x:v>Armor or Suit Bond</x:v>
      </x:c>
      <x:c r="C723" s="24" t="str">
        <x:v>States &amp; Transformations</x:v>
      </x:c>
      <x:c r="D723" s="24" t="str">
        <x:v>STA-400</x:v>
      </x:c>
      <x:c r="E723" s="24" t="str">
        <x:f>IF(D723="","",IFERROR(VLOOKUP(D723,$A$2:$B$1226,2,FALSE),""))</x:f>
        <x:v>Empowerment, Bond, and Alignment States</x:v>
      </x:c>
      <x:c r="F723" s="24" t="n">
        <x:v>3</x:v>
      </x:c>
      <x:c r="G723" s="24" t="str">
        <x:v>A person is linked with magical armor, a powered suit, or a living defensive system.</x:v>
      </x:c>
      <x:c r="H723" s="24" t="str">
        <x:v>Record reversibility, agency, transmission, cost, social recognition, and identity continuity.</x:v>
      </x:c>
      <x:c r="I723" s="24" t="str">
        <x:v>living armor; bonded suit</x:v>
      </x:c>
      <x:c r="J723" s="24" t="str">
        <x:v>Status, access, duty, progression, patronage, and role-based empowerment.</x:v>
      </x:c>
      <x:c r="K723" s="24" t="str">
        <x:v>living armor; bonded suit</x:v>
      </x:c>
      <x:c r="L723" s="24" t="str">
        <x:v>Preserve each source's ontology, culture, history, and terminology when making comparisons.</x:v>
      </x:c>
      <x:c r="M723" s="24" t="str">
        <x:v>Core Family</x:v>
      </x:c>
    </x:row>
    <x:row r="724" ht="44" customHeight="1">
      <x:c r="A724" s="24" t="str">
        <x:v>STA-413</x:v>
      </x:c>
      <x:c r="B724" s="24" t="str">
        <x:v>Familiar Bond</x:v>
      </x:c>
      <x:c r="C724" s="24" t="str">
        <x:v>States &amp; Transformations</x:v>
      </x:c>
      <x:c r="D724" s="24" t="str">
        <x:v>STA-400</x:v>
      </x:c>
      <x:c r="E724" s="24" t="str">
        <x:f>IF(D724="","",IFERROR(VLOOKUP(D724,$A$2:$B$1226,2,FALSE),""))</x:f>
        <x:v>Empowerment, Bond, and Alignment States</x:v>
      </x:c>
      <x:c r="F724" s="24" t="n">
        <x:v>3</x:v>
      </x:c>
      <x:c r="G724" s="24" t="str">
        <x:v>A practitioner shares senses, power, or life with a small spirit or magical creature.</x:v>
      </x:c>
      <x:c r="H724" s="24" t="str">
        <x:v>Record reversibility, agency, transmission, cost, social recognition, and identity continuity.</x:v>
      </x:c>
      <x:c r="I724" s="24" t="str">
        <x:v>familiar; pact companion</x:v>
      </x:c>
      <x:c r="J724" s="24" t="str">
        <x:v>Status, access, duty, progression, patronage, and role-based empowerment.</x:v>
      </x:c>
      <x:c r="K724" s="24" t="str">
        <x:v>familiar; pact companion</x:v>
      </x:c>
      <x:c r="L724" s="24" t="str">
        <x:v>Preserve each source's ontology, culture, history, and terminology when making comparisons.</x:v>
      </x:c>
      <x:c r="M724" s="24" t="str">
        <x:v>Core Family</x:v>
      </x:c>
    </x:row>
    <x:row r="725" ht="44" customHeight="1">
      <x:c r="A725" s="24" t="str">
        <x:v>STA-414</x:v>
      </x:c>
      <x:c r="B725" s="24" t="str">
        <x:v>Patronage</x:v>
      </x:c>
      <x:c r="C725" s="24" t="str">
        <x:v>States &amp; Transformations</x:v>
      </x:c>
      <x:c r="D725" s="24" t="str">
        <x:v>STA-400</x:v>
      </x:c>
      <x:c r="E725" s="24" t="str">
        <x:f>IF(D725="","",IFERROR(VLOOKUP(D725,$A$2:$B$1226,2,FALSE),""))</x:f>
        <x:v>Empowerment, Bond, and Alignment States</x:v>
      </x:c>
      <x:c r="F725" s="24" t="n">
        <x:v>3</x:v>
      </x:c>
      <x:c r="G725" s="24" t="str">
        <x:v>A powerful entity supplies resources, protection, or supernatural ability in exchange for service or alignment.</x:v>
      </x:c>
      <x:c r="H725" s="24" t="str">
        <x:v>Record reversibility, agency, transmission, cost, social recognition, and identity continuity.</x:v>
      </x:c>
      <x:c r="I725" s="24" t="str">
        <x:v>patron; sponsor; warlock patron</x:v>
      </x:c>
      <x:c r="J725" s="24" t="str">
        <x:v>Status, access, duty, progression, patronage, and role-based empowerment.</x:v>
      </x:c>
      <x:c r="K725" s="24" t="str">
        <x:v>patron; sponsor; warlock patron</x:v>
      </x:c>
      <x:c r="L725" s="24" t="str">
        <x:v>Preserve each source's ontology, culture, history, and terminology when making comparisons.</x:v>
      </x:c>
      <x:c r="M725" s="24" t="str">
        <x:v>Core Family</x:v>
      </x:c>
    </x:row>
    <x:row r="726" ht="44" customHeight="1">
      <x:c r="A726" s="24" t="str">
        <x:v>STA-415</x:v>
      </x:c>
      <x:c r="B726" s="24" t="str">
        <x:v>Initiation</x:v>
      </x:c>
      <x:c r="C726" s="24" t="str">
        <x:v>States &amp; Transformations</x:v>
      </x:c>
      <x:c r="D726" s="24" t="str">
        <x:v>STA-400</x:v>
      </x:c>
      <x:c r="E726" s="24" t="str">
        <x:f>IF(D726="","",IFERROR(VLOOKUP(D726,$A$2:$B$1226,2,FALSE),""))</x:f>
        <x:v>Empowerment, Bond, and Alignment States</x:v>
      </x:c>
      <x:c r="F726" s="24" t="n">
        <x:v>3</x:v>
      </x:c>
      <x:c r="G726" s="24" t="str">
        <x:v>A person is ritually admitted into a tradition and gains new knowledge, status, or power.</x:v>
      </x:c>
      <x:c r="H726" s="24" t="str">
        <x:v>Record reversibility, agency, transmission, cost, social recognition, and identity continuity.</x:v>
      </x:c>
      <x:c r="I726" s="24" t="str">
        <x:v>initiate; inducted; mystery rite</x:v>
      </x:c>
      <x:c r="J726" s="24" t="str">
        <x:v>Status, access, duty, progression, patronage, and role-based empowerment.</x:v>
      </x:c>
      <x:c r="K726" s="24" t="str">
        <x:v>initiate; inducted; mystery rite</x:v>
      </x:c>
      <x:c r="L726" s="24" t="str">
        <x:v>Preserve each source's ontology, culture, history, and terminology when making comparisons.</x:v>
      </x:c>
      <x:c r="M726" s="24" t="str">
        <x:v>Core Family</x:v>
      </x:c>
    </x:row>
    <x:row r="727" ht="44" customHeight="1">
      <x:c r="A727" s="24" t="str">
        <x:v>STA-416</x:v>
      </x:c>
      <x:c r="B727" s="24" t="str">
        <x:v>Ordination</x:v>
      </x:c>
      <x:c r="C727" s="24" t="str">
        <x:v>States &amp; Transformations</x:v>
      </x:c>
      <x:c r="D727" s="24" t="str">
        <x:v>STA-400</x:v>
      </x:c>
      <x:c r="E727" s="24" t="str">
        <x:f>IF(D727="","",IFERROR(VLOOKUP(D727,$A$2:$B$1226,2,FALSE),""))</x:f>
        <x:v>Empowerment, Bond, and Alignment States</x:v>
      </x:c>
      <x:c r="F727" s="24" t="n">
        <x:v>3</x:v>
      </x:c>
      <x:c r="G727" s="24" t="str">
        <x:v>A person receives formal religious authority and access to sacred functions.</x:v>
      </x:c>
      <x:c r="H727" s="24" t="str">
        <x:v>Record reversibility, agency, transmission, cost, social recognition, and identity continuity.</x:v>
      </x:c>
      <x:c r="I727" s="24" t="str">
        <x:v>ordained; consecrated</x:v>
      </x:c>
      <x:c r="J727" s="24" t="str">
        <x:v>Status, access, duty, progression, patronage, and role-based empowerment.</x:v>
      </x:c>
      <x:c r="K727" s="24" t="str">
        <x:v>ordained; consecrated</x:v>
      </x:c>
      <x:c r="L727" s="24" t="str">
        <x:v>Preserve each source's ontology, culture, history, and terminology when making comparisons.</x:v>
      </x:c>
      <x:c r="M727" s="24" t="str">
        <x:v>Core Family</x:v>
      </x:c>
    </x:row>
    <x:row r="728" ht="44" customHeight="1">
      <x:c r="A728" s="24" t="str">
        <x:v>STA-417</x:v>
      </x:c>
      <x:c r="B728" s="24" t="str">
        <x:v>Knighthood or Oath Investiture</x:v>
      </x:c>
      <x:c r="C728" s="24" t="str">
        <x:v>States &amp; Transformations</x:v>
      </x:c>
      <x:c r="D728" s="24" t="str">
        <x:v>STA-400</x:v>
      </x:c>
      <x:c r="E728" s="24" t="str">
        <x:f>IF(D728="","",IFERROR(VLOOKUP(D728,$A$2:$B$1226,2,FALSE),""))</x:f>
        <x:v>Empowerment, Bond, and Alignment States</x:v>
      </x:c>
      <x:c r="F728" s="24" t="n">
        <x:v>3</x:v>
      </x:c>
      <x:c r="G728" s="24" t="str">
        <x:v>A person receives martial-social status through oath, accolade, or order membership.</x:v>
      </x:c>
      <x:c r="H728" s="24" t="str">
        <x:v>Record reversibility, agency, transmission, cost, social recognition, and identity continuity.</x:v>
      </x:c>
      <x:c r="I728" s="24" t="str">
        <x:v>knighted; sworn; dubbed</x:v>
      </x:c>
      <x:c r="J728" s="24" t="str">
        <x:v>Status, access, duty, progression, patronage, and role-based empowerment.</x:v>
      </x:c>
      <x:c r="K728" s="24" t="str">
        <x:v>knighted; sworn; dubbed</x:v>
      </x:c>
      <x:c r="L728" s="24" t="str">
        <x:v>Preserve each source's ontology, culture, history, and terminology when making comparisons.</x:v>
      </x:c>
      <x:c r="M728" s="24" t="str">
        <x:v>Core Family</x:v>
      </x:c>
    </x:row>
    <x:row r="729" ht="44" customHeight="1">
      <x:c r="A729" s="24" t="str">
        <x:v>STA-418</x:v>
      </x:c>
      <x:c r="B729" s="24" t="str">
        <x:v>Cultivation Breakthrough</x:v>
      </x:c>
      <x:c r="C729" s="24" t="str">
        <x:v>States &amp; Transformations</x:v>
      </x:c>
      <x:c r="D729" s="24" t="str">
        <x:v>STA-400</x:v>
      </x:c>
      <x:c r="E729" s="24" t="str">
        <x:f>IF(D729="","",IFERROR(VLOOKUP(D729,$A$2:$B$1226,2,FALSE),""))</x:f>
        <x:v>Empowerment, Bond, and Alignment States</x:v>
      </x:c>
      <x:c r="F729" s="24" t="n">
        <x:v>3</x:v>
      </x:c>
      <x:c r="G729" s="24" t="str">
        <x:v>A practitioner crosses a defined stage or realm of internal development.</x:v>
      </x:c>
      <x:c r="H729" s="24" t="str">
        <x:v>Record reversibility, agency, transmission, cost, social recognition, and identity continuity.</x:v>
      </x:c>
      <x:c r="I729" s="24" t="str">
        <x:v>breakthrough; realm advancement</x:v>
      </x:c>
      <x:c r="J729" s="24" t="str">
        <x:v>Status, access, duty, progression, patronage, and role-based empowerment.</x:v>
      </x:c>
      <x:c r="K729" s="24" t="str">
        <x:v>breakthrough; realm advancement</x:v>
      </x:c>
      <x:c r="L729" s="24" t="str">
        <x:v>Preserve each source's ontology, culture, history, and terminology when making comparisons.</x:v>
      </x:c>
      <x:c r="M729" s="24" t="str">
        <x:v>Core Family</x:v>
      </x:c>
    </x:row>
    <x:row r="730" ht="44" customHeight="1">
      <x:c r="A730" s="24" t="str">
        <x:v>STA-419</x:v>
      </x:c>
      <x:c r="B730" s="24" t="str">
        <x:v>Level-Up or Rank-Up</x:v>
      </x:c>
      <x:c r="C730" s="24" t="str">
        <x:v>States &amp; Transformations</x:v>
      </x:c>
      <x:c r="D730" s="24" t="str">
        <x:v>STA-400</x:v>
      </x:c>
      <x:c r="E730" s="24" t="str">
        <x:f>IF(D730="","",IFERROR(VLOOKUP(D730,$A$2:$B$1226,2,FALSE),""))</x:f>
        <x:v>Empowerment, Bond, and Alignment States</x:v>
      </x:c>
      <x:c r="F730" s="24" t="n">
        <x:v>3</x:v>
      </x:c>
      <x:c r="G730" s="24" t="str">
        <x:v>A system recognizes accumulated experience or achievement with increased capability or status.</x:v>
      </x:c>
      <x:c r="H730" s="24" t="str">
        <x:v>Record reversibility, agency, transmission, cost, social recognition, and identity continuity.</x:v>
      </x:c>
      <x:c r="I730" s="24" t="str">
        <x:v>level up; rank up; promotion</x:v>
      </x:c>
      <x:c r="J730" s="24" t="str">
        <x:v>Status, access, duty, progression, patronage, and role-based empowerment.</x:v>
      </x:c>
      <x:c r="K730" s="24" t="str">
        <x:v>level up; rank up; promotion</x:v>
      </x:c>
      <x:c r="L730" s="24" t="str">
        <x:v>Preserve each source's ontology, culture, history, and terminology when making comparisons.</x:v>
      </x:c>
      <x:c r="M730" s="24" t="str">
        <x:v>Core Family</x:v>
      </x:c>
    </x:row>
    <x:row r="731" ht="44" customHeight="1">
      <x:c r="A731" s="24" t="str">
        <x:v>STA-420</x:v>
      </x:c>
      <x:c r="B731" s="24" t="str">
        <x:v>Blessed Bloodline Activation</x:v>
      </x:c>
      <x:c r="C731" s="24" t="str">
        <x:v>States &amp; Transformations</x:v>
      </x:c>
      <x:c r="D731" s="24" t="str">
        <x:v>STA-400</x:v>
      </x:c>
      <x:c r="E731" s="24" t="str">
        <x:f>IF(D731="","",IFERROR(VLOOKUP(D731,$A$2:$B$1226,2,FALSE),""))</x:f>
        <x:v>Empowerment, Bond, and Alignment States</x:v>
      </x:c>
      <x:c r="F731" s="24" t="n">
        <x:v>3</x:v>
      </x:c>
      <x:c r="G731" s="24" t="str">
        <x:v>Dormant inherited power manifests due to age, crisis, ritual, or contact.</x:v>
      </x:c>
      <x:c r="H731" s="24" t="str">
        <x:v>Record reversibility, agency, transmission, cost, social recognition, and identity continuity.</x:v>
      </x:c>
      <x:c r="I731" s="24" t="str">
        <x:v>bloodline awakening; heritage power</x:v>
      </x:c>
      <x:c r="J731" s="24" t="str">
        <x:v>Status, access, duty, progression, patronage, and role-based empowerment.</x:v>
      </x:c>
      <x:c r="K731" s="24" t="str">
        <x:v>bloodline awakening; heritage power</x:v>
      </x:c>
      <x:c r="L731" s="24" t="str">
        <x:v>Preserve each source's ontology, culture, history, and terminology when making comparisons.</x:v>
      </x:c>
      <x:c r="M731" s="24" t="str">
        <x:v>Core Family</x:v>
      </x:c>
    </x:row>
    <x:row r="732" ht="44" customHeight="1">
      <x:c r="A732" s="24" t="str">
        <x:v>STA-421</x:v>
      </x:c>
      <x:c r="B732" s="24" t="str">
        <x:v>Corruption Empowerment</x:v>
      </x:c>
      <x:c r="C732" s="24" t="str">
        <x:v>States &amp; Transformations</x:v>
      </x:c>
      <x:c r="D732" s="24" t="str">
        <x:v>STA-400</x:v>
      </x:c>
      <x:c r="E732" s="24" t="str">
        <x:f>IF(D732="","",IFERROR(VLOOKUP(D732,$A$2:$B$1226,2,FALSE),""))</x:f>
        <x:v>Empowerment, Bond, and Alignment States</x:v>
      </x:c>
      <x:c r="F732" s="24" t="n">
        <x:v>3</x:v>
      </x:c>
      <x:c r="G732" s="24" t="str">
        <x:v>A hostile force grants real power while deepening dependence, mutation, or moral risk.</x:v>
      </x:c>
      <x:c r="H732" s="24" t="str">
        <x:v>Record reversibility, agency, transmission, cost, social recognition, and identity continuity.</x:v>
      </x:c>
      <x:c r="I732" s="24" t="str">
        <x:v>dark gift; corruption boon; tainted power</x:v>
      </x:c>
      <x:c r="J732" s="24" t="str">
        <x:v>Status, access, duty, progression, patronage, and role-based empowerment.</x:v>
      </x:c>
      <x:c r="K732" s="24" t="str">
        <x:v>dark gift; corruption boon; tainted power</x:v>
      </x:c>
      <x:c r="L732" s="24" t="str">
        <x:v>Preserve each source's ontology, culture, history, and terminology when making comparisons.</x:v>
      </x:c>
      <x:c r="M732" s="24" t="str">
        <x:v>Core Family</x:v>
      </x:c>
    </x:row>
    <x:row r="733" ht="44" customHeight="1">
      <x:c r="A733" s="24" t="str">
        <x:v>STA-422</x:v>
      </x:c>
      <x:c r="B733" s="24" t="str">
        <x:v>Sacrificial Empowerment</x:v>
      </x:c>
      <x:c r="C733" s="24" t="str">
        <x:v>States &amp; Transformations</x:v>
      </x:c>
      <x:c r="D733" s="24" t="str">
        <x:v>STA-400</x:v>
      </x:c>
      <x:c r="E733" s="24" t="str">
        <x:f>IF(D733="","",IFERROR(VLOOKUP(D733,$A$2:$B$1226,2,FALSE),""))</x:f>
        <x:v>Empowerment, Bond, and Alignment States</x:v>
      </x:c>
      <x:c r="F733" s="24" t="n">
        <x:v>3</x:v>
      </x:c>
      <x:c r="G733" s="24" t="str">
        <x:v>A person gains power by permanently surrendering life, memory, body, relationship, or future.</x:v>
      </x:c>
      <x:c r="H733" s="24" t="str">
        <x:v>Record reversibility, agency, transmission, cost, social recognition, and identity continuity.</x:v>
      </x:c>
      <x:c r="I733" s="24" t="str">
        <x:v>sacrifice; equivalent exchange; burned lifespan</x:v>
      </x:c>
      <x:c r="J733" s="24" t="str">
        <x:v>Status, access, duty, progression, patronage, and role-based empowerment.</x:v>
      </x:c>
      <x:c r="K733" s="24" t="str">
        <x:v>sacrifice; equivalent exchange; burned lifespan</x:v>
      </x:c>
      <x:c r="L733" s="24" t="str">
        <x:v>Preserve each source's ontology, culture, history, and terminology when making comparisons.</x:v>
      </x:c>
      <x:c r="M733" s="24" t="str">
        <x:v>Core Family</x:v>
      </x:c>
    </x:row>
    <x:row r="734" ht="44" customHeight="1">
      <x:c r="A734" s="24" t="str">
        <x:v>STA-423</x:v>
      </x:c>
      <x:c r="B734" s="24" t="str">
        <x:v>Collective Empowerment</x:v>
      </x:c>
      <x:c r="C734" s="24" t="str">
        <x:v>States &amp; Transformations</x:v>
      </x:c>
      <x:c r="D734" s="24" t="str">
        <x:v>STA-400</x:v>
      </x:c>
      <x:c r="E734" s="24" t="str">
        <x:f>IF(D734="","",IFERROR(VLOOKUP(D734,$A$2:$B$1226,2,FALSE),""))</x:f>
        <x:v>Empowerment, Bond, and Alignment States</x:v>
      </x:c>
      <x:c r="F734" s="24" t="n">
        <x:v>3</x:v>
      </x:c>
      <x:c r="G734" s="24" t="str">
        <x:v>A person's power depends on followers, worshipers, social recognition, or group synchronization.</x:v>
      </x:c>
      <x:c r="H734" s="24" t="str">
        <x:v>Record reversibility, agency, transmission, cost, social recognition, and identity continuity.</x:v>
      </x:c>
      <x:c r="I734" s="24" t="str">
        <x:v>faith power; leader aura; collective resonance</x:v>
      </x:c>
      <x:c r="J734" s="24" t="str">
        <x:v>Status, access, duty, progression, patronage, and role-based empowerment.</x:v>
      </x:c>
      <x:c r="K734" s="24" t="str">
        <x:v>faith power; leader aura; collective resonance</x:v>
      </x:c>
      <x:c r="L734" s="24" t="str">
        <x:v>Preserve each source's ontology, culture, history, and terminology when making comparisons.</x:v>
      </x:c>
      <x:c r="M734" s="24" t="str">
        <x:v>Core Family</x:v>
      </x:c>
    </x:row>
    <x:row r="735" ht="44" customHeight="1">
      <x:c r="A735" s="24" t="str">
        <x:v>STA-424</x:v>
      </x:c>
      <x:c r="B735" s="24" t="str">
        <x:v>Territorial Attunement</x:v>
      </x:c>
      <x:c r="C735" s="24" t="str">
        <x:v>States &amp; Transformations</x:v>
      </x:c>
      <x:c r="D735" s="24" t="str">
        <x:v>STA-400</x:v>
      </x:c>
      <x:c r="E735" s="24" t="str">
        <x:f>IF(D735="","",IFERROR(VLOOKUP(D735,$A$2:$B$1226,2,FALSE),""))</x:f>
        <x:v>Empowerment, Bond, and Alignment States</x:v>
      </x:c>
      <x:c r="F735" s="24" t="n">
        <x:v>3</x:v>
      </x:c>
      <x:c r="G735" s="24" t="str">
        <x:v>A person's authority and power increase within a bound land, city, dungeon, or domain.</x:v>
      </x:c>
      <x:c r="H735" s="24" t="str">
        <x:v>Record reversibility, agency, transmission, cost, social recognition, and identity continuity.</x:v>
      </x:c>
      <x:c r="I735" s="24" t="str">
        <x:v>domain lord; land bond; lair power</x:v>
      </x:c>
      <x:c r="J735" s="24" t="str">
        <x:v>Status, access, duty, progression, patronage, and role-based empowerment.</x:v>
      </x:c>
      <x:c r="K735" s="24" t="str">
        <x:v>domain lord; land bond; lair power</x:v>
      </x:c>
      <x:c r="L735" s="24" t="str">
        <x:v>Preserve each source's ontology, culture, history, and terminology when making comparisons.</x:v>
      </x:c>
      <x:c r="M735" s="24" t="str">
        <x:v>Core Family</x:v>
      </x:c>
    </x:row>
    <x:row r="736" ht="44" customHeight="1">
      <x:c r="A736" s="24" t="str">
        <x:v>STA-425</x:v>
      </x:c>
      <x:c r="B736" s="24" t="str">
        <x:v>Mantle or Office Power</x:v>
      </x:c>
      <x:c r="C736" s="24" t="str">
        <x:v>States &amp; Transformations</x:v>
      </x:c>
      <x:c r="D736" s="24" t="str">
        <x:v>STA-400</x:v>
      </x:c>
      <x:c r="E736" s="24" t="str">
        <x:f>IF(D736="","",IFERROR(VLOOKUP(D736,$A$2:$B$1226,2,FALSE),""))</x:f>
        <x:v>Empowerment, Bond, and Alignment States</x:v>
      </x:c>
      <x:c r="F736" s="24" t="n">
        <x:v>3</x:v>
      </x:c>
      <x:c r="G736" s="24" t="str">
        <x:v>An office, title, role, or archetype grants powers independent of the holder's prior abilities.</x:v>
      </x:c>
      <x:c r="H736" s="24" t="str">
        <x:v>Record reversibility, agency, transmission, cost, social recognition, and identity continuity.</x:v>
      </x:c>
      <x:c r="I736" s="24" t="str">
        <x:v>mantle; office power; inherited role</x:v>
      </x:c>
      <x:c r="J736" s="24" t="str">
        <x:v>Status, access, duty, progression, patronage, and role-based empowerment.</x:v>
      </x:c>
      <x:c r="K736" s="24" t="str">
        <x:v>mantle; office power; inherited role</x:v>
      </x:c>
      <x:c r="L736" s="24" t="str">
        <x:v>Preserve each source's ontology, culture, history, and terminology when making comparisons.</x:v>
      </x:c>
      <x:c r="M736" s="24" t="str">
        <x:v>Core Family</x:v>
      </x:c>
    </x:row>
    <x:row r="737" ht="44" customHeight="1">
      <x:c r="A737" s="24" t="str">
        <x:v>STA-501</x:v>
      </x:c>
      <x:c r="B737" s="24" t="str">
        <x:v>Reincarnated</x:v>
      </x:c>
      <x:c r="C737" s="24" t="str">
        <x:v>States &amp; Transformations</x:v>
      </x:c>
      <x:c r="D737" s="24" t="str">
        <x:v>STA-500</x:v>
      </x:c>
      <x:c r="E737" s="24" t="str">
        <x:f>IF(D737="","",IFERROR(VLOOKUP(D737,$A$2:$B$1226,2,FALSE),""))</x:f>
        <x:v>Displacement and Meta-Narrative States</x:v>
      </x:c>
      <x:c r="F737" s="24" t="n">
        <x:v>3</x:v>
      </x:c>
      <x:c r="G737" s="24" t="str">
        <x:v>A person is born again in another life, sometimes retaining memory, skills, or destiny.</x:v>
      </x:c>
      <x:c r="H737" s="24" t="str">
        <x:v>Record reversibility, agency, transmission, cost, social recognition, and identity continuity.</x:v>
      </x:c>
      <x:c r="I737" s="24" t="str">
        <x:v>reincarnated; reborn; second life</x:v>
      </x:c>
      <x:c r="J737" s="24" t="str">
        <x:v>Second-life narratives, portal fantasy, game systems, time travel, and alternate identity.</x:v>
      </x:c>
      <x:c r="K737" s="24" t="str">
        <x:v>reincarnated; reborn; second life</x:v>
      </x:c>
      <x:c r="L737" s="24" t="str">
        <x:v>Preserve each source's ontology, culture, history, and terminology when making comparisons.</x:v>
      </x:c>
      <x:c r="M737" s="24" t="str">
        <x:v>Core Family</x:v>
      </x:c>
    </x:row>
    <x:row r="738" ht="44" customHeight="1">
      <x:c r="A738" s="24" t="str">
        <x:v>STA-502</x:v>
      </x:c>
      <x:c r="B738" s="24" t="str">
        <x:v>Transmigrated or Isekai-Displaced</x:v>
      </x:c>
      <x:c r="C738" s="24" t="str">
        <x:v>States &amp; Transformations</x:v>
      </x:c>
      <x:c r="D738" s="24" t="str">
        <x:v>STA-500</x:v>
      </x:c>
      <x:c r="E738" s="24" t="str">
        <x:f>IF(D738="","",IFERROR(VLOOKUP(D738,$A$2:$B$1226,2,FALSE),""))</x:f>
        <x:v>Displacement and Meta-Narrative States</x:v>
      </x:c>
      <x:c r="F738" s="24" t="n">
        <x:v>3</x:v>
      </x:c>
      <x:c r="G738" s="24" t="str">
        <x:v>A person moves from one world to another in the same or a new body.</x:v>
      </x:c>
      <x:c r="H738" s="24" t="str">
        <x:v>Record reversibility, agency, transmission, cost, social recognition, and identity continuity.</x:v>
      </x:c>
      <x:c r="I738" s="24" t="str">
        <x:v>isekai; transmigration; world transfer</x:v>
      </x:c>
      <x:c r="J738" s="24" t="str">
        <x:v>Second-life narratives, portal fantasy, game systems, time travel, and alternate identity.</x:v>
      </x:c>
      <x:c r="K738" s="24" t="str">
        <x:v>isekai; transmigration; world transfer</x:v>
      </x:c>
      <x:c r="L738" s="24" t="str">
        <x:v>Preserve each source's ontology, culture, history, and terminology when making comparisons.</x:v>
      </x:c>
      <x:c r="M738" s="24" t="str">
        <x:v>Core Family</x:v>
      </x:c>
    </x:row>
    <x:row r="739" ht="44" customHeight="1">
      <x:c r="A739" s="24" t="str">
        <x:v>STA-503</x:v>
      </x:c>
      <x:c r="B739" s="24" t="str">
        <x:v>Summoned</x:v>
      </x:c>
      <x:c r="C739" s="24" t="str">
        <x:v>States &amp; Transformations</x:v>
      </x:c>
      <x:c r="D739" s="24" t="str">
        <x:v>STA-500</x:v>
      </x:c>
      <x:c r="E739" s="24" t="str">
        <x:f>IF(D739="","",IFERROR(VLOOKUP(D739,$A$2:$B$1226,2,FALSE),""))</x:f>
        <x:v>Displacement and Meta-Narrative States</x:v>
      </x:c>
      <x:c r="F739" s="24" t="n">
        <x:v>3</x:v>
      </x:c>
      <x:c r="G739" s="24" t="str">
        <x:v>A person or being is called into another place or world by ritual, system, deity, or crisis.</x:v>
      </x:c>
      <x:c r="H739" s="24" t="str">
        <x:v>Record reversibility, agency, transmission, cost, social recognition, and identity continuity.</x:v>
      </x:c>
      <x:c r="I739" s="24" t="str">
        <x:v>summoned hero; called being</x:v>
      </x:c>
      <x:c r="J739" s="24" t="str">
        <x:v>Second-life narratives, portal fantasy, game systems, time travel, and alternate identity.</x:v>
      </x:c>
      <x:c r="K739" s="24" t="str">
        <x:v>summoned hero; called being</x:v>
      </x:c>
      <x:c r="L739" s="24" t="str">
        <x:v>Preserve each source's ontology, culture, history, and terminology when making comparisons.</x:v>
      </x:c>
      <x:c r="M739" s="24" t="str">
        <x:v>Core Family</x:v>
      </x:c>
    </x:row>
    <x:row r="740" ht="44" customHeight="1">
      <x:c r="A740" s="24" t="str">
        <x:v>STA-504</x:v>
      </x:c>
      <x:c r="B740" s="24" t="str">
        <x:v>Banished or Exiled Across Realms</x:v>
      </x:c>
      <x:c r="C740" s="24" t="str">
        <x:v>States &amp; Transformations</x:v>
      </x:c>
      <x:c r="D740" s="24" t="str">
        <x:v>STA-500</x:v>
      </x:c>
      <x:c r="E740" s="24" t="str">
        <x:f>IF(D740="","",IFERROR(VLOOKUP(D740,$A$2:$B$1226,2,FALSE),""))</x:f>
        <x:v>Displacement and Meta-Narrative States</x:v>
      </x:c>
      <x:c r="F740" s="24" t="n">
        <x:v>3</x:v>
      </x:c>
      <x:c r="G740" s="24" t="str">
        <x:v>A person is forcibly removed to another land, plane, time, or world.</x:v>
      </x:c>
      <x:c r="H740" s="24" t="str">
        <x:v>Record reversibility, agency, transmission, cost, social recognition, and identity continuity.</x:v>
      </x:c>
      <x:c r="I740" s="24" t="str">
        <x:v>banished; planar exile</x:v>
      </x:c>
      <x:c r="J740" s="24" t="str">
        <x:v>Second-life narratives, portal fantasy, game systems, time travel, and alternate identity.</x:v>
      </x:c>
      <x:c r="K740" s="24" t="str">
        <x:v>banished; planar exile</x:v>
      </x:c>
      <x:c r="L740" s="24" t="str">
        <x:v>Preserve each source's ontology, culture, history, and terminology when making comparisons.</x:v>
      </x:c>
      <x:c r="M740" s="24" t="str">
        <x:v>Core Family</x:v>
      </x:c>
    </x:row>
    <x:row r="741" ht="44" customHeight="1">
      <x:c r="A741" s="24" t="str">
        <x:v>STA-505</x:v>
      </x:c>
      <x:c r="B741" s="24" t="str">
        <x:v>Time-Displaced</x:v>
      </x:c>
      <x:c r="C741" s="24" t="str">
        <x:v>States &amp; Transformations</x:v>
      </x:c>
      <x:c r="D741" s="24" t="str">
        <x:v>STA-500</x:v>
      </x:c>
      <x:c r="E741" s="24" t="str">
        <x:f>IF(D741="","",IFERROR(VLOOKUP(D741,$A$2:$B$1226,2,FALSE),""))</x:f>
        <x:v>Displacement and Meta-Narrative States</x:v>
      </x:c>
      <x:c r="F741" s="24" t="n">
        <x:v>3</x:v>
      </x:c>
      <x:c r="G741" s="24" t="str">
        <x:v>A person travels or is stranded in another era.</x:v>
      </x:c>
      <x:c r="H741" s="24" t="str">
        <x:v>Record reversibility, agency, transmission, cost, social recognition, and identity continuity.</x:v>
      </x:c>
      <x:c r="I741" s="24" t="str">
        <x:v>time traveler; frozen survivor; temporal exile</x:v>
      </x:c>
      <x:c r="J741" s="24" t="str">
        <x:v>Second-life narratives, portal fantasy, game systems, time travel, and alternate identity.</x:v>
      </x:c>
      <x:c r="K741" s="24" t="str">
        <x:v>time traveler; frozen survivor; temporal exile</x:v>
      </x:c>
      <x:c r="L741" s="24" t="str">
        <x:v>Preserve each source's ontology, culture, history, and terminology when making comparisons.</x:v>
      </x:c>
      <x:c r="M741" s="24" t="str">
        <x:v>Core Family</x:v>
      </x:c>
    </x:row>
    <x:row r="742" ht="44" customHeight="1">
      <x:c r="A742" s="24" t="str">
        <x:v>STA-506</x:v>
      </x:c>
      <x:c r="B742" s="24" t="str">
        <x:v>Time-Looped</x:v>
      </x:c>
      <x:c r="C742" s="24" t="str">
        <x:v>States &amp; Transformations</x:v>
      </x:c>
      <x:c r="D742" s="24" t="str">
        <x:v>STA-500</x:v>
      </x:c>
      <x:c r="E742" s="24" t="str">
        <x:f>IF(D742="","",IFERROR(VLOOKUP(D742,$A$2:$B$1226,2,FALSE),""))</x:f>
        <x:v>Displacement and Meta-Narrative States</x:v>
      </x:c>
      <x:c r="F742" s="24" t="n">
        <x:v>3</x:v>
      </x:c>
      <x:c r="G742" s="24" t="str">
        <x:v>A person repeatedly experiences a bounded sequence while retaining some memory or change.</x:v>
      </x:c>
      <x:c r="H742" s="24" t="str">
        <x:v>Record reversibility, agency, transmission, cost, social recognition, and identity continuity.</x:v>
      </x:c>
      <x:c r="I742" s="24" t="str">
        <x:v>time loop; regression; reset</x:v>
      </x:c>
      <x:c r="J742" s="24" t="str">
        <x:v>Second-life narratives, portal fantasy, game systems, time travel, and alternate identity.</x:v>
      </x:c>
      <x:c r="K742" s="24" t="str">
        <x:v>time loop; regression; reset</x:v>
      </x:c>
      <x:c r="L742" s="24" t="str">
        <x:v>Preserve each source's ontology, culture, history, and terminology when making comparisons.</x:v>
      </x:c>
      <x:c r="M742" s="24" t="str">
        <x:v>Core Family</x:v>
      </x:c>
    </x:row>
    <x:row r="743" ht="44" customHeight="1">
      <x:c r="A743" s="24" t="str">
        <x:v>STA-507</x:v>
      </x:c>
      <x:c r="B743" s="24" t="str">
        <x:v>Regressor</x:v>
      </x:c>
      <x:c r="C743" s="24" t="str">
        <x:v>States &amp; Transformations</x:v>
      </x:c>
      <x:c r="D743" s="24" t="str">
        <x:v>STA-500</x:v>
      </x:c>
      <x:c r="E743" s="24" t="str">
        <x:f>IF(D743="","",IFERROR(VLOOKUP(D743,$A$2:$B$1226,2,FALSE),""))</x:f>
        <x:v>Displacement and Meta-Narrative States</x:v>
      </x:c>
      <x:c r="F743" s="24" t="n">
        <x:v>3</x:v>
      </x:c>
      <x:c r="G743" s="24" t="str">
        <x:v>A person returns to an earlier point in their own life with knowledge of the prior timeline.</x:v>
      </x:c>
      <x:c r="H743" s="24" t="str">
        <x:v>Record reversibility, agency, transmission, cost, social recognition, and identity continuity.</x:v>
      </x:c>
      <x:c r="I743" s="24" t="str">
        <x:v>regressor; returner; second chance</x:v>
      </x:c>
      <x:c r="J743" s="24" t="str">
        <x:v>Second-life narratives, portal fantasy, game systems, time travel, and alternate identity.</x:v>
      </x:c>
      <x:c r="K743" s="24" t="str">
        <x:v>regressor; returner; second chance</x:v>
      </x:c>
      <x:c r="L743" s="24" t="str">
        <x:v>Preserve each source's ontology, culture, history, and terminology when making comparisons.</x:v>
      </x:c>
      <x:c r="M743" s="24" t="str">
        <x:v>Core Family</x:v>
      </x:c>
    </x:row>
    <x:row r="744" ht="44" customHeight="1">
      <x:c r="A744" s="24" t="str">
        <x:v>STA-508</x:v>
      </x:c>
      <x:c r="B744" s="24" t="str">
        <x:v>Body-Reincarnated</x:v>
      </x:c>
      <x:c r="C744" s="24" t="str">
        <x:v>States &amp; Transformations</x:v>
      </x:c>
      <x:c r="D744" s="24" t="str">
        <x:v>STA-500</x:v>
      </x:c>
      <x:c r="E744" s="24" t="str">
        <x:f>IF(D744="","",IFERROR(VLOOKUP(D744,$A$2:$B$1226,2,FALSE),""))</x:f>
        <x:v>Displacement and Meta-Narrative States</x:v>
      </x:c>
      <x:c r="F744" s="24" t="n">
        <x:v>3</x:v>
      </x:c>
      <x:c r="G744" s="24" t="str">
        <x:v>A person's mind or soul awakens in the body of another person, creature, or fictional character.</x:v>
      </x:c>
      <x:c r="H744" s="24" t="str">
        <x:v>Record reversibility, agency, transmission, cost, social recognition, and identity continuity.</x:v>
      </x:c>
      <x:c r="I744" s="24" t="str">
        <x:v>body transmigration; possession reincarnation</x:v>
      </x:c>
      <x:c r="J744" s="24" t="str">
        <x:v>Second-life narratives, portal fantasy, game systems, time travel, and alternate identity.</x:v>
      </x:c>
      <x:c r="K744" s="24" t="str">
        <x:v>body transmigration; possession reincarnation</x:v>
      </x:c>
      <x:c r="L744" s="24" t="str">
        <x:v>Preserve each source's ontology, culture, history, and terminology when making comparisons.</x:v>
      </x:c>
      <x:c r="M744" s="24" t="str">
        <x:v>Core Family</x:v>
      </x:c>
    </x:row>
    <x:row r="745" ht="44" customHeight="1">
      <x:c r="A745" s="24" t="str">
        <x:v>STA-509</x:v>
      </x:c>
      <x:c r="B745" s="24" t="str">
        <x:v>Monster Reincarnation</x:v>
      </x:c>
      <x:c r="C745" s="24" t="str">
        <x:v>States &amp; Transformations</x:v>
      </x:c>
      <x:c r="D745" s="24" t="str">
        <x:v>STA-500</x:v>
      </x:c>
      <x:c r="E745" s="24" t="str">
        <x:f>IF(D745="","",IFERROR(VLOOKUP(D745,$A$2:$B$1226,2,FALSE),""))</x:f>
        <x:v>Displacement and Meta-Narrative States</x:v>
      </x:c>
      <x:c r="F745" s="24" t="n">
        <x:v>3</x:v>
      </x:c>
      <x:c r="G745" s="24" t="str">
        <x:v>A person is reborn as a monster, nonhuman species, object, or low-status being.</x:v>
      </x:c>
      <x:c r="H745" s="24" t="str">
        <x:v>Record reversibility, agency, transmission, cost, social recognition, and identity continuity.</x:v>
      </x:c>
      <x:c r="I745" s="24" t="str">
        <x:v>slime reincarnation; monster rebirth; object isekai</x:v>
      </x:c>
      <x:c r="J745" s="24" t="str">
        <x:v>Second-life narratives, portal fantasy, game systems, time travel, and alternate identity.</x:v>
      </x:c>
      <x:c r="K745" s="24" t="str">
        <x:v>slime reincarnation; monster rebirth; object isekai</x:v>
      </x:c>
      <x:c r="L745" s="24" t="str">
        <x:v>Preserve each source's ontology, culture, history, and terminology when making comparisons.</x:v>
      </x:c>
      <x:c r="M745" s="24" t="str">
        <x:v>Core Family</x:v>
      </x:c>
    </x:row>
    <x:row r="746" ht="44" customHeight="1">
      <x:c r="A746" s="24" t="str">
        <x:v>STA-510</x:v>
      </x:c>
      <x:c r="B746" s="24" t="str">
        <x:v>Systemized</x:v>
      </x:c>
      <x:c r="C746" s="24" t="str">
        <x:v>States &amp; Transformations</x:v>
      </x:c>
      <x:c r="D746" s="24" t="str">
        <x:v>STA-500</x:v>
      </x:c>
      <x:c r="E746" s="24" t="str">
        <x:f>IF(D746="","",IFERROR(VLOOKUP(D746,$A$2:$B$1226,2,FALSE),""))</x:f>
        <x:v>Displacement and Meta-Narrative States</x:v>
      </x:c>
      <x:c r="F746" s="24" t="n">
        <x:v>3</x:v>
      </x:c>
      <x:c r="G746" s="24" t="str">
        <x:v>A person becomes subject to visible statistics, quests, levels, classes, or interface rules.</x:v>
      </x:c>
      <x:c r="H746" s="24" t="str">
        <x:v>Record reversibility, agency, transmission, cost, social recognition, and identity continuity.</x:v>
      </x:c>
      <x:c r="I746" s="24" t="str">
        <x:v>system user; status window; gamified existence</x:v>
      </x:c>
      <x:c r="J746" s="24" t="str">
        <x:v>Second-life narratives, portal fantasy, game systems, time travel, and alternate identity.</x:v>
      </x:c>
      <x:c r="K746" s="24" t="str">
        <x:v>system user; status window; gamified existence</x:v>
      </x:c>
      <x:c r="L746" s="24" t="str">
        <x:v>Preserve each source's ontology, culture, history, and terminology when making comparisons.</x:v>
      </x:c>
      <x:c r="M746" s="24" t="str">
        <x:v>Core Family</x:v>
      </x:c>
    </x:row>
    <x:row r="747" ht="44" customHeight="1">
      <x:c r="A747" s="24" t="str">
        <x:v>STA-511</x:v>
      </x:c>
      <x:c r="B747" s="24" t="str">
        <x:v>Player Avatar State</x:v>
      </x:c>
      <x:c r="C747" s="24" t="str">
        <x:v>States &amp; Transformations</x:v>
      </x:c>
      <x:c r="D747" s="24" t="str">
        <x:v>STA-500</x:v>
      </x:c>
      <x:c r="E747" s="24" t="str">
        <x:f>IF(D747="","",IFERROR(VLOOKUP(D747,$A$2:$B$1226,2,FALSE),""))</x:f>
        <x:v>Displacement and Meta-Narrative States</x:v>
      </x:c>
      <x:c r="F747" s="24" t="n">
        <x:v>3</x:v>
      </x:c>
      <x:c r="G747" s="24" t="str">
        <x:v>A person's agency is mediated through a game avatar, virtual body, summoned vessel, or remote projection.</x:v>
      </x:c>
      <x:c r="H747" s="24" t="str">
        <x:v>Record reversibility, agency, transmission, cost, social recognition, and identity continuity.</x:v>
      </x:c>
      <x:c r="I747" s="24" t="str">
        <x:v>avatar; player character; logged-in body</x:v>
      </x:c>
      <x:c r="J747" s="24" t="str">
        <x:v>Second-life narratives, portal fantasy, game systems, time travel, and alternate identity.</x:v>
      </x:c>
      <x:c r="K747" s="24" t="str">
        <x:v>avatar; player character; logged-in body</x:v>
      </x:c>
      <x:c r="L747" s="24" t="str">
        <x:v>Preserve each source's ontology, culture, history, and terminology when making comparisons.</x:v>
      </x:c>
      <x:c r="M747" s="24" t="str">
        <x:v>Core Family</x:v>
      </x:c>
    </x:row>
    <x:row r="748" ht="44" customHeight="1">
      <x:c r="A748" s="24" t="str">
        <x:v>STA-512</x:v>
      </x:c>
      <x:c r="B748" s="24" t="str">
        <x:v>NPC Awakening</x:v>
      </x:c>
      <x:c r="C748" s="24" t="str">
        <x:v>States &amp; Transformations</x:v>
      </x:c>
      <x:c r="D748" s="24" t="str">
        <x:v>STA-500</x:v>
      </x:c>
      <x:c r="E748" s="24" t="str">
        <x:f>IF(D748="","",IFERROR(VLOOKUP(D748,$A$2:$B$1226,2,FALSE),""))</x:f>
        <x:v>Displacement and Meta-Narrative States</x:v>
      </x:c>
      <x:c r="F748" s="24" t="n">
        <x:v>3</x:v>
      </x:c>
      <x:c r="G748" s="24" t="str">
        <x:v>A game-like or scripted character becomes self-aware, autonomous, or aware of narrative constraints.</x:v>
      </x:c>
      <x:c r="H748" s="24" t="str">
        <x:v>Record reversibility, agency, transmission, cost, social recognition, and identity continuity.</x:v>
      </x:c>
      <x:c r="I748" s="24" t="str">
        <x:v>awakened NPC; self-aware construct</x:v>
      </x:c>
      <x:c r="J748" s="24" t="str">
        <x:v>Second-life narratives, portal fantasy, game systems, time travel, and alternate identity.</x:v>
      </x:c>
      <x:c r="K748" s="24" t="str">
        <x:v>awakened NPC; self-aware construct</x:v>
      </x:c>
      <x:c r="L748" s="24" t="str">
        <x:v>Preserve each source's ontology, culture, history, and terminology when making comparisons.</x:v>
      </x:c>
      <x:c r="M748" s="24" t="str">
        <x:v>Core Family</x:v>
      </x:c>
    </x:row>
    <x:row r="749" ht="44" customHeight="1">
      <x:c r="A749" s="24" t="str">
        <x:v>STA-513</x:v>
      </x:c>
      <x:c r="B749" s="24" t="str">
        <x:v>Narrative Possession</x:v>
      </x:c>
      <x:c r="C749" s="24" t="str">
        <x:v>States &amp; Transformations</x:v>
      </x:c>
      <x:c r="D749" s="24" t="str">
        <x:v>STA-500</x:v>
      </x:c>
      <x:c r="E749" s="24" t="str">
        <x:f>IF(D749="","",IFERROR(VLOOKUP(D749,$A$2:$B$1226,2,FALSE),""))</x:f>
        <x:v>Displacement and Meta-Narrative States</x:v>
      </x:c>
      <x:c r="F749" s="24" t="n">
        <x:v>3</x:v>
      </x:c>
      <x:c r="G749" s="24" t="str">
        <x:v>A person enters, replaces, or influences a character within a known story.</x:v>
      </x:c>
      <x:c r="H749" s="24" t="str">
        <x:v>Record reversibility, agency, transmission, cost, social recognition, and identity continuity.</x:v>
      </x:c>
      <x:c r="I749" s="24" t="str">
        <x:v>novel transmigration; character possession</x:v>
      </x:c>
      <x:c r="J749" s="24" t="str">
        <x:v>Second-life narratives, portal fantasy, game systems, time travel, and alternate identity.</x:v>
      </x:c>
      <x:c r="K749" s="24" t="str">
        <x:v>novel transmigration; character possession</x:v>
      </x:c>
      <x:c r="L749" s="24" t="str">
        <x:v>Preserve each source's ontology, culture, history, and terminology when making comparisons.</x:v>
      </x:c>
      <x:c r="M749" s="24" t="str">
        <x:v>Core Family</x:v>
      </x:c>
    </x:row>
    <x:row r="750" ht="44" customHeight="1">
      <x:c r="A750" s="24" t="str">
        <x:v>STA-514</x:v>
      </x:c>
      <x:c r="B750" s="24" t="str">
        <x:v>Parallel-Self Contact</x:v>
      </x:c>
      <x:c r="C750" s="24" t="str">
        <x:v>States &amp; Transformations</x:v>
      </x:c>
      <x:c r="D750" s="24" t="str">
        <x:v>STA-500</x:v>
      </x:c>
      <x:c r="E750" s="24" t="str">
        <x:f>IF(D750="","",IFERROR(VLOOKUP(D750,$A$2:$B$1226,2,FALSE),""))</x:f>
        <x:v>Displacement and Meta-Narrative States</x:v>
      </x:c>
      <x:c r="F750" s="24" t="n">
        <x:v>3</x:v>
      </x:c>
      <x:c r="G750" s="24" t="str">
        <x:v>A person meets, merges with, or exchanges information with alternate timeline versions of themselves.</x:v>
      </x:c>
      <x:c r="H750" s="24" t="str">
        <x:v>Record reversibility, agency, transmission, cost, social recognition, and identity continuity.</x:v>
      </x:c>
      <x:c r="I750" s="24" t="str">
        <x:v>alternate self; multiverse double</x:v>
      </x:c>
      <x:c r="J750" s="24" t="str">
        <x:v>Second-life narratives, portal fantasy, game systems, time travel, and alternate identity.</x:v>
      </x:c>
      <x:c r="K750" s="24" t="str">
        <x:v>alternate self; multiverse double</x:v>
      </x:c>
      <x:c r="L750" s="24" t="str">
        <x:v>Preserve each source's ontology, culture, history, and terminology when making comparisons.</x:v>
      </x:c>
      <x:c r="M750" s="24" t="str">
        <x:v>Core Family</x:v>
      </x:c>
    </x:row>
    <x:row r="751" ht="44" customHeight="1">
      <x:c r="A751" s="24" t="str">
        <x:v>STA-515</x:v>
      </x:c>
      <x:c r="B751" s="24" t="str">
        <x:v>World Reset Survivor</x:v>
      </x:c>
      <x:c r="C751" s="24" t="str">
        <x:v>States &amp; Transformations</x:v>
      </x:c>
      <x:c r="D751" s="24" t="str">
        <x:v>STA-500</x:v>
      </x:c>
      <x:c r="E751" s="24" t="str">
        <x:f>IF(D751="","",IFERROR(VLOOKUP(D751,$A$2:$B$1226,2,FALSE),""))</x:f>
        <x:v>Displacement and Meta-Narrative States</x:v>
      </x:c>
      <x:c r="F751" s="24" t="n">
        <x:v>3</x:v>
      </x:c>
      <x:c r="G751" s="24" t="str">
        <x:v>A person retains identity or memory through a cosmic, historical, or system-wide reset.</x:v>
      </x:c>
      <x:c r="H751" s="24" t="str">
        <x:v>Record reversibility, agency, transmission, cost, social recognition, and identity continuity.</x:v>
      </x:c>
      <x:c r="I751" s="24" t="str">
        <x:v>reset survivor; loop survivor</x:v>
      </x:c>
      <x:c r="J751" s="24" t="str">
        <x:v>Second-life narratives, portal fantasy, game systems, time travel, and alternate identity.</x:v>
      </x:c>
      <x:c r="K751" s="24" t="str">
        <x:v>reset survivor; loop survivor</x:v>
      </x:c>
      <x:c r="L751" s="24" t="str">
        <x:v>Preserve each source's ontology, culture, history, and terminology when making comparisons.</x:v>
      </x:c>
      <x:c r="M751" s="24" t="str">
        <x:v>Core Family</x:v>
      </x:c>
    </x:row>
    <x:row r="752" ht="44" customHeight="1">
      <x:c r="A752" s="24" t="str">
        <x:v>STA-516</x:v>
      </x:c>
      <x:c r="B752" s="24" t="str">
        <x:v>Sealed or Sleeping Age</x:v>
      </x:c>
      <x:c r="C752" s="24" t="str">
        <x:v>States &amp; Transformations</x:v>
      </x:c>
      <x:c r="D752" s="24" t="str">
        <x:v>STA-500</x:v>
      </x:c>
      <x:c r="E752" s="24" t="str">
        <x:f>IF(D752="","",IFERROR(VLOOKUP(D752,$A$2:$B$1226,2,FALSE),""))</x:f>
        <x:v>Displacement and Meta-Narrative States</x:v>
      </x:c>
      <x:c r="F752" s="24" t="n">
        <x:v>3</x:v>
      </x:c>
      <x:c r="G752" s="24" t="str">
        <x:v>A person survives across eras through stasis, enchanted sleep, petrification, or burial.</x:v>
      </x:c>
      <x:c r="H752" s="24" t="str">
        <x:v>Record reversibility, agency, transmission, cost, social recognition, and identity continuity.</x:v>
      </x:c>
      <x:c r="I752" s="24" t="str">
        <x:v>sleeping hero; stasis; sealed ancient</x:v>
      </x:c>
      <x:c r="J752" s="24" t="str">
        <x:v>Second-life narratives, portal fantasy, game systems, time travel, and alternate identity.</x:v>
      </x:c>
      <x:c r="K752" s="24" t="str">
        <x:v>sleeping hero; stasis; sealed ancient</x:v>
      </x:c>
      <x:c r="L752" s="24" t="str">
        <x:v>Preserve each source's ontology, culture, history, and terminology when making comparisons.</x:v>
      </x:c>
      <x:c r="M752" s="24" t="str">
        <x:v>Core Family</x:v>
      </x:c>
    </x:row>
    <x:row r="753" ht="44" customHeight="1">
      <x:c r="A753" s="24" t="str">
        <x:v>STA-517</x:v>
      </x:c>
      <x:c r="B753" s="24" t="str">
        <x:v>Planar Refugee</x:v>
      </x:c>
      <x:c r="C753" s="24" t="str">
        <x:v>States &amp; Transformations</x:v>
      </x:c>
      <x:c r="D753" s="24" t="str">
        <x:v>STA-500</x:v>
      </x:c>
      <x:c r="E753" s="24" t="str">
        <x:f>IF(D753="","",IFERROR(VLOOKUP(D753,$A$2:$B$1226,2,FALSE),""))</x:f>
        <x:v>Displacement and Meta-Narrative States</x:v>
      </x:c>
      <x:c r="F753" s="24" t="n">
        <x:v>3</x:v>
      </x:c>
      <x:c r="G753" s="24" t="str">
        <x:v>A person or people relocates because their world or plane is destroyed, inaccessible, or hostile.</x:v>
      </x:c>
      <x:c r="H753" s="24" t="str">
        <x:v>Record reversibility, agency, transmission, cost, social recognition, and identity continuity.</x:v>
      </x:c>
      <x:c r="I753" s="24" t="str">
        <x:v>world refugee; planar diaspora</x:v>
      </x:c>
      <x:c r="J753" s="24" t="str">
        <x:v>Second-life narratives, portal fantasy, game systems, time travel, and alternate identity.</x:v>
      </x:c>
      <x:c r="K753" s="24" t="str">
        <x:v>world refugee; planar diaspora</x:v>
      </x:c>
      <x:c r="L753" s="24" t="str">
        <x:v>Preserve each source's ontology, culture, history, and terminology when making comparisons.</x:v>
      </x:c>
      <x:c r="M753" s="24" t="str">
        <x:v>Core Family</x:v>
      </x:c>
    </x:row>
    <x:row r="754" ht="44" customHeight="1">
      <x:c r="A754" s="24" t="str">
        <x:v>STA-518</x:v>
      </x:c>
      <x:c r="B754" s="24" t="str">
        <x:v>Summoned Familiar State</x:v>
      </x:c>
      <x:c r="C754" s="24" t="str">
        <x:v>States &amp; Transformations</x:v>
      </x:c>
      <x:c r="D754" s="24" t="str">
        <x:v>STA-500</x:v>
      </x:c>
      <x:c r="E754" s="24" t="str">
        <x:f>IF(D754="","",IFERROR(VLOOKUP(D754,$A$2:$B$1226,2,FALSE),""))</x:f>
        <x:v>Displacement and Meta-Narrative States</x:v>
      </x:c>
      <x:c r="F754" s="24" t="n">
        <x:v>3</x:v>
      </x:c>
      <x:c r="G754" s="24" t="str">
        <x:v>A being is called into service under binding rules and may be returned or dismissed.</x:v>
      </x:c>
      <x:c r="H754" s="24" t="str">
        <x:v>Record reversibility, agency, transmission, cost, social recognition, and identity continuity.</x:v>
      </x:c>
      <x:c r="I754" s="24" t="str">
        <x:v>summoned creature; familiar; eidolon</x:v>
      </x:c>
      <x:c r="J754" s="24" t="str">
        <x:v>Second-life narratives, portal fantasy, game systems, time travel, and alternate identity.</x:v>
      </x:c>
      <x:c r="K754" s="24" t="str">
        <x:v>summoned creature; familiar; eidolon</x:v>
      </x:c>
      <x:c r="L754" s="24" t="str">
        <x:v>Preserve each source's ontology, culture, history, and terminology when making comparisons.</x:v>
      </x:c>
      <x:c r="M754" s="24" t="str">
        <x:v>Core Family</x:v>
      </x:c>
    </x:row>
    <x:row r="755" ht="44" customHeight="1">
      <x:c r="A755" s="24" t="str">
        <x:v>STA-519</x:v>
      </x:c>
      <x:c r="B755" s="24" t="str">
        <x:v>Copy or Echo Incarnation</x:v>
      </x:c>
      <x:c r="C755" s="24" t="str">
        <x:v>States &amp; Transformations</x:v>
      </x:c>
      <x:c r="D755" s="24" t="str">
        <x:v>STA-500</x:v>
      </x:c>
      <x:c r="E755" s="24" t="str">
        <x:f>IF(D755="","",IFERROR(VLOOKUP(D755,$A$2:$B$1226,2,FALSE),""))</x:f>
        <x:v>Displacement and Meta-Narrative States</x:v>
      </x:c>
      <x:c r="F755" s="24" t="n">
        <x:v>3</x:v>
      </x:c>
      <x:c r="G755" s="24" t="str">
        <x:v>A new person is generated from another's data, memory, soul fragment, or recorded pattern.</x:v>
      </x:c>
      <x:c r="H755" s="24" t="str">
        <x:v>Record reversibility, agency, transmission, cost, social recognition, and identity continuity.</x:v>
      </x:c>
      <x:c r="I755" s="24" t="str">
        <x:v>echo; digital soul; magical copy</x:v>
      </x:c>
      <x:c r="J755" s="24" t="str">
        <x:v>Second-life narratives, portal fantasy, game systems, time travel, and alternate identity.</x:v>
      </x:c>
      <x:c r="K755" s="24" t="str">
        <x:v>echo; digital soul; magical copy</x:v>
      </x:c>
      <x:c r="L755" s="24" t="str">
        <x:v>Preserve each source's ontology, culture, history, and terminology when making comparisons.</x:v>
      </x:c>
      <x:c r="M755" s="24" t="str">
        <x:v>Core Family</x:v>
      </x:c>
    </x:row>
    <x:row r="756" ht="44" customHeight="1">
      <x:c r="A756" s="24" t="str">
        <x:v>STA-520</x:v>
      </x:c>
      <x:c r="B756" s="24" t="str">
        <x:v>Dream Incarnation</x:v>
      </x:c>
      <x:c r="C756" s="24" t="str">
        <x:v>States &amp; Transformations</x:v>
      </x:c>
      <x:c r="D756" s="24" t="str">
        <x:v>STA-500</x:v>
      </x:c>
      <x:c r="E756" s="24" t="str">
        <x:f>IF(D756="","",IFERROR(VLOOKUP(D756,$A$2:$B$1226,2,FALSE),""))</x:f>
        <x:v>Displacement and Meta-Narrative States</x:v>
      </x:c>
      <x:c r="F756" s="24" t="n">
        <x:v>3</x:v>
      </x:c>
      <x:c r="G756" s="24" t="str">
        <x:v>A person or being manifests from dream, story, imagination, or collective belief.</x:v>
      </x:c>
      <x:c r="H756" s="24" t="str">
        <x:v>Record reversibility, agency, transmission, cost, social recognition, and identity continuity.</x:v>
      </x:c>
      <x:c r="I756" s="24" t="str">
        <x:v>dreamborn; thoughtform; tulpa-like</x:v>
      </x:c>
      <x:c r="J756" s="24" t="str">
        <x:v>Second-life narratives, portal fantasy, game systems, time travel, and alternate identity.</x:v>
      </x:c>
      <x:c r="K756" s="24" t="str">
        <x:v>dreamborn; thoughtform; tulpa-like</x:v>
      </x:c>
      <x:c r="L756" s="24" t="str">
        <x:v>The term 'tulpa' has specific Tibetan Buddhist roots and a modern occult history; use with care.</x:v>
      </x:c>
      <x:c r="M756" s="24" t="str">
        <x:v>Core Family</x:v>
      </x:c>
    </x:row>
    <x:row r="757" ht="44" customHeight="1">
      <x:c r="A757" s="24" t="str">
        <x:v>INS-100</x:v>
      </x:c>
      <x:c r="B757" s="24" t="str">
        <x:v>Professional and Economic Organizations</x:v>
      </x:c>
      <x:c r="C757" s="24" t="str">
        <x:v>Institutions &amp; Affiliations</x:v>
      </x:c>
      <x:c r="D757" s="24" t="str">
        <x:v>INS-000</x:v>
      </x:c>
      <x:c r="E757" s="24" t="str">
        <x:f>IF(D757="","",IFERROR(VLOOKUP(D757,$A$2:$B$1226,2,FALSE),""))</x:f>
        <x:v>Institutions &amp; Affiliations</x:v>
      </x:c>
      <x:c r="F757" s="24" t="n">
        <x:v>2</x:v>
      </x:c>
      <x:c r="G757" s="24" t="str">
        <x:v>Guilds, companies, colleges, and networks organized around work, trade, craft, or adventure.</x:v>
      </x:c>
      <x:c r="H757" s="24" t="str">
        <x:v>An institution is an organized collective; membership may confer a role, identity, power, or status without being any of those itself.</x:v>
      </x:c>
      <x:c r="I757" s="24" t="str"/>
      <x:c r="J757" s="24" t="str">
        <x:v>Supports comparison of guilds, orders, schools, factions, and political structures.</x:v>
      </x:c>
      <x:c r="K757" s="24" t="str">
        <x:v>Professional and Economic Organizations</x:v>
      </x:c>
      <x:c r="L757" s="24" t="str">
        <x:v>Preserve each source's ontology, culture, history, and terminology when making comparisons.</x:v>
      </x:c>
      <x:c r="M757" s="24" t="str">
        <x:v>Category</x:v>
      </x:c>
    </x:row>
    <x:row r="758" ht="44" customHeight="1">
      <x:c r="A758" s="24" t="str">
        <x:v>INS-200</x:v>
      </x:c>
      <x:c r="B758" s="24" t="str">
        <x:v>Martial and Protective Organizations</x:v>
      </x:c>
      <x:c r="C758" s="24" t="str">
        <x:v>Institutions &amp; Affiliations</x:v>
      </x:c>
      <x:c r="D758" s="24" t="str">
        <x:v>INS-000</x:v>
      </x:c>
      <x:c r="E758" s="24" t="str">
        <x:f>IF(D758="","",IFERROR(VLOOKUP(D758,$A$2:$B$1226,2,FALSE),""))</x:f>
        <x:v>Institutions &amp; Affiliations</x:v>
      </x:c>
      <x:c r="F758" s="24" t="n">
        <x:v>2</x:v>
      </x:c>
      <x:c r="G758" s="24" t="str">
        <x:v>Armies, knightly orders, guards, ranger lodges, mercenary companies, and specialist hunters.</x:v>
      </x:c>
      <x:c r="H758" s="24" t="str">
        <x:v>An institution is an organized collective; membership may confer a role, identity, power, or status without being any of those itself.</x:v>
      </x:c>
      <x:c r="I758" s="24" t="str"/>
      <x:c r="J758" s="24" t="str">
        <x:v>Supports comparison of guilds, orders, schools, factions, and political structures.</x:v>
      </x:c>
      <x:c r="K758" s="24" t="str">
        <x:v>Martial and Protective Organizations</x:v>
      </x:c>
      <x:c r="L758" s="24" t="str">
        <x:v>Preserve each source's ontology, culture, history, and terminology when making comparisons.</x:v>
      </x:c>
      <x:c r="M758" s="24" t="str">
        <x:v>Category</x:v>
      </x:c>
    </x:row>
    <x:row r="759" ht="44" customHeight="1">
      <x:c r="A759" s="24" t="str">
        <x:v>INS-300</x:v>
      </x:c>
      <x:c r="B759" s="24" t="str">
        <x:v>Religious and Magical Organizations</x:v>
      </x:c>
      <x:c r="C759" s="24" t="str">
        <x:v>Institutions &amp; Affiliations</x:v>
      </x:c>
      <x:c r="D759" s="24" t="str">
        <x:v>INS-000</x:v>
      </x:c>
      <x:c r="E759" s="24" t="str">
        <x:f>IF(D759="","",IFERROR(VLOOKUP(D759,$A$2:$B$1226,2,FALSE),""))</x:f>
        <x:v>Institutions &amp; Affiliations</x:v>
      </x:c>
      <x:c r="F759" s="24" t="n">
        <x:v>2</x:v>
      </x:c>
      <x:c r="G759" s="24" t="str">
        <x:v>Churches, cults, temples, covens, circles, academies, sects, and initiatory traditions.</x:v>
      </x:c>
      <x:c r="H759" s="24" t="str">
        <x:v>An institution is an organized collective; membership may confer a role, identity, power, or status without being any of those itself.</x:v>
      </x:c>
      <x:c r="I759" s="24" t="str"/>
      <x:c r="J759" s="24" t="str">
        <x:v>Supports comparison of guilds, orders, schools, factions, and political structures.</x:v>
      </x:c>
      <x:c r="K759" s="24" t="str">
        <x:v>Religious and Magical Organizations</x:v>
      </x:c>
      <x:c r="L759" s="24" t="str">
        <x:v>Preserve each source's ontology, culture, history, and terminology when making comparisons.</x:v>
      </x:c>
      <x:c r="M759" s="24" t="str">
        <x:v>Category</x:v>
      </x:c>
    </x:row>
    <x:row r="760" ht="44" customHeight="1">
      <x:c r="A760" s="24" t="str">
        <x:v>INS-400</x:v>
      </x:c>
      <x:c r="B760" s="24" t="str">
        <x:v>Kinship, Political, and Secret Organizations</x:v>
      </x:c>
      <x:c r="C760" s="24" t="str">
        <x:v>Institutions &amp; Affiliations</x:v>
      </x:c>
      <x:c r="D760" s="24" t="str">
        <x:v>INS-000</x:v>
      </x:c>
      <x:c r="E760" s="24" t="str">
        <x:f>IF(D760="","",IFERROR(VLOOKUP(D760,$A$2:$B$1226,2,FALSE),""))</x:f>
        <x:v>Institutions &amp; Affiliations</x:v>
      </x:c>
      <x:c r="F760" s="24" t="n">
        <x:v>2</x:v>
      </x:c>
      <x:c r="G760" s="24" t="str">
        <x:v>Clans, houses, tribes, courts, castes, councils, conspiracies, and covert networks.</x:v>
      </x:c>
      <x:c r="H760" s="24" t="str">
        <x:v>An institution is an organized collective; membership may confer a role, identity, power, or status without being any of those itself.</x:v>
      </x:c>
      <x:c r="I760" s="24" t="str"/>
      <x:c r="J760" s="24" t="str">
        <x:v>Supports comparison of guilds, orders, schools, factions, and political structures.</x:v>
      </x:c>
      <x:c r="K760" s="24" t="str">
        <x:v>Kinship, Political, and Secret Organizations</x:v>
      </x:c>
      <x:c r="L760" s="24" t="str">
        <x:v>Preserve each source's ontology, culture, history, and terminology when making comparisons.</x:v>
      </x:c>
      <x:c r="M760" s="24" t="str">
        <x:v>Category</x:v>
      </x:c>
    </x:row>
    <x:row r="761" ht="44" customHeight="1">
      <x:c r="A761" s="24" t="str">
        <x:v>INS-101</x:v>
      </x:c>
      <x:c r="B761" s="24" t="str">
        <x:v>Adventurers' Guild</x:v>
      </x:c>
      <x:c r="C761" s="24" t="str">
        <x:v>Institutions &amp; Affiliations</x:v>
      </x:c>
      <x:c r="D761" s="24" t="str">
        <x:v>INS-100</x:v>
      </x:c>
      <x:c r="E761" s="24" t="str">
        <x:f>IF(D761="","",IFERROR(VLOOKUP(D761,$A$2:$B$1226,2,FALSE),""))</x:f>
        <x:v>Professional and Economic Organizations</x:v>
      </x:c>
      <x:c r="F761" s="24" t="n">
        <x:v>3</x:v>
      </x:c>
      <x:c r="G761" s="24" t="str">
        <x:v>Organization that registers, ranks, contracts, equips, regulates, or rewards adventurers.</x:v>
      </x:c>
      <x:c r="H761" s="24" t="str">
        <x:v>Record membership rules, hierarchy, resources, jurisdiction, ideology, and relation to the state.</x:v>
      </x:c>
      <x:c r="I761" s="24" t="str">
        <x:v>adventurer guild; quest guild; hunters' association</x:v>
      </x:c>
      <x:c r="J761" s="24" t="str">
        <x:v>Labor regulation, training, contracting, economic coordination, and social mobility.</x:v>
      </x:c>
      <x:c r="K761" s="24" t="str">
        <x:v>adventurer guild; quest guild; hunters' association</x:v>
      </x:c>
      <x:c r="L761" s="24" t="str">
        <x:v>Preserve each source's ontology, culture, history, and terminology when making comparisons.</x:v>
      </x:c>
      <x:c r="M761" s="24" t="str">
        <x:v>Core Family</x:v>
      </x:c>
    </x:row>
    <x:row r="762" ht="44" customHeight="1">
      <x:c r="A762" s="24" t="str">
        <x:v>INS-102</x:v>
      </x:c>
      <x:c r="B762" s="24" t="str">
        <x:v>Mage Guild</x:v>
      </x:c>
      <x:c r="C762" s="24" t="str">
        <x:v>Institutions &amp; Affiliations</x:v>
      </x:c>
      <x:c r="D762" s="24" t="str">
        <x:v>INS-100</x:v>
      </x:c>
      <x:c r="E762" s="24" t="str">
        <x:f>IF(D762="","",IFERROR(VLOOKUP(D762,$A$2:$B$1226,2,FALSE),""))</x:f>
        <x:v>Professional and Economic Organizations</x:v>
      </x:c>
      <x:c r="F762" s="24" t="n">
        <x:v>3</x:v>
      </x:c>
      <x:c r="G762" s="24" t="str">
        <x:v>Professional body that licenses, trains, employs, protects, or controls magic users.</x:v>
      </x:c>
      <x:c r="H762" s="24" t="str">
        <x:v>Record membership rules, hierarchy, resources, jurisdiction, ideology, and relation to the state.</x:v>
      </x:c>
      <x:c r="I762" s="24" t="str">
        <x:v>mages' guild; wizard guild; arcane association</x:v>
      </x:c>
      <x:c r="J762" s="24" t="str">
        <x:v>Labor regulation, training, contracting, economic coordination, and social mobility.</x:v>
      </x:c>
      <x:c r="K762" s="24" t="str">
        <x:v>mages' guild; wizard guild; arcane association</x:v>
      </x:c>
      <x:c r="L762" s="24" t="str">
        <x:v>Preserve each source's ontology, culture, history, and terminology when making comparisons.</x:v>
      </x:c>
      <x:c r="M762" s="24" t="str">
        <x:v>Core Family</x:v>
      </x:c>
    </x:row>
    <x:row r="763" ht="44" customHeight="1">
      <x:c r="A763" s="24" t="str">
        <x:v>INS-103</x:v>
      </x:c>
      <x:c r="B763" s="24" t="str">
        <x:v>Thieves' Guild</x:v>
      </x:c>
      <x:c r="C763" s="24" t="str">
        <x:v>Institutions &amp; Affiliations</x:v>
      </x:c>
      <x:c r="D763" s="24" t="str">
        <x:v>INS-100</x:v>
      </x:c>
      <x:c r="E763" s="24" t="str">
        <x:f>IF(D763="","",IFERROR(VLOOKUP(D763,$A$2:$B$1226,2,FALSE),""))</x:f>
        <x:v>Professional and Economic Organizations</x:v>
      </x:c>
      <x:c r="F763" s="24" t="n">
        <x:v>3</x:v>
      </x:c>
      <x:c r="G763" s="24" t="str">
        <x:v>Organized network that coordinates theft, fences goods, enforces territory, and regulates underworld conduct.</x:v>
      </x:c>
      <x:c r="H763" s="24" t="str">
        <x:v>Record membership rules, hierarchy, resources, jurisdiction, ideology, and relation to the state.</x:v>
      </x:c>
      <x:c r="I763" s="24" t="str">
        <x:v>thieves guild; criminal guild</x:v>
      </x:c>
      <x:c r="J763" s="24" t="str">
        <x:v>Labor regulation, training, contracting, economic coordination, and social mobility.</x:v>
      </x:c>
      <x:c r="K763" s="24" t="str">
        <x:v>thieves guild; criminal guild</x:v>
      </x:c>
      <x:c r="L763" s="24" t="str">
        <x:v>Preserve each source's ontology, culture, history, and terminology when making comparisons.</x:v>
      </x:c>
      <x:c r="M763" s="24" t="str">
        <x:v>Core Family</x:v>
      </x:c>
    </x:row>
    <x:row r="764" ht="44" customHeight="1">
      <x:c r="A764" s="24" t="str">
        <x:v>INS-104</x:v>
      </x:c>
      <x:c r="B764" s="24" t="str">
        <x:v>Assassins' Guild</x:v>
      </x:c>
      <x:c r="C764" s="24" t="str">
        <x:v>Institutions &amp; Affiliations</x:v>
      </x:c>
      <x:c r="D764" s="24" t="str">
        <x:v>INS-100</x:v>
      </x:c>
      <x:c r="E764" s="24" t="str">
        <x:f>IF(D764="","",IFERROR(VLOOKUP(D764,$A$2:$B$1226,2,FALSE),""))</x:f>
        <x:v>Professional and Economic Organizations</x:v>
      </x:c>
      <x:c r="F764" s="24" t="n">
        <x:v>3</x:v>
      </x:c>
      <x:c r="G764" s="24" t="str">
        <x:v>Institution that trains, contracts, legitimizes, or ritualizes professional killing.</x:v>
      </x:c>
      <x:c r="H764" s="24" t="str">
        <x:v>Record membership rules, hierarchy, resources, jurisdiction, ideology, and relation to the state.</x:v>
      </x:c>
      <x:c r="I764" s="24" t="str">
        <x:v>assassin guild; killers' order</x:v>
      </x:c>
      <x:c r="J764" s="24" t="str">
        <x:v>Labor regulation, training, contracting, economic coordination, and social mobility.</x:v>
      </x:c>
      <x:c r="K764" s="24" t="str">
        <x:v>assassin guild; killers' order</x:v>
      </x:c>
      <x:c r="L764" s="24" t="str">
        <x:v>Preserve each source's ontology, culture, history, and terminology when making comparisons.</x:v>
      </x:c>
      <x:c r="M764" s="24" t="str">
        <x:v>Core Family</x:v>
      </x:c>
    </x:row>
    <x:row r="765" ht="44" customHeight="1">
      <x:c r="A765" s="24" t="str">
        <x:v>INS-105</x:v>
      </x:c>
      <x:c r="B765" s="24" t="str">
        <x:v>Merchants' Guild</x:v>
      </x:c>
      <x:c r="C765" s="24" t="str">
        <x:v>Institutions &amp; Affiliations</x:v>
      </x:c>
      <x:c r="D765" s="24" t="str">
        <x:v>INS-100</x:v>
      </x:c>
      <x:c r="E765" s="24" t="str">
        <x:f>IF(D765="","",IFERROR(VLOOKUP(D765,$A$2:$B$1226,2,FALSE),""))</x:f>
        <x:v>Professional and Economic Organizations</x:v>
      </x:c>
      <x:c r="F765" s="24" t="n">
        <x:v>3</x:v>
      </x:c>
      <x:c r="G765" s="24" t="str">
        <x:v>Association coordinating trade rights, prices, caravans, credit, lobbying, and commercial protection.</x:v>
      </x:c>
      <x:c r="H765" s="24" t="str">
        <x:v>Record membership rules, hierarchy, resources, jurisdiction, ideology, and relation to the state.</x:v>
      </x:c>
      <x:c r="I765" s="24" t="str">
        <x:v>merchant guild; trade league</x:v>
      </x:c>
      <x:c r="J765" s="24" t="str">
        <x:v>Labor regulation, training, contracting, economic coordination, and social mobility.</x:v>
      </x:c>
      <x:c r="K765" s="24" t="str">
        <x:v>merchant guild; trade league</x:v>
      </x:c>
      <x:c r="L765" s="24" t="str">
        <x:v>Preserve each source's ontology, culture, history, and terminology when making comparisons.</x:v>
      </x:c>
      <x:c r="M765" s="24" t="str">
        <x:v>Core Family</x:v>
      </x:c>
    </x:row>
    <x:row r="766" ht="44" customHeight="1">
      <x:c r="A766" s="24" t="str">
        <x:v>INS-106</x:v>
      </x:c>
      <x:c r="B766" s="24" t="str">
        <x:v>Artisans' Guild</x:v>
      </x:c>
      <x:c r="C766" s="24" t="str">
        <x:v>Institutions &amp; Affiliations</x:v>
      </x:c>
      <x:c r="D766" s="24" t="str">
        <x:v>INS-100</x:v>
      </x:c>
      <x:c r="E766" s="24" t="str">
        <x:f>IF(D766="","",IFERROR(VLOOKUP(D766,$A$2:$B$1226,2,FALSE),""))</x:f>
        <x:v>Professional and Economic Organizations</x:v>
      </x:c>
      <x:c r="F766" s="24" t="n">
        <x:v>3</x:v>
      </x:c>
      <x:c r="G766" s="24" t="str">
        <x:v>Professional association controlling training, quality, markets, and status within a craft.</x:v>
      </x:c>
      <x:c r="H766" s="24" t="str">
        <x:v>Record membership rules, hierarchy, resources, jurisdiction, ideology, and relation to the state.</x:v>
      </x:c>
      <x:c r="I766" s="24" t="str">
        <x:v>craft guild; smiths' guild; builders' guild</x:v>
      </x:c>
      <x:c r="J766" s="24" t="str">
        <x:v>Labor regulation, training, contracting, economic coordination, and social mobility.</x:v>
      </x:c>
      <x:c r="K766" s="24" t="str">
        <x:v>craft guild; smiths' guild; builders' guild</x:v>
      </x:c>
      <x:c r="L766" s="24" t="str">
        <x:v>Preserve each source's ontology, culture, history, and terminology when making comparisons.</x:v>
      </x:c>
      <x:c r="M766" s="24" t="str">
        <x:v>Core Family</x:v>
      </x:c>
    </x:row>
    <x:row r="767" ht="44" customHeight="1">
      <x:c r="A767" s="24" t="str">
        <x:v>INS-107</x:v>
      </x:c>
      <x:c r="B767" s="24" t="str">
        <x:v>Bardic College</x:v>
      </x:c>
      <x:c r="C767" s="24" t="str">
        <x:v>Institutions &amp; Affiliations</x:v>
      </x:c>
      <x:c r="D767" s="24" t="str">
        <x:v>INS-100</x:v>
      </x:c>
      <x:c r="E767" s="24" t="str">
        <x:f>IF(D767="","",IFERROR(VLOOKUP(D767,$A$2:$B$1226,2,FALSE),""))</x:f>
        <x:v>Professional and Economic Organizations</x:v>
      </x:c>
      <x:c r="F767" s="24" t="n">
        <x:v>3</x:v>
      </x:c>
      <x:c r="G767" s="24" t="str">
        <x:v>Institution preserving performance traditions, lore, magical music, and professional networks.</x:v>
      </x:c>
      <x:c r="H767" s="24" t="str">
        <x:v>Record membership rules, hierarchy, resources, jurisdiction, ideology, and relation to the state.</x:v>
      </x:c>
      <x:c r="I767" s="24" t="str">
        <x:v>bard college; minstrel guild</x:v>
      </x:c>
      <x:c r="J767" s="24" t="str">
        <x:v>Labor regulation, training, contracting, economic coordination, and social mobility.</x:v>
      </x:c>
      <x:c r="K767" s="24" t="str">
        <x:v>bard college; minstrel guild</x:v>
      </x:c>
      <x:c r="L767" s="24" t="str">
        <x:v>Preserve each source's ontology, culture, history, and terminology when making comparisons.</x:v>
      </x:c>
      <x:c r="M767" s="24" t="str">
        <x:v>Core Family</x:v>
      </x:c>
    </x:row>
    <x:row r="768" ht="44" customHeight="1">
      <x:c r="A768" s="24" t="str">
        <x:v>INS-108</x:v>
      </x:c>
      <x:c r="B768" s="24" t="str">
        <x:v>Scholarly Society</x:v>
      </x:c>
      <x:c r="C768" s="24" t="str">
        <x:v>Institutions &amp; Affiliations</x:v>
      </x:c>
      <x:c r="D768" s="24" t="str">
        <x:v>INS-100</x:v>
      </x:c>
      <x:c r="E768" s="24" t="str">
        <x:f>IF(D768="","",IFERROR(VLOOKUP(D768,$A$2:$B$1226,2,FALSE),""))</x:f>
        <x:v>Professional and Economic Organizations</x:v>
      </x:c>
      <x:c r="F768" s="24" t="n">
        <x:v>3</x:v>
      </x:c>
      <x:c r="G768" s="24" t="str">
        <x:v>Association devoted to research, antiquities, natural philosophy, magic, history, or exploration.</x:v>
      </x:c>
      <x:c r="H768" s="24" t="str">
        <x:v>Record membership rules, hierarchy, resources, jurisdiction, ideology, and relation to the state.</x:v>
      </x:c>
      <x:c r="I768" s="24" t="str">
        <x:v>learned society; academy; research order</x:v>
      </x:c>
      <x:c r="J768" s="24" t="str">
        <x:v>Labor regulation, training, contracting, economic coordination, and social mobility.</x:v>
      </x:c>
      <x:c r="K768" s="24" t="str">
        <x:v>learned society; academy; research order</x:v>
      </x:c>
      <x:c r="L768" s="24" t="str">
        <x:v>Preserve each source's ontology, culture, history, and terminology when making comparisons.</x:v>
      </x:c>
      <x:c r="M768" s="24" t="str">
        <x:v>Core Family</x:v>
      </x:c>
    </x:row>
    <x:row r="769" ht="44" customHeight="1">
      <x:c r="A769" s="24" t="str">
        <x:v>INS-109</x:v>
      </x:c>
      <x:c r="B769" s="24" t="str">
        <x:v>Explorers' Society</x:v>
      </x:c>
      <x:c r="C769" s="24" t="str">
        <x:v>Institutions &amp; Affiliations</x:v>
      </x:c>
      <x:c r="D769" s="24" t="str">
        <x:v>INS-100</x:v>
      </x:c>
      <x:c r="E769" s="24" t="str">
        <x:f>IF(D769="","",IFERROR(VLOOKUP(D769,$A$2:$B$1226,2,FALSE),""))</x:f>
        <x:v>Professional and Economic Organizations</x:v>
      </x:c>
      <x:c r="F769" s="24" t="n">
        <x:v>3</x:v>
      </x:c>
      <x:c r="G769" s="24" t="str">
        <x:v>Institution funding and coordinating expeditions, maps, discoveries, and colonial or scientific projects.</x:v>
      </x:c>
      <x:c r="H769" s="24" t="str">
        <x:v>Record membership rules, hierarchy, resources, jurisdiction, ideology, and relation to the state.</x:v>
      </x:c>
      <x:c r="I769" s="24" t="str">
        <x:v>explorers guild; geographical society</x:v>
      </x:c>
      <x:c r="J769" s="24" t="str">
        <x:v>Labor regulation, training, contracting, economic coordination, and social mobility.</x:v>
      </x:c>
      <x:c r="K769" s="24" t="str">
        <x:v>explorers guild; geographical society</x:v>
      </x:c>
      <x:c r="L769" s="24" t="str">
        <x:v>Preserve each source's ontology, culture, history, and terminology when making comparisons.</x:v>
      </x:c>
      <x:c r="M769" s="24" t="str">
        <x:v>Core Family</x:v>
      </x:c>
    </x:row>
    <x:row r="770" ht="44" customHeight="1">
      <x:c r="A770" s="24" t="str">
        <x:v>INS-110</x:v>
      </x:c>
      <x:c r="B770" s="24" t="str">
        <x:v>Caravan Consortium</x:v>
      </x:c>
      <x:c r="C770" s="24" t="str">
        <x:v>Institutions &amp; Affiliations</x:v>
      </x:c>
      <x:c r="D770" s="24" t="str">
        <x:v>INS-100</x:v>
      </x:c>
      <x:c r="E770" s="24" t="str">
        <x:f>IF(D770="","",IFERROR(VLOOKUP(D770,$A$2:$B$1226,2,FALSE),""))</x:f>
        <x:v>Professional and Economic Organizations</x:v>
      </x:c>
      <x:c r="F770" s="24" t="n">
        <x:v>3</x:v>
      </x:c>
      <x:c r="G770" s="24" t="str">
        <x:v>Network of merchants, guards, guides, and financiers managing long-distance overland trade.</x:v>
      </x:c>
      <x:c r="H770" s="24" t="str">
        <x:v>Record membership rules, hierarchy, resources, jurisdiction, ideology, and relation to the state.</x:v>
      </x:c>
      <x:c r="I770" s="24" t="str">
        <x:v>caravan league; trade consortium</x:v>
      </x:c>
      <x:c r="J770" s="24" t="str">
        <x:v>Labor regulation, training, contracting, economic coordination, and social mobility.</x:v>
      </x:c>
      <x:c r="K770" s="24" t="str">
        <x:v>caravan league; trade consortium</x:v>
      </x:c>
      <x:c r="L770" s="24" t="str">
        <x:v>Preserve each source's ontology, culture, history, and terminology when making comparisons.</x:v>
      </x:c>
      <x:c r="M770" s="24" t="str">
        <x:v>Core Family</x:v>
      </x:c>
    </x:row>
    <x:row r="771" ht="44" customHeight="1">
      <x:c r="A771" s="24" t="str">
        <x:v>INS-111</x:v>
      </x:c>
      <x:c r="B771" s="24" t="str">
        <x:v>Banking or Moneylending House</x:v>
      </x:c>
      <x:c r="C771" s="24" t="str">
        <x:v>Institutions &amp; Affiliations</x:v>
      </x:c>
      <x:c r="D771" s="24" t="str">
        <x:v>INS-100</x:v>
      </x:c>
      <x:c r="E771" s="24" t="str">
        <x:f>IF(D771="","",IFERROR(VLOOKUP(D771,$A$2:$B$1226,2,FALSE),""))</x:f>
        <x:v>Professional and Economic Organizations</x:v>
      </x:c>
      <x:c r="F771" s="24" t="n">
        <x:v>3</x:v>
      </x:c>
      <x:c r="G771" s="24" t="str">
        <x:v>Institution controlling credit, currency, debt, exchange, and political leverage.</x:v>
      </x:c>
      <x:c r="H771" s="24" t="str">
        <x:v>Record membership rules, hierarchy, resources, jurisdiction, ideology, and relation to the state.</x:v>
      </x:c>
      <x:c r="I771" s="24" t="str">
        <x:v>banking house; iron bank analogue; moneylenders</x:v>
      </x:c>
      <x:c r="J771" s="24" t="str">
        <x:v>Labor regulation, training, contracting, economic coordination, and social mobility.</x:v>
      </x:c>
      <x:c r="K771" s="24" t="str">
        <x:v>banking house; iron bank analogue; moneylenders</x:v>
      </x:c>
      <x:c r="L771" s="24" t="str">
        <x:v>Preserve each source's ontology, culture, history, and terminology when making comparisons.</x:v>
      </x:c>
      <x:c r="M771" s="24" t="str">
        <x:v>Core Family</x:v>
      </x:c>
    </x:row>
    <x:row r="772" ht="44" customHeight="1">
      <x:c r="A772" s="24" t="str">
        <x:v>INS-112</x:v>
      </x:c>
      <x:c r="B772" s="24" t="str">
        <x:v>Crafting Company</x:v>
      </x:c>
      <x:c r="C772" s="24" t="str">
        <x:v>Institutions &amp; Affiliations</x:v>
      </x:c>
      <x:c r="D772" s="24" t="str">
        <x:v>INS-100</x:v>
      </x:c>
      <x:c r="E772" s="24" t="str">
        <x:f>IF(D772="","",IFERROR(VLOOKUP(D772,$A$2:$B$1226,2,FALSE),""))</x:f>
        <x:v>Professional and Economic Organizations</x:v>
      </x:c>
      <x:c r="F772" s="24" t="n">
        <x:v>3</x:v>
      </x:c>
      <x:c r="G772" s="24" t="str">
        <x:v>Organized production enterprise combining artisans, capital, magical labor, and distribution.</x:v>
      </x:c>
      <x:c r="H772" s="24" t="str">
        <x:v>Record membership rules, hierarchy, resources, jurisdiction, ideology, and relation to the state.</x:v>
      </x:c>
      <x:c r="I772" s="24" t="str">
        <x:v>workshop company; manufactury; atelier</x:v>
      </x:c>
      <x:c r="J772" s="24" t="str">
        <x:v>Labor regulation, training, contracting, economic coordination, and social mobility.</x:v>
      </x:c>
      <x:c r="K772" s="24" t="str">
        <x:v>workshop company; manufactury; atelier</x:v>
      </x:c>
      <x:c r="L772" s="24" t="str">
        <x:v>Preserve each source's ontology, culture, history, and terminology when making comparisons.</x:v>
      </x:c>
      <x:c r="M772" s="24" t="str">
        <x:v>Core Family</x:v>
      </x:c>
    </x:row>
    <x:row r="773" ht="44" customHeight="1">
      <x:c r="A773" s="24" t="str">
        <x:v>INS-113</x:v>
      </x:c>
      <x:c r="B773" s="24" t="str">
        <x:v>Hunters' Association</x:v>
      </x:c>
      <x:c r="C773" s="24" t="str">
        <x:v>Institutions &amp; Affiliations</x:v>
      </x:c>
      <x:c r="D773" s="24" t="str">
        <x:v>INS-100</x:v>
      </x:c>
      <x:c r="E773" s="24" t="str">
        <x:f>IF(D773="","",IFERROR(VLOOKUP(D773,$A$2:$B$1226,2,FALSE),""))</x:f>
        <x:v>Professional and Economic Organizations</x:v>
      </x:c>
      <x:c r="F773" s="24" t="n">
        <x:v>3</x:v>
      </x:c>
      <x:c r="G773" s="24" t="str">
        <x:v>Professional registry that ranks and dispatches hunters against monsters, gates, bounties, or supernatural threats.</x:v>
      </x:c>
      <x:c r="H773" s="24" t="str">
        <x:v>Record membership rules, hierarchy, resources, jurisdiction, ideology, and relation to the state.</x:v>
      </x:c>
      <x:c r="I773" s="24" t="str">
        <x:v>hunter association; slayer guild</x:v>
      </x:c>
      <x:c r="J773" s="24" t="str">
        <x:v>Labor regulation, training, contracting, economic coordination, and social mobility.</x:v>
      </x:c>
      <x:c r="K773" s="24" t="str">
        <x:v>hunter association; slayer guild</x:v>
      </x:c>
      <x:c r="L773" s="24" t="str">
        <x:v>Preserve each source's ontology, culture, history, and terminology when making comparisons.</x:v>
      </x:c>
      <x:c r="M773" s="24" t="str">
        <x:v>Core Family</x:v>
      </x:c>
    </x:row>
    <x:row r="774" ht="44" customHeight="1">
      <x:c r="A774" s="24" t="str">
        <x:v>INS-114</x:v>
      </x:c>
      <x:c r="B774" s="24" t="str">
        <x:v>Courier Network</x:v>
      </x:c>
      <x:c r="C774" s="24" t="str">
        <x:v>Institutions &amp; Affiliations</x:v>
      </x:c>
      <x:c r="D774" s="24" t="str">
        <x:v>INS-100</x:v>
      </x:c>
      <x:c r="E774" s="24" t="str">
        <x:f>IF(D774="","",IFERROR(VLOOKUP(D774,$A$2:$B$1226,2,FALSE),""))</x:f>
        <x:v>Professional and Economic Organizations</x:v>
      </x:c>
      <x:c r="F774" s="24" t="n">
        <x:v>3</x:v>
      </x:c>
      <x:c r="G774" s="24" t="str">
        <x:v>Organization specializing in rapid, secure, magical, aerial, or interplanar communication.</x:v>
      </x:c>
      <x:c r="H774" s="24" t="str">
        <x:v>Record membership rules, hierarchy, resources, jurisdiction, ideology, and relation to the state.</x:v>
      </x:c>
      <x:c r="I774" s="24" t="str">
        <x:v>messenger guild; postal order</x:v>
      </x:c>
      <x:c r="J774" s="24" t="str">
        <x:v>Labor regulation, training, contracting, economic coordination, and social mobility.</x:v>
      </x:c>
      <x:c r="K774" s="24" t="str">
        <x:v>messenger guild; postal order</x:v>
      </x:c>
      <x:c r="L774" s="24" t="str">
        <x:v>Preserve each source's ontology, culture, history, and terminology when making comparisons.</x:v>
      </x:c>
      <x:c r="M774" s="24" t="str">
        <x:v>Core Family</x:v>
      </x:c>
    </x:row>
    <x:row r="775" ht="44" customHeight="1">
      <x:c r="A775" s="24" t="str">
        <x:v>INS-115</x:v>
      </x:c>
      <x:c r="B775" s="24" t="str">
        <x:v>Healers' College</x:v>
      </x:c>
      <x:c r="C775" s="24" t="str">
        <x:v>Institutions &amp; Affiliations</x:v>
      </x:c>
      <x:c r="D775" s="24" t="str">
        <x:v>INS-100</x:v>
      </x:c>
      <x:c r="E775" s="24" t="str">
        <x:f>IF(D775="","",IFERROR(VLOOKUP(D775,$A$2:$B$1226,2,FALSE),""))</x:f>
        <x:v>Professional and Economic Organizations</x:v>
      </x:c>
      <x:c r="F775" s="24" t="n">
        <x:v>3</x:v>
      </x:c>
      <x:c r="G775" s="24" t="str">
        <x:v>Institution training and regulating physicians, apothecaries, clerics, or magical healers.</x:v>
      </x:c>
      <x:c r="H775" s="24" t="str">
        <x:v>Record membership rules, hierarchy, resources, jurisdiction, ideology, and relation to the state.</x:v>
      </x:c>
      <x:c r="I775" s="24" t="str">
        <x:v>healers guild; medical college</x:v>
      </x:c>
      <x:c r="J775" s="24" t="str">
        <x:v>Labor regulation, training, contracting, economic coordination, and social mobility.</x:v>
      </x:c>
      <x:c r="K775" s="24" t="str">
        <x:v>healers guild; medical college</x:v>
      </x:c>
      <x:c r="L775" s="24" t="str">
        <x:v>Preserve each source's ontology, culture, history, and terminology when making comparisons.</x:v>
      </x:c>
      <x:c r="M775" s="24" t="str">
        <x:v>Core Family</x:v>
      </x:c>
    </x:row>
    <x:row r="776" ht="44" customHeight="1">
      <x:c r="A776" s="24" t="str">
        <x:v>INS-201</x:v>
      </x:c>
      <x:c r="B776" s="24" t="str">
        <x:v>Army or Legion</x:v>
      </x:c>
      <x:c r="C776" s="24" t="str">
        <x:v>Institutions &amp; Affiliations</x:v>
      </x:c>
      <x:c r="D776" s="24" t="str">
        <x:v>INS-200</x:v>
      </x:c>
      <x:c r="E776" s="24" t="str">
        <x:f>IF(D776="","",IFERROR(VLOOKUP(D776,$A$2:$B$1226,2,FALSE),""))</x:f>
        <x:v>Martial and Protective Organizations</x:v>
      </x:c>
      <x:c r="F776" s="24" t="n">
        <x:v>3</x:v>
      </x:c>
      <x:c r="G776" s="24" t="str">
        <x:v>Formal standing or mobilized military organized into hierarchy, units, logistics, and state service.</x:v>
      </x:c>
      <x:c r="H776" s="24" t="str">
        <x:v>Record membership rules, hierarchy, resources, jurisdiction, ideology, and relation to the state.</x:v>
      </x:c>
      <x:c r="I776" s="24" t="str">
        <x:v>army; legion; host</x:v>
      </x:c>
      <x:c r="J776" s="24" t="str">
        <x:v>Defense, conquest, policing, specialist threat response, and military identity.</x:v>
      </x:c>
      <x:c r="K776" s="24" t="str">
        <x:v>army; legion; host</x:v>
      </x:c>
      <x:c r="L776" s="24" t="str">
        <x:v>Preserve each source's ontology, culture, history, and terminology when making comparisons.</x:v>
      </x:c>
      <x:c r="M776" s="24" t="str">
        <x:v>Core Family</x:v>
      </x:c>
    </x:row>
    <x:row r="777" ht="44" customHeight="1">
      <x:c r="A777" s="24" t="str">
        <x:v>INS-202</x:v>
      </x:c>
      <x:c r="B777" s="24" t="str">
        <x:v>Royal Guard</x:v>
      </x:c>
      <x:c r="C777" s="24" t="str">
        <x:v>Institutions &amp; Affiliations</x:v>
      </x:c>
      <x:c r="D777" s="24" t="str">
        <x:v>INS-200</x:v>
      </x:c>
      <x:c r="E777" s="24" t="str">
        <x:f>IF(D777="","",IFERROR(VLOOKUP(D777,$A$2:$B$1226,2,FALSE),""))</x:f>
        <x:v>Martial and Protective Organizations</x:v>
      </x:c>
      <x:c r="F777" s="24" t="n">
        <x:v>3</x:v>
      </x:c>
      <x:c r="G777" s="24" t="str">
        <x:v>Elite military unit charged with protecting a sovereign, dynasty, palace, or sacred capital.</x:v>
      </x:c>
      <x:c r="H777" s="24" t="str">
        <x:v>Record membership rules, hierarchy, resources, jurisdiction, ideology, and relation to the state.</x:v>
      </x:c>
      <x:c r="I777" s="24" t="str">
        <x:v>royal guard; kingsguard; praetorian guard analogue</x:v>
      </x:c>
      <x:c r="J777" s="24" t="str">
        <x:v>Defense, conquest, policing, specialist threat response, and military identity.</x:v>
      </x:c>
      <x:c r="K777" s="24" t="str">
        <x:v>royal guard; kingsguard; praetorian guard analogue</x:v>
      </x:c>
      <x:c r="L777" s="24" t="str">
        <x:v>Preserve each source's ontology, culture, history, and terminology when making comparisons.</x:v>
      </x:c>
      <x:c r="M777" s="24" t="str">
        <x:v>Core Family</x:v>
      </x:c>
    </x:row>
    <x:row r="778" ht="44" customHeight="1">
      <x:c r="A778" s="24" t="str">
        <x:v>INS-203</x:v>
      </x:c>
      <x:c r="B778" s="24" t="str">
        <x:v>City Watch</x:v>
      </x:c>
      <x:c r="C778" s="24" t="str">
        <x:v>Institutions &amp; Affiliations</x:v>
      </x:c>
      <x:c r="D778" s="24" t="str">
        <x:v>INS-200</x:v>
      </x:c>
      <x:c r="E778" s="24" t="str">
        <x:f>IF(D778="","",IFERROR(VLOOKUP(D778,$A$2:$B$1226,2,FALSE),""))</x:f>
        <x:v>Martial and Protective Organizations</x:v>
      </x:c>
      <x:c r="F778" s="24" t="n">
        <x:v>3</x:v>
      </x:c>
      <x:c r="G778" s="24" t="str">
        <x:v>Urban force responsible for policing, fire response, defense, and public order.</x:v>
      </x:c>
      <x:c r="H778" s="24" t="str">
        <x:v>Record membership rules, hierarchy, resources, jurisdiction, ideology, and relation to the state.</x:v>
      </x:c>
      <x:c r="I778" s="24" t="str">
        <x:v>city watch; town guard; constabulary</x:v>
      </x:c>
      <x:c r="J778" s="24" t="str">
        <x:v>Defense, conquest, policing, specialist threat response, and military identity.</x:v>
      </x:c>
      <x:c r="K778" s="24" t="str">
        <x:v>city watch; town guard; constabulary</x:v>
      </x:c>
      <x:c r="L778" s="24" t="str">
        <x:v>Preserve each source's ontology, culture, history, and terminology when making comparisons.</x:v>
      </x:c>
      <x:c r="M778" s="24" t="str">
        <x:v>Core Family</x:v>
      </x:c>
    </x:row>
    <x:row r="779" ht="44" customHeight="1">
      <x:c r="A779" s="24" t="str">
        <x:v>INS-204</x:v>
      </x:c>
      <x:c r="B779" s="24" t="str">
        <x:v>Knightly Order</x:v>
      </x:c>
      <x:c r="C779" s="24" t="str">
        <x:v>Institutions &amp; Affiliations</x:v>
      </x:c>
      <x:c r="D779" s="24" t="str">
        <x:v>INS-200</x:v>
      </x:c>
      <x:c r="E779" s="24" t="str">
        <x:f>IF(D779="","",IFERROR(VLOOKUP(D779,$A$2:$B$1226,2,FALSE),""))</x:f>
        <x:v>Martial and Protective Organizations</x:v>
      </x:c>
      <x:c r="F779" s="24" t="n">
        <x:v>3</x:v>
      </x:c>
      <x:c r="G779" s="24" t="str">
        <x:v>Oath-bound fraternity or institution of elite warriors organized around service, chivalry, faith, or territory.</x:v>
      </x:c>
      <x:c r="H779" s="24" t="str">
        <x:v>Record membership rules, hierarchy, resources, jurisdiction, ideology, and relation to the state.</x:v>
      </x:c>
      <x:c r="I779" s="24" t="str">
        <x:v>knightly order; order of knights</x:v>
      </x:c>
      <x:c r="J779" s="24" t="str">
        <x:v>Defense, conquest, policing, specialist threat response, and military identity.</x:v>
      </x:c>
      <x:c r="K779" s="24" t="str">
        <x:v>knightly order; order of knights</x:v>
      </x:c>
      <x:c r="L779" s="24" t="str">
        <x:v>Preserve each source's ontology, culture, history, and terminology when making comparisons.</x:v>
      </x:c>
      <x:c r="M779" s="24" t="str">
        <x:v>Core Family</x:v>
      </x:c>
    </x:row>
    <x:row r="780" ht="44" customHeight="1">
      <x:c r="A780" s="24" t="str">
        <x:v>INS-205</x:v>
      </x:c>
      <x:c r="B780" s="24" t="str">
        <x:v>Holy Military Order</x:v>
      </x:c>
      <x:c r="C780" s="24" t="str">
        <x:v>Institutions &amp; Affiliations</x:v>
      </x:c>
      <x:c r="D780" s="24" t="str">
        <x:v>INS-200</x:v>
      </x:c>
      <x:c r="E780" s="24" t="str">
        <x:f>IF(D780="","",IFERROR(VLOOKUP(D780,$A$2:$B$1226,2,FALSE),""))</x:f>
        <x:v>Martial and Protective Organizations</x:v>
      </x:c>
      <x:c r="F780" s="24" t="n">
        <x:v>3</x:v>
      </x:c>
      <x:c r="G780" s="24" t="str">
        <x:v>Religiously authorized armed institution combining warfare, sacred vows, and institutional mission.</x:v>
      </x:c>
      <x:c r="H780" s="24" t="str">
        <x:v>Record membership rules, hierarchy, resources, jurisdiction, ideology, and relation to the state.</x:v>
      </x:c>
      <x:c r="I780" s="24" t="str">
        <x:v>holy order; templars; crusading order</x:v>
      </x:c>
      <x:c r="J780" s="24" t="str">
        <x:v>Defense, conquest, policing, specialist threat response, and military identity.</x:v>
      </x:c>
      <x:c r="K780" s="24" t="str">
        <x:v>holy order; templars; crusading order</x:v>
      </x:c>
      <x:c r="L780" s="24" t="str">
        <x:v>Preserve each source's ontology, culture, history, and terminology when making comparisons.</x:v>
      </x:c>
      <x:c r="M780" s="24" t="str">
        <x:v>Core Family</x:v>
      </x:c>
    </x:row>
    <x:row r="781" ht="44" customHeight="1">
      <x:c r="A781" s="24" t="str">
        <x:v>INS-206</x:v>
      </x:c>
      <x:c r="B781" s="24" t="str">
        <x:v>Mercenary Company</x:v>
      </x:c>
      <x:c r="C781" s="24" t="str">
        <x:v>Institutions &amp; Affiliations</x:v>
      </x:c>
      <x:c r="D781" s="24" t="str">
        <x:v>INS-200</x:v>
      </x:c>
      <x:c r="E781" s="24" t="str">
        <x:f>IF(D781="","",IFERROR(VLOOKUP(D781,$A$2:$B$1226,2,FALSE),""))</x:f>
        <x:v>Martial and Protective Organizations</x:v>
      </x:c>
      <x:c r="F781" s="24" t="n">
        <x:v>3</x:v>
      </x:c>
      <x:c r="G781" s="24" t="str">
        <x:v>Contract military organization with internal identity, leadership, logistics, and market reputation.</x:v>
      </x:c>
      <x:c r="H781" s="24" t="str">
        <x:v>Record membership rules, hierarchy, resources, jurisdiction, ideology, and relation to the state.</x:v>
      </x:c>
      <x:c r="I781" s="24" t="str">
        <x:v>free company; mercenary band; sellsword company</x:v>
      </x:c>
      <x:c r="J781" s="24" t="str">
        <x:v>Defense, conquest, policing, specialist threat response, and military identity.</x:v>
      </x:c>
      <x:c r="K781" s="24" t="str">
        <x:v>free company; mercenary band; sellsword company</x:v>
      </x:c>
      <x:c r="L781" s="24" t="str">
        <x:v>Preserve each source's ontology, culture, history, and terminology when making comparisons.</x:v>
      </x:c>
      <x:c r="M781" s="24" t="str">
        <x:v>Core Family</x:v>
      </x:c>
    </x:row>
    <x:row r="782" ht="44" customHeight="1">
      <x:c r="A782" s="24" t="str">
        <x:v>INS-207</x:v>
      </x:c>
      <x:c r="B782" s="24" t="str">
        <x:v>Ranger Lodge</x:v>
      </x:c>
      <x:c r="C782" s="24" t="str">
        <x:v>Institutions &amp; Affiliations</x:v>
      </x:c>
      <x:c r="D782" s="24" t="str">
        <x:v>INS-200</x:v>
      </x:c>
      <x:c r="E782" s="24" t="str">
        <x:f>IF(D782="","",IFERROR(VLOOKUP(D782,$A$2:$B$1226,2,FALSE),""))</x:f>
        <x:v>Martial and Protective Organizations</x:v>
      </x:c>
      <x:c r="F782" s="24" t="n">
        <x:v>3</x:v>
      </x:c>
      <x:c r="G782" s="24" t="str">
        <x:v>Distributed organization of scouts, wardens, hunters, and frontier guardians.</x:v>
      </x:c>
      <x:c r="H782" s="24" t="str">
        <x:v>Record membership rules, hierarchy, resources, jurisdiction, ideology, and relation to the state.</x:v>
      </x:c>
      <x:c r="I782" s="24" t="str">
        <x:v>ranger lodge; wardens; border watch</x:v>
      </x:c>
      <x:c r="J782" s="24" t="str">
        <x:v>Defense, conquest, policing, specialist threat response, and military identity.</x:v>
      </x:c>
      <x:c r="K782" s="24" t="str">
        <x:v>ranger lodge; wardens; border watch</x:v>
      </x:c>
      <x:c r="L782" s="24" t="str">
        <x:v>Preserve each source's ontology, culture, history, and terminology when making comparisons.</x:v>
      </x:c>
      <x:c r="M782" s="24" t="str">
        <x:v>Core Family</x:v>
      </x:c>
    </x:row>
    <x:row r="783" ht="44" customHeight="1">
      <x:c r="A783" s="24" t="str">
        <x:v>INS-208</x:v>
      </x:c>
      <x:c r="B783" s="24" t="str">
        <x:v>Monster-Hunter Order</x:v>
      </x:c>
      <x:c r="C783" s="24" t="str">
        <x:v>Institutions &amp; Affiliations</x:v>
      </x:c>
      <x:c r="D783" s="24" t="str">
        <x:v>INS-200</x:v>
      </x:c>
      <x:c r="E783" s="24" t="str">
        <x:f>IF(D783="","",IFERROR(VLOOKUP(D783,$A$2:$B$1226,2,FALSE),""))</x:f>
        <x:v>Martial and Protective Organizations</x:v>
      </x:c>
      <x:c r="F783" s="24" t="n">
        <x:v>3</x:v>
      </x:c>
      <x:c r="G783" s="24" t="str">
        <x:v>Institution that trains specialists, preserves monster lore, and manages contracts or existential threats.</x:v>
      </x:c>
      <x:c r="H783" s="24" t="str">
        <x:v>Record membership rules, hierarchy, resources, jurisdiction, ideology, and relation to the state.</x:v>
      </x:c>
      <x:c r="I783" s="24" t="str">
        <x:v>monster hunters; slayer order; witchers analogue</x:v>
      </x:c>
      <x:c r="J783" s="24" t="str">
        <x:v>Defense, conquest, policing, specialist threat response, and military identity.</x:v>
      </x:c>
      <x:c r="K783" s="24" t="str">
        <x:v>monster hunters; slayer order; witchers analogue</x:v>
      </x:c>
      <x:c r="L783" s="24" t="str">
        <x:v>Preserve each source's ontology, culture, history, and terminology when making comparisons.</x:v>
      </x:c>
      <x:c r="M783" s="24" t="str">
        <x:v>Core Family</x:v>
      </x:c>
    </x:row>
    <x:row r="784" ht="44" customHeight="1">
      <x:c r="A784" s="24" t="str">
        <x:v>INS-209</x:v>
      </x:c>
      <x:c r="B784" s="24" t="str">
        <x:v>Witcher School</x:v>
      </x:c>
      <x:c r="C784" s="24" t="str">
        <x:v>Institutions &amp; Affiliations</x:v>
      </x:c>
      <x:c r="D784" s="24" t="str">
        <x:v>INS-200</x:v>
      </x:c>
      <x:c r="E784" s="24" t="str">
        <x:f>IF(D784="","",IFERROR(VLOOKUP(D784,$A$2:$B$1226,2,FALSE),""))</x:f>
        <x:v>Martial and Protective Organizations</x:v>
      </x:c>
      <x:c r="F784" s="24" t="n">
        <x:v>3</x:v>
      </x:c>
      <x:c r="G784" s="24" t="str">
        <x:v>Source-specific school lineage that trains and mutates witchers, with distinctive techniques and symbols.</x:v>
      </x:c>
      <x:c r="H784" s="24" t="str">
        <x:v>Record membership rules, hierarchy, resources, jurisdiction, ideology, and relation to the state.</x:v>
      </x:c>
      <x:c r="I784" s="24" t="str">
        <x:v>School of the Wolf; witcher school</x:v>
      </x:c>
      <x:c r="J784" s="24" t="str">
        <x:v>Defense, conquest, policing, specialist threat response, and military identity.</x:v>
      </x:c>
      <x:c r="K784" s="24" t="str">
        <x:v>School of the Wolf; witcher school</x:v>
      </x:c>
      <x:c r="L784" s="24" t="str">
        <x:v>Reserve 'witcher school' for Witcher continuities; use monster-hunter school for analogues.</x:v>
      </x:c>
      <x:c r="M784" s="24" t="str">
        <x:v>Core Family</x:v>
      </x:c>
    </x:row>
    <x:row r="785" ht="44" customHeight="1">
      <x:c r="A785" s="24" t="str">
        <x:v>INS-210</x:v>
      </x:c>
      <x:c r="B785" s="24" t="str">
        <x:v>Mage-Hunter or Witch-Hunter Order</x:v>
      </x:c>
      <x:c r="C785" s="24" t="str">
        <x:v>Institutions &amp; Affiliations</x:v>
      </x:c>
      <x:c r="D785" s="24" t="str">
        <x:v>INS-200</x:v>
      </x:c>
      <x:c r="E785" s="24" t="str">
        <x:f>IF(D785="","",IFERROR(VLOOKUP(D785,$A$2:$B$1226,2,FALSE),""))</x:f>
        <x:v>Martial and Protective Organizations</x:v>
      </x:c>
      <x:c r="F785" s="24" t="n">
        <x:v>3</x:v>
      </x:c>
      <x:c r="G785" s="24" t="str">
        <x:v>Organization authorized to police, capture, suppress, or kill magic users and forbidden practitioners.</x:v>
      </x:c>
      <x:c r="H785" s="24" t="str">
        <x:v>Record membership rules, hierarchy, resources, jurisdiction, ideology, and relation to the state.</x:v>
      </x:c>
      <x:c r="I785" s="24" t="str">
        <x:v>witch hunters; spellbreakers; templars</x:v>
      </x:c>
      <x:c r="J785" s="24" t="str">
        <x:v>Defense, conquest, policing, specialist threat response, and military identity.</x:v>
      </x:c>
      <x:c r="K785" s="24" t="str">
        <x:v>witch hunters; spellbreakers; templars</x:v>
      </x:c>
      <x:c r="L785" s="24" t="str">
        <x:v>Preserve each source's ontology, culture, history, and terminology when making comparisons.</x:v>
      </x:c>
      <x:c r="M785" s="24" t="str">
        <x:v>Core Family</x:v>
      </x:c>
    </x:row>
    <x:row r="786" ht="44" customHeight="1">
      <x:c r="A786" s="24" t="str">
        <x:v>INS-211</x:v>
      </x:c>
      <x:c r="B786" s="24" t="str">
        <x:v>Assassin Order</x:v>
      </x:c>
      <x:c r="C786" s="24" t="str">
        <x:v>Institutions &amp; Affiliations</x:v>
      </x:c>
      <x:c r="D786" s="24" t="str">
        <x:v>INS-200</x:v>
      </x:c>
      <x:c r="E786" s="24" t="str">
        <x:f>IF(D786="","",IFERROR(VLOOKUP(D786,$A$2:$B$1226,2,FALSE),""))</x:f>
        <x:v>Martial and Protective Organizations</x:v>
      </x:c>
      <x:c r="F786" s="24" t="n">
        <x:v>3</x:v>
      </x:c>
      <x:c r="G786" s="24" t="str">
        <x:v>Secretive or state-linked martial institution specializing in targeted killing, infiltration, and political intervention.</x:v>
      </x:c>
      <x:c r="H786" s="24" t="str">
        <x:v>Record membership rules, hierarchy, resources, jurisdiction, ideology, and relation to the state.</x:v>
      </x:c>
      <x:c r="I786" s="24" t="str">
        <x:v>assassin order; hidden blades; faceless order analogue</x:v>
      </x:c>
      <x:c r="J786" s="24" t="str">
        <x:v>Defense, conquest, policing, specialist threat response, and military identity.</x:v>
      </x:c>
      <x:c r="K786" s="24" t="str">
        <x:v>assassin order; hidden blades; faceless order analogue</x:v>
      </x:c>
      <x:c r="L786" s="24" t="str">
        <x:v>Preserve each source's ontology, culture, history, and terminology when making comparisons.</x:v>
      </x:c>
      <x:c r="M786" s="24" t="str">
        <x:v>Core Family</x:v>
      </x:c>
    </x:row>
    <x:row r="787" ht="44" customHeight="1">
      <x:c r="A787" s="24" t="str">
        <x:v>INS-212</x:v>
      </x:c>
      <x:c r="B787" s="24" t="str">
        <x:v>Spy Service</x:v>
      </x:c>
      <x:c r="C787" s="24" t="str">
        <x:v>Institutions &amp; Affiliations</x:v>
      </x:c>
      <x:c r="D787" s="24" t="str">
        <x:v>INS-200</x:v>
      </x:c>
      <x:c r="E787" s="24" t="str">
        <x:f>IF(D787="","",IFERROR(VLOOKUP(D787,$A$2:$B$1226,2,FALSE),""))</x:f>
        <x:v>Martial and Protective Organizations</x:v>
      </x:c>
      <x:c r="F787" s="24" t="n">
        <x:v>3</x:v>
      </x:c>
      <x:c r="G787" s="24" t="str">
        <x:v>State or faction organization for intelligence, covert action, surveillance, and counterintelligence.</x:v>
      </x:c>
      <x:c r="H787" s="24" t="str">
        <x:v>Record membership rules, hierarchy, resources, jurisdiction, ideology, and relation to the state.</x:v>
      </x:c>
      <x:c r="I787" s="24" t="str">
        <x:v>secret service; spy network; intelligence bureau</x:v>
      </x:c>
      <x:c r="J787" s="24" t="str">
        <x:v>Defense, conquest, policing, specialist threat response, and military identity.</x:v>
      </x:c>
      <x:c r="K787" s="24" t="str">
        <x:v>secret service; spy network; intelligence bureau</x:v>
      </x:c>
      <x:c r="L787" s="24" t="str">
        <x:v>Preserve each source's ontology, culture, history, and terminology when making comparisons.</x:v>
      </x:c>
      <x:c r="M787" s="24" t="str">
        <x:v>Core Family</x:v>
      </x:c>
    </x:row>
    <x:row r="788" ht="44" customHeight="1">
      <x:c r="A788" s="24" t="str">
        <x:v>INS-213</x:v>
      </x:c>
      <x:c r="B788" s="24" t="str">
        <x:v>Rebel Army</x:v>
      </x:c>
      <x:c r="C788" s="24" t="str">
        <x:v>Institutions &amp; Affiliations</x:v>
      </x:c>
      <x:c r="D788" s="24" t="str">
        <x:v>INS-200</x:v>
      </x:c>
      <x:c r="E788" s="24" t="str">
        <x:f>IF(D788="","",IFERROR(VLOOKUP(D788,$A$2:$B$1226,2,FALSE),""))</x:f>
        <x:v>Martial and Protective Organizations</x:v>
      </x:c>
      <x:c r="F788" s="24" t="n">
        <x:v>3</x:v>
      </x:c>
      <x:c r="G788" s="24" t="str">
        <x:v>Military-political organization opposing an empire, tyrant, occupier, caste, or ruling dynasty.</x:v>
      </x:c>
      <x:c r="H788" s="24" t="str">
        <x:v>Record membership rules, hierarchy, resources, jurisdiction, ideology, and relation to the state.</x:v>
      </x:c>
      <x:c r="I788" s="24" t="str">
        <x:v>resistance; rebellion; liberation army</x:v>
      </x:c>
      <x:c r="J788" s="24" t="str">
        <x:v>Defense, conquest, policing, specialist threat response, and military identity.</x:v>
      </x:c>
      <x:c r="K788" s="24" t="str">
        <x:v>resistance; rebellion; liberation army</x:v>
      </x:c>
      <x:c r="L788" s="24" t="str">
        <x:v>Preserve each source's ontology, culture, history, and terminology when making comparisons.</x:v>
      </x:c>
      <x:c r="M788" s="24" t="str">
        <x:v>Core Family</x:v>
      </x:c>
    </x:row>
    <x:row r="789" ht="44" customHeight="1">
      <x:c r="A789" s="24" t="str">
        <x:v>INS-214</x:v>
      </x:c>
      <x:c r="B789" s="24" t="str">
        <x:v>Warband</x:v>
      </x:c>
      <x:c r="C789" s="24" t="str">
        <x:v>Institutions &amp; Affiliations</x:v>
      </x:c>
      <x:c r="D789" s="24" t="str">
        <x:v>INS-200</x:v>
      </x:c>
      <x:c r="E789" s="24" t="str">
        <x:f>IF(D789="","",IFERROR(VLOOKUP(D789,$A$2:$B$1226,2,FALSE),""))</x:f>
        <x:v>Martial and Protective Organizations</x:v>
      </x:c>
      <x:c r="F789" s="24" t="n">
        <x:v>3</x:v>
      </x:c>
      <x:c r="G789" s="24" t="str">
        <x:v>Small or medium force held together by personal loyalty, kinship, plunder, prestige, or charismatic command.</x:v>
      </x:c>
      <x:c r="H789" s="24" t="str">
        <x:v>Record membership rules, hierarchy, resources, jurisdiction, ideology, and relation to the state.</x:v>
      </x:c>
      <x:c r="I789" s="24" t="str">
        <x:v>warband; retinue; raiding host</x:v>
      </x:c>
      <x:c r="J789" s="24" t="str">
        <x:v>Defense, conquest, policing, specialist threat response, and military identity.</x:v>
      </x:c>
      <x:c r="K789" s="24" t="str">
        <x:v>warband; retinue; raiding host</x:v>
      </x:c>
      <x:c r="L789" s="24" t="str">
        <x:v>Preserve each source's ontology, culture, history, and terminology when making comparisons.</x:v>
      </x:c>
      <x:c r="M789" s="24" t="str">
        <x:v>Core Family</x:v>
      </x:c>
    </x:row>
    <x:row r="790" ht="44" customHeight="1">
      <x:c r="A790" s="24" t="str">
        <x:v>INS-215</x:v>
      </x:c>
      <x:c r="B790" s="24" t="str">
        <x:v>Tribal Warrior Society</x:v>
      </x:c>
      <x:c r="C790" s="24" t="str">
        <x:v>Institutions &amp; Affiliations</x:v>
      </x:c>
      <x:c r="D790" s="24" t="str">
        <x:v>INS-200</x:v>
      </x:c>
      <x:c r="E790" s="24" t="str">
        <x:f>IF(D790="","",IFERROR(VLOOKUP(D790,$A$2:$B$1226,2,FALSE),""))</x:f>
        <x:v>Martial and Protective Organizations</x:v>
      </x:c>
      <x:c r="F790" s="24" t="n">
        <x:v>3</x:v>
      </x:c>
      <x:c r="G790" s="24" t="str">
        <x:v>Age-grade, kinship, ritual, or prestige organization through which a community structures warfare.</x:v>
      </x:c>
      <x:c r="H790" s="24" t="str">
        <x:v>Record membership rules, hierarchy, resources, jurisdiction, ideology, and relation to the state.</x:v>
      </x:c>
      <x:c r="I790" s="24" t="str">
        <x:v>warrior society; age set; clan guard</x:v>
      </x:c>
      <x:c r="J790" s="24" t="str">
        <x:v>Defense, conquest, policing, specialist threat response, and military identity.</x:v>
      </x:c>
      <x:c r="K790" s="24" t="str">
        <x:v>warrior society; age set; clan guard</x:v>
      </x:c>
      <x:c r="L790" s="24" t="str">
        <x:v>Preserve each source's ontology, culture, history, and terminology when making comparisons.</x:v>
      </x:c>
      <x:c r="M790" s="24" t="str">
        <x:v>Core Family</x:v>
      </x:c>
    </x:row>
    <x:row r="791" ht="44" customHeight="1">
      <x:c r="A791" s="24" t="str">
        <x:v>INS-216</x:v>
      </x:c>
      <x:c r="B791" s="24" t="str">
        <x:v>Dragon-Rider Order</x:v>
      </x:c>
      <x:c r="C791" s="24" t="str">
        <x:v>Institutions &amp; Affiliations</x:v>
      </x:c>
      <x:c r="D791" s="24" t="str">
        <x:v>INS-200</x:v>
      </x:c>
      <x:c r="E791" s="24" t="str">
        <x:f>IF(D791="","",IFERROR(VLOOKUP(D791,$A$2:$B$1226,2,FALSE),""))</x:f>
        <x:v>Martial and Protective Organizations</x:v>
      </x:c>
      <x:c r="F791" s="24" t="n">
        <x:v>3</x:v>
      </x:c>
      <x:c r="G791" s="24" t="str">
        <x:v>Elite institution organized around bonding, training, and deploying dragon-mounted warriors.</x:v>
      </x:c>
      <x:c r="H791" s="24" t="str">
        <x:v>Record membership rules, hierarchy, resources, jurisdiction, ideology, and relation to the state.</x:v>
      </x:c>
      <x:c r="I791" s="24" t="str">
        <x:v>dragon riders; dragon corps</x:v>
      </x:c>
      <x:c r="J791" s="24" t="str">
        <x:v>Defense, conquest, policing, specialist threat response, and military identity.</x:v>
      </x:c>
      <x:c r="K791" s="24" t="str">
        <x:v>dragon riders; dragon corps</x:v>
      </x:c>
      <x:c r="L791" s="24" t="str">
        <x:v>Preserve each source's ontology, culture, history, and terminology when making comparisons.</x:v>
      </x:c>
      <x:c r="M791" s="24" t="str">
        <x:v>Core Family</x:v>
      </x:c>
    </x:row>
    <x:row r="792" ht="44" customHeight="1">
      <x:c r="A792" s="24" t="str">
        <x:v>INS-217</x:v>
      </x:c>
      <x:c r="B792" s="24" t="str">
        <x:v>Beast Cavalry Corps</x:v>
      </x:c>
      <x:c r="C792" s="24" t="str">
        <x:v>Institutions &amp; Affiliations</x:v>
      </x:c>
      <x:c r="D792" s="24" t="str">
        <x:v>INS-200</x:v>
      </x:c>
      <x:c r="E792" s="24" t="str">
        <x:f>IF(D792="","",IFERROR(VLOOKUP(D792,$A$2:$B$1226,2,FALSE),""))</x:f>
        <x:v>Martial and Protective Organizations</x:v>
      </x:c>
      <x:c r="F792" s="24" t="n">
        <x:v>3</x:v>
      </x:c>
      <x:c r="G792" s="24" t="str">
        <x:v>Military unit specialized in nonhuman mounts and their care, breeding, and tactics.</x:v>
      </x:c>
      <x:c r="H792" s="24" t="str">
        <x:v>Record membership rules, hierarchy, resources, jurisdiction, ideology, and relation to the state.</x:v>
      </x:c>
      <x:c r="I792" s="24" t="str">
        <x:v>griffin riders; wolf cavalry; chocobo knights</x:v>
      </x:c>
      <x:c r="J792" s="24" t="str">
        <x:v>Defense, conquest, policing, specialist threat response, and military identity.</x:v>
      </x:c>
      <x:c r="K792" s="24" t="str">
        <x:v>griffin riders; wolf cavalry; chocobo knights</x:v>
      </x:c>
      <x:c r="L792" s="24" t="str">
        <x:v>Preserve each source's ontology, culture, history, and terminology when making comparisons.</x:v>
      </x:c>
      <x:c r="M792" s="24" t="str">
        <x:v>Core Family</x:v>
      </x:c>
    </x:row>
    <x:row r="793" ht="44" customHeight="1">
      <x:c r="A793" s="24" t="str">
        <x:v>INS-218</x:v>
      </x:c>
      <x:c r="B793" s="24" t="str">
        <x:v>Necromantic Army</x:v>
      </x:c>
      <x:c r="C793" s="24" t="str">
        <x:v>Institutions &amp; Affiliations</x:v>
      </x:c>
      <x:c r="D793" s="24" t="str">
        <x:v>INS-200</x:v>
      </x:c>
      <x:c r="E793" s="24" t="str">
        <x:f>IF(D793="","",IFERROR(VLOOKUP(D793,$A$2:$B$1226,2,FALSE),""))</x:f>
        <x:v>Martial and Protective Organizations</x:v>
      </x:c>
      <x:c r="F793" s="24" t="n">
        <x:v>3</x:v>
      </x:c>
      <x:c r="G793" s="24" t="str">
        <x:v>Military institution whose manpower, logistics, and command structure depend on undead forces.</x:v>
      </x:c>
      <x:c r="H793" s="24" t="str">
        <x:v>Record membership rules, hierarchy, resources, jurisdiction, ideology, and relation to the state.</x:v>
      </x:c>
      <x:c r="I793" s="24" t="str">
        <x:v>undead legion; corpse army; bone host</x:v>
      </x:c>
      <x:c r="J793" s="24" t="str">
        <x:v>Defense, conquest, policing, specialist threat response, and military identity.</x:v>
      </x:c>
      <x:c r="K793" s="24" t="str">
        <x:v>undead legion; corpse army; bone host</x:v>
      </x:c>
      <x:c r="L793" s="24" t="str">
        <x:v>Preserve each source's ontology, culture, history, and terminology when making comparisons.</x:v>
      </x:c>
      <x:c r="M793" s="24" t="str">
        <x:v>Core Family</x:v>
      </x:c>
    </x:row>
    <x:row r="794" ht="44" customHeight="1">
      <x:c r="A794" s="24" t="str">
        <x:v>INS-219</x:v>
      </x:c>
      <x:c r="B794" s="24" t="str">
        <x:v>Construct Legion</x:v>
      </x:c>
      <x:c r="C794" s="24" t="str">
        <x:v>Institutions &amp; Affiliations</x:v>
      </x:c>
      <x:c r="D794" s="24" t="str">
        <x:v>INS-200</x:v>
      </x:c>
      <x:c r="E794" s="24" t="str">
        <x:f>IF(D794="","",IFERROR(VLOOKUP(D794,$A$2:$B$1226,2,FALSE),""))</x:f>
        <x:v>Martial and Protective Organizations</x:v>
      </x:c>
      <x:c r="F794" s="24" t="n">
        <x:v>3</x:v>
      </x:c>
      <x:c r="G794" s="24" t="str">
        <x:v>Military force composed substantially of golems, automata, summoned weapons, or artificial soldiers.</x:v>
      </x:c>
      <x:c r="H794" s="24" t="str">
        <x:v>Record membership rules, hierarchy, resources, jurisdiction, ideology, and relation to the state.</x:v>
      </x:c>
      <x:c r="I794" s="24" t="str">
        <x:v>golem army; clockwork legion</x:v>
      </x:c>
      <x:c r="J794" s="24" t="str">
        <x:v>Defense, conquest, policing, specialist threat response, and military identity.</x:v>
      </x:c>
      <x:c r="K794" s="24" t="str">
        <x:v>golem army; clockwork legion</x:v>
      </x:c>
      <x:c r="L794" s="24" t="str">
        <x:v>Preserve each source's ontology, culture, history, and terminology when making comparisons.</x:v>
      </x:c>
      <x:c r="M794" s="24" t="str">
        <x:v>Core Family</x:v>
      </x:c>
    </x:row>
    <x:row r="795" ht="44" customHeight="1">
      <x:c r="A795" s="24" t="str">
        <x:v>INS-220</x:v>
      </x:c>
      <x:c r="B795" s="24" t="str">
        <x:v>Adventuring Company</x:v>
      </x:c>
      <x:c r="C795" s="24" t="str">
        <x:v>Institutions &amp; Affiliations</x:v>
      </x:c>
      <x:c r="D795" s="24" t="str">
        <x:v>INS-200</x:v>
      </x:c>
      <x:c r="E795" s="24" t="str">
        <x:f>IF(D795="","",IFERROR(VLOOKUP(D795,$A$2:$B$1226,2,FALSE),""))</x:f>
        <x:v>Martial and Protective Organizations</x:v>
      </x:c>
      <x:c r="F795" s="24" t="n">
        <x:v>3</x:v>
      </x:c>
      <x:c r="G795" s="24" t="str">
        <x:v>Persistent party or organization that undertakes quests, exploration, contracts, and combat as a collective enterprise.</x:v>
      </x:c>
      <x:c r="H795" s="24" t="str">
        <x:v>Record membership rules, hierarchy, resources, jurisdiction, ideology, and relation to the state.</x:v>
      </x:c>
      <x:c r="I795" s="24" t="str">
        <x:v>adventuring company; fellowship; party</x:v>
      </x:c>
      <x:c r="J795" s="24" t="str">
        <x:v>Defense, conquest, policing, specialist threat response, and military identity.</x:v>
      </x:c>
      <x:c r="K795" s="24" t="str">
        <x:v>adventuring company; fellowship; party</x:v>
      </x:c>
      <x:c r="L795" s="24" t="str">
        <x:v>Preserve each source's ontology, culture, history, and terminology when making comparisons.</x:v>
      </x:c>
      <x:c r="M795" s="24" t="str">
        <x:v>Core Family</x:v>
      </x:c>
    </x:row>
    <x:row r="796" ht="44" customHeight="1">
      <x:c r="A796" s="24" t="str">
        <x:v>INS-301</x:v>
      </x:c>
      <x:c r="B796" s="24" t="str">
        <x:v>Church</x:v>
      </x:c>
      <x:c r="C796" s="24" t="str">
        <x:v>Institutions &amp; Affiliations</x:v>
      </x:c>
      <x:c r="D796" s="24" t="str">
        <x:v>INS-300</x:v>
      </x:c>
      <x:c r="E796" s="24" t="str">
        <x:f>IF(D796="","",IFERROR(VLOOKUP(D796,$A$2:$B$1226,2,FALSE),""))</x:f>
        <x:v>Religious and Magical Organizations</x:v>
      </x:c>
      <x:c r="F796" s="24" t="n">
        <x:v>3</x:v>
      </x:c>
      <x:c r="G796" s="24" t="str">
        <x:v>Large organized religious institution with doctrine, clergy, property, hierarchy, and public authority.</x:v>
      </x:c>
      <x:c r="H796" s="24" t="str">
        <x:v>Record membership rules, hierarchy, resources, jurisdiction, ideology, and relation to the state.</x:v>
      </x:c>
      <x:c r="I796" s="24" t="str">
        <x:v>church; organized faith; ecclesia</x:v>
      </x:c>
      <x:c r="J796" s="24" t="str">
        <x:v>Doctrine, initiation, training, ritual authority, magical knowledge, and spiritual governance.</x:v>
      </x:c>
      <x:c r="K796" s="24" t="str">
        <x:v>church; organized faith; ecclesia</x:v>
      </x:c>
      <x:c r="L796" s="24" t="str">
        <x:v>Preserve each source's ontology, culture, history, and terminology when making comparisons.</x:v>
      </x:c>
      <x:c r="M796" s="24" t="str">
        <x:v>Core Family</x:v>
      </x:c>
    </x:row>
    <x:row r="797" ht="44" customHeight="1">
      <x:c r="A797" s="24" t="str">
        <x:v>INS-302</x:v>
      </x:c>
      <x:c r="B797" s="24" t="str">
        <x:v>Temple Institution</x:v>
      </x:c>
      <x:c r="C797" s="24" t="str">
        <x:v>Institutions &amp; Affiliations</x:v>
      </x:c>
      <x:c r="D797" s="24" t="str">
        <x:v>INS-300</x:v>
      </x:c>
      <x:c r="E797" s="24" t="str">
        <x:f>IF(D797="","",IFERROR(VLOOKUP(D797,$A$2:$B$1226,2,FALSE),""))</x:f>
        <x:v>Religious and Magical Organizations</x:v>
      </x:c>
      <x:c r="F797" s="24" t="n">
        <x:v>3</x:v>
      </x:c>
      <x:c r="G797" s="24" t="str">
        <x:v>Sacred complex and its personnel organized around worship, offerings, festivals, or divine service.</x:v>
      </x:c>
      <x:c r="H797" s="24" t="str">
        <x:v>Record membership rules, hierarchy, resources, jurisdiction, ideology, and relation to the state.</x:v>
      </x:c>
      <x:c r="I797" s="24" t="str">
        <x:v>temple; shrine network; priesthood</x:v>
      </x:c>
      <x:c r="J797" s="24" t="str">
        <x:v>Doctrine, initiation, training, ritual authority, magical knowledge, and spiritual governance.</x:v>
      </x:c>
      <x:c r="K797" s="24" t="str">
        <x:v>temple; shrine network; priesthood</x:v>
      </x:c>
      <x:c r="L797" s="24" t="str">
        <x:v>Preserve each source's ontology, culture, history, and terminology when making comparisons.</x:v>
      </x:c>
      <x:c r="M797" s="24" t="str">
        <x:v>Core Family</x:v>
      </x:c>
    </x:row>
    <x:row r="798" ht="44" customHeight="1">
      <x:c r="A798" s="24" t="str">
        <x:v>INS-303</x:v>
      </x:c>
      <x:c r="B798" s="24" t="str">
        <x:v>Cult</x:v>
      </x:c>
      <x:c r="C798" s="24" t="str">
        <x:v>Institutions &amp; Affiliations</x:v>
      </x:c>
      <x:c r="D798" s="24" t="str">
        <x:v>INS-300</x:v>
      </x:c>
      <x:c r="E798" s="24" t="str">
        <x:f>IF(D798="","",IFERROR(VLOOKUP(D798,$A$2:$B$1226,2,FALSE),""))</x:f>
        <x:v>Religious and Magical Organizations</x:v>
      </x:c>
      <x:c r="F798" s="24" t="n">
        <x:v>3</x:v>
      </x:c>
      <x:c r="G798" s="24" t="str">
        <x:v>Initiatory, secret, marginal, localized, or antagonist-framed religious organization.</x:v>
      </x:c>
      <x:c r="H798" s="24" t="str">
        <x:v>Record membership rules, hierarchy, resources, jurisdiction, ideology, and relation to the state.</x:v>
      </x:c>
      <x:c r="I798" s="24" t="str">
        <x:v>cult; mystery cult; dark cult</x:v>
      </x:c>
      <x:c r="J798" s="24" t="str">
        <x:v>Doctrine, initiation, training, ritual authority, magical knowledge, and spiritual governance.</x:v>
      </x:c>
      <x:c r="K798" s="24" t="str">
        <x:v>cult; mystery cult; dark cult</x:v>
      </x:c>
      <x:c r="L798" s="24" t="str">
        <x:v>Use descriptively rather than as an automatic synonym for irrational or evil religion.</x:v>
      </x:c>
      <x:c r="M798" s="24" t="str">
        <x:v>Core Family</x:v>
      </x:c>
    </x:row>
    <x:row r="799" ht="44" customHeight="1">
      <x:c r="A799" s="24" t="str">
        <x:v>INS-304</x:v>
      </x:c>
      <x:c r="B799" s="24" t="str">
        <x:v>Monastery</x:v>
      </x:c>
      <x:c r="C799" s="24" t="str">
        <x:v>Institutions &amp; Affiliations</x:v>
      </x:c>
      <x:c r="D799" s="24" t="str">
        <x:v>INS-300</x:v>
      </x:c>
      <x:c r="E799" s="24" t="str">
        <x:f>IF(D799="","",IFERROR(VLOOKUP(D799,$A$2:$B$1226,2,FALSE),""))</x:f>
        <x:v>Religious and Magical Organizations</x:v>
      </x:c>
      <x:c r="F799" s="24" t="n">
        <x:v>3</x:v>
      </x:c>
      <x:c r="G799" s="24" t="str">
        <x:v>Residential religious community organized around discipline, vows, study, labor, and spiritual practice.</x:v>
      </x:c>
      <x:c r="H799" s="24" t="str">
        <x:v>Record membership rules, hierarchy, resources, jurisdiction, ideology, and relation to the state.</x:v>
      </x:c>
      <x:c r="I799" s="24" t="str">
        <x:v>monastery; abbey; cloister</x:v>
      </x:c>
      <x:c r="J799" s="24" t="str">
        <x:v>Doctrine, initiation, training, ritual authority, magical knowledge, and spiritual governance.</x:v>
      </x:c>
      <x:c r="K799" s="24" t="str">
        <x:v>monastery; abbey; cloister</x:v>
      </x:c>
      <x:c r="L799" s="24" t="str">
        <x:v>Preserve each source's ontology, culture, history, and terminology when making comparisons.</x:v>
      </x:c>
      <x:c r="M799" s="24" t="str">
        <x:v>Core Family</x:v>
      </x:c>
    </x:row>
    <x:row r="800" ht="44" customHeight="1">
      <x:c r="A800" s="24" t="str">
        <x:v>INS-305</x:v>
      </x:c>
      <x:c r="B800" s="24" t="str">
        <x:v>Convent or Nunnery</x:v>
      </x:c>
      <x:c r="C800" s="24" t="str">
        <x:v>Institutions &amp; Affiliations</x:v>
      </x:c>
      <x:c r="D800" s="24" t="str">
        <x:v>INS-300</x:v>
      </x:c>
      <x:c r="E800" s="24" t="str">
        <x:f>IF(D800="","",IFERROR(VLOOKUP(D800,$A$2:$B$1226,2,FALSE),""))</x:f>
        <x:v>Religious and Magical Organizations</x:v>
      </x:c>
      <x:c r="F800" s="24" t="n">
        <x:v>3</x:v>
      </x:c>
      <x:c r="G800" s="24" t="str">
        <x:v>Residential community of women or gender-specific religious practitioners.</x:v>
      </x:c>
      <x:c r="H800" s="24" t="str">
        <x:v>Record membership rules, hierarchy, resources, jurisdiction, ideology, and relation to the state.</x:v>
      </x:c>
      <x:c r="I800" s="24" t="str">
        <x:v>convent; nunnery; sisterhood</x:v>
      </x:c>
      <x:c r="J800" s="24" t="str">
        <x:v>Doctrine, initiation, training, ritual authority, magical knowledge, and spiritual governance.</x:v>
      </x:c>
      <x:c r="K800" s="24" t="str">
        <x:v>convent; nunnery; sisterhood</x:v>
      </x:c>
      <x:c r="L800" s="24" t="str">
        <x:v>Preserve each source's ontology, culture, history, and terminology when making comparisons.</x:v>
      </x:c>
      <x:c r="M800" s="24" t="str">
        <x:v>Core Family</x:v>
      </x:c>
    </x:row>
    <x:row r="801" ht="44" customHeight="1">
      <x:c r="A801" s="24" t="str">
        <x:v>INS-306</x:v>
      </x:c>
      <x:c r="B801" s="24" t="str">
        <x:v>Coven</x:v>
      </x:c>
      <x:c r="C801" s="24" t="str">
        <x:v>Institutions &amp; Affiliations</x:v>
      </x:c>
      <x:c r="D801" s="24" t="str">
        <x:v>INS-300</x:v>
      </x:c>
      <x:c r="E801" s="24" t="str">
        <x:f>IF(D801="","",IFERROR(VLOOKUP(D801,$A$2:$B$1226,2,FALSE),""))</x:f>
        <x:v>Religious and Magical Organizations</x:v>
      </x:c>
      <x:c r="F801" s="24" t="n">
        <x:v>3</x:v>
      </x:c>
      <x:c r="G801" s="24" t="str">
        <x:v>Small group of witches or magical practitioners joined for ritual, mutual protection, lineage, or teaching.</x:v>
      </x:c>
      <x:c r="H801" s="24" t="str">
        <x:v>Record membership rules, hierarchy, resources, jurisdiction, ideology, and relation to the state.</x:v>
      </x:c>
      <x:c r="I801" s="24" t="str">
        <x:v>coven; witch circle</x:v>
      </x:c>
      <x:c r="J801" s="24" t="str">
        <x:v>Doctrine, initiation, training, ritual authority, magical knowledge, and spiritual governance.</x:v>
      </x:c>
      <x:c r="K801" s="24" t="str">
        <x:v>coven; witch circle</x:v>
      </x:c>
      <x:c r="L801" s="24" t="str">
        <x:v>Preserve each source's ontology, culture, history, and terminology when making comparisons.</x:v>
      </x:c>
      <x:c r="M801" s="24" t="str">
        <x:v>Core Family</x:v>
      </x:c>
    </x:row>
    <x:row r="802" ht="44" customHeight="1">
      <x:c r="A802" s="24" t="str">
        <x:v>INS-307</x:v>
      </x:c>
      <x:c r="B802" s="24" t="str">
        <x:v>Druid Circle</x:v>
      </x:c>
      <x:c r="C802" s="24" t="str">
        <x:v>Institutions &amp; Affiliations</x:v>
      </x:c>
      <x:c r="D802" s="24" t="str">
        <x:v>INS-300</x:v>
      </x:c>
      <x:c r="E802" s="24" t="str">
        <x:f>IF(D802="","",IFERROR(VLOOKUP(D802,$A$2:$B$1226,2,FALSE),""))</x:f>
        <x:v>Religious and Magical Organizations</x:v>
      </x:c>
      <x:c r="F802" s="24" t="n">
        <x:v>3</x:v>
      </x:c>
      <x:c r="G802" s="24" t="str">
        <x:v>Community or council of nature practitioners organized around groves, seasons, land, and initiatory ranks.</x:v>
      </x:c>
      <x:c r="H802" s="24" t="str">
        <x:v>Record membership rules, hierarchy, resources, jurisdiction, ideology, and relation to the state.</x:v>
      </x:c>
      <x:c r="I802" s="24" t="str">
        <x:v>druid circle; grove council</x:v>
      </x:c>
      <x:c r="J802" s="24" t="str">
        <x:v>Doctrine, initiation, training, ritual authority, magical knowledge, and spiritual governance.</x:v>
      </x:c>
      <x:c r="K802" s="24" t="str">
        <x:v>druid circle; grove council</x:v>
      </x:c>
      <x:c r="L802" s="24" t="str">
        <x:v>Preserve each source's ontology, culture, history, and terminology when making comparisons.</x:v>
      </x:c>
      <x:c r="M802" s="24" t="str">
        <x:v>Core Family</x:v>
      </x:c>
    </x:row>
    <x:row r="803" ht="44" customHeight="1">
      <x:c r="A803" s="24" t="str">
        <x:v>INS-308</x:v>
      </x:c>
      <x:c r="B803" s="24" t="str">
        <x:v>Mage Academy</x:v>
      </x:c>
      <x:c r="C803" s="24" t="str">
        <x:v>Institutions &amp; Affiliations</x:v>
      </x:c>
      <x:c r="D803" s="24" t="str">
        <x:v>INS-300</x:v>
      </x:c>
      <x:c r="E803" s="24" t="str">
        <x:f>IF(D803="","",IFERROR(VLOOKUP(D803,$A$2:$B$1226,2,FALSE),""))</x:f>
        <x:v>Religious and Magical Organizations</x:v>
      </x:c>
      <x:c r="F803" s="24" t="n">
        <x:v>3</x:v>
      </x:c>
      <x:c r="G803" s="24" t="str">
        <x:v>Formal school that teaches, certifies, researches, and socializes magic users.</x:v>
      </x:c>
      <x:c r="H803" s="24" t="str">
        <x:v>Record membership rules, hierarchy, resources, jurisdiction, ideology, and relation to the state.</x:v>
      </x:c>
      <x:c r="I803" s="24" t="str">
        <x:v>magic academy; wizard school; arcane university</x:v>
      </x:c>
      <x:c r="J803" s="24" t="str">
        <x:v>Doctrine, initiation, training, ritual authority, magical knowledge, and spiritual governance.</x:v>
      </x:c>
      <x:c r="K803" s="24" t="str">
        <x:v>magic academy; wizard school; arcane university</x:v>
      </x:c>
      <x:c r="L803" s="24" t="str">
        <x:v>Preserve each source's ontology, culture, history, and terminology when making comparisons.</x:v>
      </x:c>
      <x:c r="M803" s="24" t="str">
        <x:v>Core Family</x:v>
      </x:c>
    </x:row>
    <x:row r="804" ht="44" customHeight="1">
      <x:c r="A804" s="24" t="str">
        <x:v>INS-309</x:v>
      </x:c>
      <x:c r="B804" s="24" t="str">
        <x:v>Magical College or School</x:v>
      </x:c>
      <x:c r="C804" s="24" t="str">
        <x:v>Institutions &amp; Affiliations</x:v>
      </x:c>
      <x:c r="D804" s="24" t="str">
        <x:v>INS-300</x:v>
      </x:c>
      <x:c r="E804" s="24" t="str">
        <x:f>IF(D804="","",IFERROR(VLOOKUP(D804,$A$2:$B$1226,2,FALSE),""))</x:f>
        <x:v>Religious and Magical Organizations</x:v>
      </x:c>
      <x:c r="F804" s="24" t="n">
        <x:v>3</x:v>
      </x:c>
      <x:c r="G804" s="24" t="str">
        <x:v>Specialized institution devoted to a particular tradition, element, profession, or philosophy of magic.</x:v>
      </x:c>
      <x:c r="H804" s="24" t="str">
        <x:v>Record membership rules, hierarchy, resources, jurisdiction, ideology, and relation to the state.</x:v>
      </x:c>
      <x:c r="I804" s="24" t="str">
        <x:v>school of magic; college; tower</x:v>
      </x:c>
      <x:c r="J804" s="24" t="str">
        <x:v>Doctrine, initiation, training, ritual authority, magical knowledge, and spiritual governance.</x:v>
      </x:c>
      <x:c r="K804" s="24" t="str">
        <x:v>school of magic; college; tower</x:v>
      </x:c>
      <x:c r="L804" s="24" t="str">
        <x:v>Preserve each source's ontology, culture, history, and terminology when making comparisons.</x:v>
      </x:c>
      <x:c r="M804" s="24" t="str">
        <x:v>Core Family</x:v>
      </x:c>
    </x:row>
    <x:row r="805" ht="44" customHeight="1">
      <x:c r="A805" s="24" t="str">
        <x:v>INS-310</x:v>
      </x:c>
      <x:c r="B805" s="24" t="str">
        <x:v>Mystery School</x:v>
      </x:c>
      <x:c r="C805" s="24" t="str">
        <x:v>Institutions &amp; Affiliations</x:v>
      </x:c>
      <x:c r="D805" s="24" t="str">
        <x:v>INS-300</x:v>
      </x:c>
      <x:c r="E805" s="24" t="str">
        <x:f>IF(D805="","",IFERROR(VLOOKUP(D805,$A$2:$B$1226,2,FALSE),""))</x:f>
        <x:v>Religious and Magical Organizations</x:v>
      </x:c>
      <x:c r="F805" s="24" t="n">
        <x:v>3</x:v>
      </x:c>
      <x:c r="G805" s="24" t="str">
        <x:v>Initiatory organization that transmits esoteric knowledge through graded secrecy and ritual experience.</x:v>
      </x:c>
      <x:c r="H805" s="24" t="str">
        <x:v>Record membership rules, hierarchy, resources, jurisdiction, ideology, and relation to the state.</x:v>
      </x:c>
      <x:c r="I805" s="24" t="str">
        <x:v>mystery school; occult order</x:v>
      </x:c>
      <x:c r="J805" s="24" t="str">
        <x:v>Doctrine, initiation, training, ritual authority, magical knowledge, and spiritual governance.</x:v>
      </x:c>
      <x:c r="K805" s="24" t="str">
        <x:v>mystery school; occult order</x:v>
      </x:c>
      <x:c r="L805" s="24" t="str">
        <x:v>Preserve each source's ontology, culture, history, and terminology when making comparisons.</x:v>
      </x:c>
      <x:c r="M805" s="24" t="str">
        <x:v>Core Family</x:v>
      </x:c>
    </x:row>
    <x:row r="806" ht="44" customHeight="1">
      <x:c r="A806" s="24" t="str">
        <x:v>INS-311</x:v>
      </x:c>
      <x:c r="B806" s="24" t="str">
        <x:v>Martial Sect</x:v>
      </x:c>
      <x:c r="C806" s="24" t="str">
        <x:v>Institutions &amp; Affiliations</x:v>
      </x:c>
      <x:c r="D806" s="24" t="str">
        <x:v>INS-300</x:v>
      </x:c>
      <x:c r="E806" s="24" t="str">
        <x:f>IF(D806="","",IFERROR(VLOOKUP(D806,$A$2:$B$1226,2,FALSE),""))</x:f>
        <x:v>Religious and Magical Organizations</x:v>
      </x:c>
      <x:c r="F806" s="24" t="n">
        <x:v>3</x:v>
      </x:c>
      <x:c r="G806" s="24" t="str">
        <x:v>Lineage-based institution transmitting combat arts, manuals, masters, and cultivation resources.</x:v>
      </x:c>
      <x:c r="H806" s="24" t="str">
        <x:v>Record membership rules, hierarchy, resources, jurisdiction, ideology, and relation to the state.</x:v>
      </x:c>
      <x:c r="I806" s="24" t="str">
        <x:v>sect; martial school; cultivation clan</x:v>
      </x:c>
      <x:c r="J806" s="24" t="str">
        <x:v>Doctrine, initiation, training, ritual authority, magical knowledge, and spiritual governance.</x:v>
      </x:c>
      <x:c r="K806" s="24" t="str">
        <x:v>sect; martial school; cultivation clan</x:v>
      </x:c>
      <x:c r="L806" s="24" t="str">
        <x:v>In wuxia/xianxia, 'sect' carries specific genre structures distinct from a Western church or guild.</x:v>
      </x:c>
      <x:c r="M806" s="24" t="str">
        <x:v>Core Family</x:v>
      </x:c>
    </x:row>
    <x:row r="807" ht="44" customHeight="1">
      <x:c r="A807" s="24" t="str">
        <x:v>INS-312</x:v>
      </x:c>
      <x:c r="B807" s="24" t="str">
        <x:v>Cultivation Sect</x:v>
      </x:c>
      <x:c r="C807" s="24" t="str">
        <x:v>Institutions &amp; Affiliations</x:v>
      </x:c>
      <x:c r="D807" s="24" t="str">
        <x:v>INS-300</x:v>
      </x:c>
      <x:c r="E807" s="24" t="str">
        <x:f>IF(D807="","",IFERROR(VLOOKUP(D807,$A$2:$B$1226,2,FALSE),""))</x:f>
        <x:v>Religious and Magical Organizations</x:v>
      </x:c>
      <x:c r="F807" s="24" t="n">
        <x:v>3</x:v>
      </x:c>
      <x:c r="G807" s="24" t="str">
        <x:v>Hierarchical organization supporting spiritual advancement through masters, disciples, techniques, territory, and resources.</x:v>
      </x:c>
      <x:c r="H807" s="24" t="str">
        <x:v>Record membership rules, hierarchy, resources, jurisdiction, ideology, and relation to the state.</x:v>
      </x:c>
      <x:c r="I807" s="24" t="str">
        <x:v>immortal sect; cultivation school</x:v>
      </x:c>
      <x:c r="J807" s="24" t="str">
        <x:v>Doctrine, initiation, training, ritual authority, magical knowledge, and spiritual governance.</x:v>
      </x:c>
      <x:c r="K807" s="24" t="str">
        <x:v>immortal sect; cultivation school</x:v>
      </x:c>
      <x:c r="L807" s="24" t="str">
        <x:v>Preserve each source's ontology, culture, history, and terminology when making comparisons.</x:v>
      </x:c>
      <x:c r="M807" s="24" t="str">
        <x:v>Core Family</x:v>
      </x:c>
    </x:row>
    <x:row r="808" ht="44" customHeight="1">
      <x:c r="A808" s="24" t="str">
        <x:v>INS-313</x:v>
      </x:c>
      <x:c r="B808" s="24" t="str">
        <x:v>Necromancer Cabal</x:v>
      </x:c>
      <x:c r="C808" s="24" t="str">
        <x:v>Institutions &amp; Affiliations</x:v>
      </x:c>
      <x:c r="D808" s="24" t="str">
        <x:v>INS-300</x:v>
      </x:c>
      <x:c r="E808" s="24" t="str">
        <x:f>IF(D808="","",IFERROR(VLOOKUP(D808,$A$2:$B$1226,2,FALSE),""))</x:f>
        <x:v>Religious and Magical Organizations</x:v>
      </x:c>
      <x:c r="F808" s="24" t="n">
        <x:v>3</x:v>
      </x:c>
      <x:c r="G808" s="24" t="str">
        <x:v>Secret or formal organization of death-magic practitioners sharing rites, research, or political goals.</x:v>
      </x:c>
      <x:c r="H808" s="24" t="str">
        <x:v>Record membership rules, hierarchy, resources, jurisdiction, ideology, and relation to the state.</x:v>
      </x:c>
      <x:c r="I808" s="24" t="str">
        <x:v>necromancer cabal; death circle</x:v>
      </x:c>
      <x:c r="J808" s="24" t="str">
        <x:v>Doctrine, initiation, training, ritual authority, magical knowledge, and spiritual governance.</x:v>
      </x:c>
      <x:c r="K808" s="24" t="str">
        <x:v>necromancer cabal; death circle</x:v>
      </x:c>
      <x:c r="L808" s="24" t="str">
        <x:v>Preserve each source's ontology, culture, history, and terminology when making comparisons.</x:v>
      </x:c>
      <x:c r="M808" s="24" t="str">
        <x:v>Core Family</x:v>
      </x:c>
    </x:row>
    <x:row r="809" ht="44" customHeight="1">
      <x:c r="A809" s="24" t="str">
        <x:v>INS-314</x:v>
      </x:c>
      <x:c r="B809" s="24" t="str">
        <x:v>Demonological Order</x:v>
      </x:c>
      <x:c r="C809" s="24" t="str">
        <x:v>Institutions &amp; Affiliations</x:v>
      </x:c>
      <x:c r="D809" s="24" t="str">
        <x:v>INS-300</x:v>
      </x:c>
      <x:c r="E809" s="24" t="str">
        <x:f>IF(D809="","",IFERROR(VLOOKUP(D809,$A$2:$B$1226,2,FALSE),""))</x:f>
        <x:v>Religious and Magical Organizations</x:v>
      </x:c>
      <x:c r="F809" s="24" t="n">
        <x:v>3</x:v>
      </x:c>
      <x:c r="G809" s="24" t="str">
        <x:v>Institution studying, summoning, binding, worshiping, or combating demons.</x:v>
      </x:c>
      <x:c r="H809" s="24" t="str">
        <x:v>Record membership rules, hierarchy, resources, jurisdiction, ideology, and relation to the state.</x:v>
      </x:c>
      <x:c r="I809" s="24" t="str">
        <x:v>diabolist order; demonology circle</x:v>
      </x:c>
      <x:c r="J809" s="24" t="str">
        <x:v>Doctrine, initiation, training, ritual authority, magical knowledge, and spiritual governance.</x:v>
      </x:c>
      <x:c r="K809" s="24" t="str">
        <x:v>diabolist order; demonology circle</x:v>
      </x:c>
      <x:c r="L809" s="24" t="str">
        <x:v>Preserve each source's ontology, culture, history, and terminology when making comparisons.</x:v>
      </x:c>
      <x:c r="M809" s="24" t="str">
        <x:v>Core Family</x:v>
      </x:c>
    </x:row>
    <x:row r="810" ht="44" customHeight="1">
      <x:c r="A810" s="24" t="str">
        <x:v>INS-315</x:v>
      </x:c>
      <x:c r="B810" s="24" t="str">
        <x:v>Exorcist Order</x:v>
      </x:c>
      <x:c r="C810" s="24" t="str">
        <x:v>Institutions &amp; Affiliations</x:v>
      </x:c>
      <x:c r="D810" s="24" t="str">
        <x:v>INS-300</x:v>
      </x:c>
      <x:c r="E810" s="24" t="str">
        <x:f>IF(D810="","",IFERROR(VLOOKUP(D810,$A$2:$B$1226,2,FALSE),""))</x:f>
        <x:v>Religious and Magical Organizations</x:v>
      </x:c>
      <x:c r="F810" s="24" t="n">
        <x:v>3</x:v>
      </x:c>
      <x:c r="G810" s="24" t="str">
        <x:v>Religious-magical institution trained to identify and remove possession, curses, and hostile spirits.</x:v>
      </x:c>
      <x:c r="H810" s="24" t="str">
        <x:v>Record membership rules, hierarchy, resources, jurisdiction, ideology, and relation to the state.</x:v>
      </x:c>
      <x:c r="I810" s="24" t="str">
        <x:v>exorcists; spirit wardens</x:v>
      </x:c>
      <x:c r="J810" s="24" t="str">
        <x:v>Doctrine, initiation, training, ritual authority, magical knowledge, and spiritual governance.</x:v>
      </x:c>
      <x:c r="K810" s="24" t="str">
        <x:v>exorcists; spirit wardens</x:v>
      </x:c>
      <x:c r="L810" s="24" t="str">
        <x:v>Preserve each source's ontology, culture, history, and terminology when making comparisons.</x:v>
      </x:c>
      <x:c r="M810" s="24" t="str">
        <x:v>Core Family</x:v>
      </x:c>
    </x:row>
    <x:row r="811" ht="44" customHeight="1">
      <x:c r="A811" s="24" t="str">
        <x:v>INS-316</x:v>
      </x:c>
      <x:c r="B811" s="24" t="str">
        <x:v>Inquisition</x:v>
      </x:c>
      <x:c r="C811" s="24" t="str">
        <x:v>Institutions &amp; Affiliations</x:v>
      </x:c>
      <x:c r="D811" s="24" t="str">
        <x:v>INS-300</x:v>
      </x:c>
      <x:c r="E811" s="24" t="str">
        <x:f>IF(D811="","",IFERROR(VLOOKUP(D811,$A$2:$B$1226,2,FALSE),""))</x:f>
        <x:v>Religious and Magical Organizations</x:v>
      </x:c>
      <x:c r="F811" s="24" t="n">
        <x:v>3</x:v>
      </x:c>
      <x:c r="G811" s="24" t="str">
        <x:v>Centralized body investigating doctrine, heresy, corruption, possession, and forbidden practice.</x:v>
      </x:c>
      <x:c r="H811" s="24" t="str">
        <x:v>Record membership rules, hierarchy, resources, jurisdiction, ideology, and relation to the state.</x:v>
      </x:c>
      <x:c r="I811" s="24" t="str">
        <x:v>inquisition; holy office</x:v>
      </x:c>
      <x:c r="J811" s="24" t="str">
        <x:v>Doctrine, initiation, training, ritual authority, magical knowledge, and spiritual governance.</x:v>
      </x:c>
      <x:c r="K811" s="24" t="str">
        <x:v>inquisition; holy office</x:v>
      </x:c>
      <x:c r="L811" s="24" t="str">
        <x:v>Preserve each source's ontology, culture, history, and terminology when making comparisons.</x:v>
      </x:c>
      <x:c r="M811" s="24" t="str">
        <x:v>Core Family</x:v>
      </x:c>
    </x:row>
    <x:row r="812" ht="44" customHeight="1">
      <x:c r="A812" s="24" t="str">
        <x:v>INS-317</x:v>
      </x:c>
      <x:c r="B812" s="24" t="str">
        <x:v>Oracle College</x:v>
      </x:c>
      <x:c r="C812" s="24" t="str">
        <x:v>Institutions &amp; Affiliations</x:v>
      </x:c>
      <x:c r="D812" s="24" t="str">
        <x:v>INS-300</x:v>
      </x:c>
      <x:c r="E812" s="24" t="str">
        <x:f>IF(D812="","",IFERROR(VLOOKUP(D812,$A$2:$B$1226,2,FALSE),""))</x:f>
        <x:v>Religious and Magical Organizations</x:v>
      </x:c>
      <x:c r="F812" s="24" t="n">
        <x:v>3</x:v>
      </x:c>
      <x:c r="G812" s="24" t="str">
        <x:v>Institution that trains, houses, regulates, or interprets prophets, seers, and diviners.</x:v>
      </x:c>
      <x:c r="H812" s="24" t="str">
        <x:v>Record membership rules, hierarchy, resources, jurisdiction, ideology, and relation to the state.</x:v>
      </x:c>
      <x:c r="I812" s="24" t="str">
        <x:v>oracle temple; seers' college</x:v>
      </x:c>
      <x:c r="J812" s="24" t="str">
        <x:v>Doctrine, initiation, training, ritual authority, magical knowledge, and spiritual governance.</x:v>
      </x:c>
      <x:c r="K812" s="24" t="str">
        <x:v>oracle temple; seers' college</x:v>
      </x:c>
      <x:c r="L812" s="24" t="str">
        <x:v>Preserve each source's ontology, culture, history, and terminology when making comparisons.</x:v>
      </x:c>
      <x:c r="M812" s="24" t="str">
        <x:v>Core Family</x:v>
      </x:c>
    </x:row>
    <x:row r="813" ht="44" customHeight="1">
      <x:c r="A813" s="24" t="str">
        <x:v>INS-318</x:v>
      </x:c>
      <x:c r="B813" s="24" t="str">
        <x:v>Summoners' Circle</x:v>
      </x:c>
      <x:c r="C813" s="24" t="str">
        <x:v>Institutions &amp; Affiliations</x:v>
      </x:c>
      <x:c r="D813" s="24" t="str">
        <x:v>INS-300</x:v>
      </x:c>
      <x:c r="E813" s="24" t="str">
        <x:f>IF(D813="","",IFERROR(VLOOKUP(D813,$A$2:$B$1226,2,FALSE),""))</x:f>
        <x:v>Religious and Magical Organizations</x:v>
      </x:c>
      <x:c r="F813" s="24" t="n">
        <x:v>3</x:v>
      </x:c>
      <x:c r="G813" s="24" t="str">
        <x:v>Organization regulating contracts with spirits, monsters, eidolons, or extraplanar beings.</x:v>
      </x:c>
      <x:c r="H813" s="24" t="str">
        <x:v>Record membership rules, hierarchy, resources, jurisdiction, ideology, and relation to the state.</x:v>
      </x:c>
      <x:c r="I813" s="24" t="str">
        <x:v>summoner guild; callers' circle</x:v>
      </x:c>
      <x:c r="J813" s="24" t="str">
        <x:v>Doctrine, initiation, training, ritual authority, magical knowledge, and spiritual governance.</x:v>
      </x:c>
      <x:c r="K813" s="24" t="str">
        <x:v>summoner guild; callers' circle</x:v>
      </x:c>
      <x:c r="L813" s="24" t="str">
        <x:v>Preserve each source's ontology, culture, history, and terminology when making comparisons.</x:v>
      </x:c>
      <x:c r="M813" s="24" t="str">
        <x:v>Core Family</x:v>
      </x:c>
    </x:row>
    <x:row r="814" ht="44" customHeight="1">
      <x:c r="A814" s="24" t="str">
        <x:v>INS-319</x:v>
      </x:c>
      <x:c r="B814" s="24" t="str">
        <x:v>Alchemical Lodge</x:v>
      </x:c>
      <x:c r="C814" s="24" t="str">
        <x:v>Institutions &amp; Affiliations</x:v>
      </x:c>
      <x:c r="D814" s="24" t="str">
        <x:v>INS-300</x:v>
      </x:c>
      <x:c r="E814" s="24" t="str">
        <x:f>IF(D814="","",IFERROR(VLOOKUP(D814,$A$2:$B$1226,2,FALSE),""))</x:f>
        <x:v>Religious and Magical Organizations</x:v>
      </x:c>
      <x:c r="F814" s="24" t="n">
        <x:v>3</x:v>
      </x:c>
      <x:c r="G814" s="24" t="str">
        <x:v>Institution of alchemists organized around laboratories, recipes, secrets, certification, and patronage.</x:v>
      </x:c>
      <x:c r="H814" s="24" t="str">
        <x:v>Record membership rules, hierarchy, resources, jurisdiction, ideology, and relation to the state.</x:v>
      </x:c>
      <x:c r="I814" s="24" t="str">
        <x:v>alchemist guild; hermetic lodge</x:v>
      </x:c>
      <x:c r="J814" s="24" t="str">
        <x:v>Doctrine, initiation, training, ritual authority, magical knowledge, and spiritual governance.</x:v>
      </x:c>
      <x:c r="K814" s="24" t="str">
        <x:v>alchemist guild; hermetic lodge</x:v>
      </x:c>
      <x:c r="L814" s="24" t="str">
        <x:v>Preserve each source's ontology, culture, history, and terminology when making comparisons.</x:v>
      </x:c>
      <x:c r="M814" s="24" t="str">
        <x:v>Core Family</x:v>
      </x:c>
    </x:row>
    <x:row r="815" ht="44" customHeight="1">
      <x:c r="A815" s="24" t="str">
        <x:v>INS-320</x:v>
      </x:c>
      <x:c r="B815" s="24" t="str">
        <x:v>Secret Magical Society</x:v>
      </x:c>
      <x:c r="C815" s="24" t="str">
        <x:v>Institutions &amp; Affiliations</x:v>
      </x:c>
      <x:c r="D815" s="24" t="str">
        <x:v>INS-300</x:v>
      </x:c>
      <x:c r="E815" s="24" t="str">
        <x:f>IF(D815="","",IFERROR(VLOOKUP(D815,$A$2:$B$1226,2,FALSE),""))</x:f>
        <x:v>Religious and Magical Organizations</x:v>
      </x:c>
      <x:c r="F815" s="24" t="n">
        <x:v>3</x:v>
      </x:c>
      <x:c r="G815" s="24" t="str">
        <x:v>Covert network preserving forbidden lore, influencing politics, or protecting hidden supernatural communities.</x:v>
      </x:c>
      <x:c r="H815" s="24" t="str">
        <x:v>Record membership rules, hierarchy, resources, jurisdiction, ideology, and relation to the state.</x:v>
      </x:c>
      <x:c r="I815" s="24" t="str">
        <x:v>secret order; occult society; hidden council</x:v>
      </x:c>
      <x:c r="J815" s="24" t="str">
        <x:v>Doctrine, initiation, training, ritual authority, magical knowledge, and spiritual governance.</x:v>
      </x:c>
      <x:c r="K815" s="24" t="str">
        <x:v>secret order; occult society; hidden council</x:v>
      </x:c>
      <x:c r="L815" s="24" t="str">
        <x:v>Preserve each source's ontology, culture, history, and terminology when making comparisons.</x:v>
      </x:c>
      <x:c r="M815" s="24" t="str">
        <x:v>Core Family</x:v>
      </x:c>
    </x:row>
    <x:row r="816" ht="44" customHeight="1">
      <x:c r="A816" s="24" t="str">
        <x:v>INS-401</x:v>
      </x:c>
      <x:c r="B816" s="24" t="str">
        <x:v>Noble House</x:v>
      </x:c>
      <x:c r="C816" s="24" t="str">
        <x:v>Institutions &amp; Affiliations</x:v>
      </x:c>
      <x:c r="D816" s="24" t="str">
        <x:v>INS-400</x:v>
      </x:c>
      <x:c r="E816" s="24" t="str">
        <x:f>IF(D816="","",IFERROR(VLOOKUP(D816,$A$2:$B$1226,2,FALSE),""))</x:f>
        <x:v>Kinship, Political, and Secret Organizations</x:v>
      </x:c>
      <x:c r="F816" s="24" t="n">
        <x:v>3</x:v>
      </x:c>
      <x:c r="G816" s="24" t="str">
        <x:v>Dynastic kin group controlling titles, land, offices, retainers, marriage alliances, and inherited reputation.</x:v>
      </x:c>
      <x:c r="H816" s="24" t="str">
        <x:v>Record membership rules, hierarchy, resources, jurisdiction, ideology, and relation to the state.</x:v>
      </x:c>
      <x:c r="I816" s="24" t="str">
        <x:v>great house; noble family; dynasty</x:v>
      </x:c>
      <x:c r="J816" s="24" t="str">
        <x:v>Kinship, governance, secrecy, social rank, factional identity, and collective action.</x:v>
      </x:c>
      <x:c r="K816" s="24" t="str">
        <x:v>great house; noble family; dynasty</x:v>
      </x:c>
      <x:c r="L816" s="24" t="str">
        <x:v>Preserve each source's ontology, culture, history, and terminology when making comparisons.</x:v>
      </x:c>
      <x:c r="M816" s="24" t="str">
        <x:v>Core Family</x:v>
      </x:c>
    </x:row>
    <x:row r="817" ht="44" customHeight="1">
      <x:c r="A817" s="24" t="str">
        <x:v>INS-402</x:v>
      </x:c>
      <x:c r="B817" s="24" t="str">
        <x:v>Clan</x:v>
      </x:c>
      <x:c r="C817" s="24" t="str">
        <x:v>Institutions &amp; Affiliations</x:v>
      </x:c>
      <x:c r="D817" s="24" t="str">
        <x:v>INS-400</x:v>
      </x:c>
      <x:c r="E817" s="24" t="str">
        <x:f>IF(D817="","",IFERROR(VLOOKUP(D817,$A$2:$B$1226,2,FALSE),""))</x:f>
        <x:v>Kinship, Political, and Secret Organizations</x:v>
      </x:c>
      <x:c r="F817" s="24" t="n">
        <x:v>3</x:v>
      </x:c>
      <x:c r="G817" s="24" t="str">
        <x:v>Extended kinship and identity group organized through descent, adoption, territory, memory, and mutual obligation.</x:v>
      </x:c>
      <x:c r="H817" s="24" t="str">
        <x:v>Record membership rules, hierarchy, resources, jurisdiction, ideology, and relation to the state.</x:v>
      </x:c>
      <x:c r="I817" s="24" t="str">
        <x:v>clan; lineage; sept</x:v>
      </x:c>
      <x:c r="J817" s="24" t="str">
        <x:v>Kinship, governance, secrecy, social rank, factional identity, and collective action.</x:v>
      </x:c>
      <x:c r="K817" s="24" t="str">
        <x:v>clan; lineage; sept</x:v>
      </x:c>
      <x:c r="L817" s="24" t="str">
        <x:v>Preserve each source's ontology, culture, history, and terminology when making comparisons.</x:v>
      </x:c>
      <x:c r="M817" s="24" t="str">
        <x:v>Core Family</x:v>
      </x:c>
    </x:row>
    <x:row r="818" ht="44" customHeight="1">
      <x:c r="A818" s="24" t="str">
        <x:v>INS-403</x:v>
      </x:c>
      <x:c r="B818" s="24" t="str">
        <x:v>Tribe</x:v>
      </x:c>
      <x:c r="C818" s="24" t="str">
        <x:v>Institutions &amp; Affiliations</x:v>
      </x:c>
      <x:c r="D818" s="24" t="str">
        <x:v>INS-400</x:v>
      </x:c>
      <x:c r="E818" s="24" t="str">
        <x:f>IF(D818="","",IFERROR(VLOOKUP(D818,$A$2:$B$1226,2,FALSE),""))</x:f>
        <x:v>Kinship, Political, and Secret Organizations</x:v>
      </x:c>
      <x:c r="F818" s="24" t="n">
        <x:v>3</x:v>
      </x:c>
      <x:c r="G818" s="24" t="str">
        <x:v>Political-cultural community structured through kinship, locality, language, ritual, or shared leadership.</x:v>
      </x:c>
      <x:c r="H818" s="24" t="str">
        <x:v>Record membership rules, hierarchy, resources, jurisdiction, ideology, and relation to the state.</x:v>
      </x:c>
      <x:c r="I818" s="24" t="str">
        <x:v>tribe; people; tribal confederation</x:v>
      </x:c>
      <x:c r="J818" s="24" t="str">
        <x:v>Kinship, governance, secrecy, social rank, factional identity, and collective action.</x:v>
      </x:c>
      <x:c r="K818" s="24" t="str">
        <x:v>tribe; people; tribal confederation</x:v>
      </x:c>
      <x:c r="L818" s="24" t="str">
        <x:v>Use cautiously and source-specifically; the term can impose outsider simplifications on diverse societies.</x:v>
      </x:c>
      <x:c r="M818" s="24" t="str">
        <x:v>Core Family</x:v>
      </x:c>
    </x:row>
    <x:row r="819" ht="44" customHeight="1">
      <x:c r="A819" s="24" t="str">
        <x:v>INS-404</x:v>
      </x:c>
      <x:c r="B819" s="24" t="str">
        <x:v>Dynasty</x:v>
      </x:c>
      <x:c r="C819" s="24" t="str">
        <x:v>Institutions &amp; Affiliations</x:v>
      </x:c>
      <x:c r="D819" s="24" t="str">
        <x:v>INS-400</x:v>
      </x:c>
      <x:c r="E819" s="24" t="str">
        <x:f>IF(D819="","",IFERROR(VLOOKUP(D819,$A$2:$B$1226,2,FALSE),""))</x:f>
        <x:v>Kinship, Political, and Secret Organizations</x:v>
      </x:c>
      <x:c r="F819" s="24" t="n">
        <x:v>3</x:v>
      </x:c>
      <x:c r="G819" s="24" t="str">
        <x:v>Sequence and institution of rulers connected by descent, marriage, adoption, or claimed continuity.</x:v>
      </x:c>
      <x:c r="H819" s="24" t="str">
        <x:v>Record membership rules, hierarchy, resources, jurisdiction, ideology, and relation to the state.</x:v>
      </x:c>
      <x:c r="I819" s="24" t="str">
        <x:v>dynasty; royal line</x:v>
      </x:c>
      <x:c r="J819" s="24" t="str">
        <x:v>Kinship, governance, secrecy, social rank, factional identity, and collective action.</x:v>
      </x:c>
      <x:c r="K819" s="24" t="str">
        <x:v>dynasty; royal line</x:v>
      </x:c>
      <x:c r="L819" s="24" t="str">
        <x:v>Preserve each source's ontology, culture, history, and terminology when making comparisons.</x:v>
      </x:c>
      <x:c r="M819" s="24" t="str">
        <x:v>Core Family</x:v>
      </x:c>
    </x:row>
    <x:row r="820" ht="44" customHeight="1">
      <x:c r="A820" s="24" t="str">
        <x:v>INS-405</x:v>
      </x:c>
      <x:c r="B820" s="24" t="str">
        <x:v>Royal Court</x:v>
      </x:c>
      <x:c r="C820" s="24" t="str">
        <x:v>Institutions &amp; Affiliations</x:v>
      </x:c>
      <x:c r="D820" s="24" t="str">
        <x:v>INS-400</x:v>
      </x:c>
      <x:c r="E820" s="24" t="str">
        <x:f>IF(D820="","",IFERROR(VLOOKUP(D820,$A$2:$B$1226,2,FALSE),""))</x:f>
        <x:v>Kinship, Political, and Secret Organizations</x:v>
      </x:c>
      <x:c r="F820" s="24" t="n">
        <x:v>3</x:v>
      </x:c>
      <x:c r="G820" s="24" t="str">
        <x:v>Household and political arena surrounding a sovereign, including nobles, officials, servants, rivals, and ritual.</x:v>
      </x:c>
      <x:c r="H820" s="24" t="str">
        <x:v>Record membership rules, hierarchy, resources, jurisdiction, ideology, and relation to the state.</x:v>
      </x:c>
      <x:c r="I820" s="24" t="str">
        <x:v>court; palace faction</x:v>
      </x:c>
      <x:c r="J820" s="24" t="str">
        <x:v>Kinship, governance, secrecy, social rank, factional identity, and collective action.</x:v>
      </x:c>
      <x:c r="K820" s="24" t="str">
        <x:v>court; palace faction</x:v>
      </x:c>
      <x:c r="L820" s="24" t="str">
        <x:v>Preserve each source's ontology, culture, history, and terminology when making comparisons.</x:v>
      </x:c>
      <x:c r="M820" s="24" t="str">
        <x:v>Core Family</x:v>
      </x:c>
    </x:row>
    <x:row r="821" ht="44" customHeight="1">
      <x:c r="A821" s="24" t="str">
        <x:v>INS-406</x:v>
      </x:c>
      <x:c r="B821" s="24" t="str">
        <x:v>Fae Court</x:v>
      </x:c>
      <x:c r="C821" s="24" t="str">
        <x:v>Institutions &amp; Affiliations</x:v>
      </x:c>
      <x:c r="D821" s="24" t="str">
        <x:v>INS-400</x:v>
      </x:c>
      <x:c r="E821" s="24" t="str">
        <x:f>IF(D821="","",IFERROR(VLOOKUP(D821,$A$2:$B$1226,2,FALSE),""))</x:f>
        <x:v>Kinship, Political, and Secret Organizations</x:v>
      </x:c>
      <x:c r="F821" s="24" t="n">
        <x:v>3</x:v>
      </x:c>
      <x:c r="G821" s="24" t="str">
        <x:v>Otherworldly political society structured by noble rank, season, etiquette, bargain, and supernatural allegiance.</x:v>
      </x:c>
      <x:c r="H821" s="24" t="str">
        <x:v>Record membership rules, hierarchy, resources, jurisdiction, ideology, and relation to the state.</x:v>
      </x:c>
      <x:c r="I821" s="24" t="str">
        <x:v>seelie court; winter court; faerie court</x:v>
      </x:c>
      <x:c r="J821" s="24" t="str">
        <x:v>Kinship, governance, secrecy, social rank, factional identity, and collective action.</x:v>
      </x:c>
      <x:c r="K821" s="24" t="str">
        <x:v>seelie court; winter court; faerie court</x:v>
      </x:c>
      <x:c r="L821" s="24" t="str">
        <x:v>Preserve each source's ontology, culture, history, and terminology when making comparisons.</x:v>
      </x:c>
      <x:c r="M821" s="24" t="str">
        <x:v>Core Family</x:v>
      </x:c>
    </x:row>
    <x:row r="822" ht="44" customHeight="1">
      <x:c r="A822" s="24" t="str">
        <x:v>INS-407</x:v>
      </x:c>
      <x:c r="B822" s="24" t="str">
        <x:v>Council or Conclave</x:v>
      </x:c>
      <x:c r="C822" s="24" t="str">
        <x:v>Institutions &amp; Affiliations</x:v>
      </x:c>
      <x:c r="D822" s="24" t="str">
        <x:v>INS-400</x:v>
      </x:c>
      <x:c r="E822" s="24" t="str">
        <x:f>IF(D822="","",IFERROR(VLOOKUP(D822,$A$2:$B$1226,2,FALSE),""))</x:f>
        <x:v>Kinship, Political, and Secret Organizations</x:v>
      </x:c>
      <x:c r="F822" s="24" t="n">
        <x:v>3</x:v>
      </x:c>
      <x:c r="G822" s="24" t="str">
        <x:v>Collective decision-making institution of elders, mages, nobles, guilds, gods, or faction representatives.</x:v>
      </x:c>
      <x:c r="H822" s="24" t="str">
        <x:v>Record membership rules, hierarchy, resources, jurisdiction, ideology, and relation to the state.</x:v>
      </x:c>
      <x:c r="I822" s="24" t="str">
        <x:v>council; conclave; senate</x:v>
      </x:c>
      <x:c r="J822" s="24" t="str">
        <x:v>Kinship, governance, secrecy, social rank, factional identity, and collective action.</x:v>
      </x:c>
      <x:c r="K822" s="24" t="str">
        <x:v>council; conclave; senate</x:v>
      </x:c>
      <x:c r="L822" s="24" t="str">
        <x:v>Preserve each source's ontology, culture, history, and terminology when making comparisons.</x:v>
      </x:c>
      <x:c r="M822" s="24" t="str">
        <x:v>Core Family</x:v>
      </x:c>
    </x:row>
    <x:row r="823" ht="44" customHeight="1">
      <x:c r="A823" s="24" t="str">
        <x:v>INS-408</x:v>
      </x:c>
      <x:c r="B823" s="24" t="str">
        <x:v>Caste</x:v>
      </x:c>
      <x:c r="C823" s="24" t="str">
        <x:v>Institutions &amp; Affiliations</x:v>
      </x:c>
      <x:c r="D823" s="24" t="str">
        <x:v>INS-400</x:v>
      </x:c>
      <x:c r="E823" s="24" t="str">
        <x:f>IF(D823="","",IFERROR(VLOOKUP(D823,$A$2:$B$1226,2,FALSE),""))</x:f>
        <x:v>Kinship, Political, and Secret Organizations</x:v>
      </x:c>
      <x:c r="F823" s="24" t="n">
        <x:v>3</x:v>
      </x:c>
      <x:c r="G823" s="24" t="str">
        <x:v>Hereditary or ascribed status category organizing occupation, marriage, privilege, purity, and social mobility.</x:v>
      </x:c>
      <x:c r="H823" s="24" t="str">
        <x:v>Record membership rules, hierarchy, resources, jurisdiction, ideology, and relation to the state.</x:v>
      </x:c>
      <x:c r="I823" s="24" t="str">
        <x:v>caste; estate; birth order</x:v>
      </x:c>
      <x:c r="J823" s="24" t="str">
        <x:v>Kinship, governance, secrecy, social rank, factional identity, and collective action.</x:v>
      </x:c>
      <x:c r="K823" s="24" t="str">
        <x:v>caste; estate; birth order</x:v>
      </x:c>
      <x:c r="L823" s="24" t="str">
        <x:v>Do not flatten real-world caste systems into neutral fantasy flavor; record coercion and ideology.</x:v>
      </x:c>
      <x:c r="M823" s="24" t="str">
        <x:v>Core Family</x:v>
      </x:c>
    </x:row>
    <x:row r="824" ht="44" customHeight="1">
      <x:c r="A824" s="24" t="str">
        <x:v>INS-409</x:v>
      </x:c>
      <x:c r="B824" s="24" t="str">
        <x:v>Estate or Social Order</x:v>
      </x:c>
      <x:c r="C824" s="24" t="str">
        <x:v>Institutions &amp; Affiliations</x:v>
      </x:c>
      <x:c r="D824" s="24" t="str">
        <x:v>INS-400</x:v>
      </x:c>
      <x:c r="E824" s="24" t="str">
        <x:f>IF(D824="","",IFERROR(VLOOKUP(D824,$A$2:$B$1226,2,FALSE),""))</x:f>
        <x:v>Kinship, Political, and Secret Organizations</x:v>
      </x:c>
      <x:c r="F824" s="24" t="n">
        <x:v>3</x:v>
      </x:c>
      <x:c r="G824" s="24" t="str">
        <x:v>Legally recognized social stratum such as clergy, nobility, commoners, or magical citizens.</x:v>
      </x:c>
      <x:c r="H824" s="24" t="str">
        <x:v>Record membership rules, hierarchy, resources, jurisdiction, ideology, and relation to the state.</x:v>
      </x:c>
      <x:c r="I824" s="24" t="str">
        <x:v>estate; order; social rank</x:v>
      </x:c>
      <x:c r="J824" s="24" t="str">
        <x:v>Kinship, governance, secrecy, social rank, factional identity, and collective action.</x:v>
      </x:c>
      <x:c r="K824" s="24" t="str">
        <x:v>estate; order; social rank</x:v>
      </x:c>
      <x:c r="L824" s="24" t="str">
        <x:v>Preserve each source's ontology, culture, history, and terminology when making comparisons.</x:v>
      </x:c>
      <x:c r="M824" s="24" t="str">
        <x:v>Core Family</x:v>
      </x:c>
    </x:row>
    <x:row r="825" ht="44" customHeight="1">
      <x:c r="A825" s="24" t="str">
        <x:v>INS-410</x:v>
      </x:c>
      <x:c r="B825" s="24" t="str">
        <x:v>Tribal Confederation</x:v>
      </x:c>
      <x:c r="C825" s="24" t="str">
        <x:v>Institutions &amp; Affiliations</x:v>
      </x:c>
      <x:c r="D825" s="24" t="str">
        <x:v>INS-400</x:v>
      </x:c>
      <x:c r="E825" s="24" t="str">
        <x:f>IF(D825="","",IFERROR(VLOOKUP(D825,$A$2:$B$1226,2,FALSE),""))</x:f>
        <x:v>Kinship, Political, and Secret Organizations</x:v>
      </x:c>
      <x:c r="F825" s="24" t="n">
        <x:v>3</x:v>
      </x:c>
      <x:c r="G825" s="24" t="str">
        <x:v>Alliance of autonomous kin or local groups under shared leadership, ritual, defense, or migration.</x:v>
      </x:c>
      <x:c r="H825" s="24" t="str">
        <x:v>Record membership rules, hierarchy, resources, jurisdiction, ideology, and relation to the state.</x:v>
      </x:c>
      <x:c r="I825" s="24" t="str">
        <x:v>confederation; league; horde</x:v>
      </x:c>
      <x:c r="J825" s="24" t="str">
        <x:v>Kinship, governance, secrecy, social rank, factional identity, and collective action.</x:v>
      </x:c>
      <x:c r="K825" s="24" t="str">
        <x:v>confederation; league; horde</x:v>
      </x:c>
      <x:c r="L825" s="24" t="str">
        <x:v>Preserve each source's ontology, culture, history, and terminology when making comparisons.</x:v>
      </x:c>
      <x:c r="M825" s="24" t="str">
        <x:v>Core Family</x:v>
      </x:c>
    </x:row>
    <x:row r="826" ht="44" customHeight="1">
      <x:c r="A826" s="24" t="str">
        <x:v>INS-411</x:v>
      </x:c>
      <x:c r="B826" s="24" t="str">
        <x:v>Secret Society</x:v>
      </x:c>
      <x:c r="C826" s="24" t="str">
        <x:v>Institutions &amp; Affiliations</x:v>
      </x:c>
      <x:c r="D826" s="24" t="str">
        <x:v>INS-400</x:v>
      </x:c>
      <x:c r="E826" s="24" t="str">
        <x:f>IF(D826="","",IFERROR(VLOOKUP(D826,$A$2:$B$1226,2,FALSE),""))</x:f>
        <x:v>Kinship, Political, and Secret Organizations</x:v>
      </x:c>
      <x:c r="F826" s="24" t="n">
        <x:v>3</x:v>
      </x:c>
      <x:c r="G826" s="24" t="str">
        <x:v>Covert membership organization with hidden goals, rites, symbols, and influence.</x:v>
      </x:c>
      <x:c r="H826" s="24" t="str">
        <x:v>Record membership rules, hierarchy, resources, jurisdiction, ideology, and relation to the state.</x:v>
      </x:c>
      <x:c r="I826" s="24" t="str">
        <x:v>secret society; conspiracy; lodge</x:v>
      </x:c>
      <x:c r="J826" s="24" t="str">
        <x:v>Kinship, governance, secrecy, social rank, factional identity, and collective action.</x:v>
      </x:c>
      <x:c r="K826" s="24" t="str">
        <x:v>secret society; conspiracy; lodge</x:v>
      </x:c>
      <x:c r="L826" s="24" t="str">
        <x:v>Preserve each source's ontology, culture, history, and terminology when making comparisons.</x:v>
      </x:c>
      <x:c r="M826" s="24" t="str">
        <x:v>Core Family</x:v>
      </x:c>
    </x:row>
    <x:row r="827" ht="44" customHeight="1">
      <x:c r="A827" s="24" t="str">
        <x:v>INS-412</x:v>
      </x:c>
      <x:c r="B827" s="24" t="str">
        <x:v>Revolutionary Cell</x:v>
      </x:c>
      <x:c r="C827" s="24" t="str">
        <x:v>Institutions &amp; Affiliations</x:v>
      </x:c>
      <x:c r="D827" s="24" t="str">
        <x:v>INS-400</x:v>
      </x:c>
      <x:c r="E827" s="24" t="str">
        <x:f>IF(D827="","",IFERROR(VLOOKUP(D827,$A$2:$B$1226,2,FALSE),""))</x:f>
        <x:v>Kinship, Political, and Secret Organizations</x:v>
      </x:c>
      <x:c r="F827" s="24" t="n">
        <x:v>3</x:v>
      </x:c>
      <x:c r="G827" s="24" t="str">
        <x:v>Small clandestine organization coordinating rebellion, sabotage, propaganda, and mutual security.</x:v>
      </x:c>
      <x:c r="H827" s="24" t="str">
        <x:v>Record membership rules, hierarchy, resources, jurisdiction, ideology, and relation to the state.</x:v>
      </x:c>
      <x:c r="I827" s="24" t="str">
        <x:v>rebel cell; resistance network</x:v>
      </x:c>
      <x:c r="J827" s="24" t="str">
        <x:v>Kinship, governance, secrecy, social rank, factional identity, and collective action.</x:v>
      </x:c>
      <x:c r="K827" s="24" t="str">
        <x:v>rebel cell; resistance network</x:v>
      </x:c>
      <x:c r="L827" s="24" t="str">
        <x:v>Preserve each source's ontology, culture, history, and terminology when making comparisons.</x:v>
      </x:c>
      <x:c r="M827" s="24" t="str">
        <x:v>Core Family</x:v>
      </x:c>
    </x:row>
    <x:row r="828" ht="44" customHeight="1">
      <x:c r="A828" s="24" t="str">
        <x:v>INS-413</x:v>
      </x:c>
      <x:c r="B828" s="24" t="str">
        <x:v>Spy Network</x:v>
      </x:c>
      <x:c r="C828" s="24" t="str">
        <x:v>Institutions &amp; Affiliations</x:v>
      </x:c>
      <x:c r="D828" s="24" t="str">
        <x:v>INS-400</x:v>
      </x:c>
      <x:c r="E828" s="24" t="str">
        <x:f>IF(D828="","",IFERROR(VLOOKUP(D828,$A$2:$B$1226,2,FALSE),""))</x:f>
        <x:v>Kinship, Political, and Secret Organizations</x:v>
      </x:c>
      <x:c r="F828" s="24" t="n">
        <x:v>3</x:v>
      </x:c>
      <x:c r="G828" s="24" t="str">
        <x:v>Distributed set of agents, handlers, informants, safe houses, and communication channels.</x:v>
      </x:c>
      <x:c r="H828" s="24" t="str">
        <x:v>Record membership rules, hierarchy, resources, jurisdiction, ideology, and relation to the state.</x:v>
      </x:c>
      <x:c r="I828" s="24" t="str">
        <x:v>spy ring; whisper network</x:v>
      </x:c>
      <x:c r="J828" s="24" t="str">
        <x:v>Kinship, governance, secrecy, social rank, factional identity, and collective action.</x:v>
      </x:c>
      <x:c r="K828" s="24" t="str">
        <x:v>spy ring; whisper network</x:v>
      </x:c>
      <x:c r="L828" s="24" t="str">
        <x:v>Preserve each source's ontology, culture, history, and terminology when making comparisons.</x:v>
      </x:c>
      <x:c r="M828" s="24" t="str">
        <x:v>Core Family</x:v>
      </x:c>
    </x:row>
    <x:row r="829" ht="44" customHeight="1">
      <x:c r="A829" s="24" t="str">
        <x:v>INS-414</x:v>
      </x:c>
      <x:c r="B829" s="24" t="str">
        <x:v>Criminal Syndicate</x:v>
      </x:c>
      <x:c r="C829" s="24" t="str">
        <x:v>Institutions &amp; Affiliations</x:v>
      </x:c>
      <x:c r="D829" s="24" t="str">
        <x:v>INS-400</x:v>
      </x:c>
      <x:c r="E829" s="24" t="str">
        <x:f>IF(D829="","",IFERROR(VLOOKUP(D829,$A$2:$B$1226,2,FALSE),""))</x:f>
        <x:v>Kinship, Political, and Secret Organizations</x:v>
      </x:c>
      <x:c r="F829" s="24" t="n">
        <x:v>3</x:v>
      </x:c>
      <x:c r="G829" s="24" t="str">
        <x:v>Large illicit organization combining violence, trade, corruption, and territorial governance.</x:v>
      </x:c>
      <x:c r="H829" s="24" t="str">
        <x:v>Record membership rules, hierarchy, resources, jurisdiction, ideology, and relation to the state.</x:v>
      </x:c>
      <x:c r="I829" s="24" t="str">
        <x:v>syndicate; mafia-like house; cartel</x:v>
      </x:c>
      <x:c r="J829" s="24" t="str">
        <x:v>Kinship, governance, secrecy, social rank, factional identity, and collective action.</x:v>
      </x:c>
      <x:c r="K829" s="24" t="str">
        <x:v>syndicate; mafia-like house; cartel</x:v>
      </x:c>
      <x:c r="L829" s="24" t="str">
        <x:v>Preserve each source's ontology, culture, history, and terminology when making comparisons.</x:v>
      </x:c>
      <x:c r="M829" s="24" t="str">
        <x:v>Core Family</x:v>
      </x:c>
    </x:row>
    <x:row r="830" ht="44" customHeight="1">
      <x:c r="A830" s="24" t="str">
        <x:v>INS-415</x:v>
      </x:c>
      <x:c r="B830" s="24" t="str">
        <x:v>Thieves' Cant Network</x:v>
      </x:c>
      <x:c r="C830" s="24" t="str">
        <x:v>Institutions &amp; Affiliations</x:v>
      </x:c>
      <x:c r="D830" s="24" t="str">
        <x:v>INS-400</x:v>
      </x:c>
      <x:c r="E830" s="24" t="str">
        <x:f>IF(D830="","",IFERROR(VLOOKUP(D830,$A$2:$B$1226,2,FALSE),""))</x:f>
        <x:v>Kinship, Political, and Secret Organizations</x:v>
      </x:c>
      <x:c r="F830" s="24" t="n">
        <x:v>3</x:v>
      </x:c>
      <x:c r="G830" s="24" t="str">
        <x:v>Loose underworld community linked by codes, fences, signals, reputation, and shared safe spaces.</x:v>
      </x:c>
      <x:c r="H830" s="24" t="str">
        <x:v>Record membership rules, hierarchy, resources, jurisdiction, ideology, and relation to the state.</x:v>
      </x:c>
      <x:c r="I830" s="24" t="str">
        <x:v>cant network; underworld fraternity</x:v>
      </x:c>
      <x:c r="J830" s="24" t="str">
        <x:v>Kinship, governance, secrecy, social rank, factional identity, and collective action.</x:v>
      </x:c>
      <x:c r="K830" s="24" t="str">
        <x:v>cant network; underworld fraternity</x:v>
      </x:c>
      <x:c r="L830" s="24" t="str">
        <x:v>Preserve each source's ontology, culture, history, and terminology when making comparisons.</x:v>
      </x:c>
      <x:c r="M830" s="24" t="str">
        <x:v>Core Family</x:v>
      </x:c>
    </x:row>
    <x:row r="831" ht="44" customHeight="1">
      <x:c r="A831" s="24" t="str">
        <x:v>INS-416</x:v>
      </x:c>
      <x:c r="B831" s="24" t="str">
        <x:v>Diaspora Network</x:v>
      </x:c>
      <x:c r="C831" s="24" t="str">
        <x:v>Institutions &amp; Affiliations</x:v>
      </x:c>
      <x:c r="D831" s="24" t="str">
        <x:v>INS-400</x:v>
      </x:c>
      <x:c r="E831" s="24" t="str">
        <x:f>IF(D831="","",IFERROR(VLOOKUP(D831,$A$2:$B$1226,2,FALSE),""))</x:f>
        <x:v>Kinship, Political, and Secret Organizations</x:v>
      </x:c>
      <x:c r="F831" s="24" t="n">
        <x:v>3</x:v>
      </x:c>
      <x:c r="G831" s="24" t="str">
        <x:v>Translocal community maintaining identity, kinship, trade, ritual, and political ties across multiple societies.</x:v>
      </x:c>
      <x:c r="H831" s="24" t="str">
        <x:v>Record membership rules, hierarchy, resources, jurisdiction, ideology, and relation to the state.</x:v>
      </x:c>
      <x:c r="I831" s="24" t="str">
        <x:v>diaspora; exile network</x:v>
      </x:c>
      <x:c r="J831" s="24" t="str">
        <x:v>Kinship, governance, secrecy, social rank, factional identity, and collective action.</x:v>
      </x:c>
      <x:c r="K831" s="24" t="str">
        <x:v>diaspora; exile network</x:v>
      </x:c>
      <x:c r="L831" s="24" t="str">
        <x:v>Preserve each source's ontology, culture, history, and terminology when making comparisons.</x:v>
      </x:c>
      <x:c r="M831" s="24" t="str">
        <x:v>Core Family</x:v>
      </x:c>
    </x:row>
    <x:row r="832" ht="44" customHeight="1">
      <x:c r="A832" s="24" t="str">
        <x:v>INS-417</x:v>
      </x:c>
      <x:c r="B832" s="24" t="str">
        <x:v>Household Retinue</x:v>
      </x:c>
      <x:c r="C832" s="24" t="str">
        <x:v>Institutions &amp; Affiliations</x:v>
      </x:c>
      <x:c r="D832" s="24" t="str">
        <x:v>INS-400</x:v>
      </x:c>
      <x:c r="E832" s="24" t="str">
        <x:f>IF(D832="","",IFERROR(VLOOKUP(D832,$A$2:$B$1226,2,FALSE),""))</x:f>
        <x:v>Kinship, Political, and Secret Organizations</x:v>
      </x:c>
      <x:c r="F832" s="24" t="n">
        <x:v>3</x:v>
      </x:c>
      <x:c r="G832" s="24" t="str">
        <x:v>Personal body of servants, guards, advisers, artisans, and dependents attached to an elite patron.</x:v>
      </x:c>
      <x:c r="H832" s="24" t="str">
        <x:v>Record membership rules, hierarchy, resources, jurisdiction, ideology, and relation to the state.</x:v>
      </x:c>
      <x:c r="I832" s="24" t="str">
        <x:v>retinue; household; sworn companions</x:v>
      </x:c>
      <x:c r="J832" s="24" t="str">
        <x:v>Kinship, governance, secrecy, social rank, factional identity, and collective action.</x:v>
      </x:c>
      <x:c r="K832" s="24" t="str">
        <x:v>retinue; household; sworn companions</x:v>
      </x:c>
      <x:c r="L832" s="24" t="str">
        <x:v>Preserve each source's ontology, culture, history, and terminology when making comparisons.</x:v>
      </x:c>
      <x:c r="M832" s="24" t="str">
        <x:v>Core Family</x:v>
      </x:c>
    </x:row>
    <x:row r="833" ht="44" customHeight="1">
      <x:c r="A833" s="24" t="str">
        <x:v>INS-418</x:v>
      </x:c>
      <x:c r="B833" s="24" t="str">
        <x:v>Covenant Community</x:v>
      </x:c>
      <x:c r="C833" s="24" t="str">
        <x:v>Institutions &amp; Affiliations</x:v>
      </x:c>
      <x:c r="D833" s="24" t="str">
        <x:v>INS-400</x:v>
      </x:c>
      <x:c r="E833" s="24" t="str">
        <x:f>IF(D833="","",IFERROR(VLOOKUP(D833,$A$2:$B$1226,2,FALSE),""))</x:f>
        <x:v>Kinship, Political, and Secret Organizations</x:v>
      </x:c>
      <x:c r="F833" s="24" t="n">
        <x:v>3</x:v>
      </x:c>
      <x:c r="G833" s="24" t="str">
        <x:v>Group bound by shared oath, supernatural contract, migration story, or sacred law.</x:v>
      </x:c>
      <x:c r="H833" s="24" t="str">
        <x:v>Record membership rules, hierarchy, resources, jurisdiction, ideology, and relation to the state.</x:v>
      </x:c>
      <x:c r="I833" s="24" t="str">
        <x:v>covenant; sworn people</x:v>
      </x:c>
      <x:c r="J833" s="24" t="str">
        <x:v>Kinship, governance, secrecy, social rank, factional identity, and collective action.</x:v>
      </x:c>
      <x:c r="K833" s="24" t="str">
        <x:v>covenant; sworn people</x:v>
      </x:c>
      <x:c r="L833" s="24" t="str">
        <x:v>Preserve each source's ontology, culture, history, and terminology when making comparisons.</x:v>
      </x:c>
      <x:c r="M833" s="24" t="str">
        <x:v>Core Family</x:v>
      </x:c>
    </x:row>
    <x:row r="834" ht="44" customHeight="1">
      <x:c r="A834" s="24" t="str">
        <x:v>INS-419</x:v>
      </x:c>
      <x:c r="B834" s="24" t="str">
        <x:v>Hive Hierarchy</x:v>
      </x:c>
      <x:c r="C834" s="24" t="str">
        <x:v>Institutions &amp; Affiliations</x:v>
      </x:c>
      <x:c r="D834" s="24" t="str">
        <x:v>INS-400</x:v>
      </x:c>
      <x:c r="E834" s="24" t="str">
        <x:f>IF(D834="","",IFERROR(VLOOKUP(D834,$A$2:$B$1226,2,FALSE),""))</x:f>
        <x:v>Kinship, Political, and Secret Organizations</x:v>
      </x:c>
      <x:c r="F834" s="24" t="n">
        <x:v>3</x:v>
      </x:c>
      <x:c r="G834" s="24" t="str">
        <x:v>Institutional organization based on biological caste, queen or core control, pheromonal coordination, or collective mind.</x:v>
      </x:c>
      <x:c r="H834" s="24" t="str">
        <x:v>Record membership rules, hierarchy, resources, jurisdiction, ideology, and relation to the state.</x:v>
      </x:c>
      <x:c r="I834" s="24" t="str">
        <x:v>hive; brood; swarm hierarchy</x:v>
      </x:c>
      <x:c r="J834" s="24" t="str">
        <x:v>Kinship, governance, secrecy, social rank, factional identity, and collective action.</x:v>
      </x:c>
      <x:c r="K834" s="24" t="str">
        <x:v>hive; brood; swarm hierarchy</x:v>
      </x:c>
      <x:c r="L834" s="24" t="str">
        <x:v>Preserve each source's ontology, culture, history, and terminology when making comparisons.</x:v>
      </x:c>
      <x:c r="M834" s="24" t="str">
        <x:v>Core Family</x:v>
      </x:c>
    </x:row>
    <x:row r="835" ht="44" customHeight="1">
      <x:c r="A835" s="24" t="str">
        <x:v>INS-420</x:v>
      </x:c>
      <x:c r="B835" s="24" t="str">
        <x:v>Dungeon Faction</x:v>
      </x:c>
      <x:c r="C835" s="24" t="str">
        <x:v>Institutions &amp; Affiliations</x:v>
      </x:c>
      <x:c r="D835" s="24" t="str">
        <x:v>INS-400</x:v>
      </x:c>
      <x:c r="E835" s="24" t="str">
        <x:f>IF(D835="","",IFERROR(VLOOKUP(D835,$A$2:$B$1226,2,FALSE),""))</x:f>
        <x:v>Kinship, Political, and Secret Organizations</x:v>
      </x:c>
      <x:c r="F835" s="24" t="n">
        <x:v>3</x:v>
      </x:c>
      <x:c r="G835" s="24" t="str">
        <x:v>Organized group inhabiting, controlling, exploiting, or surviving within a dungeon ecology.</x:v>
      </x:c>
      <x:c r="H835" s="24" t="str">
        <x:v>Record membership rules, hierarchy, resources, jurisdiction, ideology, and relation to the state.</x:v>
      </x:c>
      <x:c r="I835" s="24" t="str">
        <x:v>dungeon faction; floor society</x:v>
      </x:c>
      <x:c r="J835" s="24" t="str">
        <x:v>Kinship, governance, secrecy, social rank, factional identity, and collective action.</x:v>
      </x:c>
      <x:c r="K835" s="24" t="str">
        <x:v>dungeon faction; floor society</x:v>
      </x:c>
      <x:c r="L835" s="24" t="str">
        <x:v>Preserve each source's ontology, culture, history, and terminology when making comparisons.</x:v>
      </x:c>
      <x:c r="M835" s="24" t="str">
        <x:v>Core Family</x:v>
      </x:c>
    </x:row>
    <x:row r="836" ht="44" customHeight="1">
      <x:c r="A836" s="24" t="str">
        <x:v>INS-421</x:v>
      </x:c>
      <x:c r="B836" s="24" t="str">
        <x:v>Interplanar Consortium</x:v>
      </x:c>
      <x:c r="C836" s="24" t="str">
        <x:v>Institutions &amp; Affiliations</x:v>
      </x:c>
      <x:c r="D836" s="24" t="str">
        <x:v>INS-400</x:v>
      </x:c>
      <x:c r="E836" s="24" t="str">
        <x:f>IF(D836="","",IFERROR(VLOOKUP(D836,$A$2:$B$1226,2,FALSE),""))</x:f>
        <x:v>Kinship, Political, and Secret Organizations</x:v>
      </x:c>
      <x:c r="F836" s="24" t="n">
        <x:v>3</x:v>
      </x:c>
      <x:c r="G836" s="24" t="str">
        <x:v>Organization operating across worlds or planes through portals, trade, diplomacy, or conquest.</x:v>
      </x:c>
      <x:c r="H836" s="24" t="str">
        <x:v>Record membership rules, hierarchy, resources, jurisdiction, ideology, and relation to the state.</x:v>
      </x:c>
      <x:c r="I836" s="24" t="str">
        <x:v>planar league; multiversal company</x:v>
      </x:c>
      <x:c r="J836" s="24" t="str">
        <x:v>Kinship, governance, secrecy, social rank, factional identity, and collective action.</x:v>
      </x:c>
      <x:c r="K836" s="24" t="str">
        <x:v>planar league; multiversal company</x:v>
      </x:c>
      <x:c r="L836" s="24" t="str">
        <x:v>Preserve each source's ontology, culture, history, and terminology when making comparisons.</x:v>
      </x:c>
      <x:c r="M836" s="24" t="str">
        <x:v>Core Family</x:v>
      </x:c>
    </x:row>
    <x:row r="837" ht="44" customHeight="1">
      <x:c r="A837" s="24" t="str">
        <x:v>INS-422</x:v>
      </x:c>
      <x:c r="B837" s="24" t="str">
        <x:v>Adventuring Party</x:v>
      </x:c>
      <x:c r="C837" s="24" t="str">
        <x:v>Institutions &amp; Affiliations</x:v>
      </x:c>
      <x:c r="D837" s="24" t="str">
        <x:v>INS-400</x:v>
      </x:c>
      <x:c r="E837" s="24" t="str">
        <x:f>IF(D837="","",IFERROR(VLOOKUP(D837,$A$2:$B$1226,2,FALSE),""))</x:f>
        <x:v>Kinship, Political, and Secret Organizations</x:v>
      </x:c>
      <x:c r="F837" s="24" t="n">
        <x:v>3</x:v>
      </x:c>
      <x:c r="G837" s="24" t="str">
        <x:v>Small task-oriented group whose complementary roles, bonds, and shared journey form a durable social unit.</x:v>
      </x:c>
      <x:c r="H837" s="24" t="str">
        <x:v>Record membership rules, hierarchy, resources, jurisdiction, ideology, and relation to the state.</x:v>
      </x:c>
      <x:c r="I837" s="24" t="str">
        <x:v>party; fellowship; hero band</x:v>
      </x:c>
      <x:c r="J837" s="24" t="str">
        <x:v>Kinship, governance, secrecy, social rank, factional identity, and collective action.</x:v>
      </x:c>
      <x:c r="K837" s="24" t="str">
        <x:v>party; fellowship; hero band</x:v>
      </x:c>
      <x:c r="L837" s="24" t="str">
        <x:v>Preserve each source's ontology, culture, history, and terminology when making comparisons.</x:v>
      </x:c>
      <x:c r="M837" s="24" t="str">
        <x:v>Core Family</x:v>
      </x:c>
    </x:row>
    <x:row r="838" ht="44" customHeight="1">
      <x:c r="A838" s="24" t="str">
        <x:v>NAR-100</x:v>
      </x:c>
      <x:c r="B838" s="24" t="str">
        <x:v>Hero and Protagonist Archetypes</x:v>
      </x:c>
      <x:c r="C838" s="24" t="str">
        <x:v>Narrative Archetypes</x:v>
      </x:c>
      <x:c r="D838" s="24" t="str">
        <x:v>NAR-000</x:v>
      </x:c>
      <x:c r="E838" s="24" t="str">
        <x:f>IF(D838="","",IFERROR(VLOOKUP(D838,$A$2:$B$1226,2,FALSE),""))</x:f>
        <x:v>Narrative Archetypes</x:v>
      </x:c>
      <x:c r="F838" s="24" t="n">
        <x:v>2</x:v>
      </x:c>
      <x:c r="G838" s="24" t="str">
        <x:v>Recurring protagonist identities, origins, burdens, and transformation arcs.</x:v>
      </x:c>
      <x:c r="H838" s="24" t="str">
        <x:v>Narrative function is not an in-world species, profession, morality, or game class.</x:v>
      </x:c>
      <x:c r="I838" s="24" t="str"/>
      <x:c r="J838" s="24" t="str">
        <x:v>Supports comparative literary and media analysis across otherwise incompatible settings.</x:v>
      </x:c>
      <x:c r="K838" s="24" t="str">
        <x:v>Hero and Protagonist Archetypes</x:v>
      </x:c>
      <x:c r="L838" s="24" t="str">
        <x:v>Preserve each source's ontology, culture, history, and terminology when making comparisons.</x:v>
      </x:c>
      <x:c r="M838" s="24" t="str">
        <x:v>Category</x:v>
      </x:c>
    </x:row>
    <x:row r="839" ht="44" customHeight="1">
      <x:c r="A839" s="24" t="str">
        <x:v>NAR-200</x:v>
      </x:c>
      <x:c r="B839" s="24" t="str">
        <x:v>Companion, Mentor, and Party Archetypes</x:v>
      </x:c>
      <x:c r="C839" s="24" t="str">
        <x:v>Narrative Archetypes</x:v>
      </x:c>
      <x:c r="D839" s="24" t="str">
        <x:v>NAR-000</x:v>
      </x:c>
      <x:c r="E839" s="24" t="str">
        <x:f>IF(D839="","",IFERROR(VLOOKUP(D839,$A$2:$B$1226,2,FALSE),""))</x:f>
        <x:v>Narrative Archetypes</x:v>
      </x:c>
      <x:c r="F839" s="24" t="n">
        <x:v>2</x:v>
      </x:c>
      <x:c r="G839" s="24" t="str">
        <x:v>Recurring functions within fellowships, teams, courts, and adventuring parties.</x:v>
      </x:c>
      <x:c r="H839" s="24" t="str">
        <x:v>Narrative function is not an in-world species, profession, morality, or game class.</x:v>
      </x:c>
      <x:c r="I839" s="24" t="str"/>
      <x:c r="J839" s="24" t="str">
        <x:v>Supports comparative literary and media analysis across otherwise incompatible settings.</x:v>
      </x:c>
      <x:c r="K839" s="24" t="str">
        <x:v>Companion, Mentor, and Party Archetypes</x:v>
      </x:c>
      <x:c r="L839" s="24" t="str">
        <x:v>Preserve each source's ontology, culture, history, and terminology when making comparisons.</x:v>
      </x:c>
      <x:c r="M839" s="24" t="str">
        <x:v>Category</x:v>
      </x:c>
    </x:row>
    <x:row r="840" ht="44" customHeight="1">
      <x:c r="A840" s="24" t="str">
        <x:v>NAR-300</x:v>
      </x:c>
      <x:c r="B840" s="24" t="str">
        <x:v>Antagonist and Threat Archetypes</x:v>
      </x:c>
      <x:c r="C840" s="24" t="str">
        <x:v>Narrative Archetypes</x:v>
      </x:c>
      <x:c r="D840" s="24" t="str">
        <x:v>NAR-000</x:v>
      </x:c>
      <x:c r="E840" s="24" t="str">
        <x:f>IF(D840="","",IFERROR(VLOOKUP(D840,$A$2:$B$1226,2,FALSE),""))</x:f>
        <x:v>Narrative Archetypes</x:v>
      </x:c>
      <x:c r="F840" s="24" t="n">
        <x:v>2</x:v>
      </x:c>
      <x:c r="G840" s="24" t="str">
        <x:v>Recurring villain, monster, empire, corruption, and catastrophe roles.</x:v>
      </x:c>
      <x:c r="H840" s="24" t="str">
        <x:v>Narrative function is not an in-world species, profession, morality, or game class.</x:v>
      </x:c>
      <x:c r="I840" s="24" t="str"/>
      <x:c r="J840" s="24" t="str">
        <x:v>Supports comparative literary and media analysis across otherwise incompatible settings.</x:v>
      </x:c>
      <x:c r="K840" s="24" t="str">
        <x:v>Antagonist and Threat Archetypes</x:v>
      </x:c>
      <x:c r="L840" s="24" t="str">
        <x:v>Preserve each source's ontology, culture, history, and terminology when making comparisons.</x:v>
      </x:c>
      <x:c r="M840" s="24" t="str">
        <x:v>Category</x:v>
      </x:c>
    </x:row>
    <x:row r="841" ht="44" customHeight="1">
      <x:c r="A841" s="24" t="str">
        <x:v>NAR-400</x:v>
      </x:c>
      <x:c r="B841" s="24" t="str">
        <x:v>Plot and Journey Archetypes</x:v>
      </x:c>
      <x:c r="C841" s="24" t="str">
        <x:v>Narrative Archetypes</x:v>
      </x:c>
      <x:c r="D841" s="24" t="str">
        <x:v>NAR-000</x:v>
      </x:c>
      <x:c r="E841" s="24" t="str">
        <x:f>IF(D841="","",IFERROR(VLOOKUP(D841,$A$2:$B$1226,2,FALSE),""))</x:f>
        <x:v>Narrative Archetypes</x:v>
      </x:c>
      <x:c r="F841" s="24" t="n">
        <x:v>2</x:v>
      </x:c>
      <x:c r="G841" s="24" t="str">
        <x:v>Recurring quest structures, reversals, destinies, and forms of narrative progression.</x:v>
      </x:c>
      <x:c r="H841" s="24" t="str">
        <x:v>Narrative function is not an in-world species, profession, morality, or game class.</x:v>
      </x:c>
      <x:c r="I841" s="24" t="str"/>
      <x:c r="J841" s="24" t="str">
        <x:v>Supports comparative literary and media analysis across otherwise incompatible settings.</x:v>
      </x:c>
      <x:c r="K841" s="24" t="str">
        <x:v>Plot and Journey Archetypes</x:v>
      </x:c>
      <x:c r="L841" s="24" t="str">
        <x:v>Preserve each source's ontology, culture, history, and terminology when making comparisons.</x:v>
      </x:c>
      <x:c r="M841" s="24" t="str">
        <x:v>Category</x:v>
      </x:c>
    </x:row>
    <x:row r="842" ht="44" customHeight="1">
      <x:c r="A842" s="24" t="str">
        <x:v>NAR-101</x:v>
      </x:c>
      <x:c r="B842" s="24" t="str">
        <x:v>Chosen One</x:v>
      </x:c>
      <x:c r="C842" s="24" t="str">
        <x:v>Narrative Archetypes</x:v>
      </x:c>
      <x:c r="D842" s="24" t="str">
        <x:v>NAR-100</x:v>
      </x:c>
      <x:c r="E842" s="24" t="str">
        <x:f>IF(D842="","",IFERROR(VLOOKUP(D842,$A$2:$B$1226,2,FALSE),""))</x:f>
        <x:v>Hero and Protagonist Archetypes</x:v>
      </x:c>
      <x:c r="F842" s="24" t="n">
        <x:v>3</x:v>
      </x:c>
      <x:c r="G842" s="24" t="str">
        <x:v>Protagonist marked by prophecy, lineage, divine selection, unique immunity, or exclusive capacity to resolve the central conflict.</x:v>
      </x:c>
      <x:c r="H842" s="24" t="str">
        <x:v>A character can occupy several narrative functions over time; record arc and point of view.</x:v>
      </x:c>
      <x:c r="I842" s="24" t="str">
        <x:v>chosen one; prophesied hero; selected savior</x:v>
      </x:c>
      <x:c r="J842" s="24" t="str">
        <x:v>Structures identification, growth, burden, agency, legitimacy, and transformation.</x:v>
      </x:c>
      <x:c r="K842" s="24" t="str">
        <x:v>chosen one; prophesied hero; selected savior</x:v>
      </x:c>
      <x:c r="L842" s="24" t="str">
        <x:v>Preserve each source's ontology, culture, history, and terminology when making comparisons.</x:v>
      </x:c>
      <x:c r="M842" s="24" t="str">
        <x:v>Core Family</x:v>
      </x:c>
    </x:row>
    <x:row r="843" ht="44" customHeight="1">
      <x:c r="A843" s="24" t="str">
        <x:v>NAR-102</x:v>
      </x:c>
      <x:c r="B843" s="24" t="str">
        <x:v>Reluctant Hero</x:v>
      </x:c>
      <x:c r="C843" s="24" t="str">
        <x:v>Narrative Archetypes</x:v>
      </x:c>
      <x:c r="D843" s="24" t="str">
        <x:v>NAR-100</x:v>
      </x:c>
      <x:c r="E843" s="24" t="str">
        <x:f>IF(D843="","",IFERROR(VLOOKUP(D843,$A$2:$B$1226,2,FALSE),""))</x:f>
        <x:v>Hero and Protagonist Archetypes</x:v>
      </x:c>
      <x:c r="F843" s="24" t="n">
        <x:v>3</x:v>
      </x:c>
      <x:c r="G843" s="24" t="str">
        <x:v>Protagonist who resists responsibility, danger, power, or public identity before accepting action.</x:v>
      </x:c>
      <x:c r="H843" s="24" t="str">
        <x:v>A character can occupy several narrative functions over time; record arc and point of view.</x:v>
      </x:c>
      <x:c r="I843" s="24" t="str">
        <x:v>reluctant hero; unwilling champion</x:v>
      </x:c>
      <x:c r="J843" s="24" t="str">
        <x:v>Structures identification, growth, burden, agency, legitimacy, and transformation.</x:v>
      </x:c>
      <x:c r="K843" s="24" t="str">
        <x:v>reluctant hero; unwilling champion</x:v>
      </x:c>
      <x:c r="L843" s="24" t="str">
        <x:v>Preserve each source's ontology, culture, history, and terminology when making comparisons.</x:v>
      </x:c>
      <x:c r="M843" s="24" t="str">
        <x:v>Core Family</x:v>
      </x:c>
    </x:row>
    <x:row r="844" ht="44" customHeight="1">
      <x:c r="A844" s="24" t="str">
        <x:v>NAR-103</x:v>
      </x:c>
      <x:c r="B844" s="24" t="str">
        <x:v>Ordinary Person Drawn into Wonder</x:v>
      </x:c>
      <x:c r="C844" s="24" t="str">
        <x:v>Narrative Archetypes</x:v>
      </x:c>
      <x:c r="D844" s="24" t="str">
        <x:v>NAR-100</x:v>
      </x:c>
      <x:c r="E844" s="24" t="str">
        <x:f>IF(D844="","",IFERROR(VLOOKUP(D844,$A$2:$B$1226,2,FALSE),""))</x:f>
        <x:v>Hero and Protagonist Archetypes</x:v>
      </x:c>
      <x:c r="F844" s="24" t="n">
        <x:v>3</x:v>
      </x:c>
      <x:c r="G844" s="24" t="str">
        <x:v>Protagonist from an apparently mundane life who enters a larger magical world.</x:v>
      </x:c>
      <x:c r="H844" s="24" t="str">
        <x:v>A character can occupy several narrative functions over time; record arc and point of view.</x:v>
      </x:c>
      <x:c r="I844" s="24" t="str">
        <x:v>everyperson hero; portal-fantasy protagonist; unsuspecting traveler</x:v>
      </x:c>
      <x:c r="J844" s="24" t="str">
        <x:v>Structures identification, growth, burden, agency, legitimacy, and transformation.</x:v>
      </x:c>
      <x:c r="K844" s="24" t="str">
        <x:v>everyperson hero; portal-fantasy protagonist; unsuspecting traveler</x:v>
      </x:c>
      <x:c r="L844" s="24" t="str">
        <x:v>Preserve each source's ontology, culture, history, and terminology when making comparisons.</x:v>
      </x:c>
      <x:c r="M844" s="24" t="str">
        <x:v>Core Family</x:v>
      </x:c>
    </x:row>
    <x:row r="845" ht="44" customHeight="1">
      <x:c r="A845" s="24" t="str">
        <x:v>NAR-104</x:v>
      </x:c>
      <x:c r="B845" s="24" t="str">
        <x:v>Farmboy or Village-Origin Hero</x:v>
      </x:c>
      <x:c r="C845" s="24" t="str">
        <x:v>Narrative Archetypes</x:v>
      </x:c>
      <x:c r="D845" s="24" t="str">
        <x:v>NAR-100</x:v>
      </x:c>
      <x:c r="E845" s="24" t="str">
        <x:f>IF(D845="","",IFERROR(VLOOKUP(D845,$A$2:$B$1226,2,FALSE),""))</x:f>
        <x:v>Hero and Protagonist Archetypes</x:v>
      </x:c>
      <x:c r="F845" s="24" t="n">
        <x:v>3</x:v>
      </x:c>
      <x:c r="G845" s="24" t="str">
        <x:v>Low-status rural protagonist whose journey expands from local life to world-scale stakes.</x:v>
      </x:c>
      <x:c r="H845" s="24" t="str">
        <x:v>A character can occupy several narrative functions over time; record arc and point of view.</x:v>
      </x:c>
      <x:c r="I845" s="24" t="str">
        <x:v>farmboy hero; village girl; shepherd prince</x:v>
      </x:c>
      <x:c r="J845" s="24" t="str">
        <x:v>Structures identification, growth, burden, agency, legitimacy, and transformation.</x:v>
      </x:c>
      <x:c r="K845" s="24" t="str">
        <x:v>farmboy hero; village girl; shepherd prince</x:v>
      </x:c>
      <x:c r="L845" s="24" t="str">
        <x:v>Preserve each source's ontology, culture, history, and terminology when making comparisons.</x:v>
      </x:c>
      <x:c r="M845" s="24" t="str">
        <x:v>Core Family</x:v>
      </x:c>
    </x:row>
    <x:row r="846" ht="44" customHeight="1">
      <x:c r="A846" s="24" t="str">
        <x:v>NAR-105</x:v>
      </x:c>
      <x:c r="B846" s="24" t="str">
        <x:v>Orphan Hero</x:v>
      </x:c>
      <x:c r="C846" s="24" t="str">
        <x:v>Narrative Archetypes</x:v>
      </x:c>
      <x:c r="D846" s="24" t="str">
        <x:v>NAR-100</x:v>
      </x:c>
      <x:c r="E846" s="24" t="str">
        <x:f>IF(D846="","",IFERROR(VLOOKUP(D846,$A$2:$B$1226,2,FALSE),""))</x:f>
        <x:v>Hero and Protagonist Archetypes</x:v>
      </x:c>
      <x:c r="F846" s="24" t="n">
        <x:v>3</x:v>
      </x:c>
      <x:c r="G846" s="24" t="str">
        <x:v>Protagonist whose uncertain or severed family ties enable hidden lineage, independence, longing, or social marginality.</x:v>
      </x:c>
      <x:c r="H846" s="24" t="str">
        <x:v>A character can occupy several narrative functions over time; record arc and point of view.</x:v>
      </x:c>
      <x:c r="I846" s="24" t="str">
        <x:v>orphan; foundling; abandoned heir</x:v>
      </x:c>
      <x:c r="J846" s="24" t="str">
        <x:v>Structures identification, growth, burden, agency, legitimacy, and transformation.</x:v>
      </x:c>
      <x:c r="K846" s="24" t="str">
        <x:v>orphan; foundling; abandoned heir</x:v>
      </x:c>
      <x:c r="L846" s="24" t="str">
        <x:v>Preserve each source's ontology, culture, history, and terminology when making comparisons.</x:v>
      </x:c>
      <x:c r="M846" s="24" t="str">
        <x:v>Core Family</x:v>
      </x:c>
    </x:row>
    <x:row r="847" ht="44" customHeight="1">
      <x:c r="A847" s="24" t="str">
        <x:v>NAR-106</x:v>
      </x:c>
      <x:c r="B847" s="24" t="str">
        <x:v>Hidden Royal or Secret Heir</x:v>
      </x:c>
      <x:c r="C847" s="24" t="str">
        <x:v>Narrative Archetypes</x:v>
      </x:c>
      <x:c r="D847" s="24" t="str">
        <x:v>NAR-100</x:v>
      </x:c>
      <x:c r="E847" s="24" t="str">
        <x:f>IF(D847="","",IFERROR(VLOOKUP(D847,$A$2:$B$1226,2,FALSE),""))</x:f>
        <x:v>Hero and Protagonist Archetypes</x:v>
      </x:c>
      <x:c r="F847" s="24" t="n">
        <x:v>3</x:v>
      </x:c>
      <x:c r="G847" s="24" t="str">
        <x:v>Protagonist whose concealed ancestry grants a claim, burden, target, or political destiny.</x:v>
      </x:c>
      <x:c r="H847" s="24" t="str">
        <x:v>A character can occupy several narrative functions over time; record arc and point of view.</x:v>
      </x:c>
      <x:c r="I847" s="24" t="str">
        <x:v>secret prince; lost princess; hidden heir</x:v>
      </x:c>
      <x:c r="J847" s="24" t="str">
        <x:v>Structures identification, growth, burden, agency, legitimacy, and transformation.</x:v>
      </x:c>
      <x:c r="K847" s="24" t="str">
        <x:v>secret prince; lost princess; hidden heir</x:v>
      </x:c>
      <x:c r="L847" s="24" t="str">
        <x:v>Preserve each source's ontology, culture, history, and terminology when making comparisons.</x:v>
      </x:c>
      <x:c r="M847" s="24" t="str">
        <x:v>Core Family</x:v>
      </x:c>
    </x:row>
    <x:row r="848" ht="44" customHeight="1">
      <x:c r="A848" s="24" t="str">
        <x:v>NAR-107</x:v>
      </x:c>
      <x:c r="B848" s="24" t="str">
        <x:v>Exiled Heir</x:v>
      </x:c>
      <x:c r="C848" s="24" t="str">
        <x:v>Narrative Archetypes</x:v>
      </x:c>
      <x:c r="D848" s="24" t="str">
        <x:v>NAR-100</x:v>
      </x:c>
      <x:c r="E848" s="24" t="str">
        <x:f>IF(D848="","",IFERROR(VLOOKUP(D848,$A$2:$B$1226,2,FALSE),""))</x:f>
        <x:v>Hero and Protagonist Archetypes</x:v>
      </x:c>
      <x:c r="F848" s="24" t="n">
        <x:v>3</x:v>
      </x:c>
      <x:c r="G848" s="24" t="str">
        <x:v>Dispossessed dynastic figure seeking survival, restoration, revenge, or a new identity.</x:v>
      </x:c>
      <x:c r="H848" s="24" t="str">
        <x:v>A character can occupy several narrative functions over time; record arc and point of view.</x:v>
      </x:c>
      <x:c r="I848" s="24" t="str">
        <x:v>exiled prince; dispossessed queen; wandering heir</x:v>
      </x:c>
      <x:c r="J848" s="24" t="str">
        <x:v>Structures identification, growth, burden, agency, legitimacy, and transformation.</x:v>
      </x:c>
      <x:c r="K848" s="24" t="str">
        <x:v>exiled prince; dispossessed queen; wandering heir</x:v>
      </x:c>
      <x:c r="L848" s="24" t="str">
        <x:v>Preserve each source's ontology, culture, history, and terminology when making comparisons.</x:v>
      </x:c>
      <x:c r="M848" s="24" t="str">
        <x:v>Core Family</x:v>
      </x:c>
    </x:row>
    <x:row r="849" ht="44" customHeight="1">
      <x:c r="A849" s="24" t="str">
        <x:v>NAR-108</x:v>
      </x:c>
      <x:c r="B849" s="24" t="str">
        <x:v>Returning King or Restorer</x:v>
      </x:c>
      <x:c r="C849" s="24" t="str">
        <x:v>Narrative Archetypes</x:v>
      </x:c>
      <x:c r="D849" s="24" t="str">
        <x:v>NAR-100</x:v>
      </x:c>
      <x:c r="E849" s="24" t="str">
        <x:f>IF(D849="","",IFERROR(VLOOKUP(D849,$A$2:$B$1226,2,FALSE),""))</x:f>
        <x:v>Hero and Protagonist Archetypes</x:v>
      </x:c>
      <x:c r="F849" s="24" t="n">
        <x:v>3</x:v>
      </x:c>
      <x:c r="G849" s="24" t="str">
        <x:v>Figure whose return promises legitimate order, healing, unification, or contested restoration.</x:v>
      </x:c>
      <x:c r="H849" s="24" t="str">
        <x:v>A character can occupy several narrative functions over time; record arc and point of view.</x:v>
      </x:c>
      <x:c r="I849" s="24" t="str">
        <x:v>returning king; rightful ruler; restorer</x:v>
      </x:c>
      <x:c r="J849" s="24" t="str">
        <x:v>Structures identification, growth, burden, agency, legitimacy, and transformation.</x:v>
      </x:c>
      <x:c r="K849" s="24" t="str">
        <x:v>returning king; rightful ruler; restorer</x:v>
      </x:c>
      <x:c r="L849" s="24" t="str">
        <x:v>Preserve each source's ontology, culture, history, and terminology when making comparisons.</x:v>
      </x:c>
      <x:c r="M849" s="24" t="str">
        <x:v>Core Family</x:v>
      </x:c>
    </x:row>
    <x:row r="850" ht="44" customHeight="1">
      <x:c r="A850" s="24" t="str">
        <x:v>NAR-109</x:v>
      </x:c>
      <x:c r="B850" s="24" t="str">
        <x:v>Cursed Hero</x:v>
      </x:c>
      <x:c r="C850" s="24" t="str">
        <x:v>Narrative Archetypes</x:v>
      </x:c>
      <x:c r="D850" s="24" t="str">
        <x:v>NAR-100</x:v>
      </x:c>
      <x:c r="E850" s="24" t="str">
        <x:f>IF(D850="","",IFERROR(VLOOKUP(D850,$A$2:$B$1226,2,FALSE),""))</x:f>
        <x:v>Hero and Protagonist Archetypes</x:v>
      </x:c>
      <x:c r="F850" s="24" t="n">
        <x:v>3</x:v>
      </x:c>
      <x:c r="G850" s="24" t="str">
        <x:v>Protagonist whose power or destiny is inseparable from a damaging curse, corruption, hunger, or transformation.</x:v>
      </x:c>
      <x:c r="H850" s="24" t="str">
        <x:v>A character can occupy several narrative functions over time; record arc and point of view.</x:v>
      </x:c>
      <x:c r="I850" s="24" t="str">
        <x:v>cursed warrior; doomed champion; monster within</x:v>
      </x:c>
      <x:c r="J850" s="24" t="str">
        <x:v>Structures identification, growth, burden, agency, legitimacy, and transformation.</x:v>
      </x:c>
      <x:c r="K850" s="24" t="str">
        <x:v>cursed warrior; doomed champion; monster within</x:v>
      </x:c>
      <x:c r="L850" s="24" t="str">
        <x:v>Preserve each source's ontology, culture, history, and terminology when making comparisons.</x:v>
      </x:c>
      <x:c r="M850" s="24" t="str">
        <x:v>Core Family</x:v>
      </x:c>
    </x:row>
    <x:row r="851" ht="44" customHeight="1">
      <x:c r="A851" s="24" t="str">
        <x:v>NAR-110</x:v>
      </x:c>
      <x:c r="B851" s="24" t="str">
        <x:v>Monster Protagonist</x:v>
      </x:c>
      <x:c r="C851" s="24" t="str">
        <x:v>Narrative Archetypes</x:v>
      </x:c>
      <x:c r="D851" s="24" t="str">
        <x:v>NAR-100</x:v>
      </x:c>
      <x:c r="E851" s="24" t="str">
        <x:f>IF(D851="","",IFERROR(VLOOKUP(D851,$A$2:$B$1226,2,FALSE),""))</x:f>
        <x:v>Hero and Protagonist Archetypes</x:v>
      </x:c>
      <x:c r="F851" s="24" t="n">
        <x:v>3</x:v>
      </x:c>
      <x:c r="G851" s="24" t="str">
        <x:v>Nonhuman or socially monstrous protagonist whose point of view challenges ordinary categories of personhood and threat.</x:v>
      </x:c>
      <x:c r="H851" s="24" t="str">
        <x:v>A character can occupy several narrative functions over time; record arc and point of view.</x:v>
      </x:c>
      <x:c r="I851" s="24" t="str">
        <x:v>monster hero; nonhuman protagonist</x:v>
      </x:c>
      <x:c r="J851" s="24" t="str">
        <x:v>Structures identification, growth, burden, agency, legitimacy, and transformation.</x:v>
      </x:c>
      <x:c r="K851" s="24" t="str">
        <x:v>monster hero; nonhuman protagonist</x:v>
      </x:c>
      <x:c r="L851" s="24" t="str">
        <x:v>Preserve each source's ontology, culture, history, and terminology when making comparisons.</x:v>
      </x:c>
      <x:c r="M851" s="24" t="str">
        <x:v>Core Family</x:v>
      </x:c>
    </x:row>
    <x:row r="852" ht="44" customHeight="1">
      <x:c r="A852" s="24" t="str">
        <x:v>NAR-111</x:v>
      </x:c>
      <x:c r="B852" s="24" t="str">
        <x:v>Antihero</x:v>
      </x:c>
      <x:c r="C852" s="24" t="str">
        <x:v>Narrative Archetypes</x:v>
      </x:c>
      <x:c r="D852" s="24" t="str">
        <x:v>NAR-100</x:v>
      </x:c>
      <x:c r="E852" s="24" t="str">
        <x:f>IF(D852="","",IFERROR(VLOOKUP(D852,$A$2:$B$1226,2,FALSE),""))</x:f>
        <x:v>Hero and Protagonist Archetypes</x:v>
      </x:c>
      <x:c r="F852" s="24" t="n">
        <x:v>3</x:v>
      </x:c>
      <x:c r="G852" s="24" t="str">
        <x:v>Central figure whose methods, motives, virtues, or social identity conflict with conventional heroism.</x:v>
      </x:c>
      <x:c r="H852" s="24" t="str">
        <x:v>A character can occupy several narrative functions over time; record arc and point of view.</x:v>
      </x:c>
      <x:c r="I852" s="24" t="str">
        <x:v>antihero; morally gray protagonist</x:v>
      </x:c>
      <x:c r="J852" s="24" t="str">
        <x:v>Structures identification, growth, burden, agency, legitimacy, and transformation.</x:v>
      </x:c>
      <x:c r="K852" s="24" t="str">
        <x:v>antihero; morally gray protagonist</x:v>
      </x:c>
      <x:c r="L852" s="24" t="str">
        <x:v>Preserve each source's ontology, culture, history, and terminology when making comparisons.</x:v>
      </x:c>
      <x:c r="M852" s="24" t="str">
        <x:v>Core Family</x:v>
      </x:c>
    </x:row>
    <x:row r="853" ht="44" customHeight="1">
      <x:c r="A853" s="24" t="str">
        <x:v>NAR-112</x:v>
      </x:c>
      <x:c r="B853" s="24" t="str">
        <x:v>Tragic Hero</x:v>
      </x:c>
      <x:c r="C853" s="24" t="str">
        <x:v>Narrative Archetypes</x:v>
      </x:c>
      <x:c r="D853" s="24" t="str">
        <x:v>NAR-100</x:v>
      </x:c>
      <x:c r="E853" s="24" t="str">
        <x:f>IF(D853="","",IFERROR(VLOOKUP(D853,$A$2:$B$1226,2,FALSE),""))</x:f>
        <x:v>Hero and Protagonist Archetypes</x:v>
      </x:c>
      <x:c r="F853" s="24" t="n">
        <x:v>3</x:v>
      </x:c>
      <x:c r="G853" s="24" t="str">
        <x:v>Protagonist whose greatness, flaw, obligation, or circumstances lead toward irreversible ruin.</x:v>
      </x:c>
      <x:c r="H853" s="24" t="str">
        <x:v>A character can occupy several narrative functions over time; record arc and point of view.</x:v>
      </x:c>
      <x:c r="I853" s="24" t="str">
        <x:v>tragic hero; doomed hero</x:v>
      </x:c>
      <x:c r="J853" s="24" t="str">
        <x:v>Structures identification, growth, burden, agency, legitimacy, and transformation.</x:v>
      </x:c>
      <x:c r="K853" s="24" t="str">
        <x:v>tragic hero; doomed hero</x:v>
      </x:c>
      <x:c r="L853" s="24" t="str">
        <x:v>Preserve each source's ontology, culture, history, and terminology when making comparisons.</x:v>
      </x:c>
      <x:c r="M853" s="24" t="str">
        <x:v>Core Family</x:v>
      </x:c>
    </x:row>
    <x:row r="854" ht="44" customHeight="1">
      <x:c r="A854" s="24" t="str">
        <x:v>NAR-113</x:v>
      </x:c>
      <x:c r="B854" s="24" t="str">
        <x:v>Fallen Hero</x:v>
      </x:c>
      <x:c r="C854" s="24" t="str">
        <x:v>Narrative Archetypes</x:v>
      </x:c>
      <x:c r="D854" s="24" t="str">
        <x:v>NAR-100</x:v>
      </x:c>
      <x:c r="E854" s="24" t="str">
        <x:f>IF(D854="","",IFERROR(VLOOKUP(D854,$A$2:$B$1226,2,FALSE),""))</x:f>
        <x:v>Hero and Protagonist Archetypes</x:v>
      </x:c>
      <x:c r="F854" s="24" t="n">
        <x:v>3</x:v>
      </x:c>
      <x:c r="G854" s="24" t="str">
        <x:v>Former champion who becomes compromised, corrupt, defeated, antagonistic, or unable to embody prior ideals.</x:v>
      </x:c>
      <x:c r="H854" s="24" t="str">
        <x:v>A character can occupy several narrative functions over time; record arc and point of view.</x:v>
      </x:c>
      <x:c r="I854" s="24" t="str">
        <x:v>fallen hero; broken champion</x:v>
      </x:c>
      <x:c r="J854" s="24" t="str">
        <x:v>Structures identification, growth, burden, agency, legitimacy, and transformation.</x:v>
      </x:c>
      <x:c r="K854" s="24" t="str">
        <x:v>fallen hero; broken champion</x:v>
      </x:c>
      <x:c r="L854" s="24" t="str">
        <x:v>Preserve each source's ontology, culture, history, and terminology when making comparisons.</x:v>
      </x:c>
      <x:c r="M854" s="24" t="str">
        <x:v>Core Family</x:v>
      </x:c>
    </x:row>
    <x:row r="855" ht="44" customHeight="1">
      <x:c r="A855" s="24" t="str">
        <x:v>NAR-114</x:v>
      </x:c>
      <x:c r="B855" s="24" t="str">
        <x:v>Redeemed Villain</x:v>
      </x:c>
      <x:c r="C855" s="24" t="str">
        <x:v>Narrative Archetypes</x:v>
      </x:c>
      <x:c r="D855" s="24" t="str">
        <x:v>NAR-100</x:v>
      </x:c>
      <x:c r="E855" s="24" t="str">
        <x:f>IF(D855="","",IFERROR(VLOOKUP(D855,$A$2:$B$1226,2,FALSE),""))</x:f>
        <x:v>Hero and Protagonist Archetypes</x:v>
      </x:c>
      <x:c r="F855" s="24" t="n">
        <x:v>3</x:v>
      </x:c>
      <x:c r="G855" s="24" t="str">
        <x:v>Former antagonist who accepts responsibility, changes allegiance, or sacrifices for a better cause.</x:v>
      </x:c>
      <x:c r="H855" s="24" t="str">
        <x:v>A character can occupy several narrative functions over time; record arc and point of view.</x:v>
      </x:c>
      <x:c r="I855" s="24" t="str">
        <x:v>redemption arc; former villain ally</x:v>
      </x:c>
      <x:c r="J855" s="24" t="str">
        <x:v>Structures identification, growth, burden, agency, legitimacy, and transformation.</x:v>
      </x:c>
      <x:c r="K855" s="24" t="str">
        <x:v>redemption arc; former villain ally</x:v>
      </x:c>
      <x:c r="L855" s="24" t="str">
        <x:v>Preserve each source's ontology, culture, history, and terminology when making comparisons.</x:v>
      </x:c>
      <x:c r="M855" s="24" t="str">
        <x:v>Core Family</x:v>
      </x:c>
    </x:row>
    <x:row r="856" ht="44" customHeight="1">
      <x:c r="A856" s="24" t="str">
        <x:v>NAR-115</x:v>
      </x:c>
      <x:c r="B856" s="24" t="str">
        <x:v>Corrupted Champion</x:v>
      </x:c>
      <x:c r="C856" s="24" t="str">
        <x:v>Narrative Archetypes</x:v>
      </x:c>
      <x:c r="D856" s="24" t="str">
        <x:v>NAR-100</x:v>
      </x:c>
      <x:c r="E856" s="24" t="str">
        <x:f>IF(D856="","",IFERROR(VLOOKUP(D856,$A$2:$B$1226,2,FALSE),""))</x:f>
        <x:v>Hero and Protagonist Archetypes</x:v>
      </x:c>
      <x:c r="F856" s="24" t="n">
        <x:v>3</x:v>
      </x:c>
      <x:c r="G856" s="24" t="str">
        <x:v>Heroic figure gradually transformed into an agent of the threat they opposed.</x:v>
      </x:c>
      <x:c r="H856" s="24" t="str">
        <x:v>A character can occupy several narrative functions over time; record arc and point of view.</x:v>
      </x:c>
      <x:c r="I856" s="24" t="str">
        <x:v>corrupted hero; dark champion; fallen paladin</x:v>
      </x:c>
      <x:c r="J856" s="24" t="str">
        <x:v>Structures identification, growth, burden, agency, legitimacy, and transformation.</x:v>
      </x:c>
      <x:c r="K856" s="24" t="str">
        <x:v>corrupted hero; dark champion; fallen paladin</x:v>
      </x:c>
      <x:c r="L856" s="24" t="str">
        <x:v>Preserve each source's ontology, culture, history, and terminology when making comparisons.</x:v>
      </x:c>
      <x:c r="M856" s="24" t="str">
        <x:v>Core Family</x:v>
      </x:c>
    </x:row>
    <x:row r="857" ht="44" customHeight="1">
      <x:c r="A857" s="24" t="str">
        <x:v>NAR-116</x:v>
      </x:c>
      <x:c r="B857" s="24" t="str">
        <x:v>Byronic or Brooding Hero</x:v>
      </x:c>
      <x:c r="C857" s="24" t="str">
        <x:v>Narrative Archetypes</x:v>
      </x:c>
      <x:c r="D857" s="24" t="str">
        <x:v>NAR-100</x:v>
      </x:c>
      <x:c r="E857" s="24" t="str">
        <x:f>IF(D857="","",IFERROR(VLOOKUP(D857,$A$2:$B$1226,2,FALSE),""))</x:f>
        <x:v>Hero and Protagonist Archetypes</x:v>
      </x:c>
      <x:c r="F857" s="24" t="n">
        <x:v>3</x:v>
      </x:c>
      <x:c r="G857" s="24" t="str">
        <x:v>Charismatic, isolated, transgressive protagonist marked by guilt, pride, secrecy, or destructive intensity.</x:v>
      </x:c>
      <x:c r="H857" s="24" t="str">
        <x:v>A character can occupy several narrative functions over time; record arc and point of view.</x:v>
      </x:c>
      <x:c r="I857" s="24" t="str">
        <x:v>Byronic hero; brooding swordsman</x:v>
      </x:c>
      <x:c r="J857" s="24" t="str">
        <x:v>Structures identification, growth, burden, agency, legitimacy, and transformation.</x:v>
      </x:c>
      <x:c r="K857" s="24" t="str">
        <x:v>Byronic hero; brooding swordsman</x:v>
      </x:c>
      <x:c r="L857" s="24" t="str">
        <x:v>Preserve each source's ontology, culture, history, and terminology when making comparisons.</x:v>
      </x:c>
      <x:c r="M857" s="24" t="str">
        <x:v>Core Family</x:v>
      </x:c>
    </x:row>
    <x:row r="858" ht="44" customHeight="1">
      <x:c r="A858" s="24" t="str">
        <x:v>NAR-117</x:v>
      </x:c>
      <x:c r="B858" s="24" t="str">
        <x:v>Rogue with a Heart</x:v>
      </x:c>
      <x:c r="C858" s="24" t="str">
        <x:v>Narrative Archetypes</x:v>
      </x:c>
      <x:c r="D858" s="24" t="str">
        <x:v>NAR-100</x:v>
      </x:c>
      <x:c r="E858" s="24" t="str">
        <x:f>IF(D858="","",IFERROR(VLOOKUP(D858,$A$2:$B$1226,2,FALSE),""))</x:f>
        <x:v>Hero and Protagonist Archetypes</x:v>
      </x:c>
      <x:c r="F858" s="24" t="n">
        <x:v>3</x:v>
      </x:c>
      <x:c r="G858" s="24" t="str">
        <x:v>Self-interested thief, smuggler, mercenary, or trickster who repeatedly reveals loyalty and moral limits.</x:v>
      </x:c>
      <x:c r="H858" s="24" t="str">
        <x:v>A character can occupy several narrative functions over time; record arc and point of view.</x:v>
      </x:c>
      <x:c r="I858" s="24" t="str">
        <x:v>lovable rogue; scoundrel hero</x:v>
      </x:c>
      <x:c r="J858" s="24" t="str">
        <x:v>Structures identification, growth, burden, agency, legitimacy, and transformation.</x:v>
      </x:c>
      <x:c r="K858" s="24" t="str">
        <x:v>lovable rogue; scoundrel hero</x:v>
      </x:c>
      <x:c r="L858" s="24" t="str">
        <x:v>Preserve each source's ontology, culture, history, and terminology when making comparisons.</x:v>
      </x:c>
      <x:c r="M858" s="24" t="str">
        <x:v>Core Family</x:v>
      </x:c>
    </x:row>
    <x:row r="859" ht="44" customHeight="1">
      <x:c r="A859" s="24" t="str">
        <x:v>NAR-118</x:v>
      </x:c>
      <x:c r="B859" s="24" t="str">
        <x:v>Naive Innocent</x:v>
      </x:c>
      <x:c r="C859" s="24" t="str">
        <x:v>Narrative Archetypes</x:v>
      </x:c>
      <x:c r="D859" s="24" t="str">
        <x:v>NAR-100</x:v>
      </x:c>
      <x:c r="E859" s="24" t="str">
        <x:f>IF(D859="","",IFERROR(VLOOKUP(D859,$A$2:$B$1226,2,FALSE),""))</x:f>
        <x:v>Hero and Protagonist Archetypes</x:v>
      </x:c>
      <x:c r="F859" s="24" t="n">
        <x:v>3</x:v>
      </x:c>
      <x:c r="G859" s="24" t="str">
        <x:v>Protagonist whose lack of worldly knowledge exposes corruption, renews wonder, or requires painful maturation.</x:v>
      </x:c>
      <x:c r="H859" s="24" t="str">
        <x:v>A character can occupy several narrative functions over time; record arc and point of view.</x:v>
      </x:c>
      <x:c r="I859" s="24" t="str">
        <x:v>innocent; sheltered hero; pure heart</x:v>
      </x:c>
      <x:c r="J859" s="24" t="str">
        <x:v>Structures identification, growth, burden, agency, legitimacy, and transformation.</x:v>
      </x:c>
      <x:c r="K859" s="24" t="str">
        <x:v>innocent; sheltered hero; pure heart</x:v>
      </x:c>
      <x:c r="L859" s="24" t="str">
        <x:v>Preserve each source's ontology, culture, history, and terminology when making comparisons.</x:v>
      </x:c>
      <x:c r="M859" s="24" t="str">
        <x:v>Core Family</x:v>
      </x:c>
    </x:row>
    <x:row r="860" ht="44" customHeight="1">
      <x:c r="A860" s="24" t="str">
        <x:v>NAR-119</x:v>
      </x:c>
      <x:c r="B860" s="24" t="str">
        <x:v>Last of Their Kind</x:v>
      </x:c>
      <x:c r="C860" s="24" t="str">
        <x:v>Narrative Archetypes</x:v>
      </x:c>
      <x:c r="D860" s="24" t="str">
        <x:v>NAR-100</x:v>
      </x:c>
      <x:c r="E860" s="24" t="str">
        <x:f>IF(D860="","",IFERROR(VLOOKUP(D860,$A$2:$B$1226,2,FALSE),""))</x:f>
        <x:v>Hero and Protagonist Archetypes</x:v>
      </x:c>
      <x:c r="F860" s="24" t="n">
        <x:v>3</x:v>
      </x:c>
      <x:c r="G860" s="24" t="str">
        <x:v>Character burdened by cultural extinction, unique biology, lost knowledge, or the end of a lineage.</x:v>
      </x:c>
      <x:c r="H860" s="24" t="str">
        <x:v>A character can occupy several narrative functions over time; record arc and point of view.</x:v>
      </x:c>
      <x:c r="I860" s="24" t="str">
        <x:v>last survivor; final heir; lone immortal</x:v>
      </x:c>
      <x:c r="J860" s="24" t="str">
        <x:v>Structures identification, growth, burden, agency, legitimacy, and transformation.</x:v>
      </x:c>
      <x:c r="K860" s="24" t="str">
        <x:v>last survivor; final heir; lone immortal</x:v>
      </x:c>
      <x:c r="L860" s="24" t="str">
        <x:v>Preserve each source's ontology, culture, history, and terminology when making comparisons.</x:v>
      </x:c>
      <x:c r="M860" s="24" t="str">
        <x:v>Core Family</x:v>
      </x:c>
    </x:row>
    <x:row r="861" ht="44" customHeight="1">
      <x:c r="A861" s="24" t="str">
        <x:v>NAR-120</x:v>
      </x:c>
      <x:c r="B861" s="24" t="str">
        <x:v>Heir to a Dangerous Power</x:v>
      </x:c>
      <x:c r="C861" s="24" t="str">
        <x:v>Narrative Archetypes</x:v>
      </x:c>
      <x:c r="D861" s="24" t="str">
        <x:v>NAR-100</x:v>
      </x:c>
      <x:c r="E861" s="24" t="str">
        <x:f>IF(D861="","",IFERROR(VLOOKUP(D861,$A$2:$B$1226,2,FALSE),""))</x:f>
        <x:v>Hero and Protagonist Archetypes</x:v>
      </x:c>
      <x:c r="F861" s="24" t="n">
        <x:v>3</x:v>
      </x:c>
      <x:c r="G861" s="24" t="str">
        <x:v>Protagonist inherits an artifact, bloodline, throne, curse, enemy, or cosmic role they did not choose.</x:v>
      </x:c>
      <x:c r="H861" s="24" t="str">
        <x:v>A character can occupy several narrative functions over time; record arc and point of view.</x:v>
      </x:c>
      <x:c r="I861" s="24" t="str">
        <x:v>burdened heir; legacy bearer</x:v>
      </x:c>
      <x:c r="J861" s="24" t="str">
        <x:v>Structures identification, growth, burden, agency, legitimacy, and transformation.</x:v>
      </x:c>
      <x:c r="K861" s="24" t="str">
        <x:v>burdened heir; legacy bearer</x:v>
      </x:c>
      <x:c r="L861" s="24" t="str">
        <x:v>Preserve each source's ontology, culture, history, and terminology when making comparisons.</x:v>
      </x:c>
      <x:c r="M861" s="24" t="str">
        <x:v>Core Family</x:v>
      </x:c>
    </x:row>
    <x:row r="862" ht="44" customHeight="1">
      <x:c r="A862" s="24" t="str">
        <x:v>NAR-121</x:v>
      </x:c>
      <x:c r="B862" s="24" t="str">
        <x:v>Sacrificial Hero</x:v>
      </x:c>
      <x:c r="C862" s="24" t="str">
        <x:v>Narrative Archetypes</x:v>
      </x:c>
      <x:c r="D862" s="24" t="str">
        <x:v>NAR-100</x:v>
      </x:c>
      <x:c r="E862" s="24" t="str">
        <x:f>IF(D862="","",IFERROR(VLOOKUP(D862,$A$2:$B$1226,2,FALSE),""))</x:f>
        <x:v>Hero and Protagonist Archetypes</x:v>
      </x:c>
      <x:c r="F862" s="24" t="n">
        <x:v>3</x:v>
      </x:c>
      <x:c r="G862" s="24" t="str">
        <x:v>Protagonist whose arc culminates in voluntary loss of life, power, identity, future, or relationship for others.</x:v>
      </x:c>
      <x:c r="H862" s="24" t="str">
        <x:v>A character can occupy several narrative functions over time; record arc and point of view.</x:v>
      </x:c>
      <x:c r="I862" s="24" t="str">
        <x:v>martyr hero; self-sacrificing champion</x:v>
      </x:c>
      <x:c r="J862" s="24" t="str">
        <x:v>Structures identification, growth, burden, agency, legitimacy, and transformation.</x:v>
      </x:c>
      <x:c r="K862" s="24" t="str">
        <x:v>martyr hero; self-sacrificing champion</x:v>
      </x:c>
      <x:c r="L862" s="24" t="str">
        <x:v>Preserve each source's ontology, culture, history, and terminology when making comparisons.</x:v>
      </x:c>
      <x:c r="M862" s="24" t="str">
        <x:v>Core Family</x:v>
      </x:c>
    </x:row>
    <x:row r="863" ht="44" customHeight="1">
      <x:c r="A863" s="24" t="str">
        <x:v>NAR-122</x:v>
      </x:c>
      <x:c r="B863" s="24" t="str">
        <x:v>Survivor Protagonist</x:v>
      </x:c>
      <x:c r="C863" s="24" t="str">
        <x:v>Narrative Archetypes</x:v>
      </x:c>
      <x:c r="D863" s="24" t="str">
        <x:v>NAR-100</x:v>
      </x:c>
      <x:c r="E863" s="24" t="str">
        <x:f>IF(D863="","",IFERROR(VLOOKUP(D863,$A$2:$B$1226,2,FALSE),""))</x:f>
        <x:v>Hero and Protagonist Archetypes</x:v>
      </x:c>
      <x:c r="F863" s="24" t="n">
        <x:v>3</x:v>
      </x:c>
      <x:c r="G863" s="24" t="str">
        <x:v>Central figure defined by endurance through catastrophe, war, abuse, exile, or civilizational collapse.</x:v>
      </x:c>
      <x:c r="H863" s="24" t="str">
        <x:v>A character can occupy several narrative functions over time; record arc and point of view.</x:v>
      </x:c>
      <x:c r="I863" s="24" t="str">
        <x:v>survivor; last remnant; refugee hero</x:v>
      </x:c>
      <x:c r="J863" s="24" t="str">
        <x:v>Structures identification, growth, burden, agency, legitimacy, and transformation.</x:v>
      </x:c>
      <x:c r="K863" s="24" t="str">
        <x:v>survivor; last remnant; refugee hero</x:v>
      </x:c>
      <x:c r="L863" s="24" t="str">
        <x:v>Preserve each source's ontology, culture, history, and terminology when making comparisons.</x:v>
      </x:c>
      <x:c r="M863" s="24" t="str">
        <x:v>Core Family</x:v>
      </x:c>
    </x:row>
    <x:row r="864" ht="44" customHeight="1">
      <x:c r="A864" s="24" t="str">
        <x:v>NAR-123</x:v>
      </x:c>
      <x:c r="B864" s="24" t="str">
        <x:v>Revenge Seeker</x:v>
      </x:c>
      <x:c r="C864" s="24" t="str">
        <x:v>Narrative Archetypes</x:v>
      </x:c>
      <x:c r="D864" s="24" t="str">
        <x:v>NAR-100</x:v>
      </x:c>
      <x:c r="E864" s="24" t="str">
        <x:f>IF(D864="","",IFERROR(VLOOKUP(D864,$A$2:$B$1226,2,FALSE),""))</x:f>
        <x:v>Hero and Protagonist Archetypes</x:v>
      </x:c>
      <x:c r="F864" s="24" t="n">
        <x:v>3</x:v>
      </x:c>
      <x:c r="G864" s="24" t="str">
        <x:v>Protagonist whose journey is organized around retribution and the moral consequences of pursuing it.</x:v>
      </x:c>
      <x:c r="H864" s="24" t="str">
        <x:v>A character can occupy several narrative functions over time; record arc and point of view.</x:v>
      </x:c>
      <x:c r="I864" s="24" t="str">
        <x:v>avenger; vengeance hero</x:v>
      </x:c>
      <x:c r="J864" s="24" t="str">
        <x:v>Structures identification, growth, burden, agency, legitimacy, and transformation.</x:v>
      </x:c>
      <x:c r="K864" s="24" t="str">
        <x:v>avenger; vengeance hero</x:v>
      </x:c>
      <x:c r="L864" s="24" t="str">
        <x:v>Preserve each source's ontology, culture, history, and terminology when making comparisons.</x:v>
      </x:c>
      <x:c r="M864" s="24" t="str">
        <x:v>Core Family</x:v>
      </x:c>
    </x:row>
    <x:row r="865" ht="44" customHeight="1">
      <x:c r="A865" s="24" t="str">
        <x:v>NAR-124</x:v>
      </x:c>
      <x:c r="B865" s="24" t="str">
        <x:v>Seeker of Knowledge</x:v>
      </x:c>
      <x:c r="C865" s="24" t="str">
        <x:v>Narrative Archetypes</x:v>
      </x:c>
      <x:c r="D865" s="24" t="str">
        <x:v>NAR-100</x:v>
      </x:c>
      <x:c r="E865" s="24" t="str">
        <x:f>IF(D865="","",IFERROR(VLOOKUP(D865,$A$2:$B$1226,2,FALSE),""))</x:f>
        <x:v>Hero and Protagonist Archetypes</x:v>
      </x:c>
      <x:c r="F865" s="24" t="n">
        <x:v>3</x:v>
      </x:c>
      <x:c r="G865" s="24" t="str">
        <x:v>Protagonist driven by mystery, forbidden truth, exploration, archaeology, or magical research.</x:v>
      </x:c>
      <x:c r="H865" s="24" t="str">
        <x:v>A character can occupy several narrative functions over time; record arc and point of view.</x:v>
      </x:c>
      <x:c r="I865" s="24" t="str">
        <x:v>seeker; scholar hero; truth hunter</x:v>
      </x:c>
      <x:c r="J865" s="24" t="str">
        <x:v>Structures identification, growth, burden, agency, legitimacy, and transformation.</x:v>
      </x:c>
      <x:c r="K865" s="24" t="str">
        <x:v>seeker; scholar hero; truth hunter</x:v>
      </x:c>
      <x:c r="L865" s="24" t="str">
        <x:v>Preserve each source's ontology, culture, history, and terminology when making comparisons.</x:v>
      </x:c>
      <x:c r="M865" s="24" t="str">
        <x:v>Core Family</x:v>
      </x:c>
    </x:row>
    <x:row r="866" ht="44" customHeight="1">
      <x:c r="A866" s="24" t="str">
        <x:v>NAR-125</x:v>
      </x:c>
      <x:c r="B866" s="24" t="str">
        <x:v>Pilgrim or Spiritual Seeker</x:v>
      </x:c>
      <x:c r="C866" s="24" t="str">
        <x:v>Narrative Archetypes</x:v>
      </x:c>
      <x:c r="D866" s="24" t="str">
        <x:v>NAR-100</x:v>
      </x:c>
      <x:c r="E866" s="24" t="str">
        <x:f>IF(D866="","",IFERROR(VLOOKUP(D866,$A$2:$B$1226,2,FALSE),""))</x:f>
        <x:v>Hero and Protagonist Archetypes</x:v>
      </x:c>
      <x:c r="F866" s="24" t="n">
        <x:v>3</x:v>
      </x:c>
      <x:c r="G866" s="24" t="str">
        <x:v>Protagonist whose external journey parallels transformation of faith, identity, or enlightenment.</x:v>
      </x:c>
      <x:c r="H866" s="24" t="str">
        <x:v>A character can occupy several narrative functions over time; record arc and point of view.</x:v>
      </x:c>
      <x:c r="I866" s="24" t="str">
        <x:v>pilgrim; seeker; holy wanderer</x:v>
      </x:c>
      <x:c r="J866" s="24" t="str">
        <x:v>Structures identification, growth, burden, agency, legitimacy, and transformation.</x:v>
      </x:c>
      <x:c r="K866" s="24" t="str">
        <x:v>pilgrim; seeker; holy wanderer</x:v>
      </x:c>
      <x:c r="L866" s="24" t="str">
        <x:v>Preserve each source's ontology, culture, history, and terminology when making comparisons.</x:v>
      </x:c>
      <x:c r="M866" s="24" t="str">
        <x:v>Core Family</x:v>
      </x:c>
    </x:row>
    <x:row r="867" ht="44" customHeight="1">
      <x:c r="A867" s="24" t="str">
        <x:v>NAR-126</x:v>
      </x:c>
      <x:c r="B867" s="24" t="str">
        <x:v>Reincarnated Protagonist</x:v>
      </x:c>
      <x:c r="C867" s="24" t="str">
        <x:v>Narrative Archetypes</x:v>
      </x:c>
      <x:c r="D867" s="24" t="str">
        <x:v>NAR-100</x:v>
      </x:c>
      <x:c r="E867" s="24" t="str">
        <x:f>IF(D867="","",IFERROR(VLOOKUP(D867,$A$2:$B$1226,2,FALSE),""))</x:f>
        <x:v>Hero and Protagonist Archetypes</x:v>
      </x:c>
      <x:c r="F867" s="24" t="n">
        <x:v>3</x:v>
      </x:c>
      <x:c r="G867" s="24" t="str">
        <x:v>Protagonist begins a new life with some memory, advantage, regret, or unfinished purpose from a prior existence.</x:v>
      </x:c>
      <x:c r="H867" s="24" t="str">
        <x:v>A character can occupy several narrative functions over time; record arc and point of view.</x:v>
      </x:c>
      <x:c r="I867" s="24" t="str">
        <x:v>reincarnator; second-life hero</x:v>
      </x:c>
      <x:c r="J867" s="24" t="str">
        <x:v>Structures identification, growth, burden, agency, legitimacy, and transformation.</x:v>
      </x:c>
      <x:c r="K867" s="24" t="str">
        <x:v>reincarnator; second-life hero</x:v>
      </x:c>
      <x:c r="L867" s="24" t="str">
        <x:v>Preserve each source's ontology, culture, history, and terminology when making comparisons.</x:v>
      </x:c>
      <x:c r="M867" s="24" t="str">
        <x:v>Core Family</x:v>
      </x:c>
    </x:row>
    <x:row r="868" ht="44" customHeight="1">
      <x:c r="A868" s="24" t="str">
        <x:v>NAR-127</x:v>
      </x:c>
      <x:c r="B868" s="24" t="str">
        <x:v>Transmigrated or Isekai Protagonist</x:v>
      </x:c>
      <x:c r="C868" s="24" t="str">
        <x:v>Narrative Archetypes</x:v>
      </x:c>
      <x:c r="D868" s="24" t="str">
        <x:v>NAR-100</x:v>
      </x:c>
      <x:c r="E868" s="24" t="str">
        <x:f>IF(D868="","",IFERROR(VLOOKUP(D868,$A$2:$B$1226,2,FALSE),""))</x:f>
        <x:v>Hero and Protagonist Archetypes</x:v>
      </x:c>
      <x:c r="F868" s="24" t="n">
        <x:v>3</x:v>
      </x:c>
      <x:c r="G868" s="24" t="str">
        <x:v>Protagonist enters another world and interprets it through knowledge and identity from elsewhere.</x:v>
      </x:c>
      <x:c r="H868" s="24" t="str">
        <x:v>A character can occupy several narrative functions over time; record arc and point of view.</x:v>
      </x:c>
      <x:c r="I868" s="24" t="str">
        <x:v>isekai hero; world traveler; summoned outsider</x:v>
      </x:c>
      <x:c r="J868" s="24" t="str">
        <x:v>Structures identification, growth, burden, agency, legitimacy, and transformation.</x:v>
      </x:c>
      <x:c r="K868" s="24" t="str">
        <x:v>isekai hero; world traveler; summoned outsider</x:v>
      </x:c>
      <x:c r="L868" s="24" t="str">
        <x:v>Preserve each source's ontology, culture, history, and terminology when making comparisons.</x:v>
      </x:c>
      <x:c r="M868" s="24" t="str">
        <x:v>Core Family</x:v>
      </x:c>
    </x:row>
    <x:row r="869" ht="44" customHeight="1">
      <x:c r="A869" s="24" t="str">
        <x:v>NAR-128</x:v>
      </x:c>
      <x:c r="B869" s="24" t="str">
        <x:v>Regressor</x:v>
      </x:c>
      <x:c r="C869" s="24" t="str">
        <x:v>Narrative Archetypes</x:v>
      </x:c>
      <x:c r="D869" s="24" t="str">
        <x:v>NAR-100</x:v>
      </x:c>
      <x:c r="E869" s="24" t="str">
        <x:f>IF(D869="","",IFERROR(VLOOKUP(D869,$A$2:$B$1226,2,FALSE),""))</x:f>
        <x:v>Hero and Protagonist Archetypes</x:v>
      </x:c>
      <x:c r="F869" s="24" t="n">
        <x:v>3</x:v>
      </x:c>
      <x:c r="G869" s="24" t="str">
        <x:v>Protagonist returns to an earlier point with knowledge of a failed future and attempts to change events.</x:v>
      </x:c>
      <x:c r="H869" s="24" t="str">
        <x:v>A character can occupy several narrative functions over time; record arc and point of view.</x:v>
      </x:c>
      <x:c r="I869" s="24" t="str">
        <x:v>regression hero; time returner</x:v>
      </x:c>
      <x:c r="J869" s="24" t="str">
        <x:v>Structures identification, growth, burden, agency, legitimacy, and transformation.</x:v>
      </x:c>
      <x:c r="K869" s="24" t="str">
        <x:v>regression hero; time returner</x:v>
      </x:c>
      <x:c r="L869" s="24" t="str">
        <x:v>Preserve each source's ontology, culture, history, and terminology when making comparisons.</x:v>
      </x:c>
      <x:c r="M869" s="24" t="str">
        <x:v>Core Family</x:v>
      </x:c>
    </x:row>
    <x:row r="870" ht="44" customHeight="1">
      <x:c r="A870" s="24" t="str">
        <x:v>NAR-129</x:v>
      </x:c>
      <x:c r="B870" s="24" t="str">
        <x:v>Time-Loop Protagonist</x:v>
      </x:c>
      <x:c r="C870" s="24" t="str">
        <x:v>Narrative Archetypes</x:v>
      </x:c>
      <x:c r="D870" s="24" t="str">
        <x:v>NAR-100</x:v>
      </x:c>
      <x:c r="E870" s="24" t="str">
        <x:f>IF(D870="","",IFERROR(VLOOKUP(D870,$A$2:$B$1226,2,FALSE),""))</x:f>
        <x:v>Hero and Protagonist Archetypes</x:v>
      </x:c>
      <x:c r="F870" s="24" t="n">
        <x:v>3</x:v>
      </x:c>
      <x:c r="G870" s="24" t="str">
        <x:v>Protagonist repeatedly experiences events, accumulating knowledge while facing psychological and causal constraints.</x:v>
      </x:c>
      <x:c r="H870" s="24" t="str">
        <x:v>A character can occupy several narrative functions over time; record arc and point of view.</x:v>
      </x:c>
      <x:c r="I870" s="24" t="str">
        <x:v>loop hero; reset survivor</x:v>
      </x:c>
      <x:c r="J870" s="24" t="str">
        <x:v>Structures identification, growth, burden, agency, legitimacy, and transformation.</x:v>
      </x:c>
      <x:c r="K870" s="24" t="str">
        <x:v>loop hero; reset survivor</x:v>
      </x:c>
      <x:c r="L870" s="24" t="str">
        <x:v>Preserve each source's ontology, culture, history, and terminology when making comparisons.</x:v>
      </x:c>
      <x:c r="M870" s="24" t="str">
        <x:v>Core Family</x:v>
      </x:c>
    </x:row>
    <x:row r="871" ht="44" customHeight="1">
      <x:c r="A871" s="24" t="str">
        <x:v>NAR-130</x:v>
      </x:c>
      <x:c r="B871" s="24" t="str">
        <x:v>Overpowered Protagonist</x:v>
      </x:c>
      <x:c r="C871" s="24" t="str">
        <x:v>Narrative Archetypes</x:v>
      </x:c>
      <x:c r="D871" s="24" t="str">
        <x:v>NAR-100</x:v>
      </x:c>
      <x:c r="E871" s="24" t="str">
        <x:f>IF(D871="","",IFERROR(VLOOKUP(D871,$A$2:$B$1226,2,FALSE),""))</x:f>
        <x:v>Hero and Protagonist Archetypes</x:v>
      </x:c>
      <x:c r="F871" s="24" t="n">
        <x:v>3</x:v>
      </x:c>
      <x:c r="G871" s="24" t="str">
        <x:v>Central figure begins with or rapidly gains power that destabilizes ordinary conflict and shifts emphasis to identity, politics, or comedy.</x:v>
      </x:c>
      <x:c r="H871" s="24" t="str">
        <x:v>A character can occupy several narrative functions over time; record arc and point of view.</x:v>
      </x:c>
      <x:c r="I871" s="24" t="str">
        <x:v>OP protagonist; invincible hero</x:v>
      </x:c>
      <x:c r="J871" s="24" t="str">
        <x:v>Structures identification, growth, burden, agency, legitimacy, and transformation.</x:v>
      </x:c>
      <x:c r="K871" s="24" t="str">
        <x:v>OP protagonist; invincible hero</x:v>
      </x:c>
      <x:c r="L871" s="24" t="str">
        <x:v>Preserve each source's ontology, culture, history, and terminology when making comparisons.</x:v>
      </x:c>
      <x:c r="M871" s="24" t="str">
        <x:v>Core Family</x:v>
      </x:c>
    </x:row>
    <x:row r="872" ht="44" customHeight="1">
      <x:c r="A872" s="24" t="str">
        <x:v>NAR-131</x:v>
      </x:c>
      <x:c r="B872" s="24" t="str">
        <x:v>Underdog</x:v>
      </x:c>
      <x:c r="C872" s="24" t="str">
        <x:v>Narrative Archetypes</x:v>
      </x:c>
      <x:c r="D872" s="24" t="str">
        <x:v>NAR-100</x:v>
      </x:c>
      <x:c r="E872" s="24" t="str">
        <x:f>IF(D872="","",IFERROR(VLOOKUP(D872,$A$2:$B$1226,2,FALSE),""))</x:f>
        <x:v>Hero and Protagonist Archetypes</x:v>
      </x:c>
      <x:c r="F872" s="24" t="n">
        <x:v>3</x:v>
      </x:c>
      <x:c r="G872" s="24" t="str">
        <x:v>Protagonist begins with low status, weak power, stigma, or structural disadvantage and advances through skill, allies, or persistence.</x:v>
      </x:c>
      <x:c r="H872" s="24" t="str">
        <x:v>A character can occupy several narrative functions over time; record arc and point of view.</x:v>
      </x:c>
      <x:c r="I872" s="24" t="str">
        <x:v>underdog; weak-to-strong hero</x:v>
      </x:c>
      <x:c r="J872" s="24" t="str">
        <x:v>Structures identification, growth, burden, agency, legitimacy, and transformation.</x:v>
      </x:c>
      <x:c r="K872" s="24" t="str">
        <x:v>underdog; weak-to-strong hero</x:v>
      </x:c>
      <x:c r="L872" s="24" t="str">
        <x:v>Preserve each source's ontology, culture, history, and terminology when making comparisons.</x:v>
      </x:c>
      <x:c r="M872" s="24" t="str">
        <x:v>Core Family</x:v>
      </x:c>
    </x:row>
    <x:row r="873" ht="44" customHeight="1">
      <x:c r="A873" s="24" t="str">
        <x:v>NAR-132</x:v>
      </x:c>
      <x:c r="B873" s="24" t="str">
        <x:v>False Chosen One</x:v>
      </x:c>
      <x:c r="C873" s="24" t="str">
        <x:v>Narrative Archetypes</x:v>
      </x:c>
      <x:c r="D873" s="24" t="str">
        <x:v>NAR-100</x:v>
      </x:c>
      <x:c r="E873" s="24" t="str">
        <x:f>IF(D873="","",IFERROR(VLOOKUP(D873,$A$2:$B$1226,2,FALSE),""))</x:f>
        <x:v>Hero and Protagonist Archetypes</x:v>
      </x:c>
      <x:c r="F873" s="24" t="n">
        <x:v>3</x:v>
      </x:c>
      <x:c r="G873" s="24" t="str">
        <x:v>Character is mistakenly or manipulatively identified as the prophesied savior, or the prophecy itself is subverted.</x:v>
      </x:c>
      <x:c r="H873" s="24" t="str">
        <x:v>A character can occupy several narrative functions over time; record arc and point of view.</x:v>
      </x:c>
      <x:c r="I873" s="24" t="str">
        <x:v>false hero; mistaken chosen one</x:v>
      </x:c>
      <x:c r="J873" s="24" t="str">
        <x:v>Structures identification, growth, burden, agency, legitimacy, and transformation.</x:v>
      </x:c>
      <x:c r="K873" s="24" t="str">
        <x:v>false hero; mistaken chosen one</x:v>
      </x:c>
      <x:c r="L873" s="24" t="str">
        <x:v>Preserve each source's ontology, culture, history, and terminology when making comparisons.</x:v>
      </x:c>
      <x:c r="M873" s="24" t="str">
        <x:v>Core Family</x:v>
      </x:c>
    </x:row>
    <x:row r="874" ht="44" customHeight="1">
      <x:c r="A874" s="24" t="str">
        <x:v>NAR-133</x:v>
      </x:c>
      <x:c r="B874" s="24" t="str">
        <x:v>Multiple or Collective Protagonist</x:v>
      </x:c>
      <x:c r="C874" s="24" t="str">
        <x:v>Narrative Archetypes</x:v>
      </x:c>
      <x:c r="D874" s="24" t="str">
        <x:v>NAR-100</x:v>
      </x:c>
      <x:c r="E874" s="24" t="str">
        <x:f>IF(D874="","",IFERROR(VLOOKUP(D874,$A$2:$B$1226,2,FALSE),""))</x:f>
        <x:v>Hero and Protagonist Archetypes</x:v>
      </x:c>
      <x:c r="F874" s="24" t="n">
        <x:v>3</x:v>
      </x:c>
      <x:c r="G874" s="24" t="str">
        <x:v>Narrative distributes central agency across a party, family, army, city, or ensemble rather than one hero.</x:v>
      </x:c>
      <x:c r="H874" s="24" t="str">
        <x:v>A character can occupy several narrative functions over time; record arc and point of view.</x:v>
      </x:c>
      <x:c r="I874" s="24" t="str">
        <x:v>ensemble cast; collective hero</x:v>
      </x:c>
      <x:c r="J874" s="24" t="str">
        <x:v>Structures identification, growth, burden, agency, legitimacy, and transformation.</x:v>
      </x:c>
      <x:c r="K874" s="24" t="str">
        <x:v>ensemble cast; collective hero</x:v>
      </x:c>
      <x:c r="L874" s="24" t="str">
        <x:v>Preserve each source's ontology, culture, history, and terminology when making comparisons.</x:v>
      </x:c>
      <x:c r="M874" s="24" t="str">
        <x:v>Core Family</x:v>
      </x:c>
    </x:row>
    <x:row r="875" ht="44" customHeight="1">
      <x:c r="A875" s="24" t="str">
        <x:v>NAR-134</x:v>
      </x:c>
      <x:c r="B875" s="24" t="str">
        <x:v>Unreliable Protagonist</x:v>
      </x:c>
      <x:c r="C875" s="24" t="str">
        <x:v>Narrative Archetypes</x:v>
      </x:c>
      <x:c r="D875" s="24" t="str">
        <x:v>NAR-100</x:v>
      </x:c>
      <x:c r="E875" s="24" t="str">
        <x:f>IF(D875="","",IFERROR(VLOOKUP(D875,$A$2:$B$1226,2,FALSE),""))</x:f>
        <x:v>Hero and Protagonist Archetypes</x:v>
      </x:c>
      <x:c r="F875" s="24" t="n">
        <x:v>3</x:v>
      </x:c>
      <x:c r="G875" s="24" t="str">
        <x:v>Central viewpoint misperceives, conceals, forgets, or distorts key realities.</x:v>
      </x:c>
      <x:c r="H875" s="24" t="str">
        <x:v>A character can occupy several narrative functions over time; record arc and point of view.</x:v>
      </x:c>
      <x:c r="I875" s="24" t="str">
        <x:v>unreliable narrator; fragmented hero</x:v>
      </x:c>
      <x:c r="J875" s="24" t="str">
        <x:v>Structures identification, growth, burden, agency, legitimacy, and transformation.</x:v>
      </x:c>
      <x:c r="K875" s="24" t="str">
        <x:v>unreliable narrator; fragmented hero</x:v>
      </x:c>
      <x:c r="L875" s="24" t="str">
        <x:v>Preserve each source's ontology, culture, history, and terminology when making comparisons.</x:v>
      </x:c>
      <x:c r="M875" s="24" t="str">
        <x:v>Core Family</x:v>
      </x:c>
    </x:row>
    <x:row r="876" ht="44" customHeight="1">
      <x:c r="A876" s="24" t="str">
        <x:v>NAR-135</x:v>
      </x:c>
      <x:c r="B876" s="24" t="str">
        <x:v>Villain Protagonist</x:v>
      </x:c>
      <x:c r="C876" s="24" t="str">
        <x:v>Narrative Archetypes</x:v>
      </x:c>
      <x:c r="D876" s="24" t="str">
        <x:v>NAR-100</x:v>
      </x:c>
      <x:c r="E876" s="24" t="str">
        <x:f>IF(D876="","",IFERROR(VLOOKUP(D876,$A$2:$B$1226,2,FALSE),""))</x:f>
        <x:v>Hero and Protagonist Archetypes</x:v>
      </x:c>
      <x:c r="F876" s="24" t="n">
        <x:v>3</x:v>
      </x:c>
      <x:c r="G876" s="24" t="str">
        <x:v>Narrative centers a ruler, conqueror, monster, criminal, or antagonist-coded figure without requiring moral rehabilitation.</x:v>
      </x:c>
      <x:c r="H876" s="24" t="str">
        <x:v>A character can occupy several narrative functions over time; record arc and point of view.</x:v>
      </x:c>
      <x:c r="I876" s="24" t="str">
        <x:v>villain lead; demon lord protagonist</x:v>
      </x:c>
      <x:c r="J876" s="24" t="str">
        <x:v>Structures identification, growth, burden, agency, legitimacy, and transformation.</x:v>
      </x:c>
      <x:c r="K876" s="24" t="str">
        <x:v>villain lead; demon lord protagonist</x:v>
      </x:c>
      <x:c r="L876" s="24" t="str">
        <x:v>Preserve each source's ontology, culture, history, and terminology when making comparisons.</x:v>
      </x:c>
      <x:c r="M876" s="24" t="str">
        <x:v>Core Family</x:v>
      </x:c>
    </x:row>
    <x:row r="877" ht="44" customHeight="1">
      <x:c r="A877" s="24" t="str">
        <x:v>NAR-136</x:v>
      </x:c>
      <x:c r="B877" s="24" t="str">
        <x:v>Dungeon-Lord Protagonist</x:v>
      </x:c>
      <x:c r="C877" s="24" t="str">
        <x:v>Narrative Archetypes</x:v>
      </x:c>
      <x:c r="D877" s="24" t="str">
        <x:v>NAR-100</x:v>
      </x:c>
      <x:c r="E877" s="24" t="str">
        <x:f>IF(D877="","",IFERROR(VLOOKUP(D877,$A$2:$B$1226,2,FALSE),""))</x:f>
        <x:v>Hero and Protagonist Archetypes</x:v>
      </x:c>
      <x:c r="F877" s="24" t="n">
        <x:v>3</x:v>
      </x:c>
      <x:c r="G877" s="24" t="str">
        <x:v>Central figure builds, governs, or embodies a dungeon and negotiates between management, ecology, defense, and conquest.</x:v>
      </x:c>
      <x:c r="H877" s="24" t="str">
        <x:v>A character can occupy several narrative functions over time; record arc and point of view.</x:v>
      </x:c>
      <x:c r="I877" s="24" t="str">
        <x:v>dungeon core; dungeon master protagonist</x:v>
      </x:c>
      <x:c r="J877" s="24" t="str">
        <x:v>Structures identification, growth, burden, agency, legitimacy, and transformation.</x:v>
      </x:c>
      <x:c r="K877" s="24" t="str">
        <x:v>dungeon core; dungeon master protagonist</x:v>
      </x:c>
      <x:c r="L877" s="24" t="str">
        <x:v>Preserve each source's ontology, culture, history, and terminology when making comparisons.</x:v>
      </x:c>
      <x:c r="M877" s="24" t="str">
        <x:v>Core Family</x:v>
      </x:c>
    </x:row>
    <x:row r="878" ht="44" customHeight="1">
      <x:c r="A878" s="24" t="str">
        <x:v>NAR-137</x:v>
      </x:c>
      <x:c r="B878" s="24" t="str">
        <x:v>Crafting or Builder Protagonist</x:v>
      </x:c>
      <x:c r="C878" s="24" t="str">
        <x:v>Narrative Archetypes</x:v>
      </x:c>
      <x:c r="D878" s="24" t="str">
        <x:v>NAR-100</x:v>
      </x:c>
      <x:c r="E878" s="24" t="str">
        <x:f>IF(D878="","",IFERROR(VLOOKUP(D878,$A$2:$B$1226,2,FALSE),""))</x:f>
        <x:v>Hero and Protagonist Archetypes</x:v>
      </x:c>
      <x:c r="F878" s="24" t="n">
        <x:v>3</x:v>
      </x:c>
      <x:c r="G878" s="24" t="str">
        <x:v>Central figure solves problems primarily through making, settlement, economy, food, or infrastructure rather than combat.</x:v>
      </x:c>
      <x:c r="H878" s="24" t="str">
        <x:v>A character can occupy several narrative functions over time; record arc and point of view.</x:v>
      </x:c>
      <x:c r="I878" s="24" t="str">
        <x:v>crafter hero; kingdom builder; culinary protagonist</x:v>
      </x:c>
      <x:c r="J878" s="24" t="str">
        <x:v>Structures identification, growth, burden, agency, legitimacy, and transformation.</x:v>
      </x:c>
      <x:c r="K878" s="24" t="str">
        <x:v>crafter hero; kingdom builder; culinary protagonist</x:v>
      </x:c>
      <x:c r="L878" s="24" t="str">
        <x:v>Preserve each source's ontology, culture, history, and terminology when making comparisons.</x:v>
      </x:c>
      <x:c r="M878" s="24" t="str">
        <x:v>Core Family</x:v>
      </x:c>
    </x:row>
    <x:row r="879" ht="44" customHeight="1">
      <x:c r="A879" s="24" t="str">
        <x:v>NAR-138</x:v>
      </x:c>
      <x:c r="B879" s="24" t="str">
        <x:v>Healer Protagonist</x:v>
      </x:c>
      <x:c r="C879" s="24" t="str">
        <x:v>Narrative Archetypes</x:v>
      </x:c>
      <x:c r="D879" s="24" t="str">
        <x:v>NAR-100</x:v>
      </x:c>
      <x:c r="E879" s="24" t="str">
        <x:f>IF(D879="","",IFERROR(VLOOKUP(D879,$A$2:$B$1226,2,FALSE),""))</x:f>
        <x:v>Hero and Protagonist Archetypes</x:v>
      </x:c>
      <x:c r="F879" s="24" t="n">
        <x:v>3</x:v>
      </x:c>
      <x:c r="G879" s="24" t="str">
        <x:v>Central figure's primary power and moral conflict centers on care, restoration, triage, and the politics of healing.</x:v>
      </x:c>
      <x:c r="H879" s="24" t="str">
        <x:v>A character can occupy several narrative functions over time; record arc and point of view.</x:v>
      </x:c>
      <x:c r="I879" s="24" t="str">
        <x:v>healer lead; saint protagonist</x:v>
      </x:c>
      <x:c r="J879" s="24" t="str">
        <x:v>Structures identification, growth, burden, agency, legitimacy, and transformation.</x:v>
      </x:c>
      <x:c r="K879" s="24" t="str">
        <x:v>healer lead; saint protagonist</x:v>
      </x:c>
      <x:c r="L879" s="24" t="str">
        <x:v>Preserve each source's ontology, culture, history, and terminology when making comparisons.</x:v>
      </x:c>
      <x:c r="M879" s="24" t="str">
        <x:v>Core Family</x:v>
      </x:c>
    </x:row>
    <x:row r="880" ht="44" customHeight="1">
      <x:c r="A880" s="24" t="str">
        <x:v>NAR-139</x:v>
      </x:c>
      <x:c r="B880" s="24" t="str">
        <x:v>Noncombatant Witness</x:v>
      </x:c>
      <x:c r="C880" s="24" t="str">
        <x:v>Narrative Archetypes</x:v>
      </x:c>
      <x:c r="D880" s="24" t="str">
        <x:v>NAR-100</x:v>
      </x:c>
      <x:c r="E880" s="24" t="str">
        <x:f>IF(D880="","",IFERROR(VLOOKUP(D880,$A$2:$B$1226,2,FALSE),""))</x:f>
        <x:v>Hero and Protagonist Archetypes</x:v>
      </x:c>
      <x:c r="F880" s="24" t="n">
        <x:v>3</x:v>
      </x:c>
      <x:c r="G880" s="24" t="str">
        <x:v>Central figure lacks conventional heroic power but mediates events through observation, memory, diplomacy, or survival.</x:v>
      </x:c>
      <x:c r="H880" s="24" t="str">
        <x:v>A character can occupy several narrative functions over time; record arc and point of view.</x:v>
      </x:c>
      <x:c r="I880" s="24" t="str">
        <x:v>witness; chronicler; ordinary observer</x:v>
      </x:c>
      <x:c r="J880" s="24" t="str">
        <x:v>Structures identification, growth, burden, agency, legitimacy, and transformation.</x:v>
      </x:c>
      <x:c r="K880" s="24" t="str">
        <x:v>witness; chronicler; ordinary observer</x:v>
      </x:c>
      <x:c r="L880" s="24" t="str">
        <x:v>Preserve each source's ontology, culture, history, and terminology when making comparisons.</x:v>
      </x:c>
      <x:c r="M880" s="24" t="str">
        <x:v>Core Family</x:v>
      </x:c>
    </x:row>
    <x:row r="881" ht="44" customHeight="1">
      <x:c r="A881" s="24" t="str">
        <x:v>NAR-201</x:v>
      </x:c>
      <x:c r="B881" s="24" t="str">
        <x:v>Wise Mentor</x:v>
      </x:c>
      <x:c r="C881" s="24" t="str">
        <x:v>Narrative Archetypes</x:v>
      </x:c>
      <x:c r="D881" s="24" t="str">
        <x:v>NAR-200</x:v>
      </x:c>
      <x:c r="E881" s="24" t="str">
        <x:f>IF(D881="","",IFERROR(VLOOKUP(D881,$A$2:$B$1226,2,FALSE),""))</x:f>
        <x:v>Companion, Mentor, and Party Archetypes</x:v>
      </x:c>
      <x:c r="F881" s="24" t="n">
        <x:v>3</x:v>
      </x:c>
      <x:c r="G881" s="24" t="str">
        <x:v>Experienced guide who supplies knowledge, moral framing, training, and often exits so the hero must act independently.</x:v>
      </x:c>
      <x:c r="H881" s="24" t="str">
        <x:v>A character can occupy several narrative functions over time; record arc and point of view.</x:v>
      </x:c>
      <x:c r="I881" s="24" t="str">
        <x:v>mentor; wise old teacher; sage guide</x:v>
      </x:c>
      <x:c r="J881" s="24" t="str">
        <x:v>Structures group chemistry, exposition, emotional balance, conflict, competence, and found family.</x:v>
      </x:c>
      <x:c r="K881" s="24" t="str">
        <x:v>mentor; wise old teacher; sage guide</x:v>
      </x:c>
      <x:c r="L881" s="24" t="str">
        <x:v>Preserve each source's ontology, culture, history, and terminology when making comparisons.</x:v>
      </x:c>
      <x:c r="M881" s="24" t="str">
        <x:v>Core Family</x:v>
      </x:c>
    </x:row>
    <x:row r="882" ht="44" customHeight="1">
      <x:c r="A882" s="24" t="str">
        <x:v>NAR-202</x:v>
      </x:c>
      <x:c r="B882" s="24" t="str">
        <x:v>Warrior Mentor</x:v>
      </x:c>
      <x:c r="C882" s="24" t="str">
        <x:v>Narrative Archetypes</x:v>
      </x:c>
      <x:c r="D882" s="24" t="str">
        <x:v>NAR-200</x:v>
      </x:c>
      <x:c r="E882" s="24" t="str">
        <x:f>IF(D882="","",IFERROR(VLOOKUP(D882,$A$2:$B$1226,2,FALSE),""))</x:f>
        <x:v>Companion, Mentor, and Party Archetypes</x:v>
      </x:c>
      <x:c r="F882" s="24" t="n">
        <x:v>3</x:v>
      </x:c>
      <x:c r="G882" s="24" t="str">
        <x:v>Veteran who trains martial skill, discipline, courage, and survival through embodied example.</x:v>
      </x:c>
      <x:c r="H882" s="24" t="str">
        <x:v>A character can occupy several narrative functions over time; record arc and point of view.</x:v>
      </x:c>
      <x:c r="I882" s="24" t="str">
        <x:v>swordmaster mentor; old soldier</x:v>
      </x:c>
      <x:c r="J882" s="24" t="str">
        <x:v>Structures group chemistry, exposition, emotional balance, conflict, competence, and found family.</x:v>
      </x:c>
      <x:c r="K882" s="24" t="str">
        <x:v>swordmaster mentor; old soldier</x:v>
      </x:c>
      <x:c r="L882" s="24" t="str">
        <x:v>Preserve each source's ontology, culture, history, and terminology when making comparisons.</x:v>
      </x:c>
      <x:c r="M882" s="24" t="str">
        <x:v>Core Family</x:v>
      </x:c>
    </x:row>
    <x:row r="883" ht="44" customHeight="1">
      <x:c r="A883" s="24" t="str">
        <x:v>NAR-203</x:v>
      </x:c>
      <x:c r="B883" s="24" t="str">
        <x:v>Trickster Mentor</x:v>
      </x:c>
      <x:c r="C883" s="24" t="str">
        <x:v>Narrative Archetypes</x:v>
      </x:c>
      <x:c r="D883" s="24" t="str">
        <x:v>NAR-200</x:v>
      </x:c>
      <x:c r="E883" s="24" t="str">
        <x:f>IF(D883="","",IFERROR(VLOOKUP(D883,$A$2:$B$1226,2,FALSE),""))</x:f>
        <x:v>Companion, Mentor, and Party Archetypes</x:v>
      </x:c>
      <x:c r="F883" s="24" t="n">
        <x:v>3</x:v>
      </x:c>
      <x:c r="G883" s="24" t="str">
        <x:v>Teacher who uses riddles, deception, humiliation, paradox, or misdirection to provoke growth.</x:v>
      </x:c>
      <x:c r="H883" s="24" t="str">
        <x:v>A character can occupy several narrative functions over time; record arc and point of view.</x:v>
      </x:c>
      <x:c r="I883" s="24" t="str">
        <x:v>trickster teacher; eccentric master</x:v>
      </x:c>
      <x:c r="J883" s="24" t="str">
        <x:v>Structures group chemistry, exposition, emotional balance, conflict, competence, and found family.</x:v>
      </x:c>
      <x:c r="K883" s="24" t="str">
        <x:v>trickster teacher; eccentric master</x:v>
      </x:c>
      <x:c r="L883" s="24" t="str">
        <x:v>Preserve each source's ontology, culture, history, and terminology when making comparisons.</x:v>
      </x:c>
      <x:c r="M883" s="24" t="str">
        <x:v>Core Family</x:v>
      </x:c>
    </x:row>
    <x:row r="884" ht="44" customHeight="1">
      <x:c r="A884" s="24" t="str">
        <x:v>NAR-204</x:v>
      </x:c>
      <x:c r="B884" s="24" t="str">
        <x:v>Corrupt or False Mentor</x:v>
      </x:c>
      <x:c r="C884" s="24" t="str">
        <x:v>Narrative Archetypes</x:v>
      </x:c>
      <x:c r="D884" s="24" t="str">
        <x:v>NAR-200</x:v>
      </x:c>
      <x:c r="E884" s="24" t="str">
        <x:f>IF(D884="","",IFERROR(VLOOKUP(D884,$A$2:$B$1226,2,FALSE),""))</x:f>
        <x:v>Companion, Mentor, and Party Archetypes</x:v>
      </x:c>
      <x:c r="F884" s="24" t="n">
        <x:v>3</x:v>
      </x:c>
      <x:c r="G884" s="24" t="str">
        <x:v>Guide whose teaching conceals exploitation, ideological capture, betrayal, or self-serving design.</x:v>
      </x:c>
      <x:c r="H884" s="24" t="str">
        <x:v>A character can occupy several narrative functions over time; record arc and point of view.</x:v>
      </x:c>
      <x:c r="I884" s="24" t="str">
        <x:v>false teacher; manipulative master</x:v>
      </x:c>
      <x:c r="J884" s="24" t="str">
        <x:v>Structures group chemistry, exposition, emotional balance, conflict, competence, and found family.</x:v>
      </x:c>
      <x:c r="K884" s="24" t="str">
        <x:v>false teacher; manipulative master</x:v>
      </x:c>
      <x:c r="L884" s="24" t="str">
        <x:v>Preserve each source's ontology, culture, history, and terminology when making comparisons.</x:v>
      </x:c>
      <x:c r="M884" s="24" t="str">
        <x:v>Core Family</x:v>
      </x:c>
    </x:row>
    <x:row r="885" ht="44" customHeight="1">
      <x:c r="A885" s="24" t="str">
        <x:v>NAR-205</x:v>
      </x:c>
      <x:c r="B885" s="24" t="str">
        <x:v>Guardian</x:v>
      </x:c>
      <x:c r="C885" s="24" t="str">
        <x:v>Narrative Archetypes</x:v>
      </x:c>
      <x:c r="D885" s="24" t="str">
        <x:v>NAR-200</x:v>
      </x:c>
      <x:c r="E885" s="24" t="str">
        <x:f>IF(D885="","",IFERROR(VLOOKUP(D885,$A$2:$B$1226,2,FALSE),""))</x:f>
        <x:v>Companion, Mentor, and Party Archetypes</x:v>
      </x:c>
      <x:c r="F885" s="24" t="n">
        <x:v>3</x:v>
      </x:c>
      <x:c r="G885" s="24" t="str">
        <x:v>Protector whose primary narrative function is preserving the hero, place, relic, or community.</x:v>
      </x:c>
      <x:c r="H885" s="24" t="str">
        <x:v>A character can occupy several narrative functions over time; record arc and point of view.</x:v>
      </x:c>
      <x:c r="I885" s="24" t="str">
        <x:v>guardian; protector; sworn shield</x:v>
      </x:c>
      <x:c r="J885" s="24" t="str">
        <x:v>Structures group chemistry, exposition, emotional balance, conflict, competence, and found family.</x:v>
      </x:c>
      <x:c r="K885" s="24" t="str">
        <x:v>guardian; protector; sworn shield</x:v>
      </x:c>
      <x:c r="L885" s="24" t="str">
        <x:v>Preserve each source's ontology, culture, history, and terminology when making comparisons.</x:v>
      </x:c>
      <x:c r="M885" s="24" t="str">
        <x:v>Core Family</x:v>
      </x:c>
    </x:row>
    <x:row r="886" ht="44" customHeight="1">
      <x:c r="A886" s="24" t="str">
        <x:v>NAR-206</x:v>
      </x:c>
      <x:c r="B886" s="24" t="str">
        <x:v>Threshold Guardian</x:v>
      </x:c>
      <x:c r="C886" s="24" t="str">
        <x:v>Narrative Archetypes</x:v>
      </x:c>
      <x:c r="D886" s="24" t="str">
        <x:v>NAR-200</x:v>
      </x:c>
      <x:c r="E886" s="24" t="str">
        <x:f>IF(D886="","",IFERROR(VLOOKUP(D886,$A$2:$B$1226,2,FALSE),""))</x:f>
        <x:v>Companion, Mentor, and Party Archetypes</x:v>
      </x:c>
      <x:c r="F886" s="24" t="n">
        <x:v>3</x:v>
      </x:c>
      <x:c r="G886" s="24" t="str">
        <x:v>Figure or force that tests whether the hero may enter a new realm, status, truth, or stage.</x:v>
      </x:c>
      <x:c r="H886" s="24" t="str">
        <x:v>A character can occupy several narrative functions over time; record arc and point of view.</x:v>
      </x:c>
      <x:c r="I886" s="24" t="str">
        <x:v>gatekeeper; threshold guardian; trial keeper</x:v>
      </x:c>
      <x:c r="J886" s="24" t="str">
        <x:v>Structures group chemistry, exposition, emotional balance, conflict, competence, and found family.</x:v>
      </x:c>
      <x:c r="K886" s="24" t="str">
        <x:v>gatekeeper; threshold guardian; trial keeper</x:v>
      </x:c>
      <x:c r="L886" s="24" t="str">
        <x:v>Preserve each source's ontology, culture, history, and terminology when making comparisons.</x:v>
      </x:c>
      <x:c r="M886" s="24" t="str">
        <x:v>Core Family</x:v>
      </x:c>
    </x:row>
    <x:row r="887" ht="44" customHeight="1">
      <x:c r="A887" s="24" t="str">
        <x:v>NAR-207</x:v>
      </x:c>
      <x:c r="B887" s="24" t="str">
        <x:v>Herald</x:v>
      </x:c>
      <x:c r="C887" s="24" t="str">
        <x:v>Narrative Archetypes</x:v>
      </x:c>
      <x:c r="D887" s="24" t="str">
        <x:v>NAR-200</x:v>
      </x:c>
      <x:c r="E887" s="24" t="str">
        <x:f>IF(D887="","",IFERROR(VLOOKUP(D887,$A$2:$B$1226,2,FALSE),""))</x:f>
        <x:v>Companion, Mentor, and Party Archetypes</x:v>
      </x:c>
      <x:c r="F887" s="24" t="n">
        <x:v>3</x:v>
      </x:c>
      <x:c r="G887" s="24" t="str">
        <x:v>Messenger or event that announces change and calls the protagonist into the larger conflict.</x:v>
      </x:c>
      <x:c r="H887" s="24" t="str">
        <x:v>A character can occupy several narrative functions over time; record arc and point of view.</x:v>
      </x:c>
      <x:c r="I887" s="24" t="str">
        <x:v>herald; summons; bearer of news</x:v>
      </x:c>
      <x:c r="J887" s="24" t="str">
        <x:v>Structures group chemistry, exposition, emotional balance, conflict, competence, and found family.</x:v>
      </x:c>
      <x:c r="K887" s="24" t="str">
        <x:v>herald; summons; bearer of news</x:v>
      </x:c>
      <x:c r="L887" s="24" t="str">
        <x:v>Preserve each source's ontology, culture, history, and terminology when making comparisons.</x:v>
      </x:c>
      <x:c r="M887" s="24" t="str">
        <x:v>Core Family</x:v>
      </x:c>
    </x:row>
    <x:row r="888" ht="44" customHeight="1">
      <x:c r="A888" s="24" t="str">
        <x:v>NAR-208</x:v>
      </x:c>
      <x:c r="B888" s="24" t="str">
        <x:v>Loyal Companion</x:v>
      </x:c>
      <x:c r="C888" s="24" t="str">
        <x:v>Narrative Archetypes</x:v>
      </x:c>
      <x:c r="D888" s="24" t="str">
        <x:v>NAR-200</x:v>
      </x:c>
      <x:c r="E888" s="24" t="str">
        <x:f>IF(D888="","",IFERROR(VLOOKUP(D888,$A$2:$B$1226,2,FALSE),""))</x:f>
        <x:v>Companion, Mentor, and Party Archetypes</x:v>
      </x:c>
      <x:c r="F888" s="24" t="n">
        <x:v>3</x:v>
      </x:c>
      <x:c r="G888" s="24" t="str">
        <x:v>Steadfast ally whose constancy, affection, or practical support anchors the protagonist.</x:v>
      </x:c>
      <x:c r="H888" s="24" t="str">
        <x:v>A character can occupy several narrative functions over time; record arc and point of view.</x:v>
      </x:c>
      <x:c r="I888" s="24" t="str">
        <x:v>faithful friend; companion; sidekick</x:v>
      </x:c>
      <x:c r="J888" s="24" t="str">
        <x:v>Structures group chemistry, exposition, emotional balance, conflict, competence, and found family.</x:v>
      </x:c>
      <x:c r="K888" s="24" t="str">
        <x:v>faithful friend; companion; sidekick</x:v>
      </x:c>
      <x:c r="L888" s="24" t="str">
        <x:v>Preserve each source's ontology, culture, history, and terminology when making comparisons.</x:v>
      </x:c>
      <x:c r="M888" s="24" t="str">
        <x:v>Core Family</x:v>
      </x:c>
    </x:row>
    <x:row r="889" ht="44" customHeight="1">
      <x:c r="A889" s="24" t="str">
        <x:v>NAR-209</x:v>
      </x:c>
      <x:c r="B889" s="24" t="str">
        <x:v>Lancer or Second-in-Command</x:v>
      </x:c>
      <x:c r="C889" s="24" t="str">
        <x:v>Narrative Archetypes</x:v>
      </x:c>
      <x:c r="D889" s="24" t="str">
        <x:v>NAR-200</x:v>
      </x:c>
      <x:c r="E889" s="24" t="str">
        <x:f>IF(D889="","",IFERROR(VLOOKUP(D889,$A$2:$B$1226,2,FALSE),""))</x:f>
        <x:v>Companion, Mentor, and Party Archetypes</x:v>
      </x:c>
      <x:c r="F889" s="24" t="n">
        <x:v>3</x:v>
      </x:c>
      <x:c r="G889" s="24" t="str">
        <x:v>Capable contrasting partner who challenges the leader and often embodies an alternate method or worldview.</x:v>
      </x:c>
      <x:c r="H889" s="24" t="str">
        <x:v>A character can occupy several narrative functions over time; record arc and point of view.</x:v>
      </x:c>
      <x:c r="I889" s="24" t="str">
        <x:v>lancer; lieutenant; rival ally</x:v>
      </x:c>
      <x:c r="J889" s="24" t="str">
        <x:v>Structures group chemistry, exposition, emotional balance, conflict, competence, and found family.</x:v>
      </x:c>
      <x:c r="K889" s="24" t="str">
        <x:v>lancer; lieutenant; rival ally</x:v>
      </x:c>
      <x:c r="L889" s="24" t="str">
        <x:v>Preserve each source's ontology, culture, history, and terminology when making comparisons.</x:v>
      </x:c>
      <x:c r="M889" s="24" t="str">
        <x:v>Core Family</x:v>
      </x:c>
    </x:row>
    <x:row r="890" ht="44" customHeight="1">
      <x:c r="A890" s="24" t="str">
        <x:v>NAR-210</x:v>
      </x:c>
      <x:c r="B890" s="24" t="str">
        <x:v>Heart of the Group</x:v>
      </x:c>
      <x:c r="C890" s="24" t="str">
        <x:v>Narrative Archetypes</x:v>
      </x:c>
      <x:c r="D890" s="24" t="str">
        <x:v>NAR-200</x:v>
      </x:c>
      <x:c r="E890" s="24" t="str">
        <x:f>IF(D890="","",IFERROR(VLOOKUP(D890,$A$2:$B$1226,2,FALSE),""))</x:f>
        <x:v>Companion, Mentor, and Party Archetypes</x:v>
      </x:c>
      <x:c r="F890" s="24" t="n">
        <x:v>3</x:v>
      </x:c>
      <x:c r="G890" s="24" t="str">
        <x:v>Member who sustains empathy, cohesion, hope, and moral connection among more instrumental allies.</x:v>
      </x:c>
      <x:c r="H890" s="24" t="str">
        <x:v>A character can occupy several narrative functions over time; record arc and point of view.</x:v>
      </x:c>
      <x:c r="I890" s="24" t="str">
        <x:v>heart; emotional center; peacemaker</x:v>
      </x:c>
      <x:c r="J890" s="24" t="str">
        <x:v>Structures group chemistry, exposition, emotional balance, conflict, competence, and found family.</x:v>
      </x:c>
      <x:c r="K890" s="24" t="str">
        <x:v>heart; emotional center; peacemaker</x:v>
      </x:c>
      <x:c r="L890" s="24" t="str">
        <x:v>Preserve each source's ontology, culture, history, and terminology when making comparisons.</x:v>
      </x:c>
      <x:c r="M890" s="24" t="str">
        <x:v>Core Family</x:v>
      </x:c>
    </x:row>
    <x:row r="891" ht="44" customHeight="1">
      <x:c r="A891" s="24" t="str">
        <x:v>NAR-211</x:v>
      </x:c>
      <x:c r="B891" s="24" t="str">
        <x:v>Brains or Strategist</x:v>
      </x:c>
      <x:c r="C891" s="24" t="str">
        <x:v>Narrative Archetypes</x:v>
      </x:c>
      <x:c r="D891" s="24" t="str">
        <x:v>NAR-200</x:v>
      </x:c>
      <x:c r="E891" s="24" t="str">
        <x:f>IF(D891="","",IFERROR(VLOOKUP(D891,$A$2:$B$1226,2,FALSE),""))</x:f>
        <x:v>Companion, Mentor, and Party Archetypes</x:v>
      </x:c>
      <x:c r="F891" s="24" t="n">
        <x:v>3</x:v>
      </x:c>
      <x:c r="G891" s="24" t="str">
        <x:v>Member who contributes planning, scholarship, invention, or analysis rather than primary force.</x:v>
      </x:c>
      <x:c r="H891" s="24" t="str">
        <x:v>A character can occupy several narrative functions over time; record arc and point of view.</x:v>
      </x:c>
      <x:c r="I891" s="24" t="str">
        <x:v>brains; tactician; scholar</x:v>
      </x:c>
      <x:c r="J891" s="24" t="str">
        <x:v>Structures group chemistry, exposition, emotional balance, conflict, competence, and found family.</x:v>
      </x:c>
      <x:c r="K891" s="24" t="str">
        <x:v>brains; tactician; scholar</x:v>
      </x:c>
      <x:c r="L891" s="24" t="str">
        <x:v>Preserve each source's ontology, culture, history, and terminology when making comparisons.</x:v>
      </x:c>
      <x:c r="M891" s="24" t="str">
        <x:v>Core Family</x:v>
      </x:c>
    </x:row>
    <x:row r="892" ht="44" customHeight="1">
      <x:c r="A892" s="24" t="str">
        <x:v>NAR-212</x:v>
      </x:c>
      <x:c r="B892" s="24" t="str">
        <x:v>Muscle or Heavy</x:v>
      </x:c>
      <x:c r="C892" s="24" t="str">
        <x:v>Narrative Archetypes</x:v>
      </x:c>
      <x:c r="D892" s="24" t="str">
        <x:v>NAR-200</x:v>
      </x:c>
      <x:c r="E892" s="24" t="str">
        <x:f>IF(D892="","",IFERROR(VLOOKUP(D892,$A$2:$B$1226,2,FALSE),""))</x:f>
        <x:v>Companion, Mentor, and Party Archetypes</x:v>
      </x:c>
      <x:c r="F892" s="24" t="n">
        <x:v>3</x:v>
      </x:c>
      <x:c r="G892" s="24" t="str">
        <x:v>Member whose role is physical force, intimidation, carrying capacity, and protection.</x:v>
      </x:c>
      <x:c r="H892" s="24" t="str">
        <x:v>A character can occupy several narrative functions over time; record arc and point of view.</x:v>
      </x:c>
      <x:c r="I892" s="24" t="str">
        <x:v>muscle; bruiser; strong one</x:v>
      </x:c>
      <x:c r="J892" s="24" t="str">
        <x:v>Structures group chemistry, exposition, emotional balance, conflict, competence, and found family.</x:v>
      </x:c>
      <x:c r="K892" s="24" t="str">
        <x:v>muscle; bruiser; strong one</x:v>
      </x:c>
      <x:c r="L892" s="24" t="str">
        <x:v>Preserve each source's ontology, culture, history, and terminology when making comparisons.</x:v>
      </x:c>
      <x:c r="M892" s="24" t="str">
        <x:v>Core Family</x:v>
      </x:c>
    </x:row>
    <x:row r="893" ht="44" customHeight="1">
      <x:c r="A893" s="24" t="str">
        <x:v>NAR-213</x:v>
      </x:c>
      <x:c r="B893" s="24" t="str">
        <x:v>Healer or Caregiver</x:v>
      </x:c>
      <x:c r="C893" s="24" t="str">
        <x:v>Narrative Archetypes</x:v>
      </x:c>
      <x:c r="D893" s="24" t="str">
        <x:v>NAR-200</x:v>
      </x:c>
      <x:c r="E893" s="24" t="str">
        <x:f>IF(D893="","",IFERROR(VLOOKUP(D893,$A$2:$B$1226,2,FALSE),""))</x:f>
        <x:v>Companion, Mentor, and Party Archetypes</x:v>
      </x:c>
      <x:c r="F893" s="24" t="n">
        <x:v>3</x:v>
      </x:c>
      <x:c r="G893" s="24" t="str">
        <x:v>Member who restores bodies, morale, and relationships and often sees costs ignored by warriors.</x:v>
      </x:c>
      <x:c r="H893" s="24" t="str">
        <x:v>A character can occupy several narrative functions over time; record arc and point of view.</x:v>
      </x:c>
      <x:c r="I893" s="24" t="str">
        <x:v>healer; medic; caregiver</x:v>
      </x:c>
      <x:c r="J893" s="24" t="str">
        <x:v>Structures group chemistry, exposition, emotional balance, conflict, competence, and found family.</x:v>
      </x:c>
      <x:c r="K893" s="24" t="str">
        <x:v>healer; medic; caregiver</x:v>
      </x:c>
      <x:c r="L893" s="24" t="str">
        <x:v>Preserve each source's ontology, culture, history, and terminology when making comparisons.</x:v>
      </x:c>
      <x:c r="M893" s="24" t="str">
        <x:v>Core Family</x:v>
      </x:c>
    </x:row>
    <x:row r="894" ht="44" customHeight="1">
      <x:c r="A894" s="24" t="str">
        <x:v>NAR-214</x:v>
      </x:c>
      <x:c r="B894" s="24" t="str">
        <x:v>Rogue Specialist</x:v>
      </x:c>
      <x:c r="C894" s="24" t="str">
        <x:v>Narrative Archetypes</x:v>
      </x:c>
      <x:c r="D894" s="24" t="str">
        <x:v>NAR-200</x:v>
      </x:c>
      <x:c r="E894" s="24" t="str">
        <x:f>IF(D894="","",IFERROR(VLOOKUP(D894,$A$2:$B$1226,2,FALSE),""))</x:f>
        <x:v>Companion, Mentor, and Party Archetypes</x:v>
      </x:c>
      <x:c r="F894" s="24" t="n">
        <x:v>3</x:v>
      </x:c>
      <x:c r="G894" s="24" t="str">
        <x:v>Member who opens locks, scouts, infiltrates, deceives, and operates in morally flexible spaces.</x:v>
      </x:c>
      <x:c r="H894" s="24" t="str">
        <x:v>A character can occupy several narrative functions over time; record arc and point of view.</x:v>
      </x:c>
      <x:c r="I894" s="24" t="str">
        <x:v>rogue; thief; scout</x:v>
      </x:c>
      <x:c r="J894" s="24" t="str">
        <x:v>Structures group chemistry, exposition, emotional balance, conflict, competence, and found family.</x:v>
      </x:c>
      <x:c r="K894" s="24" t="str">
        <x:v>rogue; thief; scout</x:v>
      </x:c>
      <x:c r="L894" s="24" t="str">
        <x:v>Preserve each source's ontology, culture, history, and terminology when making comparisons.</x:v>
      </x:c>
      <x:c r="M894" s="24" t="str">
        <x:v>Core Family</x:v>
      </x:c>
    </x:row>
    <x:row r="895" ht="44" customHeight="1">
      <x:c r="A895" s="24" t="str">
        <x:v>NAR-215</x:v>
      </x:c>
      <x:c r="B895" s="24" t="str">
        <x:v>Mage Specialist</x:v>
      </x:c>
      <x:c r="C895" s="24" t="str">
        <x:v>Narrative Archetypes</x:v>
      </x:c>
      <x:c r="D895" s="24" t="str">
        <x:v>NAR-200</x:v>
      </x:c>
      <x:c r="E895" s="24" t="str">
        <x:f>IF(D895="","",IFERROR(VLOOKUP(D895,$A$2:$B$1226,2,FALSE),""))</x:f>
        <x:v>Companion, Mentor, and Party Archetypes</x:v>
      </x:c>
      <x:c r="F895" s="24" t="n">
        <x:v>3</x:v>
      </x:c>
      <x:c r="G895" s="24" t="str">
        <x:v>Member whose magic solves problems beyond ordinary physical capability and often introduces metaphysical risk.</x:v>
      </x:c>
      <x:c r="H895" s="24" t="str">
        <x:v>A character can occupy several narrative functions over time; record arc and point of view.</x:v>
      </x:c>
      <x:c r="I895" s="24" t="str">
        <x:v>wizard; caster; magical expert</x:v>
      </x:c>
      <x:c r="J895" s="24" t="str">
        <x:v>Structures group chemistry, exposition, emotional balance, conflict, competence, and found family.</x:v>
      </x:c>
      <x:c r="K895" s="24" t="str">
        <x:v>wizard; caster; magical expert</x:v>
      </x:c>
      <x:c r="L895" s="24" t="str">
        <x:v>Preserve each source's ontology, culture, history, and terminology when making comparisons.</x:v>
      </x:c>
      <x:c r="M895" s="24" t="str">
        <x:v>Core Family</x:v>
      </x:c>
    </x:row>
    <x:row r="896" ht="44" customHeight="1">
      <x:c r="A896" s="24" t="str">
        <x:v>NAR-216</x:v>
      </x:c>
      <x:c r="B896" s="24" t="str">
        <x:v>Comic Relief</x:v>
      </x:c>
      <x:c r="C896" s="24" t="str">
        <x:v>Narrative Archetypes</x:v>
      </x:c>
      <x:c r="D896" s="24" t="str">
        <x:v>NAR-200</x:v>
      </x:c>
      <x:c r="E896" s="24" t="str">
        <x:f>IF(D896="","",IFERROR(VLOOKUP(D896,$A$2:$B$1226,2,FALSE),""))</x:f>
        <x:v>Companion, Mentor, and Party Archetypes</x:v>
      </x:c>
      <x:c r="F896" s="24" t="n">
        <x:v>3</x:v>
      </x:c>
      <x:c r="G896" s="24" t="str">
        <x:v>Member who releases tension, exposes absurdity, humanizes the group, or masks deeper pain.</x:v>
      </x:c>
      <x:c r="H896" s="24" t="str">
        <x:v>A character can occupy several narrative functions over time; record arc and point of view.</x:v>
      </x:c>
      <x:c r="I896" s="24" t="str">
        <x:v>comic relief; fool; jester companion</x:v>
      </x:c>
      <x:c r="J896" s="24" t="str">
        <x:v>Structures group chemistry, exposition, emotional balance, conflict, competence, and found family.</x:v>
      </x:c>
      <x:c r="K896" s="24" t="str">
        <x:v>comic relief; fool; jester companion</x:v>
      </x:c>
      <x:c r="L896" s="24" t="str">
        <x:v>Preserve each source's ontology, culture, history, and terminology when making comparisons.</x:v>
      </x:c>
      <x:c r="M896" s="24" t="str">
        <x:v>Core Family</x:v>
      </x:c>
    </x:row>
    <x:row r="897" ht="44" customHeight="1">
      <x:c r="A897" s="24" t="str">
        <x:v>NAR-217</x:v>
      </x:c>
      <x:c r="B897" s="24" t="str">
        <x:v>Innocent or Child Figure</x:v>
      </x:c>
      <x:c r="C897" s="24" t="str">
        <x:v>Narrative Archetypes</x:v>
      </x:c>
      <x:c r="D897" s="24" t="str">
        <x:v>NAR-200</x:v>
      </x:c>
      <x:c r="E897" s="24" t="str">
        <x:f>IF(D897="","",IFERROR(VLOOKUP(D897,$A$2:$B$1226,2,FALSE),""))</x:f>
        <x:v>Companion, Mentor, and Party Archetypes</x:v>
      </x:c>
      <x:c r="F897" s="24" t="n">
        <x:v>3</x:v>
      </x:c>
      <x:c r="G897" s="24" t="str">
        <x:v>Member whose vulnerability, wonder, or moral clarity alters the group's behavior.</x:v>
      </x:c>
      <x:c r="H897" s="24" t="str">
        <x:v>A character can occupy several narrative functions over time; record arc and point of view.</x:v>
      </x:c>
      <x:c r="I897" s="24" t="str">
        <x:v>child companion; innocent; ward</x:v>
      </x:c>
      <x:c r="J897" s="24" t="str">
        <x:v>Structures group chemistry, exposition, emotional balance, conflict, competence, and found family.</x:v>
      </x:c>
      <x:c r="K897" s="24" t="str">
        <x:v>child companion; innocent; ward</x:v>
      </x:c>
      <x:c r="L897" s="24" t="str">
        <x:v>Preserve each source's ontology, culture, history, and terminology when making comparisons.</x:v>
      </x:c>
      <x:c r="M897" s="24" t="str">
        <x:v>Core Family</x:v>
      </x:c>
    </x:row>
    <x:row r="898" ht="44" customHeight="1">
      <x:c r="A898" s="24" t="str">
        <x:v>NAR-218</x:v>
      </x:c>
      <x:c r="B898" s="24" t="str">
        <x:v>Mascot Companion</x:v>
      </x:c>
      <x:c r="C898" s="24" t="str">
        <x:v>Narrative Archetypes</x:v>
      </x:c>
      <x:c r="D898" s="24" t="str">
        <x:v>NAR-200</x:v>
      </x:c>
      <x:c r="E898" s="24" t="str">
        <x:f>IF(D898="","",IFERROR(VLOOKUP(D898,$A$2:$B$1226,2,FALSE),""))</x:f>
        <x:v>Companion, Mentor, and Party Archetypes</x:v>
      </x:c>
      <x:c r="F898" s="24" t="n">
        <x:v>3</x:v>
      </x:c>
      <x:c r="G898" s="24" t="str">
        <x:v>Small, distinctive, often nonhuman ally serving emotional, comic, branding, or hidden-power functions.</x:v>
      </x:c>
      <x:c r="H898" s="24" t="str">
        <x:v>A character can occupy several narrative functions over time; record arc and point of view.</x:v>
      </x:c>
      <x:c r="I898" s="24" t="str">
        <x:v>mascot; familiar; cute companion</x:v>
      </x:c>
      <x:c r="J898" s="24" t="str">
        <x:v>Structures group chemistry, exposition, emotional balance, conflict, competence, and found family.</x:v>
      </x:c>
      <x:c r="K898" s="24" t="str">
        <x:v>mascot; familiar; cute companion</x:v>
      </x:c>
      <x:c r="L898" s="24" t="str">
        <x:v>Preserve each source's ontology, culture, history, and terminology when making comparisons.</x:v>
      </x:c>
      <x:c r="M898" s="24" t="str">
        <x:v>Core Family</x:v>
      </x:c>
    </x:row>
    <x:row r="899" ht="44" customHeight="1">
      <x:c r="A899" s="24" t="str">
        <x:v>NAR-219</x:v>
      </x:c>
      <x:c r="B899" s="24" t="str">
        <x:v>Animal Companion</x:v>
      </x:c>
      <x:c r="C899" s="24" t="str">
        <x:v>Narrative Archetypes</x:v>
      </x:c>
      <x:c r="D899" s="24" t="str">
        <x:v>NAR-200</x:v>
      </x:c>
      <x:c r="E899" s="24" t="str">
        <x:f>IF(D899="","",IFERROR(VLOOKUP(D899,$A$2:$B$1226,2,FALSE),""))</x:f>
        <x:v>Companion, Mentor, and Party Archetypes</x:v>
      </x:c>
      <x:c r="F899" s="24" t="n">
        <x:v>3</x:v>
      </x:c>
      <x:c r="G899" s="24" t="str">
        <x:v>Nonhuman ally whose bond with a character provides loyalty, senses, mobility, symbolism, or combat support.</x:v>
      </x:c>
      <x:c r="H899" s="24" t="str">
        <x:v>A character can occupy several narrative functions over time; record arc and point of view.</x:v>
      </x:c>
      <x:c r="I899" s="24" t="str">
        <x:v>animal companion; bonded beast; mount</x:v>
      </x:c>
      <x:c r="J899" s="24" t="str">
        <x:v>Structures group chemistry, exposition, emotional balance, conflict, competence, and found family.</x:v>
      </x:c>
      <x:c r="K899" s="24" t="str">
        <x:v>animal companion; bonded beast; mount</x:v>
      </x:c>
      <x:c r="L899" s="24" t="str">
        <x:v>Preserve each source's ontology, culture, history, and terminology when making comparisons.</x:v>
      </x:c>
      <x:c r="M899" s="24" t="str">
        <x:v>Core Family</x:v>
      </x:c>
    </x:row>
    <x:row r="900" ht="44" customHeight="1">
      <x:c r="A900" s="24" t="str">
        <x:v>NAR-220</x:v>
      </x:c>
      <x:c r="B900" s="24" t="str">
        <x:v>Rival</x:v>
      </x:c>
      <x:c r="C900" s="24" t="str">
        <x:v>Narrative Archetypes</x:v>
      </x:c>
      <x:c r="D900" s="24" t="str">
        <x:v>NAR-200</x:v>
      </x:c>
      <x:c r="E900" s="24" t="str">
        <x:f>IF(D900="","",IFERROR(VLOOKUP(D900,$A$2:$B$1226,2,FALSE),""))</x:f>
        <x:v>Companion, Mentor, and Party Archetypes</x:v>
      </x:c>
      <x:c r="F900" s="24" t="n">
        <x:v>3</x:v>
      </x:c>
      <x:c r="G900" s="24" t="str">
        <x:v>Character pursuing similar goals whose competition drives skill, identity, jealousy, or mutual recognition.</x:v>
      </x:c>
      <x:c r="H900" s="24" t="str">
        <x:v>A character can occupy several narrative functions over time; record arc and point of view.</x:v>
      </x:c>
      <x:c r="I900" s="24" t="str">
        <x:v>rival; competitor; opposing champion</x:v>
      </x:c>
      <x:c r="J900" s="24" t="str">
        <x:v>Structures group chemistry, exposition, emotional balance, conflict, competence, and found family.</x:v>
      </x:c>
      <x:c r="K900" s="24" t="str">
        <x:v>rival; competitor; opposing champion</x:v>
      </x:c>
      <x:c r="L900" s="24" t="str">
        <x:v>Preserve each source's ontology, culture, history, and terminology when making comparisons.</x:v>
      </x:c>
      <x:c r="M900" s="24" t="str">
        <x:v>Core Family</x:v>
      </x:c>
    </x:row>
    <x:row r="901" ht="44" customHeight="1">
      <x:c r="A901" s="24" t="str">
        <x:v>NAR-221</x:v>
      </x:c>
      <x:c r="B901" s="24" t="str">
        <x:v>Foil</x:v>
      </x:c>
      <x:c r="C901" s="24" t="str">
        <x:v>Narrative Archetypes</x:v>
      </x:c>
      <x:c r="D901" s="24" t="str">
        <x:v>NAR-200</x:v>
      </x:c>
      <x:c r="E901" s="24" t="str">
        <x:f>IF(D901="","",IFERROR(VLOOKUP(D901,$A$2:$B$1226,2,FALSE),""))</x:f>
        <x:v>Companion, Mentor, and Party Archetypes</x:v>
      </x:c>
      <x:c r="F901" s="24" t="n">
        <x:v>3</x:v>
      </x:c>
      <x:c r="G901" s="24" t="str">
        <x:v>Character constructed to highlight another character's traits through contrast or parallel.</x:v>
      </x:c>
      <x:c r="H901" s="24" t="str">
        <x:v>A character can occupy several narrative functions over time; record arc and point of view.</x:v>
      </x:c>
      <x:c r="I901" s="24" t="str">
        <x:v>foil; mirror character</x:v>
      </x:c>
      <x:c r="J901" s="24" t="str">
        <x:v>Structures group chemistry, exposition, emotional balance, conflict, competence, and found family.</x:v>
      </x:c>
      <x:c r="K901" s="24" t="str">
        <x:v>foil; mirror character</x:v>
      </x:c>
      <x:c r="L901" s="24" t="str">
        <x:v>Preserve each source's ontology, culture, history, and terminology when making comparisons.</x:v>
      </x:c>
      <x:c r="M901" s="24" t="str">
        <x:v>Core Family</x:v>
      </x:c>
    </x:row>
    <x:row r="902" ht="44" customHeight="1">
      <x:c r="A902" s="24" t="str">
        <x:v>NAR-222</x:v>
      </x:c>
      <x:c r="B902" s="24" t="str">
        <x:v>Ambiguous Ally</x:v>
      </x:c>
      <x:c r="C902" s="24" t="str">
        <x:v>Narrative Archetypes</x:v>
      </x:c>
      <x:c r="D902" s="24" t="str">
        <x:v>NAR-200</x:v>
      </x:c>
      <x:c r="E902" s="24" t="str">
        <x:f>IF(D902="","",IFERROR(VLOOKUP(D902,$A$2:$B$1226,2,FALSE),""))</x:f>
        <x:v>Companion, Mentor, and Party Archetypes</x:v>
      </x:c>
      <x:c r="F902" s="24" t="n">
        <x:v>3</x:v>
      </x:c>
      <x:c r="G902" s="24" t="str">
        <x:v>Helper whose motives, loyalties, identity, or future betrayal remain uncertain.</x:v>
      </x:c>
      <x:c r="H902" s="24" t="str">
        <x:v>A character can occupy several narrative functions over time; record arc and point of view.</x:v>
      </x:c>
      <x:c r="I902" s="24" t="str">
        <x:v>shapeshifter ally; questionable companion</x:v>
      </x:c>
      <x:c r="J902" s="24" t="str">
        <x:v>Structures group chemistry, exposition, emotional balance, conflict, competence, and found family.</x:v>
      </x:c>
      <x:c r="K902" s="24" t="str">
        <x:v>shapeshifter ally; questionable companion</x:v>
      </x:c>
      <x:c r="L902" s="24" t="str">
        <x:v>Preserve each source's ontology, culture, history, and terminology when making comparisons.</x:v>
      </x:c>
      <x:c r="M902" s="24" t="str">
        <x:v>Core Family</x:v>
      </x:c>
    </x:row>
    <x:row r="903" ht="44" customHeight="1">
      <x:c r="A903" s="24" t="str">
        <x:v>NAR-223</x:v>
      </x:c>
      <x:c r="B903" s="24" t="str">
        <x:v>Betrayer</x:v>
      </x:c>
      <x:c r="C903" s="24" t="str">
        <x:v>Narrative Archetypes</x:v>
      </x:c>
      <x:c r="D903" s="24" t="str">
        <x:v>NAR-200</x:v>
      </x:c>
      <x:c r="E903" s="24" t="str">
        <x:f>IF(D903="","",IFERROR(VLOOKUP(D903,$A$2:$B$1226,2,FALSE),""))</x:f>
        <x:v>Companion, Mentor, and Party Archetypes</x:v>
      </x:c>
      <x:c r="F903" s="24" t="n">
        <x:v>3</x:v>
      </x:c>
      <x:c r="G903" s="24" t="str">
        <x:v>Trusted member whose defection, deception, or divided loyalty reorganizes the conflict.</x:v>
      </x:c>
      <x:c r="H903" s="24" t="str">
        <x:v>A character can occupy several narrative functions over time; record arc and point of view.</x:v>
      </x:c>
      <x:c r="I903" s="24" t="str">
        <x:v>traitor; betrayer; turncoat</x:v>
      </x:c>
      <x:c r="J903" s="24" t="str">
        <x:v>Structures group chemistry, exposition, emotional balance, conflict, competence, and found family.</x:v>
      </x:c>
      <x:c r="K903" s="24" t="str">
        <x:v>traitor; betrayer; turncoat</x:v>
      </x:c>
      <x:c r="L903" s="24" t="str">
        <x:v>Preserve each source's ontology, culture, history, and terminology when making comparisons.</x:v>
      </x:c>
      <x:c r="M903" s="24" t="str">
        <x:v>Core Family</x:v>
      </x:c>
    </x:row>
    <x:row r="904" ht="44" customHeight="1">
      <x:c r="A904" s="24" t="str">
        <x:v>NAR-224</x:v>
      </x:c>
      <x:c r="B904" s="24" t="str">
        <x:v>Double Agent</x:v>
      </x:c>
      <x:c r="C904" s="24" t="str">
        <x:v>Narrative Archetypes</x:v>
      </x:c>
      <x:c r="D904" s="24" t="str">
        <x:v>NAR-200</x:v>
      </x:c>
      <x:c r="E904" s="24" t="str">
        <x:f>IF(D904="","",IFERROR(VLOOKUP(D904,$A$2:$B$1226,2,FALSE),""))</x:f>
        <x:v>Companion, Mentor, and Party Archetypes</x:v>
      </x:c>
      <x:c r="F904" s="24" t="n">
        <x:v>3</x:v>
      </x:c>
      <x:c r="G904" s="24" t="str">
        <x:v>Character simultaneously embedded in opposed factions, creating divided identity and information asymmetry.</x:v>
      </x:c>
      <x:c r="H904" s="24" t="str">
        <x:v>A character can occupy several narrative functions over time; record arc and point of view.</x:v>
      </x:c>
      <x:c r="I904" s="24" t="str">
        <x:v>double agent; mole; secret loyalist</x:v>
      </x:c>
      <x:c r="J904" s="24" t="str">
        <x:v>Structures group chemistry, exposition, emotional balance, conflict, competence, and found family.</x:v>
      </x:c>
      <x:c r="K904" s="24" t="str">
        <x:v>double agent; mole; secret loyalist</x:v>
      </x:c>
      <x:c r="L904" s="24" t="str">
        <x:v>Preserve each source's ontology, culture, history, and terminology when making comparisons.</x:v>
      </x:c>
      <x:c r="M904" s="24" t="str">
        <x:v>Core Family</x:v>
      </x:c>
    </x:row>
    <x:row r="905" ht="44" customHeight="1">
      <x:c r="A905" s="24" t="str">
        <x:v>NAR-225</x:v>
      </x:c>
      <x:c r="B905" s="24" t="str">
        <x:v>Redeemed Enemy Ally</x:v>
      </x:c>
      <x:c r="C905" s="24" t="str">
        <x:v>Narrative Archetypes</x:v>
      </x:c>
      <x:c r="D905" s="24" t="str">
        <x:v>NAR-200</x:v>
      </x:c>
      <x:c r="E905" s="24" t="str">
        <x:f>IF(D905="","",IFERROR(VLOOKUP(D905,$A$2:$B$1226,2,FALSE),""))</x:f>
        <x:v>Companion, Mentor, and Party Archetypes</x:v>
      </x:c>
      <x:c r="F905" s="24" t="n">
        <x:v>3</x:v>
      </x:c>
      <x:c r="G905" s="24" t="str">
        <x:v>Former opponent who joins the group and must negotiate trust, guilt, and different values.</x:v>
      </x:c>
      <x:c r="H905" s="24" t="str">
        <x:v>A character can occupy several narrative functions over time; record arc and point of view.</x:v>
      </x:c>
      <x:c r="I905" s="24" t="str">
        <x:v>enemy-to-ally; redeemed antagonist</x:v>
      </x:c>
      <x:c r="J905" s="24" t="str">
        <x:v>Structures group chemistry, exposition, emotional balance, conflict, competence, and found family.</x:v>
      </x:c>
      <x:c r="K905" s="24" t="str">
        <x:v>enemy-to-ally; redeemed antagonist</x:v>
      </x:c>
      <x:c r="L905" s="24" t="str">
        <x:v>Preserve each source's ontology, culture, history, and terminology when making comparisons.</x:v>
      </x:c>
      <x:c r="M905" s="24" t="str">
        <x:v>Core Family</x:v>
      </x:c>
    </x:row>
    <x:row r="906" ht="44" customHeight="1">
      <x:c r="A906" s="24" t="str">
        <x:v>NAR-226</x:v>
      </x:c>
      <x:c r="B906" s="24" t="str">
        <x:v>Old Friend from the Past</x:v>
      </x:c>
      <x:c r="C906" s="24" t="str">
        <x:v>Narrative Archetypes</x:v>
      </x:c>
      <x:c r="D906" s="24" t="str">
        <x:v>NAR-200</x:v>
      </x:c>
      <x:c r="E906" s="24" t="str">
        <x:f>IF(D906="","",IFERROR(VLOOKUP(D906,$A$2:$B$1226,2,FALSE),""))</x:f>
        <x:v>Companion, Mentor, and Party Archetypes</x:v>
      </x:c>
      <x:c r="F906" s="24" t="n">
        <x:v>3</x:v>
      </x:c>
      <x:c r="G906" s="24" t="str">
        <x:v>Character whose prior bond reveals history, unresolved debt, or a version of the protagonist before the story.</x:v>
      </x:c>
      <x:c r="H906" s="24" t="str">
        <x:v>A character can occupy several narrative functions over time; record arc and point of view.</x:v>
      </x:c>
      <x:c r="I906" s="24" t="str">
        <x:v>old companion; childhood friend; former comrade</x:v>
      </x:c>
      <x:c r="J906" s="24" t="str">
        <x:v>Structures group chemistry, exposition, emotional balance, conflict, competence, and found family.</x:v>
      </x:c>
      <x:c r="K906" s="24" t="str">
        <x:v>old companion; childhood friend; former comrade</x:v>
      </x:c>
      <x:c r="L906" s="24" t="str">
        <x:v>Preserve each source's ontology, culture, history, and terminology when making comparisons.</x:v>
      </x:c>
      <x:c r="M906" s="24" t="str">
        <x:v>Core Family</x:v>
      </x:c>
    </x:row>
    <x:row r="907" ht="44" customHeight="1">
      <x:c r="A907" s="24" t="str">
        <x:v>NAR-227</x:v>
      </x:c>
      <x:c r="B907" s="24" t="str">
        <x:v>Royal or Political Companion</x:v>
      </x:c>
      <x:c r="C907" s="24" t="str">
        <x:v>Narrative Archetypes</x:v>
      </x:c>
      <x:c r="D907" s="24" t="str">
        <x:v>NAR-200</x:v>
      </x:c>
      <x:c r="E907" s="24" t="str">
        <x:f>IF(D907="","",IFERROR(VLOOKUP(D907,$A$2:$B$1226,2,FALSE),""))</x:f>
        <x:v>Companion, Mentor, and Party Archetypes</x:v>
      </x:c>
      <x:c r="F907" s="24" t="n">
        <x:v>3</x:v>
      </x:c>
      <x:c r="G907" s="24" t="str">
        <x:v>Party member whose status connects the journey to governance, succession, diplomacy, or public legitimacy.</x:v>
      </x:c>
      <x:c r="H907" s="24" t="str">
        <x:v>A character can occupy several narrative functions over time; record arc and point of view.</x:v>
      </x:c>
      <x:c r="I907" s="24" t="str">
        <x:v>prince companion; noble hostage; envoy</x:v>
      </x:c>
      <x:c r="J907" s="24" t="str">
        <x:v>Structures group chemistry, exposition, emotional balance, conflict, competence, and found family.</x:v>
      </x:c>
      <x:c r="K907" s="24" t="str">
        <x:v>prince companion; noble hostage; envoy</x:v>
      </x:c>
      <x:c r="L907" s="24" t="str">
        <x:v>Preserve each source's ontology, culture, history, and terminology when making comparisons.</x:v>
      </x:c>
      <x:c r="M907" s="24" t="str">
        <x:v>Core Family</x:v>
      </x:c>
    </x:row>
    <x:row r="908" ht="44" customHeight="1">
      <x:c r="A908" s="24" t="str">
        <x:v>NAR-228</x:v>
      </x:c>
      <x:c r="B908" s="24" t="str">
        <x:v>Guide to the Otherworld</x:v>
      </x:c>
      <x:c r="C908" s="24" t="str">
        <x:v>Narrative Archetypes</x:v>
      </x:c>
      <x:c r="D908" s="24" t="str">
        <x:v>NAR-200</x:v>
      </x:c>
      <x:c r="E908" s="24" t="str">
        <x:f>IF(D908="","",IFERROR(VLOOKUP(D908,$A$2:$B$1226,2,FALSE),""))</x:f>
        <x:v>Companion, Mentor, and Party Archetypes</x:v>
      </x:c>
      <x:c r="F908" s="24" t="n">
        <x:v>3</x:v>
      </x:c>
      <x:c r="G908" s="24" t="str">
        <x:v>Local or liminal companion who interprets an unfamiliar culture, realm, species, or magical system.</x:v>
      </x:c>
      <x:c r="H908" s="24" t="str">
        <x:v>A character can occupy several narrative functions over time; record arc and point of view.</x:v>
      </x:c>
      <x:c r="I908" s="24" t="str">
        <x:v>guide; cultural mediator; Virgil figure</x:v>
      </x:c>
      <x:c r="J908" s="24" t="str">
        <x:v>Structures group chemistry, exposition, emotional balance, conflict, competence, and found family.</x:v>
      </x:c>
      <x:c r="K908" s="24" t="str">
        <x:v>guide; cultural mediator; Virgil figure</x:v>
      </x:c>
      <x:c r="L908" s="24" t="str">
        <x:v>Preserve each source's ontology, culture, history, and terminology when making comparisons.</x:v>
      </x:c>
      <x:c r="M908" s="24" t="str">
        <x:v>Core Family</x:v>
      </x:c>
    </x:row>
    <x:row r="909" ht="44" customHeight="1">
      <x:c r="A909" s="24" t="str">
        <x:v>NAR-229</x:v>
      </x:c>
      <x:c r="B909" s="24" t="str">
        <x:v>Chronicler</x:v>
      </x:c>
      <x:c r="C909" s="24" t="str">
        <x:v>Narrative Archetypes</x:v>
      </x:c>
      <x:c r="D909" s="24" t="str">
        <x:v>NAR-200</x:v>
      </x:c>
      <x:c r="E909" s="24" t="str">
        <x:f>IF(D909="","",IFERROR(VLOOKUP(D909,$A$2:$B$1226,2,FALSE),""))</x:f>
        <x:v>Companion, Mentor, and Party Archetypes</x:v>
      </x:c>
      <x:c r="F909" s="24" t="n">
        <x:v>3</x:v>
      </x:c>
      <x:c r="G909" s="24" t="str">
        <x:v>Companion who records, narrates, memorializes, or mythologizes the group's deeds.</x:v>
      </x:c>
      <x:c r="H909" s="24" t="str">
        <x:v>A character can occupy several narrative functions over time; record arc and point of view.</x:v>
      </x:c>
      <x:c r="I909" s="24" t="str">
        <x:v>chronicler; bard; witness</x:v>
      </x:c>
      <x:c r="J909" s="24" t="str">
        <x:v>Structures group chemistry, exposition, emotional balance, conflict, competence, and found family.</x:v>
      </x:c>
      <x:c r="K909" s="24" t="str">
        <x:v>chronicler; bard; witness</x:v>
      </x:c>
      <x:c r="L909" s="24" t="str">
        <x:v>Preserve each source's ontology, culture, history, and terminology when making comparisons.</x:v>
      </x:c>
      <x:c r="M909" s="24" t="str">
        <x:v>Core Family</x:v>
      </x:c>
    </x:row>
    <x:row r="910" ht="44" customHeight="1">
      <x:c r="A910" s="24" t="str">
        <x:v>NAR-230</x:v>
      </x:c>
      <x:c r="B910" s="24" t="str">
        <x:v>Party Leader</x:v>
      </x:c>
      <x:c r="C910" s="24" t="str">
        <x:v>Narrative Archetypes</x:v>
      </x:c>
      <x:c r="D910" s="24" t="str">
        <x:v>NAR-200</x:v>
      </x:c>
      <x:c r="E910" s="24" t="str">
        <x:f>IF(D910="","",IFERROR(VLOOKUP(D910,$A$2:$B$1226,2,FALSE),""))</x:f>
        <x:v>Companion, Mentor, and Party Archetypes</x:v>
      </x:c>
      <x:c r="F910" s="24" t="n">
        <x:v>3</x:v>
      </x:c>
      <x:c r="G910" s="24" t="str">
        <x:v>Member responsible for decisions, coordination, trust, and burden allocation rather than necessarily being strongest.</x:v>
      </x:c>
      <x:c r="H910" s="24" t="str">
        <x:v>A character can occupy several narrative functions over time; record arc and point of view.</x:v>
      </x:c>
      <x:c r="I910" s="24" t="str">
        <x:v>leader; captain; face</x:v>
      </x:c>
      <x:c r="J910" s="24" t="str">
        <x:v>Structures group chemistry, exposition, emotional balance, conflict, competence, and found family.</x:v>
      </x:c>
      <x:c r="K910" s="24" t="str">
        <x:v>leader; captain; face</x:v>
      </x:c>
      <x:c r="L910" s="24" t="str">
        <x:v>Preserve each source's ontology, culture, history, and terminology when making comparisons.</x:v>
      </x:c>
      <x:c r="M910" s="24" t="str">
        <x:v>Core Family</x:v>
      </x:c>
    </x:row>
    <x:row r="911" ht="44" customHeight="1">
      <x:c r="A911" s="24" t="str">
        <x:v>NAR-231</x:v>
      </x:c>
      <x:c r="B911" s="24" t="str">
        <x:v>The Fellowship</x:v>
      </x:c>
      <x:c r="C911" s="24" t="str">
        <x:v>Narrative Archetypes</x:v>
      </x:c>
      <x:c r="D911" s="24" t="str">
        <x:v>NAR-200</x:v>
      </x:c>
      <x:c r="E911" s="24" t="str">
        <x:f>IF(D911="","",IFERROR(VLOOKUP(D911,$A$2:$B$1226,2,FALSE),""))</x:f>
        <x:v>Companion, Mentor, and Party Archetypes</x:v>
      </x:c>
      <x:c r="F911" s="24" t="n">
        <x:v>3</x:v>
      </x:c>
      <x:c r="G911" s="24" t="str">
        <x:v>Complementary group united by a shared quest, oath, threat, or artifact-bearing mission.</x:v>
      </x:c>
      <x:c r="H911" s="24" t="str">
        <x:v>A character can occupy several narrative functions over time; record arc and point of view.</x:v>
      </x:c>
      <x:c r="I911" s="24" t="str">
        <x:v>fellowship; hero party; adventuring band</x:v>
      </x:c>
      <x:c r="J911" s="24" t="str">
        <x:v>Structures group chemistry, exposition, emotional balance, conflict, competence, and found family.</x:v>
      </x:c>
      <x:c r="K911" s="24" t="str">
        <x:v>fellowship; hero party; adventuring band</x:v>
      </x:c>
      <x:c r="L911" s="24" t="str">
        <x:v>Preserve each source's ontology, culture, history, and terminology when making comparisons.</x:v>
      </x:c>
      <x:c r="M911" s="24" t="str">
        <x:v>Core Family</x:v>
      </x:c>
    </x:row>
    <x:row r="912" ht="44" customHeight="1">
      <x:c r="A912" s="24" t="str">
        <x:v>NAR-232</x:v>
      </x:c>
      <x:c r="B912" s="24" t="str">
        <x:v>Found Family</x:v>
      </x:c>
      <x:c r="C912" s="24" t="str">
        <x:v>Narrative Archetypes</x:v>
      </x:c>
      <x:c r="D912" s="24" t="str">
        <x:v>NAR-200</x:v>
      </x:c>
      <x:c r="E912" s="24" t="str">
        <x:f>IF(D912="","",IFERROR(VLOOKUP(D912,$A$2:$B$1226,2,FALSE),""))</x:f>
        <x:v>Companion, Mentor, and Party Archetypes</x:v>
      </x:c>
      <x:c r="F912" s="24" t="n">
        <x:v>3</x:v>
      </x:c>
      <x:c r="G912" s="24" t="str">
        <x:v>Group whose emotional bonds become a substitute or alternative to biological kinship.</x:v>
      </x:c>
      <x:c r="H912" s="24" t="str">
        <x:v>A character can occupy several narrative functions over time; record arc and point of view.</x:v>
      </x:c>
      <x:c r="I912" s="24" t="str">
        <x:v>found family; chosen family; crew</x:v>
      </x:c>
      <x:c r="J912" s="24" t="str">
        <x:v>Structures group chemistry, exposition, emotional balance, conflict, competence, and found family.</x:v>
      </x:c>
      <x:c r="K912" s="24" t="str">
        <x:v>found family; chosen family; crew</x:v>
      </x:c>
      <x:c r="L912" s="24" t="str">
        <x:v>Preserve each source's ontology, culture, history, and terminology when making comparisons.</x:v>
      </x:c>
      <x:c r="M912" s="24" t="str">
        <x:v>Core Family</x:v>
      </x:c>
    </x:row>
    <x:row r="913" ht="44" customHeight="1">
      <x:c r="A913" s="24" t="str">
        <x:v>NAR-233</x:v>
      </x:c>
      <x:c r="B913" s="24" t="str">
        <x:v>Dysfunctional Party</x:v>
      </x:c>
      <x:c r="C913" s="24" t="str">
        <x:v>Narrative Archetypes</x:v>
      </x:c>
      <x:c r="D913" s="24" t="str">
        <x:v>NAR-200</x:v>
      </x:c>
      <x:c r="E913" s="24" t="str">
        <x:f>IF(D913="","",IFERROR(VLOOKUP(D913,$A$2:$B$1226,2,FALSE),""))</x:f>
        <x:v>Companion, Mentor, and Party Archetypes</x:v>
      </x:c>
      <x:c r="F913" s="24" t="n">
        <x:v>3</x:v>
      </x:c>
      <x:c r="G913" s="24" t="str">
        <x:v>Group held together by necessity despite conflict, secrecy, incompatible values, or unstable roles.</x:v>
      </x:c>
      <x:c r="H913" s="24" t="str">
        <x:v>A character can occupy several narrative functions over time; record arc and point of view.</x:v>
      </x:c>
      <x:c r="I913" s="24" t="str">
        <x:v>ragtag band; broken fellowship; reluctant allies</x:v>
      </x:c>
      <x:c r="J913" s="24" t="str">
        <x:v>Structures group chemistry, exposition, emotional balance, conflict, competence, and found family.</x:v>
      </x:c>
      <x:c r="K913" s="24" t="str">
        <x:v>ragtag band; broken fellowship; reluctant allies</x:v>
      </x:c>
      <x:c r="L913" s="24" t="str">
        <x:v>Preserve each source's ontology, culture, history, and terminology when making comparisons.</x:v>
      </x:c>
      <x:c r="M913" s="24" t="str">
        <x:v>Core Family</x:v>
      </x:c>
    </x:row>
    <x:row r="914" ht="44" customHeight="1">
      <x:c r="A914" s="24" t="str">
        <x:v>NAR-234</x:v>
      </x:c>
      <x:c r="B914" s="24" t="str">
        <x:v>Rotating Ensemble</x:v>
      </x:c>
      <x:c r="C914" s="24" t="str">
        <x:v>Narrative Archetypes</x:v>
      </x:c>
      <x:c r="D914" s="24" t="str">
        <x:v>NAR-200</x:v>
      </x:c>
      <x:c r="E914" s="24" t="str">
        <x:f>IF(D914="","",IFERROR(VLOOKUP(D914,$A$2:$B$1226,2,FALSE),""))</x:f>
        <x:v>Companion, Mentor, and Party Archetypes</x:v>
      </x:c>
      <x:c r="F914" s="24" t="n">
        <x:v>3</x:v>
      </x:c>
      <x:c r="G914" s="24" t="str">
        <x:v>Narrative structure where party membership changes across arcs, locations, generations, or strategic needs.</x:v>
      </x:c>
      <x:c r="H914" s="24" t="str">
        <x:v>A character can occupy several narrative functions over time; record arc and point of view.</x:v>
      </x:c>
      <x:c r="I914" s="24" t="str">
        <x:v>rotating cast; recruitable party</x:v>
      </x:c>
      <x:c r="J914" s="24" t="str">
        <x:v>Structures group chemistry, exposition, emotional balance, conflict, competence, and found family.</x:v>
      </x:c>
      <x:c r="K914" s="24" t="str">
        <x:v>rotating cast; recruitable party</x:v>
      </x:c>
      <x:c r="L914" s="24" t="str">
        <x:v>Preserve each source's ontology, culture, history, and terminology when making comparisons.</x:v>
      </x:c>
      <x:c r="M914" s="24" t="str">
        <x:v>Core Family</x:v>
      </x:c>
    </x:row>
    <x:row r="915" ht="44" customHeight="1">
      <x:c r="A915" s="24" t="str">
        <x:v>NAR-235</x:v>
      </x:c>
      <x:c r="B915" s="24" t="str">
        <x:v>Generational Fellowship</x:v>
      </x:c>
      <x:c r="C915" s="24" t="str">
        <x:v>Narrative Archetypes</x:v>
      </x:c>
      <x:c r="D915" s="24" t="str">
        <x:v>NAR-200</x:v>
      </x:c>
      <x:c r="E915" s="24" t="str">
        <x:f>IF(D915="","",IFERROR(VLOOKUP(D915,$A$2:$B$1226,2,FALSE),""))</x:f>
        <x:v>Companion, Mentor, and Party Archetypes</x:v>
      </x:c>
      <x:c r="F915" s="24" t="n">
        <x:v>3</x:v>
      </x:c>
      <x:c r="G915" s="24" t="str">
        <x:v>Quest or conflict carried by successors, descendants, reincarnations, or multiple eras of heroes.</x:v>
      </x:c>
      <x:c r="H915" s="24" t="str">
        <x:v>A character can occupy several narrative functions over time; record arc and point of view.</x:v>
      </x:c>
      <x:c r="I915" s="24" t="str">
        <x:v>legacy party; generational saga</x:v>
      </x:c>
      <x:c r="J915" s="24" t="str">
        <x:v>Structures group chemistry, exposition, emotional balance, conflict, competence, and found family.</x:v>
      </x:c>
      <x:c r="K915" s="24" t="str">
        <x:v>legacy party; generational saga</x:v>
      </x:c>
      <x:c r="L915" s="24" t="str">
        <x:v>Preserve each source's ontology, culture, history, and terminology when making comparisons.</x:v>
      </x:c>
      <x:c r="M915" s="24" t="str">
        <x:v>Core Family</x:v>
      </x:c>
    </x:row>
    <x:row r="916" ht="44" customHeight="1">
      <x:c r="A916" s="24" t="str">
        <x:v>NAR-301</x:v>
      </x:c>
      <x:c r="B916" s="24" t="str">
        <x:v>Dark Lord</x:v>
      </x:c>
      <x:c r="C916" s="24" t="str">
        <x:v>Narrative Archetypes</x:v>
      </x:c>
      <x:c r="D916" s="24" t="str">
        <x:v>NAR-300</x:v>
      </x:c>
      <x:c r="E916" s="24" t="str">
        <x:f>IF(D916="","",IFERROR(VLOOKUP(D916,$A$2:$B$1226,2,FALSE),""))</x:f>
        <x:v>Antagonist and Threat Archetypes</x:v>
      </x:c>
      <x:c r="F916" s="24" t="n">
        <x:v>3</x:v>
      </x:c>
      <x:c r="G916" s="24" t="str">
        <x:v>Central sovereign antagonist embodying domination, conquest, corruption, or concentrated metaphysical evil.</x:v>
      </x:c>
      <x:c r="H916" s="24" t="str">
        <x:v>A character can occupy several narrative functions over time; record arc and point of view.</x:v>
      </x:c>
      <x:c r="I916" s="24" t="str">
        <x:v>dark lord; shadow king; evil overlord</x:v>
      </x:c>
      <x:c r="J916" s="24" t="str">
        <x:v>Structures conflict, fear, political critique, temptation, apocalypse, and moral contrast.</x:v>
      </x:c>
      <x:c r="K916" s="24" t="str">
        <x:v>dark lord; shadow king; evil overlord</x:v>
      </x:c>
      <x:c r="L916" s="24" t="str">
        <x:v>Preserve each source's ontology, culture, history, and terminology when making comparisons.</x:v>
      </x:c>
      <x:c r="M916" s="24" t="str">
        <x:v>Core Family</x:v>
      </x:c>
    </x:row>
    <x:row r="917" ht="44" customHeight="1">
      <x:c r="A917" s="24" t="str">
        <x:v>NAR-302</x:v>
      </x:c>
      <x:c r="B917" s="24" t="str">
        <x:v>Demon Lord</x:v>
      </x:c>
      <x:c r="C917" s="24" t="str">
        <x:v>Narrative Archetypes</x:v>
      </x:c>
      <x:c r="D917" s="24" t="str">
        <x:v>NAR-300</x:v>
      </x:c>
      <x:c r="E917" s="24" t="str">
        <x:f>IF(D917="","",IFERROR(VLOOKUP(D917,$A$2:$B$1226,2,FALSE),""))</x:f>
        <x:v>Antagonist and Threat Archetypes</x:v>
      </x:c>
      <x:c r="F917" s="24" t="n">
        <x:v>3</x:v>
      </x:c>
      <x:c r="G917" s="24" t="str">
        <x:v>Antagonist ruling demons, monsters, or a dark realm and often positioned against a designated hero.</x:v>
      </x:c>
      <x:c r="H917" s="24" t="str">
        <x:v>A character can occupy several narrative functions over time; record arc and point of view.</x:v>
      </x:c>
      <x:c r="I917" s="24" t="str">
        <x:v>demon king; maou; archfiend ruler</x:v>
      </x:c>
      <x:c r="J917" s="24" t="str">
        <x:v>Structures conflict, fear, political critique, temptation, apocalypse, and moral contrast.</x:v>
      </x:c>
      <x:c r="K917" s="24" t="str">
        <x:v>demon king; maou; archfiend ruler</x:v>
      </x:c>
      <x:c r="L917" s="24" t="str">
        <x:v>Preserve each source's ontology, culture, history, and terminology when making comparisons.</x:v>
      </x:c>
      <x:c r="M917" s="24" t="str">
        <x:v>Core Family</x:v>
      </x:c>
    </x:row>
    <x:row r="918" ht="44" customHeight="1">
      <x:c r="A918" s="24" t="str">
        <x:v>NAR-303</x:v>
      </x:c>
      <x:c r="B918" s="24" t="str">
        <x:v>Tyrant</x:v>
      </x:c>
      <x:c r="C918" s="24" t="str">
        <x:v>Narrative Archetypes</x:v>
      </x:c>
      <x:c r="D918" s="24" t="str">
        <x:v>NAR-300</x:v>
      </x:c>
      <x:c r="E918" s="24" t="str">
        <x:f>IF(D918="","",IFERROR(VLOOKUP(D918,$A$2:$B$1226,2,FALSE),""))</x:f>
        <x:v>Antagonist and Threat Archetypes</x:v>
      </x:c>
      <x:c r="F918" s="24" t="n">
        <x:v>3</x:v>
      </x:c>
      <x:c r="G918" s="24" t="str">
        <x:v>Ruler whose oppression, fear, extraction, and violence define the political conflict.</x:v>
      </x:c>
      <x:c r="H918" s="24" t="str">
        <x:v>A character can occupy several narrative functions over time; record arc and point of view.</x:v>
      </x:c>
      <x:c r="I918" s="24" t="str">
        <x:v>tyrant; despot; cruel king</x:v>
      </x:c>
      <x:c r="J918" s="24" t="str">
        <x:v>Structures conflict, fear, political critique, temptation, apocalypse, and moral contrast.</x:v>
      </x:c>
      <x:c r="K918" s="24" t="str">
        <x:v>tyrant; despot; cruel king</x:v>
      </x:c>
      <x:c r="L918" s="24" t="str">
        <x:v>Preserve each source's ontology, culture, history, and terminology when making comparisons.</x:v>
      </x:c>
      <x:c r="M918" s="24" t="str">
        <x:v>Core Family</x:v>
      </x:c>
    </x:row>
    <x:row r="919" ht="44" customHeight="1">
      <x:c r="A919" s="24" t="str">
        <x:v>NAR-304</x:v>
      </x:c>
      <x:c r="B919" s="24" t="str">
        <x:v>Usurper</x:v>
      </x:c>
      <x:c r="C919" s="24" t="str">
        <x:v>Narrative Archetypes</x:v>
      </x:c>
      <x:c r="D919" s="24" t="str">
        <x:v>NAR-300</x:v>
      </x:c>
      <x:c r="E919" s="24" t="str">
        <x:f>IF(D919="","",IFERROR(VLOOKUP(D919,$A$2:$B$1226,2,FALSE),""))</x:f>
        <x:v>Antagonist and Threat Archetypes</x:v>
      </x:c>
      <x:c r="F919" s="24" t="n">
        <x:v>3</x:v>
      </x:c>
      <x:c r="G919" s="24" t="str">
        <x:v>Figure who has seized a throne, title, identity, or sacred office considered illegitimate.</x:v>
      </x:c>
      <x:c r="H919" s="24" t="str">
        <x:v>A character can occupy several narrative functions over time; record arc and point of view.</x:v>
      </x:c>
      <x:c r="I919" s="24" t="str">
        <x:v>usurper; false king; throne thief</x:v>
      </x:c>
      <x:c r="J919" s="24" t="str">
        <x:v>Structures conflict, fear, political critique, temptation, apocalypse, and moral contrast.</x:v>
      </x:c>
      <x:c r="K919" s="24" t="str">
        <x:v>usurper; false king; throne thief</x:v>
      </x:c>
      <x:c r="L919" s="24" t="str">
        <x:v>Preserve each source's ontology, culture, history, and terminology when making comparisons.</x:v>
      </x:c>
      <x:c r="M919" s="24" t="str">
        <x:v>Core Family</x:v>
      </x:c>
    </x:row>
    <x:row r="920" ht="44" customHeight="1">
      <x:c r="A920" s="24" t="str">
        <x:v>NAR-305</x:v>
      </x:c>
      <x:c r="B920" s="24" t="str">
        <x:v>Witch Queen or Sorcerous Sovereign</x:v>
      </x:c>
      <x:c r="C920" s="24" t="str">
        <x:v>Narrative Archetypes</x:v>
      </x:c>
      <x:c r="D920" s="24" t="str">
        <x:v>NAR-300</x:v>
      </x:c>
      <x:c r="E920" s="24" t="str">
        <x:f>IF(D920="","",IFERROR(VLOOKUP(D920,$A$2:$B$1226,2,FALSE),""))</x:f>
        <x:v>Antagonist and Threat Archetypes</x:v>
      </x:c>
      <x:c r="F920" s="24" t="n">
        <x:v>3</x:v>
      </x:c>
      <x:c r="G920" s="24" t="str">
        <x:v>Powerful female-coded ruler whose magic, autonomy, sexuality, age, or ambition is framed as threat or fascination.</x:v>
      </x:c>
      <x:c r="H920" s="24" t="str">
        <x:v>A character can occupy several narrative functions over time; record arc and point of view.</x:v>
      </x:c>
      <x:c r="I920" s="24" t="str">
        <x:v>witch queen; sorceress-empress; ice queen</x:v>
      </x:c>
      <x:c r="J920" s="24" t="str">
        <x:v>Structures conflict, fear, political critique, temptation, apocalypse, and moral contrast.</x:v>
      </x:c>
      <x:c r="K920" s="24" t="str">
        <x:v>witch queen; sorceress-empress; ice queen</x:v>
      </x:c>
      <x:c r="L920" s="24" t="str">
        <x:v>Analyze gendered framing rather than treating the archetype as a neutral villain type.</x:v>
      </x:c>
      <x:c r="M920" s="24" t="str">
        <x:v>Core Family</x:v>
      </x:c>
    </x:row>
    <x:row r="921" ht="44" customHeight="1">
      <x:c r="A921" s="24" t="str">
        <x:v>NAR-306</x:v>
      </x:c>
      <x:c r="B921" s="24" t="str">
        <x:v>Necromancer King</x:v>
      </x:c>
      <x:c r="C921" s="24" t="str">
        <x:v>Narrative Archetypes</x:v>
      </x:c>
      <x:c r="D921" s="24" t="str">
        <x:v>NAR-300</x:v>
      </x:c>
      <x:c r="E921" s="24" t="str">
        <x:f>IF(D921="","",IFERROR(VLOOKUP(D921,$A$2:$B$1226,2,FALSE),""))</x:f>
        <x:v>Antagonist and Threat Archetypes</x:v>
      </x:c>
      <x:c r="F921" s="24" t="n">
        <x:v>3</x:v>
      </x:c>
      <x:c r="G921" s="24" t="str">
        <x:v>Ruler whose sovereignty rests on undeath, death magic, tomb empires, or armies of the dead.</x:v>
      </x:c>
      <x:c r="H921" s="24" t="str">
        <x:v>A character can occupy several narrative functions over time; record arc and point of view.</x:v>
      </x:c>
      <x:c r="I921" s="24" t="str">
        <x:v>lich king; necromancer lord; death emperor</x:v>
      </x:c>
      <x:c r="J921" s="24" t="str">
        <x:v>Structures conflict, fear, political critique, temptation, apocalypse, and moral contrast.</x:v>
      </x:c>
      <x:c r="K921" s="24" t="str">
        <x:v>lich king; necromancer lord; death emperor</x:v>
      </x:c>
      <x:c r="L921" s="24" t="str">
        <x:v>Preserve each source's ontology, culture, history, and terminology when making comparisons.</x:v>
      </x:c>
      <x:c r="M921" s="24" t="str">
        <x:v>Core Family</x:v>
      </x:c>
    </x:row>
    <x:row r="922" ht="44" customHeight="1">
      <x:c r="A922" s="24" t="str">
        <x:v>NAR-307</x:v>
      </x:c>
      <x:c r="B922" s="24" t="str">
        <x:v>Fallen God</x:v>
      </x:c>
      <x:c r="C922" s="24" t="str">
        <x:v>Narrative Archetypes</x:v>
      </x:c>
      <x:c r="D922" s="24" t="str">
        <x:v>NAR-300</x:v>
      </x:c>
      <x:c r="E922" s="24" t="str">
        <x:f>IF(D922="","",IFERROR(VLOOKUP(D922,$A$2:$B$1226,2,FALSE),""))</x:f>
        <x:v>Antagonist and Threat Archetypes</x:v>
      </x:c>
      <x:c r="F922" s="24" t="n">
        <x:v>3</x:v>
      </x:c>
      <x:c r="G922" s="24" t="str">
        <x:v>Former or diminished deity whose grievance, corruption, exile, or return threatens the world.</x:v>
      </x:c>
      <x:c r="H922" s="24" t="str">
        <x:v>A character can occupy several narrative functions over time; record arc and point of view.</x:v>
      </x:c>
      <x:c r="I922" s="24" t="str">
        <x:v>fallen deity; mad god; imprisoned god</x:v>
      </x:c>
      <x:c r="J922" s="24" t="str">
        <x:v>Structures conflict, fear, political critique, temptation, apocalypse, and moral contrast.</x:v>
      </x:c>
      <x:c r="K922" s="24" t="str">
        <x:v>fallen deity; mad god; imprisoned god</x:v>
      </x:c>
      <x:c r="L922" s="24" t="str">
        <x:v>Preserve each source's ontology, culture, history, and terminology when making comparisons.</x:v>
      </x:c>
      <x:c r="M922" s="24" t="str">
        <x:v>Core Family</x:v>
      </x:c>
    </x:row>
    <x:row r="923" ht="44" customHeight="1">
      <x:c r="A923" s="24" t="str">
        <x:v>NAR-308</x:v>
      </x:c>
      <x:c r="B923" s="24" t="str">
        <x:v>Ancient Evil</x:v>
      </x:c>
      <x:c r="C923" s="24" t="str">
        <x:v>Narrative Archetypes</x:v>
      </x:c>
      <x:c r="D923" s="24" t="str">
        <x:v>NAR-300</x:v>
      </x:c>
      <x:c r="E923" s="24" t="str">
        <x:f>IF(D923="","",IFERROR(VLOOKUP(D923,$A$2:$B$1226,2,FALSE),""))</x:f>
        <x:v>Antagonist and Threat Archetypes</x:v>
      </x:c>
      <x:c r="F923" s="24" t="n">
        <x:v>3</x:v>
      </x:c>
      <x:c r="G923" s="24" t="str">
        <x:v>Threat from a prior age whose return reveals suppressed history and unfinished conflict.</x:v>
      </x:c>
      <x:c r="H923" s="24" t="str">
        <x:v>A character can occupy several narrative functions over time; record arc and point of view.</x:v>
      </x:c>
      <x:c r="I923" s="24" t="str">
        <x:v>ancient evil; elder darkness; old enemy</x:v>
      </x:c>
      <x:c r="J923" s="24" t="str">
        <x:v>Structures conflict, fear, political critique, temptation, apocalypse, and moral contrast.</x:v>
      </x:c>
      <x:c r="K923" s="24" t="str">
        <x:v>ancient evil; elder darkness; old enemy</x:v>
      </x:c>
      <x:c r="L923" s="24" t="str">
        <x:v>Preserve each source's ontology, culture, history, and terminology when making comparisons.</x:v>
      </x:c>
      <x:c r="M923" s="24" t="str">
        <x:v>Core Family</x:v>
      </x:c>
    </x:row>
    <x:row r="924" ht="44" customHeight="1">
      <x:c r="A924" s="24" t="str">
        <x:v>NAR-309</x:v>
      </x:c>
      <x:c r="B924" s="24" t="str">
        <x:v>Sealed Evil</x:v>
      </x:c>
      <x:c r="C924" s="24" t="str">
        <x:v>Narrative Archetypes</x:v>
      </x:c>
      <x:c r="D924" s="24" t="str">
        <x:v>NAR-300</x:v>
      </x:c>
      <x:c r="E924" s="24" t="str">
        <x:f>IF(D924="","",IFERROR(VLOOKUP(D924,$A$2:$B$1226,2,FALSE),""))</x:f>
        <x:v>Antagonist and Threat Archetypes</x:v>
      </x:c>
      <x:c r="F924" s="24" t="n">
        <x:v>3</x:v>
      </x:c>
      <x:c r="G924" s="24" t="str">
        <x:v>Antagonist contained rather than destroyed and released through error, design, or cyclical necessity.</x:v>
      </x:c>
      <x:c r="H924" s="24" t="str">
        <x:v>A character can occupy several narrative functions over time; record arc and point of view.</x:v>
      </x:c>
      <x:c r="I924" s="24" t="str">
        <x:v>sealed demon; sleeping evil; broken prison</x:v>
      </x:c>
      <x:c r="J924" s="24" t="str">
        <x:v>Structures conflict, fear, political critique, temptation, apocalypse, and moral contrast.</x:v>
      </x:c>
      <x:c r="K924" s="24" t="str">
        <x:v>sealed demon; sleeping evil; broken prison</x:v>
      </x:c>
      <x:c r="L924" s="24" t="str">
        <x:v>Preserve each source's ontology, culture, history, and terminology when making comparisons.</x:v>
      </x:c>
      <x:c r="M924" s="24" t="str">
        <x:v>Core Family</x:v>
      </x:c>
    </x:row>
    <x:row r="925" ht="44" customHeight="1">
      <x:c r="A925" s="24" t="str">
        <x:v>NAR-310</x:v>
      </x:c>
      <x:c r="B925" s="24" t="str">
        <x:v>Cosmic Horror</x:v>
      </x:c>
      <x:c r="C925" s="24" t="str">
        <x:v>Narrative Archetypes</x:v>
      </x:c>
      <x:c r="D925" s="24" t="str">
        <x:v>NAR-300</x:v>
      </x:c>
      <x:c r="E925" s="24" t="str">
        <x:f>IF(D925="","",IFERROR(VLOOKUP(D925,$A$2:$B$1226,2,FALSE),""))</x:f>
        <x:v>Antagonist and Threat Archetypes</x:v>
      </x:c>
      <x:c r="F925" s="24" t="n">
        <x:v>3</x:v>
      </x:c>
      <x:c r="G925" s="24" t="str">
        <x:v>Threat whose ontology, scale, or indifference destabilizes ordinary identity, morality, and comprehension.</x:v>
      </x:c>
      <x:c r="H925" s="24" t="str">
        <x:v>A character can occupy several narrative functions over time; record arc and point of view.</x:v>
      </x:c>
      <x:c r="I925" s="24" t="str">
        <x:v>eldritch threat; outer god; incomprehensible enemy</x:v>
      </x:c>
      <x:c r="J925" s="24" t="str">
        <x:v>Structures conflict, fear, political critique, temptation, apocalypse, and moral contrast.</x:v>
      </x:c>
      <x:c r="K925" s="24" t="str">
        <x:v>eldritch threat; outer god; incomprehensible enemy</x:v>
      </x:c>
      <x:c r="L925" s="24" t="str">
        <x:v>Preserve each source's ontology, culture, history, and terminology when making comparisons.</x:v>
      </x:c>
      <x:c r="M925" s="24" t="str">
        <x:v>Core Family</x:v>
      </x:c>
    </x:row>
    <x:row r="926" ht="44" customHeight="1">
      <x:c r="A926" s="24" t="str">
        <x:v>NAR-311</x:v>
      </x:c>
      <x:c r="B926" s="24" t="str">
        <x:v>Corrupting Artifact</x:v>
      </x:c>
      <x:c r="C926" s="24" t="str">
        <x:v>Narrative Archetypes</x:v>
      </x:c>
      <x:c r="D926" s="24" t="str">
        <x:v>NAR-300</x:v>
      </x:c>
      <x:c r="E926" s="24" t="str">
        <x:f>IF(D926="","",IFERROR(VLOOKUP(D926,$A$2:$B$1226,2,FALSE),""))</x:f>
        <x:v>Antagonist and Threat Archetypes</x:v>
      </x:c>
      <x:c r="F926" s="24" t="n">
        <x:v>3</x:v>
      </x:c>
      <x:c r="G926" s="24" t="str">
        <x:v>Object that tempts, dominates, transforms, or concentrates destructive power around its bearer.</x:v>
      </x:c>
      <x:c r="H926" s="24" t="str">
        <x:v>A character can occupy several narrative functions over time; record arc and point of view.</x:v>
      </x:c>
      <x:c r="I926" s="24" t="str">
        <x:v>cursed ring; evil sword; dark relic</x:v>
      </x:c>
      <x:c r="J926" s="24" t="str">
        <x:v>Structures conflict, fear, political critique, temptation, apocalypse, and moral contrast.</x:v>
      </x:c>
      <x:c r="K926" s="24" t="str">
        <x:v>cursed ring; evil sword; dark relic</x:v>
      </x:c>
      <x:c r="L926" s="24" t="str">
        <x:v>Preserve each source's ontology, culture, history, and terminology when making comparisons.</x:v>
      </x:c>
      <x:c r="M926" s="24" t="str">
        <x:v>Core Family</x:v>
      </x:c>
    </x:row>
    <x:row r="927" ht="44" customHeight="1">
      <x:c r="A927" s="24" t="str">
        <x:v>NAR-312</x:v>
      </x:c>
      <x:c r="B927" s="24" t="str">
        <x:v>Corrupted Hero Antagonist</x:v>
      </x:c>
      <x:c r="C927" s="24" t="str">
        <x:v>Narrative Archetypes</x:v>
      </x:c>
      <x:c r="D927" s="24" t="str">
        <x:v>NAR-300</x:v>
      </x:c>
      <x:c r="E927" s="24" t="str">
        <x:f>IF(D927="","",IFERROR(VLOOKUP(D927,$A$2:$B$1226,2,FALSE),""))</x:f>
        <x:v>Antagonist and Threat Archetypes</x:v>
      </x:c>
      <x:c r="F927" s="24" t="n">
        <x:v>3</x:v>
      </x:c>
      <x:c r="G927" s="24" t="str">
        <x:v>Former champion now serving the enemy, curse, ideology, or power they once opposed.</x:v>
      </x:c>
      <x:c r="H927" s="24" t="str">
        <x:v>A character can occupy several narrative functions over time; record arc and point of view.</x:v>
      </x:c>
      <x:c r="I927" s="24" t="str">
        <x:v>fallen champion; dark mirror; corrupted paladin</x:v>
      </x:c>
      <x:c r="J927" s="24" t="str">
        <x:v>Structures conflict, fear, political critique, temptation, apocalypse, and moral contrast.</x:v>
      </x:c>
      <x:c r="K927" s="24" t="str">
        <x:v>fallen champion; dark mirror; corrupted paladin</x:v>
      </x:c>
      <x:c r="L927" s="24" t="str">
        <x:v>Preserve each source's ontology, culture, history, and terminology when making comparisons.</x:v>
      </x:c>
      <x:c r="M927" s="24" t="str">
        <x:v>Core Family</x:v>
      </x:c>
    </x:row>
    <x:row r="928" ht="44" customHeight="1">
      <x:c r="A928" s="24" t="str">
        <x:v>NAR-313</x:v>
      </x:c>
      <x:c r="B928" s="24" t="str">
        <x:v>Mirror Rival</x:v>
      </x:c>
      <x:c r="C928" s="24" t="str">
        <x:v>Narrative Archetypes</x:v>
      </x:c>
      <x:c r="D928" s="24" t="str">
        <x:v>NAR-300</x:v>
      </x:c>
      <x:c r="E928" s="24" t="str">
        <x:f>IF(D928="","",IFERROR(VLOOKUP(D928,$A$2:$B$1226,2,FALSE),""))</x:f>
        <x:v>Antagonist and Threat Archetypes</x:v>
      </x:c>
      <x:c r="F928" s="24" t="n">
        <x:v>3</x:v>
      </x:c>
      <x:c r="G928" s="24" t="str">
        <x:v>Antagonist with parallel origin, power, or goal who embodies the protagonist's rejected path.</x:v>
      </x:c>
      <x:c r="H928" s="24" t="str">
        <x:v>A character can occupy several narrative functions over time; record arc and point of view.</x:v>
      </x:c>
      <x:c r="I928" s="24" t="str">
        <x:v>dark reflection; rival; shadow self</x:v>
      </x:c>
      <x:c r="J928" s="24" t="str">
        <x:v>Structures conflict, fear, political critique, temptation, apocalypse, and moral contrast.</x:v>
      </x:c>
      <x:c r="K928" s="24" t="str">
        <x:v>dark reflection; rival; shadow self</x:v>
      </x:c>
      <x:c r="L928" s="24" t="str">
        <x:v>Preserve each source's ontology, culture, history, and terminology when making comparisons.</x:v>
      </x:c>
      <x:c r="M928" s="24" t="str">
        <x:v>Core Family</x:v>
      </x:c>
    </x:row>
    <x:row r="929" ht="44" customHeight="1">
      <x:c r="A929" s="24" t="str">
        <x:v>NAR-314</x:v>
      </x:c>
      <x:c r="B929" s="24" t="str">
        <x:v>Dragon Adversary</x:v>
      </x:c>
      <x:c r="C929" s="24" t="str">
        <x:v>Narrative Archetypes</x:v>
      </x:c>
      <x:c r="D929" s="24" t="str">
        <x:v>NAR-300</x:v>
      </x:c>
      <x:c r="E929" s="24" t="str">
        <x:f>IF(D929="","",IFERROR(VLOOKUP(D929,$A$2:$B$1226,2,FALSE),""))</x:f>
        <x:v>Antagonist and Threat Archetypes</x:v>
      </x:c>
      <x:c r="F929" s="24" t="n">
        <x:v>3</x:v>
      </x:c>
      <x:c r="G929" s="24" t="str">
        <x:v>Dragon functioning as hoarder, destroyer, tyrant, ecological catastrophe, or final trial.</x:v>
      </x:c>
      <x:c r="H929" s="24" t="str">
        <x:v>A character can occupy several narrative functions over time; record arc and point of view.</x:v>
      </x:c>
      <x:c r="I929" s="24" t="str">
        <x:v>dragon villain; wyrm tyrant</x:v>
      </x:c>
      <x:c r="J929" s="24" t="str">
        <x:v>Structures conflict, fear, political critique, temptation, apocalypse, and moral contrast.</x:v>
      </x:c>
      <x:c r="K929" s="24" t="str">
        <x:v>dragon villain; wyrm tyrant</x:v>
      </x:c>
      <x:c r="L929" s="24" t="str">
        <x:v>Preserve each source's ontology, culture, history, and terminology when making comparisons.</x:v>
      </x:c>
      <x:c r="M929" s="24" t="str">
        <x:v>Core Family</x:v>
      </x:c>
    </x:row>
    <x:row r="930" ht="44" customHeight="1">
      <x:c r="A930" s="24" t="str">
        <x:v>NAR-315</x:v>
      </x:c>
      <x:c r="B930" s="24" t="str">
        <x:v>Dragon Mentor or Hidden Sovereign</x:v>
      </x:c>
      <x:c r="C930" s="24" t="str">
        <x:v>Narrative Archetypes</x:v>
      </x:c>
      <x:c r="D930" s="24" t="str">
        <x:v>NAR-300</x:v>
      </x:c>
      <x:c r="E930" s="24" t="str">
        <x:f>IF(D930="","",IFERROR(VLOOKUP(D930,$A$2:$B$1226,2,FALSE),""))</x:f>
        <x:v>Antagonist and Threat Archetypes</x:v>
      </x:c>
      <x:c r="F930" s="24" t="n">
        <x:v>3</x:v>
      </x:c>
      <x:c r="G930" s="24" t="str">
        <x:v>Dragon whose age and power make it patron, teacher, judge, ruler, or morally ambiguous custodian.</x:v>
      </x:c>
      <x:c r="H930" s="24" t="str">
        <x:v>A character can occupy several narrative functions over time; record arc and point of view.</x:v>
      </x:c>
      <x:c r="I930" s="24" t="str">
        <x:v>wise dragon; dragon patron</x:v>
      </x:c>
      <x:c r="J930" s="24" t="str">
        <x:v>Structures conflict, fear, political critique, temptation, apocalypse, and moral contrast.</x:v>
      </x:c>
      <x:c r="K930" s="24" t="str">
        <x:v>wise dragon; dragon patron</x:v>
      </x:c>
      <x:c r="L930" s="24" t="str">
        <x:v>Preserve each source's ontology, culture, history, and terminology when making comparisons.</x:v>
      </x:c>
      <x:c r="M930" s="24" t="str">
        <x:v>Core Family</x:v>
      </x:c>
    </x:row>
    <x:row r="931" ht="44" customHeight="1">
      <x:c r="A931" s="24" t="str">
        <x:v>NAR-316</x:v>
      </x:c>
      <x:c r="B931" s="24" t="str">
        <x:v>Monster Horde</x:v>
      </x:c>
      <x:c r="C931" s="24" t="str">
        <x:v>Narrative Archetypes</x:v>
      </x:c>
      <x:c r="D931" s="24" t="str">
        <x:v>NAR-300</x:v>
      </x:c>
      <x:c r="E931" s="24" t="str">
        <x:f>IF(D931="","",IFERROR(VLOOKUP(D931,$A$2:$B$1226,2,FALSE),""))</x:f>
        <x:v>Antagonist and Threat Archetypes</x:v>
      </x:c>
      <x:c r="F931" s="24" t="n">
        <x:v>3</x:v>
      </x:c>
      <x:c r="G931" s="24" t="str">
        <x:v>Mass antagonist framed as overwhelming, depersonalized, reproducing, invading, or civilizationally alien.</x:v>
      </x:c>
      <x:c r="H931" s="24" t="str">
        <x:v>A character can occupy several narrative functions over time; record arc and point of view.</x:v>
      </x:c>
      <x:c r="I931" s="24" t="str">
        <x:v>horde; swarm; monster army</x:v>
      </x:c>
      <x:c r="J931" s="24" t="str">
        <x:v>Structures conflict, fear, political critique, temptation, apocalypse, and moral contrast.</x:v>
      </x:c>
      <x:c r="K931" s="24" t="str">
        <x:v>horde; swarm; monster army</x:v>
      </x:c>
      <x:c r="L931" s="24" t="str">
        <x:v>Examine dehumanization and racial coding when peoples are rendered as anonymous hordes.</x:v>
      </x:c>
      <x:c r="M931" s="24" t="str">
        <x:v>Core Family</x:v>
      </x:c>
    </x:row>
    <x:row r="932" ht="44" customHeight="1">
      <x:c r="A932" s="24" t="str">
        <x:v>NAR-317</x:v>
      </x:c>
      <x:c r="B932" s="24" t="str">
        <x:v>Evil Empire</x:v>
      </x:c>
      <x:c r="C932" s="24" t="str">
        <x:v>Narrative Archetypes</x:v>
      </x:c>
      <x:c r="D932" s="24" t="str">
        <x:v>NAR-300</x:v>
      </x:c>
      <x:c r="E932" s="24" t="str">
        <x:f>IF(D932="","",IFERROR(VLOOKUP(D932,$A$2:$B$1226,2,FALSE),""))</x:f>
        <x:v>Antagonist and Threat Archetypes</x:v>
      </x:c>
      <x:c r="F932" s="24" t="n">
        <x:v>3</x:v>
      </x:c>
      <x:c r="G932" s="24" t="str">
        <x:v>Expansionist state whose institutions, army, ideology, and extraction produce the conflict.</x:v>
      </x:c>
      <x:c r="H932" s="24" t="str">
        <x:v>A character can occupy several narrative functions over time; record arc and point of view.</x:v>
      </x:c>
      <x:c r="I932" s="24" t="str">
        <x:v>dark empire; imperial antagonist</x:v>
      </x:c>
      <x:c r="J932" s="24" t="str">
        <x:v>Structures conflict, fear, political critique, temptation, apocalypse, and moral contrast.</x:v>
      </x:c>
      <x:c r="K932" s="24" t="str">
        <x:v>dark empire; imperial antagonist</x:v>
      </x:c>
      <x:c r="L932" s="24" t="str">
        <x:v>Preserve each source's ontology, culture, history, and terminology when making comparisons.</x:v>
      </x:c>
      <x:c r="M932" s="24" t="str">
        <x:v>Core Family</x:v>
      </x:c>
    </x:row>
    <x:row r="933" ht="44" customHeight="1">
      <x:c r="A933" s="24" t="str">
        <x:v>NAR-318</x:v>
      </x:c>
      <x:c r="B933" s="24" t="str">
        <x:v>Decadent Court</x:v>
      </x:c>
      <x:c r="C933" s="24" t="str">
        <x:v>Narrative Archetypes</x:v>
      </x:c>
      <x:c r="D933" s="24" t="str">
        <x:v>NAR-300</x:v>
      </x:c>
      <x:c r="E933" s="24" t="str">
        <x:f>IF(D933="","",IFERROR(VLOOKUP(D933,$A$2:$B$1226,2,FALSE),""))</x:f>
        <x:v>Antagonist and Threat Archetypes</x:v>
      </x:c>
      <x:c r="F933" s="24" t="n">
        <x:v>3</x:v>
      </x:c>
      <x:c r="G933" s="24" t="str">
        <x:v>Elite political order whose corruption, intrigue, spectacle, and detachment endanger society.</x:v>
      </x:c>
      <x:c r="H933" s="24" t="str">
        <x:v>A character can occupy several narrative functions over time; record arc and point of view.</x:v>
      </x:c>
      <x:c r="I933" s="24" t="str">
        <x:v>corrupt court; decadent aristocracy</x:v>
      </x:c>
      <x:c r="J933" s="24" t="str">
        <x:v>Structures conflict, fear, political critique, temptation, apocalypse, and moral contrast.</x:v>
      </x:c>
      <x:c r="K933" s="24" t="str">
        <x:v>corrupt court; decadent aristocracy</x:v>
      </x:c>
      <x:c r="L933" s="24" t="str">
        <x:v>Preserve each source's ontology, culture, history, and terminology when making comparisons.</x:v>
      </x:c>
      <x:c r="M933" s="24" t="str">
        <x:v>Core Family</x:v>
      </x:c>
    </x:row>
    <x:row r="934" ht="44" customHeight="1">
      <x:c r="A934" s="24" t="str">
        <x:v>NAR-319</x:v>
      </x:c>
      <x:c r="B934" s="24" t="str">
        <x:v>Fanatical Theocracy</x:v>
      </x:c>
      <x:c r="C934" s="24" t="str">
        <x:v>Narrative Archetypes</x:v>
      </x:c>
      <x:c r="D934" s="24" t="str">
        <x:v>NAR-300</x:v>
      </x:c>
      <x:c r="E934" s="24" t="str">
        <x:f>IF(D934="","",IFERROR(VLOOKUP(D934,$A$2:$B$1226,2,FALSE),""))</x:f>
        <x:v>Antagonist and Threat Archetypes</x:v>
      </x:c>
      <x:c r="F934" s="24" t="n">
        <x:v>3</x:v>
      </x:c>
      <x:c r="G934" s="24" t="str">
        <x:v>Religious state or movement whose certainty licenses persecution, war, or suppression.</x:v>
      </x:c>
      <x:c r="H934" s="24" t="str">
        <x:v>A character can occupy several narrative functions over time; record arc and point of view.</x:v>
      </x:c>
      <x:c r="I934" s="24" t="str">
        <x:v>zealot regime; holy empire</x:v>
      </x:c>
      <x:c r="J934" s="24" t="str">
        <x:v>Structures conflict, fear, political critique, temptation, apocalypse, and moral contrast.</x:v>
      </x:c>
      <x:c r="K934" s="24" t="str">
        <x:v>zealot regime; holy empire</x:v>
      </x:c>
      <x:c r="L934" s="24" t="str">
        <x:v>Preserve each source's ontology, culture, history, and terminology when making comparisons.</x:v>
      </x:c>
      <x:c r="M934" s="24" t="str">
        <x:v>Core Family</x:v>
      </x:c>
    </x:row>
    <x:row r="935" ht="44" customHeight="1">
      <x:c r="A935" s="24" t="str">
        <x:v>NAR-320</x:v>
      </x:c>
      <x:c r="B935" s="24" t="str">
        <x:v>Mage Tyranny</x:v>
      </x:c>
      <x:c r="C935" s="24" t="str">
        <x:v>Narrative Archetypes</x:v>
      </x:c>
      <x:c r="D935" s="24" t="str">
        <x:v>NAR-300</x:v>
      </x:c>
      <x:c r="E935" s="24" t="str">
        <x:f>IF(D935="","",IFERROR(VLOOKUP(D935,$A$2:$B$1226,2,FALSE),""))</x:f>
        <x:v>Antagonist and Threat Archetypes</x:v>
      </x:c>
      <x:c r="F935" s="24" t="n">
        <x:v>3</x:v>
      </x:c>
      <x:c r="G935" s="24" t="str">
        <x:v>Rule by magic users who monopolize supernatural power and subordinate nonusers.</x:v>
      </x:c>
      <x:c r="H935" s="24" t="str">
        <x:v>A character can occupy several narrative functions over time; record arc and point of view.</x:v>
      </x:c>
      <x:c r="I935" s="24" t="str">
        <x:v>mageocracy villain; sorcerer caste</x:v>
      </x:c>
      <x:c r="J935" s="24" t="str">
        <x:v>Structures conflict, fear, political critique, temptation, apocalypse, and moral contrast.</x:v>
      </x:c>
      <x:c r="K935" s="24" t="str">
        <x:v>mageocracy villain; sorcerer caste</x:v>
      </x:c>
      <x:c r="L935" s="24" t="str">
        <x:v>Preserve each source's ontology, culture, history, and terminology when making comparisons.</x:v>
      </x:c>
      <x:c r="M935" s="24" t="str">
        <x:v>Core Family</x:v>
      </x:c>
    </x:row>
    <x:row r="936" ht="44" customHeight="1">
      <x:c r="A936" s="24" t="str">
        <x:v>NAR-321</x:v>
      </x:c>
      <x:c r="B936" s="24" t="str">
        <x:v>Machine or Construct Overlord</x:v>
      </x:c>
      <x:c r="C936" s="24" t="str">
        <x:v>Narrative Archetypes</x:v>
      </x:c>
      <x:c r="D936" s="24" t="str">
        <x:v>NAR-300</x:v>
      </x:c>
      <x:c r="E936" s="24" t="str">
        <x:f>IF(D936="","",IFERROR(VLOOKUP(D936,$A$2:$B$1226,2,FALSE),""))</x:f>
        <x:v>Antagonist and Threat Archetypes</x:v>
      </x:c>
      <x:c r="F936" s="24" t="n">
        <x:v>3</x:v>
      </x:c>
      <x:c r="G936" s="24" t="str">
        <x:v>Artificial intelligence, golem ruler, dungeon core, or automated system that dominates living beings.</x:v>
      </x:c>
      <x:c r="H936" s="24" t="str">
        <x:v>A character can occupy several narrative functions over time; record arc and point of view.</x:v>
      </x:c>
      <x:c r="I936" s="24" t="str">
        <x:v>machine lord; construct tyrant; control system</x:v>
      </x:c>
      <x:c r="J936" s="24" t="str">
        <x:v>Structures conflict, fear, political critique, temptation, apocalypse, and moral contrast.</x:v>
      </x:c>
      <x:c r="K936" s="24" t="str">
        <x:v>machine lord; construct tyrant; control system</x:v>
      </x:c>
      <x:c r="L936" s="24" t="str">
        <x:v>Preserve each source's ontology, culture, history, and terminology when making comparisons.</x:v>
      </x:c>
      <x:c r="M936" s="24" t="str">
        <x:v>Core Family</x:v>
      </x:c>
    </x:row>
    <x:row r="937" ht="44" customHeight="1">
      <x:c r="A937" s="24" t="str">
        <x:v>NAR-322</x:v>
      </x:c>
      <x:c r="B937" s="24" t="str">
        <x:v>Hive Mind Threat</x:v>
      </x:c>
      <x:c r="C937" s="24" t="str">
        <x:v>Narrative Archetypes</x:v>
      </x:c>
      <x:c r="D937" s="24" t="str">
        <x:v>NAR-300</x:v>
      </x:c>
      <x:c r="E937" s="24" t="str">
        <x:f>IF(D937="","",IFERROR(VLOOKUP(D937,$A$2:$B$1226,2,FALSE),""))</x:f>
        <x:v>Antagonist and Threat Archetypes</x:v>
      </x:c>
      <x:c r="F937" s="24" t="n">
        <x:v>3</x:v>
      </x:c>
      <x:c r="G937" s="24" t="str">
        <x:v>Collective intelligence that erases individuality, assimilates populations, or overwhelms through coordination.</x:v>
      </x:c>
      <x:c r="H937" s="24" t="str">
        <x:v>A character can occupy several narrative functions over time; record arc and point of view.</x:v>
      </x:c>
      <x:c r="I937" s="24" t="str">
        <x:v>hive mind; swarm queen; collective enemy</x:v>
      </x:c>
      <x:c r="J937" s="24" t="str">
        <x:v>Structures conflict, fear, political critique, temptation, apocalypse, and moral contrast.</x:v>
      </x:c>
      <x:c r="K937" s="24" t="str">
        <x:v>hive mind; swarm queen; collective enemy</x:v>
      </x:c>
      <x:c r="L937" s="24" t="str">
        <x:v>Preserve each source's ontology, culture, history, and terminology when making comparisons.</x:v>
      </x:c>
      <x:c r="M937" s="24" t="str">
        <x:v>Core Family</x:v>
      </x:c>
    </x:row>
    <x:row r="938" ht="44" customHeight="1">
      <x:c r="A938" s="24" t="str">
        <x:v>NAR-323</x:v>
      </x:c>
      <x:c r="B938" s="24" t="str">
        <x:v>Plague or Corruption</x:v>
      </x:c>
      <x:c r="C938" s="24" t="str">
        <x:v>Narrative Archetypes</x:v>
      </x:c>
      <x:c r="D938" s="24" t="str">
        <x:v>NAR-300</x:v>
      </x:c>
      <x:c r="E938" s="24" t="str">
        <x:f>IF(D938="","",IFERROR(VLOOKUP(D938,$A$2:$B$1226,2,FALSE),""))</x:f>
        <x:v>Antagonist and Threat Archetypes</x:v>
      </x:c>
      <x:c r="F938" s="24" t="n">
        <x:v>3</x:v>
      </x:c>
      <x:c r="G938" s="24" t="str">
        <x:v>Impersonal spreading threat that transforms bodies, landscapes, institutions, and loyalties.</x:v>
      </x:c>
      <x:c r="H938" s="24" t="str">
        <x:v>A character can occupy several narrative functions over time; record arc and point of view.</x:v>
      </x:c>
      <x:c r="I938" s="24" t="str">
        <x:v>blight; plague; taint; corruption</x:v>
      </x:c>
      <x:c r="J938" s="24" t="str">
        <x:v>Structures conflict, fear, political critique, temptation, apocalypse, and moral contrast.</x:v>
      </x:c>
      <x:c r="K938" s="24" t="str">
        <x:v>blight; plague; taint; corruption</x:v>
      </x:c>
      <x:c r="L938" s="24" t="str">
        <x:v>Preserve each source's ontology, culture, history, and terminology when making comparisons.</x:v>
      </x:c>
      <x:c r="M938" s="24" t="str">
        <x:v>Core Family</x:v>
      </x:c>
    </x:row>
    <x:row r="939" ht="44" customHeight="1">
      <x:c r="A939" s="24" t="str">
        <x:v>NAR-324</x:v>
      </x:c>
      <x:c r="B939" s="24" t="str">
        <x:v>False Savior</x:v>
      </x:c>
      <x:c r="C939" s="24" t="str">
        <x:v>Narrative Archetypes</x:v>
      </x:c>
      <x:c r="D939" s="24" t="str">
        <x:v>NAR-300</x:v>
      </x:c>
      <x:c r="E939" s="24" t="str">
        <x:f>IF(D939="","",IFERROR(VLOOKUP(D939,$A$2:$B$1226,2,FALSE),""))</x:f>
        <x:v>Antagonist and Threat Archetypes</x:v>
      </x:c>
      <x:c r="F939" s="24" t="n">
        <x:v>3</x:v>
      </x:c>
      <x:c r="G939" s="24" t="str">
        <x:v>Charismatic figure claiming or appearing to save society while advancing domination, sacrifice, or deception.</x:v>
      </x:c>
      <x:c r="H939" s="24" t="str">
        <x:v>A character can occupy several narrative functions over time; record arc and point of view.</x:v>
      </x:c>
      <x:c r="I939" s="24" t="str">
        <x:v>false messiah; benevolent tyrant; savior villain</x:v>
      </x:c>
      <x:c r="J939" s="24" t="str">
        <x:v>Structures conflict, fear, political critique, temptation, apocalypse, and moral contrast.</x:v>
      </x:c>
      <x:c r="K939" s="24" t="str">
        <x:v>false messiah; benevolent tyrant; savior villain</x:v>
      </x:c>
      <x:c r="L939" s="24" t="str">
        <x:v>Preserve each source's ontology, culture, history, and terminology when making comparisons.</x:v>
      </x:c>
      <x:c r="M939" s="24" t="str">
        <x:v>Core Family</x:v>
      </x:c>
    </x:row>
    <x:row r="940" ht="44" customHeight="1">
      <x:c r="A940" s="24" t="str">
        <x:v>NAR-325</x:v>
      </x:c>
      <x:c r="B940" s="24" t="str">
        <x:v>Cult Leader</x:v>
      </x:c>
      <x:c r="C940" s="24" t="str">
        <x:v>Narrative Archetypes</x:v>
      </x:c>
      <x:c r="D940" s="24" t="str">
        <x:v>NAR-300</x:v>
      </x:c>
      <x:c r="E940" s="24" t="str">
        <x:f>IF(D940="","",IFERROR(VLOOKUP(D940,$A$2:$B$1226,2,FALSE),""))</x:f>
        <x:v>Antagonist and Threat Archetypes</x:v>
      </x:c>
      <x:c r="F940" s="24" t="n">
        <x:v>3</x:v>
      </x:c>
      <x:c r="G940" s="24" t="str">
        <x:v>Antagonist who converts devotion, secrecy, charisma, and ritual into power and control.</x:v>
      </x:c>
      <x:c r="H940" s="24" t="str">
        <x:v>A character can occupy several narrative functions over time; record arc and point of view.</x:v>
      </x:c>
      <x:c r="I940" s="24" t="str">
        <x:v>cult leader; prophet villain; high priest</x:v>
      </x:c>
      <x:c r="J940" s="24" t="str">
        <x:v>Structures conflict, fear, political critique, temptation, apocalypse, and moral contrast.</x:v>
      </x:c>
      <x:c r="K940" s="24" t="str">
        <x:v>cult leader; prophet villain; high priest</x:v>
      </x:c>
      <x:c r="L940" s="24" t="str">
        <x:v>Preserve each source's ontology, culture, history, and terminology when making comparisons.</x:v>
      </x:c>
      <x:c r="M940" s="24" t="str">
        <x:v>Core Family</x:v>
      </x:c>
    </x:row>
    <x:row r="941" ht="44" customHeight="1">
      <x:c r="A941" s="24" t="str">
        <x:v>NAR-326</x:v>
      </x:c>
      <x:c r="B941" s="24" t="str">
        <x:v>Mad Wizard</x:v>
      </x:c>
      <x:c r="C941" s="24" t="str">
        <x:v>Narrative Archetypes</x:v>
      </x:c>
      <x:c r="D941" s="24" t="str">
        <x:v>NAR-300</x:v>
      </x:c>
      <x:c r="E941" s="24" t="str">
        <x:f>IF(D941="","",IFERROR(VLOOKUP(D941,$A$2:$B$1226,2,FALSE),""))</x:f>
        <x:v>Antagonist and Threat Archetypes</x:v>
      </x:c>
      <x:c r="F941" s="24" t="n">
        <x:v>3</x:v>
      </x:c>
      <x:c r="G941" s="24" t="str">
        <x:v>Powerful practitioner whose obsession, isolation, grief, ideology, or experiment threatens others.</x:v>
      </x:c>
      <x:c r="H941" s="24" t="str">
        <x:v>A character can occupy several narrative functions over time; record arc and point of view.</x:v>
      </x:c>
      <x:c r="I941" s="24" t="str">
        <x:v>mad mage; reckless artificer; forbidden scholar</x:v>
      </x:c>
      <x:c r="J941" s="24" t="str">
        <x:v>Structures conflict, fear, political critique, temptation, apocalypse, and moral contrast.</x:v>
      </x:c>
      <x:c r="K941" s="24" t="str">
        <x:v>mad mage; reckless artificer; forbidden scholar</x:v>
      </x:c>
      <x:c r="L941" s="24" t="str">
        <x:v>Avoid equating mental illness with evil; identify the actual motive and narrative mechanism.</x:v>
      </x:c>
      <x:c r="M941" s="24" t="str">
        <x:v>Core Family</x:v>
      </x:c>
    </x:row>
    <x:row r="942" ht="44" customHeight="1">
      <x:c r="A942" s="24" t="str">
        <x:v>NAR-327</x:v>
      </x:c>
      <x:c r="B942" s="24" t="str">
        <x:v>Trickster Antagonist</x:v>
      </x:c>
      <x:c r="C942" s="24" t="str">
        <x:v>Narrative Archetypes</x:v>
      </x:c>
      <x:c r="D942" s="24" t="str">
        <x:v>NAR-300</x:v>
      </x:c>
      <x:c r="E942" s="24" t="str">
        <x:f>IF(D942="","",IFERROR(VLOOKUP(D942,$A$2:$B$1226,2,FALSE),""))</x:f>
        <x:v>Antagonist and Threat Archetypes</x:v>
      </x:c>
      <x:c r="F942" s="24" t="n">
        <x:v>3</x:v>
      </x:c>
      <x:c r="G942" s="24" t="str">
        <x:v>Opponent who destabilizes through riddles, deception, games, contracts, or humiliation rather than conquest.</x:v>
      </x:c>
      <x:c r="H942" s="24" t="str">
        <x:v>A character can occupy several narrative functions over time; record arc and point of view.</x:v>
      </x:c>
      <x:c r="I942" s="24" t="str">
        <x:v>trickster villain; fae adversary; game master</x:v>
      </x:c>
      <x:c r="J942" s="24" t="str">
        <x:v>Structures conflict, fear, political critique, temptation, apocalypse, and moral contrast.</x:v>
      </x:c>
      <x:c r="K942" s="24" t="str">
        <x:v>trickster villain; fae adversary; game master</x:v>
      </x:c>
      <x:c r="L942" s="24" t="str">
        <x:v>Preserve each source's ontology, culture, history, and terminology when making comparisons.</x:v>
      </x:c>
      <x:c r="M942" s="24" t="str">
        <x:v>Core Family</x:v>
      </x:c>
    </x:row>
    <x:row r="943" ht="44" customHeight="1">
      <x:c r="A943" s="24" t="str">
        <x:v>NAR-328</x:v>
      </x:c>
      <x:c r="B943" s="24" t="str">
        <x:v>Predatory Aristocrat</x:v>
      </x:c>
      <x:c r="C943" s="24" t="str">
        <x:v>Narrative Archetypes</x:v>
      </x:c>
      <x:c r="D943" s="24" t="str">
        <x:v>NAR-300</x:v>
      </x:c>
      <x:c r="E943" s="24" t="str">
        <x:f>IF(D943="","",IFERROR(VLOOKUP(D943,$A$2:$B$1226,2,FALSE),""))</x:f>
        <x:v>Antagonist and Threat Archetypes</x:v>
      </x:c>
      <x:c r="F943" s="24" t="n">
        <x:v>3</x:v>
      </x:c>
      <x:c r="G943" s="24" t="str">
        <x:v>Elite antagonist who consumes, exploits, hunts, or treats others as property, often coded as vampire or decadent noble.</x:v>
      </x:c>
      <x:c r="H943" s="24" t="str">
        <x:v>A character can occupy several narrative functions over time; record arc and point of view.</x:v>
      </x:c>
      <x:c r="I943" s="24" t="str">
        <x:v>vampire lord; cruel noble; hunter aristocrat</x:v>
      </x:c>
      <x:c r="J943" s="24" t="str">
        <x:v>Structures conflict, fear, political critique, temptation, apocalypse, and moral contrast.</x:v>
      </x:c>
      <x:c r="K943" s="24" t="str">
        <x:v>vampire lord; cruel noble; hunter aristocrat</x:v>
      </x:c>
      <x:c r="L943" s="24" t="str">
        <x:v>Preserve each source's ontology, culture, history, and terminology when making comparisons.</x:v>
      </x:c>
      <x:c r="M943" s="24" t="str">
        <x:v>Core Family</x:v>
      </x:c>
    </x:row>
    <x:row r="944" ht="44" customHeight="1">
      <x:c r="A944" s="24" t="str">
        <x:v>NAR-329</x:v>
      </x:c>
      <x:c r="B944" s="24" t="str">
        <x:v>Sympathetic Monster</x:v>
      </x:c>
      <x:c r="C944" s="24" t="str">
        <x:v>Narrative Archetypes</x:v>
      </x:c>
      <x:c r="D944" s="24" t="str">
        <x:v>NAR-300</x:v>
      </x:c>
      <x:c r="E944" s="24" t="str">
        <x:f>IF(D944="","",IFERROR(VLOOKUP(D944,$A$2:$B$1226,2,FALSE),""))</x:f>
        <x:v>Antagonist and Threat Archetypes</x:v>
      </x:c>
      <x:c r="F944" s="24" t="n">
        <x:v>3</x:v>
      </x:c>
      <x:c r="G944" s="24" t="str">
        <x:v>Antagonist whose violence coexists with understandable need, persecution, grief, or incompatible ecology.</x:v>
      </x:c>
      <x:c r="H944" s="24" t="str">
        <x:v>A character can occupy several narrative functions over time; record arc and point of view.</x:v>
      </x:c>
      <x:c r="I944" s="24" t="str">
        <x:v>tragic monster; misunderstood beast</x:v>
      </x:c>
      <x:c r="J944" s="24" t="str">
        <x:v>Structures conflict, fear, political critique, temptation, apocalypse, and moral contrast.</x:v>
      </x:c>
      <x:c r="K944" s="24" t="str">
        <x:v>tragic monster; misunderstood beast</x:v>
      </x:c>
      <x:c r="L944" s="24" t="str">
        <x:v>Preserve each source's ontology, culture, history, and terminology when making comparisons.</x:v>
      </x:c>
      <x:c r="M944" s="24" t="str">
        <x:v>Core Family</x:v>
      </x:c>
    </x:row>
    <x:row r="945" ht="44" customHeight="1">
      <x:c r="A945" s="24" t="str">
        <x:v>NAR-330</x:v>
      </x:c>
      <x:c r="B945" s="24" t="str">
        <x:v>Unstoppable Hunter</x:v>
      </x:c>
      <x:c r="C945" s="24" t="str">
        <x:v>Narrative Archetypes</x:v>
      </x:c>
      <x:c r="D945" s="24" t="str">
        <x:v>NAR-300</x:v>
      </x:c>
      <x:c r="E945" s="24" t="str">
        <x:f>IF(D945="","",IFERROR(VLOOKUP(D945,$A$2:$B$1226,2,FALSE),""))</x:f>
        <x:v>Antagonist and Threat Archetypes</x:v>
      </x:c>
      <x:c r="F945" s="24" t="n">
        <x:v>3</x:v>
      </x:c>
      <x:c r="G945" s="24" t="str">
        <x:v>Relentless pursuer whose narrow purpose, superior power, or supernatural tracking drives suspense.</x:v>
      </x:c>
      <x:c r="H945" s="24" t="str">
        <x:v>A character can occupy several narrative functions over time; record arc and point of view.</x:v>
      </x:c>
      <x:c r="I945" s="24" t="str">
        <x:v>nemesis; dark rider; bounty hunter</x:v>
      </x:c>
      <x:c r="J945" s="24" t="str">
        <x:v>Structures conflict, fear, political critique, temptation, apocalypse, and moral contrast.</x:v>
      </x:c>
      <x:c r="K945" s="24" t="str">
        <x:v>nemesis; dark rider; bounty hunter</x:v>
      </x:c>
      <x:c r="L945" s="24" t="str">
        <x:v>Preserve each source's ontology, culture, history, and terminology when making comparisons.</x:v>
      </x:c>
      <x:c r="M945" s="24" t="str">
        <x:v>Core Family</x:v>
      </x:c>
    </x:row>
    <x:row r="946" ht="44" customHeight="1">
      <x:c r="A946" s="24" t="str">
        <x:v>NAR-331</x:v>
      </x:c>
      <x:c r="B946" s="24" t="str">
        <x:v>Body-Snatcher</x:v>
      </x:c>
      <x:c r="C946" s="24" t="str">
        <x:v>Narrative Archetypes</x:v>
      </x:c>
      <x:c r="D946" s="24" t="str">
        <x:v>NAR-300</x:v>
      </x:c>
      <x:c r="E946" s="24" t="str">
        <x:f>IF(D946="","",IFERROR(VLOOKUP(D946,$A$2:$B$1226,2,FALSE),""))</x:f>
        <x:v>Antagonist and Threat Archetypes</x:v>
      </x:c>
      <x:c r="F946" s="24" t="n">
        <x:v>3</x:v>
      </x:c>
      <x:c r="G946" s="24" t="str">
        <x:v>Threat that steals appearances, bodies, memories, or social positions and destroys trust.</x:v>
      </x:c>
      <x:c r="H946" s="24" t="str">
        <x:v>A character can occupy several narrative functions over time; record arc and point of view.</x:v>
      </x:c>
      <x:c r="I946" s="24" t="str">
        <x:v>doppelganger threat; infiltrator; parasite</x:v>
      </x:c>
      <x:c r="J946" s="24" t="str">
        <x:v>Structures conflict, fear, political critique, temptation, apocalypse, and moral contrast.</x:v>
      </x:c>
      <x:c r="K946" s="24" t="str">
        <x:v>doppelganger threat; infiltrator; parasite</x:v>
      </x:c>
      <x:c r="L946" s="24" t="str">
        <x:v>Preserve each source's ontology, culture, history, and terminology when making comparisons.</x:v>
      </x:c>
      <x:c r="M946" s="24" t="str">
        <x:v>Core Family</x:v>
      </x:c>
    </x:row>
    <x:row r="947" ht="44" customHeight="1">
      <x:c r="A947" s="24" t="str">
        <x:v>NAR-332</x:v>
      </x:c>
      <x:c r="B947" s="24" t="str">
        <x:v>Possessor or Tempter</x:v>
      </x:c>
      <x:c r="C947" s="24" t="str">
        <x:v>Narrative Archetypes</x:v>
      </x:c>
      <x:c r="D947" s="24" t="str">
        <x:v>NAR-300</x:v>
      </x:c>
      <x:c r="E947" s="24" t="str">
        <x:f>IF(D947="","",IFERROR(VLOOKUP(D947,$A$2:$B$1226,2,FALSE),""))</x:f>
        <x:v>Antagonist and Threat Archetypes</x:v>
      </x:c>
      <x:c r="F947" s="24" t="n">
        <x:v>3</x:v>
      </x:c>
      <x:c r="G947" s="24" t="str">
        <x:v>Entity that conquers through desire, bargains, addiction, or occupation of the body.</x:v>
      </x:c>
      <x:c r="H947" s="24" t="str">
        <x:v>A character can occupy several narrative functions over time; record arc and point of view.</x:v>
      </x:c>
      <x:c r="I947" s="24" t="str">
        <x:v>possessing demon; tempter; patron villain</x:v>
      </x:c>
      <x:c r="J947" s="24" t="str">
        <x:v>Structures conflict, fear, political critique, temptation, apocalypse, and moral contrast.</x:v>
      </x:c>
      <x:c r="K947" s="24" t="str">
        <x:v>possessing demon; tempter; patron villain</x:v>
      </x:c>
      <x:c r="L947" s="24" t="str">
        <x:v>Preserve each source's ontology, culture, history, and terminology when making comparisons.</x:v>
      </x:c>
      <x:c r="M947" s="24" t="str">
        <x:v>Core Family</x:v>
      </x:c>
    </x:row>
    <x:row r="948" ht="44" customHeight="1">
      <x:c r="A948" s="24" t="str">
        <x:v>NAR-333</x:v>
      </x:c>
      <x:c r="B948" s="24" t="str">
        <x:v>World-Eater</x:v>
      </x:c>
      <x:c r="C948" s="24" t="str">
        <x:v>Narrative Archetypes</x:v>
      </x:c>
      <x:c r="D948" s="24" t="str">
        <x:v>NAR-300</x:v>
      </x:c>
      <x:c r="E948" s="24" t="str">
        <x:f>IF(D948="","",IFERROR(VLOOKUP(D948,$A$2:$B$1226,2,FALSE),""))</x:f>
        <x:v>Antagonist and Threat Archetypes</x:v>
      </x:c>
      <x:c r="F948" s="24" t="n">
        <x:v>3</x:v>
      </x:c>
      <x:c r="G948" s="24" t="str">
        <x:v>Entity or force that consumes worlds, gods, magic, souls, timelines, or reality itself.</x:v>
      </x:c>
      <x:c r="H948" s="24" t="str">
        <x:v>A character can occupy several narrative functions over time; record arc and point of view.</x:v>
      </x:c>
      <x:c r="I948" s="24" t="str">
        <x:v>world eater; devourer; apocalypse beast</x:v>
      </x:c>
      <x:c r="J948" s="24" t="str">
        <x:v>Structures conflict, fear, political critique, temptation, apocalypse, and moral contrast.</x:v>
      </x:c>
      <x:c r="K948" s="24" t="str">
        <x:v>world eater; devourer; apocalypse beast</x:v>
      </x:c>
      <x:c r="L948" s="24" t="str">
        <x:v>Preserve each source's ontology, culture, history, and terminology when making comparisons.</x:v>
      </x:c>
      <x:c r="M948" s="24" t="str">
        <x:v>Core Family</x:v>
      </x:c>
    </x:row>
    <x:row r="949" ht="44" customHeight="1">
      <x:c r="A949" s="24" t="str">
        <x:v>NAR-334</x:v>
      </x:c>
      <x:c r="B949" s="24" t="str">
        <x:v>Nature's Revenge</x:v>
      </x:c>
      <x:c r="C949" s="24" t="str">
        <x:v>Narrative Archetypes</x:v>
      </x:c>
      <x:c r="D949" s="24" t="str">
        <x:v>NAR-300</x:v>
      </x:c>
      <x:c r="E949" s="24" t="str">
        <x:f>IF(D949="","",IFERROR(VLOOKUP(D949,$A$2:$B$1226,2,FALSE),""))</x:f>
        <x:v>Antagonist and Threat Archetypes</x:v>
      </x:c>
      <x:c r="F949" s="24" t="n">
        <x:v>3</x:v>
      </x:c>
      <x:c r="G949" s="24" t="str">
        <x:v>Ecological, divine, or spirit antagonist arising from exploitation, imbalance, desecration, or human expansion.</x:v>
      </x:c>
      <x:c r="H949" s="24" t="str">
        <x:v>A character can occupy several narrative functions over time; record arc and point of view.</x:v>
      </x:c>
      <x:c r="I949" s="24" t="str">
        <x:v>vengeful forest; wrathful land; eco-apocalypse</x:v>
      </x:c>
      <x:c r="J949" s="24" t="str">
        <x:v>Structures conflict, fear, political critique, temptation, apocalypse, and moral contrast.</x:v>
      </x:c>
      <x:c r="K949" s="24" t="str">
        <x:v>vengeful forest; wrathful land; eco-apocalypse</x:v>
      </x:c>
      <x:c r="L949" s="24" t="str">
        <x:v>Preserve each source's ontology, culture, history, and terminology when making comparisons.</x:v>
      </x:c>
      <x:c r="M949" s="24" t="str">
        <x:v>Core Family</x:v>
      </x:c>
    </x:row>
    <x:row r="950" ht="44" customHeight="1">
      <x:c r="A950" s="24" t="str">
        <x:v>NAR-335</x:v>
      </x:c>
      <x:c r="B950" s="24" t="str">
        <x:v>Colonial or Imperial Invader</x:v>
      </x:c>
      <x:c r="C950" s="24" t="str">
        <x:v>Narrative Archetypes</x:v>
      </x:c>
      <x:c r="D950" s="24" t="str">
        <x:v>NAR-300</x:v>
      </x:c>
      <x:c r="E950" s="24" t="str">
        <x:f>IF(D950="","",IFERROR(VLOOKUP(D950,$A$2:$B$1226,2,FALSE),""))</x:f>
        <x:v>Antagonist and Threat Archetypes</x:v>
      </x:c>
      <x:c r="F950" s="24" t="n">
        <x:v>3</x:v>
      </x:c>
      <x:c r="G950" s="24" t="str">
        <x:v>Outside power that conquers territory, suppresses culture, extracts resources, and redraws identity.</x:v>
      </x:c>
      <x:c r="H950" s="24" t="str">
        <x:v>A character can occupy several narrative functions over time; record arc and point of view.</x:v>
      </x:c>
      <x:c r="I950" s="24" t="str">
        <x:v>invader; colonizer; occupying empire</x:v>
      </x:c>
      <x:c r="J950" s="24" t="str">
        <x:v>Structures conflict, fear, political critique, temptation, apocalypse, and moral contrast.</x:v>
      </x:c>
      <x:c r="K950" s="24" t="str">
        <x:v>invader; colonizer; occupying empire</x:v>
      </x:c>
      <x:c r="L950" s="24" t="str">
        <x:v>Preserve each source's ontology, culture, history, and terminology when making comparisons.</x:v>
      </x:c>
      <x:c r="M950" s="24" t="str">
        <x:v>Core Family</x:v>
      </x:c>
    </x:row>
    <x:row r="951" ht="44" customHeight="1">
      <x:c r="A951" s="24" t="str">
        <x:v>NAR-336</x:v>
      </x:c>
      <x:c r="B951" s="24" t="str">
        <x:v>Internal Traitor</x:v>
      </x:c>
      <x:c r="C951" s="24" t="str">
        <x:v>Narrative Archetypes</x:v>
      </x:c>
      <x:c r="D951" s="24" t="str">
        <x:v>NAR-300</x:v>
      </x:c>
      <x:c r="E951" s="24" t="str">
        <x:f>IF(D951="","",IFERROR(VLOOKUP(D951,$A$2:$B$1226,2,FALSE),""))</x:f>
        <x:v>Antagonist and Threat Archetypes</x:v>
      </x:c>
      <x:c r="F951" s="24" t="n">
        <x:v>3</x:v>
      </x:c>
      <x:c r="G951" s="24" t="str">
        <x:v>Trusted insider who enables catastrophe through betrayal, ideology, coercion, or ambition.</x:v>
      </x:c>
      <x:c r="H951" s="24" t="str">
        <x:v>A character can occupy several narrative functions over time; record arc and point of view.</x:v>
      </x:c>
      <x:c r="I951" s="24" t="str">
        <x:v>traitor; conspirator; turncloak</x:v>
      </x:c>
      <x:c r="J951" s="24" t="str">
        <x:v>Structures conflict, fear, political critique, temptation, apocalypse, and moral contrast.</x:v>
      </x:c>
      <x:c r="K951" s="24" t="str">
        <x:v>traitor; conspirator; turncloak</x:v>
      </x:c>
      <x:c r="L951" s="24" t="str">
        <x:v>Preserve each source's ontology, culture, history, and terminology when making comparisons.</x:v>
      </x:c>
      <x:c r="M951" s="24" t="str">
        <x:v>Core Family</x:v>
      </x:c>
    </x:row>
    <x:row r="952" ht="44" customHeight="1">
      <x:c r="A952" s="24" t="str">
        <x:v>NAR-337</x:v>
      </x:c>
      <x:c r="B952" s="24" t="str">
        <x:v>Rival Adventuring Party</x:v>
      </x:c>
      <x:c r="C952" s="24" t="str">
        <x:v>Narrative Archetypes</x:v>
      </x:c>
      <x:c r="D952" s="24" t="str">
        <x:v>NAR-300</x:v>
      </x:c>
      <x:c r="E952" s="24" t="str">
        <x:f>IF(D952="","",IFERROR(VLOOKUP(D952,$A$2:$B$1226,2,FALSE),""))</x:f>
        <x:v>Antagonist and Threat Archetypes</x:v>
      </x:c>
      <x:c r="F952" s="24" t="n">
        <x:v>3</x:v>
      </x:c>
      <x:c r="G952" s="24" t="str">
        <x:v>Competing group that mirrors the protagonists and contests quests, rewards, reputation, or morality.</x:v>
      </x:c>
      <x:c r="H952" s="24" t="str">
        <x:v>A character can occupy several narrative functions over time; record arc and point of view.</x:v>
      </x:c>
      <x:c r="I952" s="24" t="str">
        <x:v>rival party; opposing guild team</x:v>
      </x:c>
      <x:c r="J952" s="24" t="str">
        <x:v>Structures conflict, fear, political critique, temptation, apocalypse, and moral contrast.</x:v>
      </x:c>
      <x:c r="K952" s="24" t="str">
        <x:v>rival party; opposing guild team</x:v>
      </x:c>
      <x:c r="L952" s="24" t="str">
        <x:v>Preserve each source's ontology, culture, history, and terminology when making comparisons.</x:v>
      </x:c>
      <x:c r="M952" s="24" t="str">
        <x:v>Core Family</x:v>
      </x:c>
    </x:row>
    <x:row r="953" ht="44" customHeight="1">
      <x:c r="A953" s="24" t="str">
        <x:v>NAR-338</x:v>
      </x:c>
      <x:c r="B953" s="24" t="str">
        <x:v>Dungeon as Antagonist</x:v>
      </x:c>
      <x:c r="C953" s="24" t="str">
        <x:v>Narrative Archetypes</x:v>
      </x:c>
      <x:c r="D953" s="24" t="str">
        <x:v>NAR-300</x:v>
      </x:c>
      <x:c r="E953" s="24" t="str">
        <x:f>IF(D953="","",IFERROR(VLOOKUP(D953,$A$2:$B$1226,2,FALSE),""))</x:f>
        <x:v>Antagonist and Threat Archetypes</x:v>
      </x:c>
      <x:c r="F953" s="24" t="n">
        <x:v>3</x:v>
      </x:c>
      <x:c r="G953" s="24" t="str">
        <x:v>A site or system itself behaves as adaptive, hostile, hungry, sentient, or structurally exploitative.</x:v>
      </x:c>
      <x:c r="H953" s="24" t="str">
        <x:v>A character can occupy several narrative functions over time; record arc and point of view.</x:v>
      </x:c>
      <x:c r="I953" s="24" t="str">
        <x:v>living dungeon; death maze; hostile world</x:v>
      </x:c>
      <x:c r="J953" s="24" t="str">
        <x:v>Structures conflict, fear, political critique, temptation, apocalypse, and moral contrast.</x:v>
      </x:c>
      <x:c r="K953" s="24" t="str">
        <x:v>living dungeon; death maze; hostile world</x:v>
      </x:c>
      <x:c r="L953" s="24" t="str">
        <x:v>Preserve each source's ontology, culture, history, and terminology when making comparisons.</x:v>
      </x:c>
      <x:c r="M953" s="24" t="str">
        <x:v>Core Family</x:v>
      </x:c>
    </x:row>
    <x:row r="954" ht="44" customHeight="1">
      <x:c r="A954" s="24" t="str">
        <x:v>NAR-339</x:v>
      </x:c>
      <x:c r="B954" s="24" t="str">
        <x:v>Inevitable Catastrophe</x:v>
      </x:c>
      <x:c r="C954" s="24" t="str">
        <x:v>Narrative Archetypes</x:v>
      </x:c>
      <x:c r="D954" s="24" t="str">
        <x:v>NAR-300</x:v>
      </x:c>
      <x:c r="E954" s="24" t="str">
        <x:f>IF(D954="","",IFERROR(VLOOKUP(D954,$A$2:$B$1226,2,FALSE),""))</x:f>
        <x:v>Antagonist and Threat Archetypes</x:v>
      </x:c>
      <x:c r="F954" s="24" t="n">
        <x:v>3</x:v>
      </x:c>
      <x:c r="G954" s="24" t="str">
        <x:v>Threat such as winter, flood, eclipse, conjunction, or magical cycle that cannot be defeated in ordinary personal combat.</x:v>
      </x:c>
      <x:c r="H954" s="24" t="str">
        <x:v>A character can occupy several narrative functions over time; record arc and point of view.</x:v>
      </x:c>
      <x:c r="I954" s="24" t="str">
        <x:v>long winter; convergence; apocalypse cycle</x:v>
      </x:c>
      <x:c r="J954" s="24" t="str">
        <x:v>Structures conflict, fear, political critique, temptation, apocalypse, and moral contrast.</x:v>
      </x:c>
      <x:c r="K954" s="24" t="str">
        <x:v>long winter; convergence; apocalypse cycle</x:v>
      </x:c>
      <x:c r="L954" s="24" t="str">
        <x:v>Preserve each source's ontology, culture, history, and terminology when making comparisons.</x:v>
      </x:c>
      <x:c r="M954" s="24" t="str">
        <x:v>Core Family</x:v>
      </x:c>
    </x:row>
    <x:row r="955" ht="44" customHeight="1">
      <x:c r="A955" s="24" t="str">
        <x:v>NAR-340</x:v>
      </x:c>
      <x:c r="B955" s="24" t="str">
        <x:v>Ideology as Antagonist</x:v>
      </x:c>
      <x:c r="C955" s="24" t="str">
        <x:v>Narrative Archetypes</x:v>
      </x:c>
      <x:c r="D955" s="24" t="str">
        <x:v>NAR-300</x:v>
      </x:c>
      <x:c r="E955" s="24" t="str">
        <x:f>IF(D955="","",IFERROR(VLOOKUP(D955,$A$2:$B$1226,2,FALSE),""))</x:f>
        <x:v>Antagonist and Threat Archetypes</x:v>
      </x:c>
      <x:c r="F955" s="24" t="n">
        <x:v>3</x:v>
      </x:c>
      <x:c r="G955" s="24" t="str">
        <x:v>The central threat is a doctrine, social order, prejudice, or incentive system embodied by many actors rather than one villain.</x:v>
      </x:c>
      <x:c r="H955" s="24" t="str">
        <x:v>A character can occupy several narrative functions over time; record arc and point of view.</x:v>
      </x:c>
      <x:c r="I955" s="24" t="str">
        <x:v>systemic evil; oppressive ideology; caste order</x:v>
      </x:c>
      <x:c r="J955" s="24" t="str">
        <x:v>Structures conflict, fear, political critique, temptation, apocalypse, and moral contrast.</x:v>
      </x:c>
      <x:c r="K955" s="24" t="str">
        <x:v>systemic evil; oppressive ideology; caste order</x:v>
      </x:c>
      <x:c r="L955" s="24" t="str">
        <x:v>Preserve each source's ontology, culture, history, and terminology when making comparisons.</x:v>
      </x:c>
      <x:c r="M955" s="24" t="str">
        <x:v>Core Family</x:v>
      </x:c>
    </x:row>
    <x:row r="956" ht="44" customHeight="1">
      <x:c r="A956" s="24" t="str">
        <x:v>NAR-401</x:v>
      </x:c>
      <x:c r="B956" s="24" t="str">
        <x:v>Quest for a Relic</x:v>
      </x:c>
      <x:c r="C956" s="24" t="str">
        <x:v>Narrative Archetypes</x:v>
      </x:c>
      <x:c r="D956" s="24" t="str">
        <x:v>NAR-400</x:v>
      </x:c>
      <x:c r="E956" s="24" t="str">
        <x:f>IF(D956="","",IFERROR(VLOOKUP(D956,$A$2:$B$1226,2,FALSE),""))</x:f>
        <x:v>Plot and Journey Archetypes</x:v>
      </x:c>
      <x:c r="F956" s="24" t="n">
        <x:v>3</x:v>
      </x:c>
      <x:c r="G956" s="24" t="str">
        <x:v>Characters seek, destroy, deliver, assemble, or understand an object of exceptional power.</x:v>
      </x:c>
      <x:c r="H956" s="24" t="str">
        <x:v>A character can occupy several narrative functions over time; record arc and point of view.</x:v>
      </x:c>
      <x:c r="I956" s="24" t="str">
        <x:v>artifact quest; relic hunt; ring quest</x:v>
      </x:c>
      <x:c r="J956" s="24" t="str">
        <x:v>Structures quests, arcs, genre expectations, causality, escalation, and world transformation.</x:v>
      </x:c>
      <x:c r="K956" s="24" t="str">
        <x:v>artifact quest; relic hunt; ring quest</x:v>
      </x:c>
      <x:c r="L956" s="24" t="str">
        <x:v>Preserve each source's ontology, culture, history, and terminology when making comparisons.</x:v>
      </x:c>
      <x:c r="M956" s="24" t="str">
        <x:v>Core Family</x:v>
      </x:c>
    </x:row>
    <x:row r="957" ht="44" customHeight="1">
      <x:c r="A957" s="24" t="str">
        <x:v>NAR-402</x:v>
      </x:c>
      <x:c r="B957" s="24" t="str">
        <x:v>Destroy the Artifact</x:v>
      </x:c>
      <x:c r="C957" s="24" t="str">
        <x:v>Narrative Archetypes</x:v>
      </x:c>
      <x:c r="D957" s="24" t="str">
        <x:v>NAR-400</x:v>
      </x:c>
      <x:c r="E957" s="24" t="str">
        <x:f>IF(D957="","",IFERROR(VLOOKUP(D957,$A$2:$B$1226,2,FALSE),""))</x:f>
        <x:v>Plot and Journey Archetypes</x:v>
      </x:c>
      <x:c r="F957" s="24" t="n">
        <x:v>3</x:v>
      </x:c>
      <x:c r="G957" s="24" t="str">
        <x:v>The only viable solution is to unmake or return a dangerous object rather than wield it.</x:v>
      </x:c>
      <x:c r="H957" s="24" t="str">
        <x:v>A character can occupy several narrative functions over time; record arc and point of view.</x:v>
      </x:c>
      <x:c r="I957" s="24" t="str">
        <x:v>destroy the ring; unmake the weapon</x:v>
      </x:c>
      <x:c r="J957" s="24" t="str">
        <x:v>Structures quests, arcs, genre expectations, causality, escalation, and world transformation.</x:v>
      </x:c>
      <x:c r="K957" s="24" t="str">
        <x:v>destroy the ring; unmake the weapon</x:v>
      </x:c>
      <x:c r="L957" s="24" t="str">
        <x:v>Preserve each source's ontology, culture, history, and terminology when making comparisons.</x:v>
      </x:c>
      <x:c r="M957" s="24" t="str">
        <x:v>Core Family</x:v>
      </x:c>
    </x:row>
    <x:row r="958" ht="44" customHeight="1">
      <x:c r="A958" s="24" t="str">
        <x:v>NAR-403</x:v>
      </x:c>
      <x:c r="B958" s="24" t="str">
        <x:v>Collect the Fragments</x:v>
      </x:c>
      <x:c r="C958" s="24" t="str">
        <x:v>Narrative Archetypes</x:v>
      </x:c>
      <x:c r="D958" s="24" t="str">
        <x:v>NAR-400</x:v>
      </x:c>
      <x:c r="E958" s="24" t="str">
        <x:f>IF(D958="","",IFERROR(VLOOKUP(D958,$A$2:$B$1226,2,FALSE),""))</x:f>
        <x:v>Plot and Journey Archetypes</x:v>
      </x:c>
      <x:c r="F958" s="24" t="n">
        <x:v>3</x:v>
      </x:c>
      <x:c r="G958" s="24" t="str">
        <x:v>Power, identity, map, weapon, or seal must be reconstructed from dispersed components.</x:v>
      </x:c>
      <x:c r="H958" s="24" t="str">
        <x:v>A character can occupy several narrative functions over time; record arc and point of view.</x:v>
      </x:c>
      <x:c r="I958" s="24" t="str">
        <x:v>shard quest; collectathon; broken crown</x:v>
      </x:c>
      <x:c r="J958" s="24" t="str">
        <x:v>Structures quests, arcs, genre expectations, causality, escalation, and world transformation.</x:v>
      </x:c>
      <x:c r="K958" s="24" t="str">
        <x:v>shard quest; collectathon; broken crown</x:v>
      </x:c>
      <x:c r="L958" s="24" t="str">
        <x:v>Preserve each source's ontology, culture, history, and terminology when making comparisons.</x:v>
      </x:c>
      <x:c r="M958" s="24" t="str">
        <x:v>Core Family</x:v>
      </x:c>
    </x:row>
    <x:row r="959" ht="44" customHeight="1">
      <x:c r="A959" s="24" t="str">
        <x:v>NAR-404</x:v>
      </x:c>
      <x:c r="B959" s="24" t="str">
        <x:v>Rescue Quest</x:v>
      </x:c>
      <x:c r="C959" s="24" t="str">
        <x:v>Narrative Archetypes</x:v>
      </x:c>
      <x:c r="D959" s="24" t="str">
        <x:v>NAR-400</x:v>
      </x:c>
      <x:c r="E959" s="24" t="str">
        <x:f>IF(D959="","",IFERROR(VLOOKUP(D959,$A$2:$B$1226,2,FALSE),""))</x:f>
        <x:v>Plot and Journey Archetypes</x:v>
      </x:c>
      <x:c r="F959" s="24" t="n">
        <x:v>3</x:v>
      </x:c>
      <x:c r="G959" s="24" t="str">
        <x:v>Characters seek to recover a captive, missing person, stolen soul, or endangered community.</x:v>
      </x:c>
      <x:c r="H959" s="24" t="str">
        <x:v>A character can occupy several narrative functions over time; record arc and point of view.</x:v>
      </x:c>
      <x:c r="I959" s="24" t="str">
        <x:v>rescue; save the princess; recover the child</x:v>
      </x:c>
      <x:c r="J959" s="24" t="str">
        <x:v>Structures quests, arcs, genre expectations, causality, escalation, and world transformation.</x:v>
      </x:c>
      <x:c r="K959" s="24" t="str">
        <x:v>rescue; save the princess; recover the child</x:v>
      </x:c>
      <x:c r="L959" s="24" t="str">
        <x:v>Preserve each source's ontology, culture, history, and terminology when making comparisons.</x:v>
      </x:c>
      <x:c r="M959" s="24" t="str">
        <x:v>Core Family</x:v>
      </x:c>
    </x:row>
    <x:row r="960" ht="44" customHeight="1">
      <x:c r="A960" s="24" t="str">
        <x:v>NAR-405</x:v>
      </x:c>
      <x:c r="B960" s="24" t="str">
        <x:v>Reclaim the Throne</x:v>
      </x:c>
      <x:c r="C960" s="24" t="str">
        <x:v>Narrative Archetypes</x:v>
      </x:c>
      <x:c r="D960" s="24" t="str">
        <x:v>NAR-400</x:v>
      </x:c>
      <x:c r="E960" s="24" t="str">
        <x:f>IF(D960="","",IFERROR(VLOOKUP(D960,$A$2:$B$1226,2,FALSE),""))</x:f>
        <x:v>Plot and Journey Archetypes</x:v>
      </x:c>
      <x:c r="F960" s="24" t="n">
        <x:v>3</x:v>
      </x:c>
      <x:c r="G960" s="24" t="str">
        <x:v>A dispossessed claimant seeks restoration, legitimacy, or transformation of the monarchy.</x:v>
      </x:c>
      <x:c r="H960" s="24" t="str">
        <x:v>A character can occupy several narrative functions over time; record arc and point of view.</x:v>
      </x:c>
      <x:c r="I960" s="24" t="str">
        <x:v>restoration quest; return of the king</x:v>
      </x:c>
      <x:c r="J960" s="24" t="str">
        <x:v>Structures quests, arcs, genre expectations, causality, escalation, and world transformation.</x:v>
      </x:c>
      <x:c r="K960" s="24" t="str">
        <x:v>restoration quest; return of the king</x:v>
      </x:c>
      <x:c r="L960" s="24" t="str">
        <x:v>Preserve each source's ontology, culture, history, and terminology when making comparisons.</x:v>
      </x:c>
      <x:c r="M960" s="24" t="str">
        <x:v>Core Family</x:v>
      </x:c>
    </x:row>
    <x:row r="961" ht="44" customHeight="1">
      <x:c r="A961" s="24" t="str">
        <x:v>NAR-406</x:v>
      </x:c>
      <x:c r="B961" s="24" t="str">
        <x:v>Slay the Monster</x:v>
      </x:c>
      <x:c r="C961" s="24" t="str">
        <x:v>Narrative Archetypes</x:v>
      </x:c>
      <x:c r="D961" s="24" t="str">
        <x:v>NAR-400</x:v>
      </x:c>
      <x:c r="E961" s="24" t="str">
        <x:f>IF(D961="","",IFERROR(VLOOKUP(D961,$A$2:$B$1226,2,FALSE),""))</x:f>
        <x:v>Plot and Journey Archetypes</x:v>
      </x:c>
      <x:c r="F961" s="24" t="n">
        <x:v>3</x:v>
      </x:c>
      <x:c r="G961" s="24" t="str">
        <x:v>Community or hero confronts a singular predator, dragon, demon, or legendary beast.</x:v>
      </x:c>
      <x:c r="H961" s="24" t="str">
        <x:v>A character can occupy several narrative functions over time; record arc and point of view.</x:v>
      </x:c>
      <x:c r="I961" s="24" t="str">
        <x:v>monster hunt; dragon slaying</x:v>
      </x:c>
      <x:c r="J961" s="24" t="str">
        <x:v>Structures quests, arcs, genre expectations, causality, escalation, and world transformation.</x:v>
      </x:c>
      <x:c r="K961" s="24" t="str">
        <x:v>monster hunt; dragon slaying</x:v>
      </x:c>
      <x:c r="L961" s="24" t="str">
        <x:v>Preserve each source's ontology, culture, history, and terminology when making comparisons.</x:v>
      </x:c>
      <x:c r="M961" s="24" t="str">
        <x:v>Core Family</x:v>
      </x:c>
    </x:row>
    <x:row r="962" ht="44" customHeight="1">
      <x:c r="A962" s="24" t="str">
        <x:v>NAR-407</x:v>
      </x:c>
      <x:c r="B962" s="24" t="str">
        <x:v>Defeat the Dark Lord</x:v>
      </x:c>
      <x:c r="C962" s="24" t="str">
        <x:v>Narrative Archetypes</x:v>
      </x:c>
      <x:c r="D962" s="24" t="str">
        <x:v>NAR-400</x:v>
      </x:c>
      <x:c r="E962" s="24" t="str">
        <x:f>IF(D962="","",IFERROR(VLOOKUP(D962,$A$2:$B$1226,2,FALSE),""))</x:f>
        <x:v>Plot and Journey Archetypes</x:v>
      </x:c>
      <x:c r="F962" s="24" t="n">
        <x:v>3</x:v>
      </x:c>
      <x:c r="G962" s="24" t="str">
        <x:v>A coalition or chosen hero seeks to overthrow a central sovereign antagonist.</x:v>
      </x:c>
      <x:c r="H962" s="24" t="str">
        <x:v>A character can occupy several narrative functions over time; record arc and point of view.</x:v>
      </x:c>
      <x:c r="I962" s="24" t="str">
        <x:v>hero versus demon lord; final confrontation</x:v>
      </x:c>
      <x:c r="J962" s="24" t="str">
        <x:v>Structures quests, arcs, genre expectations, causality, escalation, and world transformation.</x:v>
      </x:c>
      <x:c r="K962" s="24" t="str">
        <x:v>hero versus demon lord; final confrontation</x:v>
      </x:c>
      <x:c r="L962" s="24" t="str">
        <x:v>Preserve each source's ontology, culture, history, and terminology when making comparisons.</x:v>
      </x:c>
      <x:c r="M962" s="24" t="str">
        <x:v>Core Family</x:v>
      </x:c>
    </x:row>
    <x:row r="963" ht="44" customHeight="1">
      <x:c r="A963" s="24" t="str">
        <x:v>NAR-408</x:v>
      </x:c>
      <x:c r="B963" s="24" t="str">
        <x:v>Seal or Banish the Threat</x:v>
      </x:c>
      <x:c r="C963" s="24" t="str">
        <x:v>Narrative Archetypes</x:v>
      </x:c>
      <x:c r="D963" s="24" t="str">
        <x:v>NAR-400</x:v>
      </x:c>
      <x:c r="E963" s="24" t="str">
        <x:f>IF(D963="","",IFERROR(VLOOKUP(D963,$A$2:$B$1226,2,FALSE),""))</x:f>
        <x:v>Plot and Journey Archetypes</x:v>
      </x:c>
      <x:c r="F963" s="24" t="n">
        <x:v>3</x:v>
      </x:c>
      <x:c r="G963" s="24" t="str">
        <x:v>The antagonist cannot be killed conventionally and must be contained, exiled, or returned.</x:v>
      </x:c>
      <x:c r="H963" s="24" t="str">
        <x:v>A character can occupy several narrative functions over time; record arc and point of view.</x:v>
      </x:c>
      <x:c r="I963" s="24" t="str">
        <x:v>sealing; banishment; prison restoration</x:v>
      </x:c>
      <x:c r="J963" s="24" t="str">
        <x:v>Structures quests, arcs, genre expectations, causality, escalation, and world transformation.</x:v>
      </x:c>
      <x:c r="K963" s="24" t="str">
        <x:v>sealing; banishment; prison restoration</x:v>
      </x:c>
      <x:c r="L963" s="24" t="str">
        <x:v>Preserve each source's ontology, culture, history, and terminology when making comparisons.</x:v>
      </x:c>
      <x:c r="M963" s="24" t="str">
        <x:v>Core Family</x:v>
      </x:c>
    </x:row>
    <x:row r="964" ht="44" customHeight="1">
      <x:c r="A964" s="24" t="str">
        <x:v>NAR-409</x:v>
      </x:c>
      <x:c r="B964" s="24" t="str">
        <x:v>Journey to the Otherworld</x:v>
      </x:c>
      <x:c r="C964" s="24" t="str">
        <x:v>Narrative Archetypes</x:v>
      </x:c>
      <x:c r="D964" s="24" t="str">
        <x:v>NAR-400</x:v>
      </x:c>
      <x:c r="E964" s="24" t="str">
        <x:f>IF(D964="","",IFERROR(VLOOKUP(D964,$A$2:$B$1226,2,FALSE),""))</x:f>
        <x:v>Plot and Journey Archetypes</x:v>
      </x:c>
      <x:c r="F964" s="24" t="n">
        <x:v>3</x:v>
      </x:c>
      <x:c r="G964" s="24" t="str">
        <x:v>Characters cross into faerie, underworld, dream, spirit, divine, or alien realms and return changed.</x:v>
      </x:c>
      <x:c r="H964" s="24" t="str">
        <x:v>A character can occupy several narrative functions over time; record arc and point of view.</x:v>
      </x:c>
      <x:c r="I964" s="24" t="str">
        <x:v>katabasis; faerie journey; spirit world</x:v>
      </x:c>
      <x:c r="J964" s="24" t="str">
        <x:v>Structures quests, arcs, genre expectations, causality, escalation, and world transformation.</x:v>
      </x:c>
      <x:c r="K964" s="24" t="str">
        <x:v>katabasis; faerie journey; spirit world</x:v>
      </x:c>
      <x:c r="L964" s="24" t="str">
        <x:v>Preserve each source's ontology, culture, history, and terminology when making comparisons.</x:v>
      </x:c>
      <x:c r="M964" s="24" t="str">
        <x:v>Core Family</x:v>
      </x:c>
    </x:row>
    <x:row r="965" ht="44" customHeight="1">
      <x:c r="A965" s="24" t="str">
        <x:v>NAR-410</x:v>
      </x:c>
      <x:c r="B965" s="24" t="str">
        <x:v>Descent into the Underworld</x:v>
      </x:c>
      <x:c r="C965" s="24" t="str">
        <x:v>Narrative Archetypes</x:v>
      </x:c>
      <x:c r="D965" s="24" t="str">
        <x:v>NAR-400</x:v>
      </x:c>
      <x:c r="E965" s="24" t="str">
        <x:f>IF(D965="","",IFERROR(VLOOKUP(D965,$A$2:$B$1226,2,FALSE),""))</x:f>
        <x:v>Plot and Journey Archetypes</x:v>
      </x:c>
      <x:c r="F965" s="24" t="n">
        <x:v>3</x:v>
      </x:c>
      <x:c r="G965" s="24" t="str">
        <x:v>A living character enters the realm of the dead to recover knowledge, person, power, or self.</x:v>
      </x:c>
      <x:c r="H965" s="24" t="str">
        <x:v>A character can occupy several narrative functions over time; record arc and point of view.</x:v>
      </x:c>
      <x:c r="I965" s="24" t="str">
        <x:v>katabasis; underworld quest</x:v>
      </x:c>
      <x:c r="J965" s="24" t="str">
        <x:v>Structures quests, arcs, genre expectations, causality, escalation, and world transformation.</x:v>
      </x:c>
      <x:c r="K965" s="24" t="str">
        <x:v>katabasis; underworld quest</x:v>
      </x:c>
      <x:c r="L965" s="24" t="str">
        <x:v>The term has classical roots but comparable descent narratives occur widely; avoid assuming direct influence.</x:v>
      </x:c>
      <x:c r="M965" s="24" t="str">
        <x:v>Core Family</x:v>
      </x:c>
    </x:row>
    <x:row r="966" ht="44" customHeight="1">
      <x:c r="A966" s="24" t="str">
        <x:v>NAR-411</x:v>
      </x:c>
      <x:c r="B966" s="24" t="str">
        <x:v>Pilgrimage</x:v>
      </x:c>
      <x:c r="C966" s="24" t="str">
        <x:v>Narrative Archetypes</x:v>
      </x:c>
      <x:c r="D966" s="24" t="str">
        <x:v>NAR-400</x:v>
      </x:c>
      <x:c r="E966" s="24" t="str">
        <x:f>IF(D966="","",IFERROR(VLOOKUP(D966,$A$2:$B$1226,2,FALSE),""))</x:f>
        <x:v>Plot and Journey Archetypes</x:v>
      </x:c>
      <x:c r="F966" s="24" t="n">
        <x:v>3</x:v>
      </x:c>
      <x:c r="G966" s="24" t="str">
        <x:v>Travel to sacred places organizes spiritual, social, and political transformation.</x:v>
      </x:c>
      <x:c r="H966" s="24" t="str">
        <x:v>A character can occupy several narrative functions over time; record arc and point of view.</x:v>
      </x:c>
      <x:c r="I966" s="24" t="str">
        <x:v>pilgrimage; holy journey</x:v>
      </x:c>
      <x:c r="J966" s="24" t="str">
        <x:v>Structures quests, arcs, genre expectations, causality, escalation, and world transformation.</x:v>
      </x:c>
      <x:c r="K966" s="24" t="str">
        <x:v>pilgrimage; holy journey</x:v>
      </x:c>
      <x:c r="L966" s="24" t="str">
        <x:v>Preserve each source's ontology, culture, history, and terminology when making comparisons.</x:v>
      </x:c>
      <x:c r="M966" s="24" t="str">
        <x:v>Core Family</x:v>
      </x:c>
    </x:row>
    <x:row r="967" ht="44" customHeight="1">
      <x:c r="A967" s="24" t="str">
        <x:v>NAR-412</x:v>
      </x:c>
      <x:c r="B967" s="24" t="str">
        <x:v>Tournament Arc</x:v>
      </x:c>
      <x:c r="C967" s="24" t="str">
        <x:v>Narrative Archetypes</x:v>
      </x:c>
      <x:c r="D967" s="24" t="str">
        <x:v>NAR-400</x:v>
      </x:c>
      <x:c r="E967" s="24" t="str">
        <x:f>IF(D967="","",IFERROR(VLOOKUP(D967,$A$2:$B$1226,2,FALSE),""))</x:f>
        <x:v>Plot and Journey Archetypes</x:v>
      </x:c>
      <x:c r="F967" s="24" t="n">
        <x:v>3</x:v>
      </x:c>
      <x:c r="G967" s="24" t="str">
        <x:v>Formal competition structures conflict, ranking, spectacle, alliances, and revelation of techniques.</x:v>
      </x:c>
      <x:c r="H967" s="24" t="str">
        <x:v>A character can occupy several narrative functions over time; record arc and point of view.</x:v>
      </x:c>
      <x:c r="I967" s="24" t="str">
        <x:v>tournament; trials; arena arc</x:v>
      </x:c>
      <x:c r="J967" s="24" t="str">
        <x:v>Structures quests, arcs, genre expectations, causality, escalation, and world transformation.</x:v>
      </x:c>
      <x:c r="K967" s="24" t="str">
        <x:v>tournament; trials; arena arc</x:v>
      </x:c>
      <x:c r="L967" s="24" t="str">
        <x:v>Preserve each source's ontology, culture, history, and terminology when making comparisons.</x:v>
      </x:c>
      <x:c r="M967" s="24" t="str">
        <x:v>Core Family</x:v>
      </x:c>
    </x:row>
    <x:row r="968" ht="44" customHeight="1">
      <x:c r="A968" s="24" t="str">
        <x:v>NAR-413</x:v>
      </x:c>
      <x:c r="B968" s="24" t="str">
        <x:v>Training Arc</x:v>
      </x:c>
      <x:c r="C968" s="24" t="str">
        <x:v>Narrative Archetypes</x:v>
      </x:c>
      <x:c r="D968" s="24" t="str">
        <x:v>NAR-400</x:v>
      </x:c>
      <x:c r="E968" s="24" t="str">
        <x:f>IF(D968="","",IFERROR(VLOOKUP(D968,$A$2:$B$1226,2,FALSE),""))</x:f>
        <x:v>Plot and Journey Archetypes</x:v>
      </x:c>
      <x:c r="F968" s="24" t="n">
        <x:v>3</x:v>
      </x:c>
      <x:c r="G968" s="24" t="str">
        <x:v>Narrative pauses or reorganizes around acquiring skills, discipline, insight, or mastery.</x:v>
      </x:c>
      <x:c r="H968" s="24" t="str">
        <x:v>A character can occupy several narrative functions over time; record arc and point of view.</x:v>
      </x:c>
      <x:c r="I968" s="24" t="str">
        <x:v>training sequence; apprenticeship; cultivation retreat</x:v>
      </x:c>
      <x:c r="J968" s="24" t="str">
        <x:v>Structures quests, arcs, genre expectations, causality, escalation, and world transformation.</x:v>
      </x:c>
      <x:c r="K968" s="24" t="str">
        <x:v>training sequence; apprenticeship; cultivation retreat</x:v>
      </x:c>
      <x:c r="L968" s="24" t="str">
        <x:v>Preserve each source's ontology, culture, history, and terminology when making comparisons.</x:v>
      </x:c>
      <x:c r="M968" s="24" t="str">
        <x:v>Core Family</x:v>
      </x:c>
    </x:row>
    <x:row r="969" ht="44" customHeight="1">
      <x:c r="A969" s="24" t="str">
        <x:v>NAR-414</x:v>
      </x:c>
      <x:c r="B969" s="24" t="str">
        <x:v>Heist</x:v>
      </x:c>
      <x:c r="C969" s="24" t="str">
        <x:v>Narrative Archetypes</x:v>
      </x:c>
      <x:c r="D969" s="24" t="str">
        <x:v>NAR-400</x:v>
      </x:c>
      <x:c r="E969" s="24" t="str">
        <x:f>IF(D969="","",IFERROR(VLOOKUP(D969,$A$2:$B$1226,2,FALSE),""))</x:f>
        <x:v>Plot and Journey Archetypes</x:v>
      </x:c>
      <x:c r="F969" s="24" t="n">
        <x:v>3</x:v>
      </x:c>
      <x:c r="G969" s="24" t="str">
        <x:v>A team plans and executes the theft, substitution, rescue, or sabotage of a highly protected target.</x:v>
      </x:c>
      <x:c r="H969" s="24" t="str">
        <x:v>A character can occupy several narrative functions over time; record arc and point of view.</x:v>
      </x:c>
      <x:c r="I969" s="24" t="str">
        <x:v>heist; caper; infiltration mission</x:v>
      </x:c>
      <x:c r="J969" s="24" t="str">
        <x:v>Structures quests, arcs, genre expectations, causality, escalation, and world transformation.</x:v>
      </x:c>
      <x:c r="K969" s="24" t="str">
        <x:v>heist; caper; infiltration mission</x:v>
      </x:c>
      <x:c r="L969" s="24" t="str">
        <x:v>Preserve each source's ontology, culture, history, and terminology when making comparisons.</x:v>
      </x:c>
      <x:c r="M969" s="24" t="str">
        <x:v>Core Family</x:v>
      </x:c>
    </x:row>
    <x:row r="970" ht="44" customHeight="1">
      <x:c r="A970" s="24" t="str">
        <x:v>NAR-415</x:v>
      </x:c>
      <x:c r="B970" s="24" t="str">
        <x:v>Siege</x:v>
      </x:c>
      <x:c r="C970" s="24" t="str">
        <x:v>Narrative Archetypes</x:v>
      </x:c>
      <x:c r="D970" s="24" t="str">
        <x:v>NAR-400</x:v>
      </x:c>
      <x:c r="E970" s="24" t="str">
        <x:f>IF(D970="","",IFERROR(VLOOKUP(D970,$A$2:$B$1226,2,FALSE),""))</x:f>
        <x:v>Plot and Journey Archetypes</x:v>
      </x:c>
      <x:c r="F970" s="24" t="n">
        <x:v>3</x:v>
      </x:c>
      <x:c r="G970" s="24" t="str">
        <x:v>Narrative concentrates conflict around the defense or capture of a fortified place.</x:v>
      </x:c>
      <x:c r="H970" s="24" t="str">
        <x:v>A character can occupy several narrative functions over time; record arc and point of view.</x:v>
      </x:c>
      <x:c r="I970" s="24" t="str">
        <x:v>siege; last stand; fortress defense</x:v>
      </x:c>
      <x:c r="J970" s="24" t="str">
        <x:v>Structures quests, arcs, genre expectations, causality, escalation, and world transformation.</x:v>
      </x:c>
      <x:c r="K970" s="24" t="str">
        <x:v>siege; last stand; fortress defense</x:v>
      </x:c>
      <x:c r="L970" s="24" t="str">
        <x:v>Preserve each source's ontology, culture, history, and terminology when making comparisons.</x:v>
      </x:c>
      <x:c r="M970" s="24" t="str">
        <x:v>Core Family</x:v>
      </x:c>
    </x:row>
    <x:row r="971" ht="44" customHeight="1">
      <x:c r="A971" s="24" t="str">
        <x:v>NAR-416</x:v>
      </x:c>
      <x:c r="B971" s="24" t="str">
        <x:v>War of Succession</x:v>
      </x:c>
      <x:c r="C971" s="24" t="str">
        <x:v>Narrative Archetypes</x:v>
      </x:c>
      <x:c r="D971" s="24" t="str">
        <x:v>NAR-400</x:v>
      </x:c>
      <x:c r="E971" s="24" t="str">
        <x:f>IF(D971="","",IFERROR(VLOOKUP(D971,$A$2:$B$1226,2,FALSE),""))</x:f>
        <x:v>Plot and Journey Archetypes</x:v>
      </x:c>
      <x:c r="F971" s="24" t="n">
        <x:v>3</x:v>
      </x:c>
      <x:c r="G971" s="24" t="str">
        <x:v>Competing dynastic claims generate political, military, magical, and familial conflict.</x:v>
      </x:c>
      <x:c r="H971" s="24" t="str">
        <x:v>A character can occupy several narrative functions over time; record arc and point of view.</x:v>
      </x:c>
      <x:c r="I971" s="24" t="str">
        <x:v>succession crisis; civil war; throne war</x:v>
      </x:c>
      <x:c r="J971" s="24" t="str">
        <x:v>Structures quests, arcs, genre expectations, causality, escalation, and world transformation.</x:v>
      </x:c>
      <x:c r="K971" s="24" t="str">
        <x:v>succession crisis; civil war; throne war</x:v>
      </x:c>
      <x:c r="L971" s="24" t="str">
        <x:v>Preserve each source's ontology, culture, history, and terminology when making comparisons.</x:v>
      </x:c>
      <x:c r="M971" s="24" t="str">
        <x:v>Core Family</x:v>
      </x:c>
    </x:row>
    <x:row r="972" ht="44" customHeight="1">
      <x:c r="A972" s="24" t="str">
        <x:v>NAR-417</x:v>
      </x:c>
      <x:c r="B972" s="24" t="str">
        <x:v>Rebellion Against Empire</x:v>
      </x:c>
      <x:c r="C972" s="24" t="str">
        <x:v>Narrative Archetypes</x:v>
      </x:c>
      <x:c r="D972" s="24" t="str">
        <x:v>NAR-400</x:v>
      </x:c>
      <x:c r="E972" s="24" t="str">
        <x:f>IF(D972="","",IFERROR(VLOOKUP(D972,$A$2:$B$1226,2,FALSE),""))</x:f>
        <x:v>Plot and Journey Archetypes</x:v>
      </x:c>
      <x:c r="F972" s="24" t="n">
        <x:v>3</x:v>
      </x:c>
      <x:c r="G972" s="24" t="str">
        <x:v>Subordinate peoples or factions organize resistance against imperial domination.</x:v>
      </x:c>
      <x:c r="H972" s="24" t="str">
        <x:v>A character can occupy several narrative functions over time; record arc and point of view.</x:v>
      </x:c>
      <x:c r="I972" s="24" t="str">
        <x:v>rebellion; liberation war; resistance</x:v>
      </x:c>
      <x:c r="J972" s="24" t="str">
        <x:v>Structures quests, arcs, genre expectations, causality, escalation, and world transformation.</x:v>
      </x:c>
      <x:c r="K972" s="24" t="str">
        <x:v>rebellion; liberation war; resistance</x:v>
      </x:c>
      <x:c r="L972" s="24" t="str">
        <x:v>Preserve each source's ontology, culture, history, and terminology when making comparisons.</x:v>
      </x:c>
      <x:c r="M972" s="24" t="str">
        <x:v>Core Family</x:v>
      </x:c>
    </x:row>
    <x:row r="973" ht="44" customHeight="1">
      <x:c r="A973" s="24" t="str">
        <x:v>NAR-418</x:v>
      </x:c>
      <x:c r="B973" s="24" t="str">
        <x:v>Apocalypse and Prevention</x:v>
      </x:c>
      <x:c r="C973" s="24" t="str">
        <x:v>Narrative Archetypes</x:v>
      </x:c>
      <x:c r="D973" s="24" t="str">
        <x:v>NAR-400</x:v>
      </x:c>
      <x:c r="E973" s="24" t="str">
        <x:f>IF(D973="","",IFERROR(VLOOKUP(D973,$A$2:$B$1226,2,FALSE),""))</x:f>
        <x:v>Plot and Journey Archetypes</x:v>
      </x:c>
      <x:c r="F973" s="24" t="n">
        <x:v>3</x:v>
      </x:c>
      <x:c r="G973" s="24" t="str">
        <x:v>Characters attempt to stop or survive world-ending transformation, invasion, or cosmic collapse.</x:v>
      </x:c>
      <x:c r="H973" s="24" t="str">
        <x:v>A character can occupy several narrative functions over time; record arc and point of view.</x:v>
      </x:c>
      <x:c r="I973" s="24" t="str">
        <x:v>apocalypse; end of the world; calamity</x:v>
      </x:c>
      <x:c r="J973" s="24" t="str">
        <x:v>Structures quests, arcs, genre expectations, causality, escalation, and world transformation.</x:v>
      </x:c>
      <x:c r="K973" s="24" t="str">
        <x:v>apocalypse; end of the world; calamity</x:v>
      </x:c>
      <x:c r="L973" s="24" t="str">
        <x:v>Preserve each source's ontology, culture, history, and terminology when making comparisons.</x:v>
      </x:c>
      <x:c r="M973" s="24" t="str">
        <x:v>Core Family</x:v>
      </x:c>
    </x:row>
    <x:row r="974" ht="44" customHeight="1">
      <x:c r="A974" s="24" t="str">
        <x:v>NAR-419</x:v>
      </x:c>
      <x:c r="B974" s="24" t="str">
        <x:v>Post-Apocalyptic Restoration</x:v>
      </x:c>
      <x:c r="C974" s="24" t="str">
        <x:v>Narrative Archetypes</x:v>
      </x:c>
      <x:c r="D974" s="24" t="str">
        <x:v>NAR-400</x:v>
      </x:c>
      <x:c r="E974" s="24" t="str">
        <x:f>IF(D974="","",IFERROR(VLOOKUP(D974,$A$2:$B$1226,2,FALSE),""))</x:f>
        <x:v>Plot and Journey Archetypes</x:v>
      </x:c>
      <x:c r="F974" s="24" t="n">
        <x:v>3</x:v>
      </x:c>
      <x:c r="G974" s="24" t="str">
        <x:v>Characters rebuild society, memory, ecology, or institutions after civilizational collapse.</x:v>
      </x:c>
      <x:c r="H974" s="24" t="str">
        <x:v>A character can occupy several narrative functions over time; record arc and point of view.</x:v>
      </x:c>
      <x:c r="I974" s="24" t="str">
        <x:v>rebuilding; remnant world; recovery</x:v>
      </x:c>
      <x:c r="J974" s="24" t="str">
        <x:v>Structures quests, arcs, genre expectations, causality, escalation, and world transformation.</x:v>
      </x:c>
      <x:c r="K974" s="24" t="str">
        <x:v>rebuilding; remnant world; recovery</x:v>
      </x:c>
      <x:c r="L974" s="24" t="str">
        <x:v>Preserve each source's ontology, culture, history, and terminology when making comparisons.</x:v>
      </x:c>
      <x:c r="M974" s="24" t="str">
        <x:v>Core Family</x:v>
      </x:c>
    </x:row>
    <x:row r="975" ht="44" customHeight="1">
      <x:c r="A975" s="24" t="str">
        <x:v>NAR-420</x:v>
      </x:c>
      <x:c r="B975" s="24" t="str">
        <x:v>Cycle of Ages</x:v>
      </x:c>
      <x:c r="C975" s="24" t="str">
        <x:v>Narrative Archetypes</x:v>
      </x:c>
      <x:c r="D975" s="24" t="str">
        <x:v>NAR-400</x:v>
      </x:c>
      <x:c r="E975" s="24" t="str">
        <x:f>IF(D975="","",IFERROR(VLOOKUP(D975,$A$2:$B$1226,2,FALSE),""))</x:f>
        <x:v>Plot and Journey Archetypes</x:v>
      </x:c>
      <x:c r="F975" s="24" t="n">
        <x:v>3</x:v>
      </x:c>
      <x:c r="G975" s="24" t="str">
        <x:v>History moves through repeated ages, cataclysms, reincarnations, or cosmic renewals.</x:v>
      </x:c>
      <x:c r="H975" s="24" t="str">
        <x:v>A character can occupy several narrative functions over time; record arc and point of view.</x:v>
      </x:c>
      <x:c r="I975" s="24" t="str">
        <x:v>age cycle; wheel of time; eternal recurrence</x:v>
      </x:c>
      <x:c r="J975" s="24" t="str">
        <x:v>Structures quests, arcs, genre expectations, causality, escalation, and world transformation.</x:v>
      </x:c>
      <x:c r="K975" s="24" t="str">
        <x:v>age cycle; wheel of time; eternal recurrence</x:v>
      </x:c>
      <x:c r="L975" s="24" t="str">
        <x:v>Preserve each source's ontology, culture, history, and terminology when making comparisons.</x:v>
      </x:c>
      <x:c r="M975" s="24" t="str">
        <x:v>Core Family</x:v>
      </x:c>
    </x:row>
    <x:row r="976" ht="44" customHeight="1">
      <x:c r="A976" s="24" t="str">
        <x:v>NAR-421</x:v>
      </x:c>
      <x:c r="B976" s="24" t="str">
        <x:v>Time Loop</x:v>
      </x:c>
      <x:c r="C976" s="24" t="str">
        <x:v>Narrative Archetypes</x:v>
      </x:c>
      <x:c r="D976" s="24" t="str">
        <x:v>NAR-400</x:v>
      </x:c>
      <x:c r="E976" s="24" t="str">
        <x:f>IF(D976="","",IFERROR(VLOOKUP(D976,$A$2:$B$1226,2,FALSE),""))</x:f>
        <x:v>Plot and Journey Archetypes</x:v>
      </x:c>
      <x:c r="F976" s="24" t="n">
        <x:v>3</x:v>
      </x:c>
      <x:c r="G976" s="24" t="str">
        <x:v>Repeated events create knowledge asymmetry, experimentation, and psychological cost.</x:v>
      </x:c>
      <x:c r="H976" s="24" t="str">
        <x:v>A character can occupy several narrative functions over time; record arc and point of view.</x:v>
      </x:c>
      <x:c r="I976" s="24" t="str">
        <x:v>loop; reset; return by death</x:v>
      </x:c>
      <x:c r="J976" s="24" t="str">
        <x:v>Structures quests, arcs, genre expectations, causality, escalation, and world transformation.</x:v>
      </x:c>
      <x:c r="K976" s="24" t="str">
        <x:v>loop; reset; return by death</x:v>
      </x:c>
      <x:c r="L976" s="24" t="str">
        <x:v>Preserve each source's ontology, culture, history, and terminology when making comparisons.</x:v>
      </x:c>
      <x:c r="M976" s="24" t="str">
        <x:v>Core Family</x:v>
      </x:c>
    </x:row>
    <x:row r="977" ht="44" customHeight="1">
      <x:c r="A977" s="24" t="str">
        <x:v>NAR-422</x:v>
      </x:c>
      <x:c r="B977" s="24" t="str">
        <x:v>Prophecy Fulfillment</x:v>
      </x:c>
      <x:c r="C977" s="24" t="str">
        <x:v>Narrative Archetypes</x:v>
      </x:c>
      <x:c r="D977" s="24" t="str">
        <x:v>NAR-400</x:v>
      </x:c>
      <x:c r="E977" s="24" t="str">
        <x:f>IF(D977="","",IFERROR(VLOOKUP(D977,$A$2:$B$1226,2,FALSE),""))</x:f>
        <x:v>Plot and Journey Archetypes</x:v>
      </x:c>
      <x:c r="F977" s="24" t="n">
        <x:v>3</x:v>
      </x:c>
      <x:c r="G977" s="24" t="str">
        <x:v>Plot tests whether a foretold event is inevitable, interpretable, manipulated, or self-caused.</x:v>
      </x:c>
      <x:c r="H977" s="24" t="str">
        <x:v>A character can occupy several narrative functions over time; record arc and point of view.</x:v>
      </x:c>
      <x:c r="I977" s="24" t="str">
        <x:v>prophecy; destiny; foretold war</x:v>
      </x:c>
      <x:c r="J977" s="24" t="str">
        <x:v>Structures quests, arcs, genre expectations, causality, escalation, and world transformation.</x:v>
      </x:c>
      <x:c r="K977" s="24" t="str">
        <x:v>prophecy; destiny; foretold war</x:v>
      </x:c>
      <x:c r="L977" s="24" t="str">
        <x:v>Preserve each source's ontology, culture, history, and terminology when making comparisons.</x:v>
      </x:c>
      <x:c r="M977" s="24" t="str">
        <x:v>Core Family</x:v>
      </x:c>
    </x:row>
    <x:row r="978" ht="44" customHeight="1">
      <x:c r="A978" s="24" t="str">
        <x:v>NAR-423</x:v>
      </x:c>
      <x:c r="B978" s="24" t="str">
        <x:v>Prophecy Subversion</x:v>
      </x:c>
      <x:c r="C978" s="24" t="str">
        <x:v>Narrative Archetypes</x:v>
      </x:c>
      <x:c r="D978" s="24" t="str">
        <x:v>NAR-400</x:v>
      </x:c>
      <x:c r="E978" s="24" t="str">
        <x:f>IF(D978="","",IFERROR(VLOOKUP(D978,$A$2:$B$1226,2,FALSE),""))</x:f>
        <x:v>Plot and Journey Archetypes</x:v>
      </x:c>
      <x:c r="F978" s="24" t="n">
        <x:v>3</x:v>
      </x:c>
      <x:c r="G978" s="24" t="str">
        <x:v>Characters evade, reinterpret, break, or expose the constructed nature of destiny.</x:v>
      </x:c>
      <x:c r="H978" s="24" t="str">
        <x:v>A character can occupy several narrative functions over time; record arc and point of view.</x:v>
      </x:c>
      <x:c r="I978" s="24" t="str">
        <x:v>defy fate; false prophecy; broken destiny</x:v>
      </x:c>
      <x:c r="J978" s="24" t="str">
        <x:v>Structures quests, arcs, genre expectations, causality, escalation, and world transformation.</x:v>
      </x:c>
      <x:c r="K978" s="24" t="str">
        <x:v>defy fate; false prophecy; broken destiny</x:v>
      </x:c>
      <x:c r="L978" s="24" t="str">
        <x:v>Preserve each source's ontology, culture, history, and terminology when making comparisons.</x:v>
      </x:c>
      <x:c r="M978" s="24" t="str">
        <x:v>Core Family</x:v>
      </x:c>
    </x:row>
    <x:row r="979" ht="44" customHeight="1">
      <x:c r="A979" s="24" t="str">
        <x:v>NAR-424</x:v>
      </x:c>
      <x:c r="B979" s="24" t="str">
        <x:v>Hidden World Revealed</x:v>
      </x:c>
      <x:c r="C979" s="24" t="str">
        <x:v>Narrative Archetypes</x:v>
      </x:c>
      <x:c r="D979" s="24" t="str">
        <x:v>NAR-400</x:v>
      </x:c>
      <x:c r="E979" s="24" t="str">
        <x:f>IF(D979="","",IFERROR(VLOOKUP(D979,$A$2:$B$1226,2,FALSE),""))</x:f>
        <x:v>Plot and Journey Archetypes</x:v>
      </x:c>
      <x:c r="F979" s="24" t="n">
        <x:v>3</x:v>
      </x:c>
      <x:c r="G979" s="24" t="str">
        <x:v>An ordinary or suppressed reality opens onto secret magic, species, institutions, or history.</x:v>
      </x:c>
      <x:c r="H979" s="24" t="str">
        <x:v>A character can occupy several narrative functions over time; record arc and point of view.</x:v>
      </x:c>
      <x:c r="I979" s="24" t="str">
        <x:v>masquerade breach; hidden kingdom; secret world</x:v>
      </x:c>
      <x:c r="J979" s="24" t="str">
        <x:v>Structures quests, arcs, genre expectations, causality, escalation, and world transformation.</x:v>
      </x:c>
      <x:c r="K979" s="24" t="str">
        <x:v>masquerade breach; hidden kingdom; secret world</x:v>
      </x:c>
      <x:c r="L979" s="24" t="str">
        <x:v>Preserve each source's ontology, culture, history, and terminology when making comparisons.</x:v>
      </x:c>
      <x:c r="M979" s="24" t="str">
        <x:v>Core Family</x:v>
      </x:c>
    </x:row>
    <x:row r="980" ht="44" customHeight="1">
      <x:c r="A980" s="24" t="str">
        <x:v>NAR-425</x:v>
      </x:c>
      <x:c r="B980" s="24" t="str">
        <x:v>Return of Magic</x:v>
      </x:c>
      <x:c r="C980" s="24" t="str">
        <x:v>Narrative Archetypes</x:v>
      </x:c>
      <x:c r="D980" s="24" t="str">
        <x:v>NAR-400</x:v>
      </x:c>
      <x:c r="E980" s="24" t="str">
        <x:f>IF(D980="","",IFERROR(VLOOKUP(D980,$A$2:$B$1226,2,FALSE),""))</x:f>
        <x:v>Plot and Journey Archetypes</x:v>
      </x:c>
      <x:c r="F980" s="24" t="n">
        <x:v>3</x:v>
      </x:c>
      <x:c r="G980" s="24" t="str">
        <x:v>Magic, gods, dragons, or supernatural beings re-enter a world where they had faded or vanished.</x:v>
      </x:c>
      <x:c r="H980" s="24" t="str">
        <x:v>A character can occupy several narrative functions over time; record arc and point of view.</x:v>
      </x:c>
      <x:c r="I980" s="24" t="str">
        <x:v>magic returns; age of wonder; dragons awaken</x:v>
      </x:c>
      <x:c r="J980" s="24" t="str">
        <x:v>Structures quests, arcs, genre expectations, causality, escalation, and world transformation.</x:v>
      </x:c>
      <x:c r="K980" s="24" t="str">
        <x:v>magic returns; age of wonder; dragons awaken</x:v>
      </x:c>
      <x:c r="L980" s="24" t="str">
        <x:v>Preserve each source's ontology, culture, history, and terminology when making comparisons.</x:v>
      </x:c>
      <x:c r="M980" s="24" t="str">
        <x:v>Core Family</x:v>
      </x:c>
    </x:row>
    <x:row r="981" ht="44" customHeight="1">
      <x:c r="A981" s="24" t="str">
        <x:v>NAR-426</x:v>
      </x:c>
      <x:c r="B981" s="24" t="str">
        <x:v>Fading of Magic</x:v>
      </x:c>
      <x:c r="C981" s="24" t="str">
        <x:v>Narrative Archetypes</x:v>
      </x:c>
      <x:c r="D981" s="24" t="str">
        <x:v>NAR-400</x:v>
      </x:c>
      <x:c r="E981" s="24" t="str">
        <x:f>IF(D981="","",IFERROR(VLOOKUP(D981,$A$2:$B$1226,2,FALSE),""))</x:f>
        <x:v>Plot and Journey Archetypes</x:v>
      </x:c>
      <x:c r="F981" s="24" t="n">
        <x:v>3</x:v>
      </x:c>
      <x:c r="G981" s="24" t="str">
        <x:v>The world transitions away from mythic beings, enchantment, immortality, or elder ages.</x:v>
      </x:c>
      <x:c r="H981" s="24" t="str">
        <x:v>A character can occupy several narrative functions over time; record arc and point of view.</x:v>
      </x:c>
      <x:c r="I981" s="24" t="str">
        <x:v>magic fades; end of elves; disenchantment</x:v>
      </x:c>
      <x:c r="J981" s="24" t="str">
        <x:v>Structures quests, arcs, genre expectations, causality, escalation, and world transformation.</x:v>
      </x:c>
      <x:c r="K981" s="24" t="str">
        <x:v>magic fades; end of elves; disenchantment</x:v>
      </x:c>
      <x:c r="L981" s="24" t="str">
        <x:v>Preserve each source's ontology, culture, history, and terminology when making comparisons.</x:v>
      </x:c>
      <x:c r="M981" s="24" t="str">
        <x:v>Core Family</x:v>
      </x:c>
    </x:row>
    <x:row r="982" ht="44" customHeight="1">
      <x:c r="A982" s="24" t="str">
        <x:v>NAR-427</x:v>
      </x:c>
      <x:c r="B982" s="24" t="str">
        <x:v>Fall of an Empire</x:v>
      </x:c>
      <x:c r="C982" s="24" t="str">
        <x:v>Narrative Archetypes</x:v>
      </x:c>
      <x:c r="D982" s="24" t="str">
        <x:v>NAR-400</x:v>
      </x:c>
      <x:c r="E982" s="24" t="str">
        <x:f>IF(D982="","",IFERROR(VLOOKUP(D982,$A$2:$B$1226,2,FALSE),""))</x:f>
        <x:v>Plot and Journey Archetypes</x:v>
      </x:c>
      <x:c r="F982" s="24" t="n">
        <x:v>3</x:v>
      </x:c>
      <x:c r="G982" s="24" t="str">
        <x:v>Narrative tracks the collapse of a political order through war, decadence, succession, invasion, or metaphysical change.</x:v>
      </x:c>
      <x:c r="H982" s="24" t="str">
        <x:v>A character can occupy several narrative functions over time; record arc and point of view.</x:v>
      </x:c>
      <x:c r="I982" s="24" t="str">
        <x:v>imperial collapse; end of age</x:v>
      </x:c>
      <x:c r="J982" s="24" t="str">
        <x:v>Structures quests, arcs, genre expectations, causality, escalation, and world transformation.</x:v>
      </x:c>
      <x:c r="K982" s="24" t="str">
        <x:v>imperial collapse; end of age</x:v>
      </x:c>
      <x:c r="L982" s="24" t="str">
        <x:v>Preserve each source's ontology, culture, history, and terminology when making comparisons.</x:v>
      </x:c>
      <x:c r="M982" s="24" t="str">
        <x:v>Core Family</x:v>
      </x:c>
    </x:row>
    <x:row r="983" ht="44" customHeight="1">
      <x:c r="A983" s="24" t="str">
        <x:v>NAR-428</x:v>
      </x:c>
      <x:c r="B983" s="24" t="str">
        <x:v>Rise of a New Order</x:v>
      </x:c>
      <x:c r="C983" s="24" t="str">
        <x:v>Narrative Archetypes</x:v>
      </x:c>
      <x:c r="D983" s="24" t="str">
        <x:v>NAR-400</x:v>
      </x:c>
      <x:c r="E983" s="24" t="str">
        <x:f>IF(D983="","",IFERROR(VLOOKUP(D983,$A$2:$B$1226,2,FALSE),""))</x:f>
        <x:v>Plot and Journey Archetypes</x:v>
      </x:c>
      <x:c r="F983" s="24" t="n">
        <x:v>3</x:v>
      </x:c>
      <x:c r="G983" s="24" t="str">
        <x:v>New state, religion, species, technology, or magical system displaces older structures.</x:v>
      </x:c>
      <x:c r="H983" s="24" t="str">
        <x:v>A character can occupy several narrative functions over time; record arc and point of view.</x:v>
      </x:c>
      <x:c r="I983" s="24" t="str">
        <x:v>new age; revolution; consolidation</x:v>
      </x:c>
      <x:c r="J983" s="24" t="str">
        <x:v>Structures quests, arcs, genre expectations, causality, escalation, and world transformation.</x:v>
      </x:c>
      <x:c r="K983" s="24" t="str">
        <x:v>new age; revolution; consolidation</x:v>
      </x:c>
      <x:c r="L983" s="24" t="str">
        <x:v>Preserve each source's ontology, culture, history, and terminology when making comparisons.</x:v>
      </x:c>
      <x:c r="M983" s="24" t="str">
        <x:v>Core Family</x:v>
      </x:c>
    </x:row>
    <x:row r="984" ht="44" customHeight="1">
      <x:c r="A984" s="24" t="str">
        <x:v>NAR-429</x:v>
      </x:c>
      <x:c r="B984" s="24" t="str">
        <x:v>Forbidden Knowledge</x:v>
      </x:c>
      <x:c r="C984" s="24" t="str">
        <x:v>Narrative Archetypes</x:v>
      </x:c>
      <x:c r="D984" s="24" t="str">
        <x:v>NAR-400</x:v>
      </x:c>
      <x:c r="E984" s="24" t="str">
        <x:f>IF(D984="","",IFERROR(VLOOKUP(D984,$A$2:$B$1226,2,FALSE),""))</x:f>
        <x:v>Plot and Journey Archetypes</x:v>
      </x:c>
      <x:c r="F984" s="24" t="n">
        <x:v>3</x:v>
      </x:c>
      <x:c r="G984" s="24" t="str">
        <x:v>Characters pursue truths whose acquisition itself creates danger, transformation, or ethical crisis.</x:v>
      </x:c>
      <x:c r="H984" s="24" t="str">
        <x:v>A character can occupy several narrative functions over time; record arc and point of view.</x:v>
      </x:c>
      <x:c r="I984" s="24" t="str">
        <x:v>forbidden tome; cosmic revelation; sealed lore</x:v>
      </x:c>
      <x:c r="J984" s="24" t="str">
        <x:v>Structures quests, arcs, genre expectations, causality, escalation, and world transformation.</x:v>
      </x:c>
      <x:c r="K984" s="24" t="str">
        <x:v>forbidden tome; cosmic revelation; sealed lore</x:v>
      </x:c>
      <x:c r="L984" s="24" t="str">
        <x:v>Preserve each source's ontology, culture, history, and terminology when making comparisons.</x:v>
      </x:c>
      <x:c r="M984" s="24" t="str">
        <x:v>Core Family</x:v>
      </x:c>
    </x:row>
    <x:row r="985" ht="44" customHeight="1">
      <x:c r="A985" s="24" t="str">
        <x:v>NAR-430</x:v>
      </x:c>
      <x:c r="B985" s="24" t="str">
        <x:v>Cost of Power</x:v>
      </x:c>
      <x:c r="C985" s="24" t="str">
        <x:v>Narrative Archetypes</x:v>
      </x:c>
      <x:c r="D985" s="24" t="str">
        <x:v>NAR-400</x:v>
      </x:c>
      <x:c r="E985" s="24" t="str">
        <x:f>IF(D985="","",IFERROR(VLOOKUP(D985,$A$2:$B$1226,2,FALSE),""))</x:f>
        <x:v>Plot and Journey Archetypes</x:v>
      </x:c>
      <x:c r="F985" s="24" t="n">
        <x:v>3</x:v>
      </x:c>
      <x:c r="G985" s="24" t="str">
        <x:v>Plot centers the escalating personal, social, or metaphysical price of supernatural ability.</x:v>
      </x:c>
      <x:c r="H985" s="24" t="str">
        <x:v>A character can occupy several narrative functions over time; record arc and point of view.</x:v>
      </x:c>
      <x:c r="I985" s="24" t="str">
        <x:v>corruption arc; equivalent exchange; dark bargain</x:v>
      </x:c>
      <x:c r="J985" s="24" t="str">
        <x:v>Structures quests, arcs, genre expectations, causality, escalation, and world transformation.</x:v>
      </x:c>
      <x:c r="K985" s="24" t="str">
        <x:v>corruption arc; equivalent exchange; dark bargain</x:v>
      </x:c>
      <x:c r="L985" s="24" t="str">
        <x:v>Preserve each source's ontology, culture, history, and terminology when making comparisons.</x:v>
      </x:c>
      <x:c r="M985" s="24" t="str">
        <x:v>Core Family</x:v>
      </x:c>
    </x:row>
    <x:row r="986" ht="44" customHeight="1">
      <x:c r="A986" s="24" t="str">
        <x:v>NAR-431</x:v>
      </x:c>
      <x:c r="B986" s="24" t="str">
        <x:v>Identity Mystery</x:v>
      </x:c>
      <x:c r="C986" s="24" t="str">
        <x:v>Narrative Archetypes</x:v>
      </x:c>
      <x:c r="D986" s="24" t="str">
        <x:v>NAR-400</x:v>
      </x:c>
      <x:c r="E986" s="24" t="str">
        <x:f>IF(D986="","",IFERROR(VLOOKUP(D986,$A$2:$B$1226,2,FALSE),""))</x:f>
        <x:v>Plot and Journey Archetypes</x:v>
      </x:c>
      <x:c r="F986" s="24" t="n">
        <x:v>3</x:v>
      </x:c>
      <x:c r="G986" s="24" t="str">
        <x:v>Central conflict concerns who a character truly is, whose body or memories they possess, or what species they belong to.</x:v>
      </x:c>
      <x:c r="H986" s="24" t="str">
        <x:v>A character can occupy several narrative functions over time; record arc and point of view.</x:v>
      </x:c>
      <x:c r="I986" s="24" t="str">
        <x:v>amnesia mystery; hidden lineage; body snatcher</x:v>
      </x:c>
      <x:c r="J986" s="24" t="str">
        <x:v>Structures quests, arcs, genre expectations, causality, escalation, and world transformation.</x:v>
      </x:c>
      <x:c r="K986" s="24" t="str">
        <x:v>amnesia mystery; hidden lineage; body snatcher</x:v>
      </x:c>
      <x:c r="L986" s="24" t="str">
        <x:v>Preserve each source's ontology, culture, history, and terminology when making comparisons.</x:v>
      </x:c>
      <x:c r="M986" s="24" t="str">
        <x:v>Core Family</x:v>
      </x:c>
    </x:row>
    <x:row r="987" ht="44" customHeight="1">
      <x:c r="A987" s="24" t="str">
        <x:v>NAR-432</x:v>
      </x:c>
      <x:c r="B987" s="24" t="str">
        <x:v>Found Family Journey</x:v>
      </x:c>
      <x:c r="C987" s="24" t="str">
        <x:v>Narrative Archetypes</x:v>
      </x:c>
      <x:c r="D987" s="24" t="str">
        <x:v>NAR-400</x:v>
      </x:c>
      <x:c r="E987" s="24" t="str">
        <x:f>IF(D987="","",IFERROR(VLOOKUP(D987,$A$2:$B$1226,2,FALSE),""))</x:f>
        <x:v>Plot and Journey Archetypes</x:v>
      </x:c>
      <x:c r="F987" s="24" t="n">
        <x:v>3</x:v>
      </x:c>
      <x:c r="G987" s="24" t="str">
        <x:v>The quest's deepest resolution is formation of durable bonds among socially displaced characters.</x:v>
      </x:c>
      <x:c r="H987" s="24" t="str">
        <x:v>A character can occupy several narrative functions over time; record arc and point of view.</x:v>
      </x:c>
      <x:c r="I987" s="24" t="str">
        <x:v>found family; fellowship bonding</x:v>
      </x:c>
      <x:c r="J987" s="24" t="str">
        <x:v>Structures quests, arcs, genre expectations, causality, escalation, and world transformation.</x:v>
      </x:c>
      <x:c r="K987" s="24" t="str">
        <x:v>found family; fellowship bonding</x:v>
      </x:c>
      <x:c r="L987" s="24" t="str">
        <x:v>Preserve each source's ontology, culture, history, and terminology when making comparisons.</x:v>
      </x:c>
      <x:c r="M987" s="24" t="str">
        <x:v>Core Family</x:v>
      </x:c>
    </x:row>
    <x:row r="988" ht="44" customHeight="1">
      <x:c r="A988" s="24" t="str">
        <x:v>NAR-433</x:v>
      </x:c>
      <x:c r="B988" s="24" t="str">
        <x:v>Generational Saga</x:v>
      </x:c>
      <x:c r="C988" s="24" t="str">
        <x:v>Narrative Archetypes</x:v>
      </x:c>
      <x:c r="D988" s="24" t="str">
        <x:v>NAR-400</x:v>
      </x:c>
      <x:c r="E988" s="24" t="str">
        <x:f>IF(D988="","",IFERROR(VLOOKUP(D988,$A$2:$B$1226,2,FALSE),""))</x:f>
        <x:v>Plot and Journey Archetypes</x:v>
      </x:c>
      <x:c r="F988" s="24" t="n">
        <x:v>3</x:v>
      </x:c>
      <x:c r="G988" s="24" t="str">
        <x:v>Conflict, inheritance, trauma, and institutions are traced across multiple generations.</x:v>
      </x:c>
      <x:c r="H988" s="24" t="str">
        <x:v>A character can occupy several narrative functions over time; record arc and point of view.</x:v>
      </x:c>
      <x:c r="I988" s="24" t="str">
        <x:v>family saga; legacy cycle; descendants</x:v>
      </x:c>
      <x:c r="J988" s="24" t="str">
        <x:v>Structures quests, arcs, genre expectations, causality, escalation, and world transformation.</x:v>
      </x:c>
      <x:c r="K988" s="24" t="str">
        <x:v>family saga; legacy cycle; descendants</x:v>
      </x:c>
      <x:c r="L988" s="24" t="str">
        <x:v>Preserve each source's ontology, culture, history, and terminology when making comparisons.</x:v>
      </x:c>
      <x:c r="M988" s="24" t="str">
        <x:v>Core Family</x:v>
      </x:c>
    </x:row>
    <x:row r="989" ht="44" customHeight="1">
      <x:c r="A989" s="24" t="str">
        <x:v>NAR-434</x:v>
      </x:c>
      <x:c r="B989" s="24" t="str">
        <x:v>Multiple-Route or Branching Narrative</x:v>
      </x:c>
      <x:c r="C989" s="24" t="str">
        <x:v>Narrative Archetypes</x:v>
      </x:c>
      <x:c r="D989" s="24" t="str">
        <x:v>NAR-400</x:v>
      </x:c>
      <x:c r="E989" s="24" t="str">
        <x:f>IF(D989="","",IFERROR(VLOOKUP(D989,$A$2:$B$1226,2,FALSE),""))</x:f>
        <x:v>Plot and Journey Archetypes</x:v>
      </x:c>
      <x:c r="F989" s="24" t="n">
        <x:v>3</x:v>
      </x:c>
      <x:c r="G989" s="24" t="str">
        <x:v>Story permits divergent alliances, endings, moral paths, or political outcomes.</x:v>
      </x:c>
      <x:c r="H989" s="24" t="str">
        <x:v>A character can occupy several narrative functions over time; record arc and point of view.</x:v>
      </x:c>
      <x:c r="I989" s="24" t="str">
        <x:v>branching route; alignment path; choice narrative</x:v>
      </x:c>
      <x:c r="J989" s="24" t="str">
        <x:v>Structures quests, arcs, genre expectations, causality, escalation, and world transformation.</x:v>
      </x:c>
      <x:c r="K989" s="24" t="str">
        <x:v>branching route; alignment path; choice narrative</x:v>
      </x:c>
      <x:c r="L989" s="24" t="str">
        <x:v>Preserve each source's ontology, culture, history, and terminology when making comparisons.</x:v>
      </x:c>
      <x:c r="M989" s="24" t="str">
        <x:v>Core Family</x:v>
      </x:c>
    </x:row>
    <x:row r="990" ht="44" customHeight="1">
      <x:c r="A990" s="24" t="str">
        <x:v>NAR-435</x:v>
      </x:c>
      <x:c r="B990" s="24" t="str">
        <x:v>New Game Plus or Recursive Journey</x:v>
      </x:c>
      <x:c r="C990" s="24" t="str">
        <x:v>Narrative Archetypes</x:v>
      </x:c>
      <x:c r="D990" s="24" t="str">
        <x:v>NAR-400</x:v>
      </x:c>
      <x:c r="E990" s="24" t="str">
        <x:f>IF(D990="","",IFERROR(VLOOKUP(D990,$A$2:$B$1226,2,FALSE),""))</x:f>
        <x:v>Plot and Journey Archetypes</x:v>
      </x:c>
      <x:c r="F990" s="24" t="n">
        <x:v>3</x:v>
      </x:c>
      <x:c r="G990" s="24" t="str">
        <x:v>A completed or failed narrative is revisited with retained knowledge, power, or altered conditions.</x:v>
      </x:c>
      <x:c r="H990" s="24" t="str">
        <x:v>A character can occupy several narrative functions over time; record arc and point of view.</x:v>
      </x:c>
      <x:c r="I990" s="24" t="str">
        <x:v>NG+; regression; recursive story</x:v>
      </x:c>
      <x:c r="J990" s="24" t="str">
        <x:v>Structures quests, arcs, genre expectations, causality, escalation, and world transformation.</x:v>
      </x:c>
      <x:c r="K990" s="24" t="str">
        <x:v>NG+; regression; recursive story</x:v>
      </x:c>
      <x:c r="L990" s="24" t="str">
        <x:v>Preserve each source's ontology, culture, history, and terminology when making comparisons.</x:v>
      </x:c>
      <x:c r="M990" s="24" t="str">
        <x:v>Core Family</x:v>
      </x:c>
    </x:row>
    <x:row r="991" ht="44" customHeight="1">
      <x:c r="A991" s="24" t="str">
        <x:v>NAR-436</x:v>
      </x:c>
      <x:c r="B991" s="24" t="str">
        <x:v>Dungeon Crawl</x:v>
      </x:c>
      <x:c r="C991" s="24" t="str">
        <x:v>Narrative Archetypes</x:v>
      </x:c>
      <x:c r="D991" s="24" t="str">
        <x:v>NAR-400</x:v>
      </x:c>
      <x:c r="E991" s="24" t="str">
        <x:f>IF(D991="","",IFERROR(VLOOKUP(D991,$A$2:$B$1226,2,FALSE),""))</x:f>
        <x:v>Plot and Journey Archetypes</x:v>
      </x:c>
      <x:c r="F991" s="24" t="n">
        <x:v>3</x:v>
      </x:c>
      <x:c r="G991" s="24" t="str">
        <x:v>Progress is organized through exploration of hostile layered spaces, encounters, resources, and discovery.</x:v>
      </x:c>
      <x:c r="H991" s="24" t="str">
        <x:v>A character can occupy several narrative functions over time; record arc and point of view.</x:v>
      </x:c>
      <x:c r="I991" s="24" t="str">
        <x:v>dungeon crawl; labyrinth expedition</x:v>
      </x:c>
      <x:c r="J991" s="24" t="str">
        <x:v>Structures quests, arcs, genre expectations, causality, escalation, and world transformation.</x:v>
      </x:c>
      <x:c r="K991" s="24" t="str">
        <x:v>dungeon crawl; labyrinth expedition</x:v>
      </x:c>
      <x:c r="L991" s="24" t="str">
        <x:v>Preserve each source's ontology, culture, history, and terminology when making comparisons.</x:v>
      </x:c>
      <x:c r="M991" s="24" t="str">
        <x:v>Core Family</x:v>
      </x:c>
    </x:row>
    <x:row r="992" ht="44" customHeight="1">
      <x:c r="A992" s="24" t="str">
        <x:v>NAR-437</x:v>
      </x:c>
      <x:c r="B992" s="24" t="str">
        <x:v>Kingdom Building</x:v>
      </x:c>
      <x:c r="C992" s="24" t="str">
        <x:v>Narrative Archetypes</x:v>
      </x:c>
      <x:c r="D992" s="24" t="str">
        <x:v>NAR-400</x:v>
      </x:c>
      <x:c r="E992" s="24" t="str">
        <x:f>IF(D992="","",IFERROR(VLOOKUP(D992,$A$2:$B$1226,2,FALSE),""))</x:f>
        <x:v>Plot and Journey Archetypes</x:v>
      </x:c>
      <x:c r="F992" s="24" t="n">
        <x:v>3</x:v>
      </x:c>
      <x:c r="G992" s="24" t="str">
        <x:v>Narrative centers settlement, governance, diplomacy, economy, and institutional creation.</x:v>
      </x:c>
      <x:c r="H992" s="24" t="str">
        <x:v>A character can occupy several narrative functions over time; record arc and point of view.</x:v>
      </x:c>
      <x:c r="I992" s="24" t="str">
        <x:v>kingdom builder; city management; realm founding</x:v>
      </x:c>
      <x:c r="J992" s="24" t="str">
        <x:v>Structures quests, arcs, genre expectations, causality, escalation, and world transformation.</x:v>
      </x:c>
      <x:c r="K992" s="24" t="str">
        <x:v>kingdom builder; city management; realm founding</x:v>
      </x:c>
      <x:c r="L992" s="24" t="str">
        <x:v>Preserve each source's ontology, culture, history, and terminology when making comparisons.</x:v>
      </x:c>
      <x:c r="M992" s="24" t="str">
        <x:v>Core Family</x:v>
      </x:c>
    </x:row>
    <x:row r="993" ht="44" customHeight="1">
      <x:c r="A993" s="24" t="str">
        <x:v>NAR-438</x:v>
      </x:c>
      <x:c r="B993" s="24" t="str">
        <x:v>School or Academy Arc</x:v>
      </x:c>
      <x:c r="C993" s="24" t="str">
        <x:v>Narrative Archetypes</x:v>
      </x:c>
      <x:c r="D993" s="24" t="str">
        <x:v>NAR-400</x:v>
      </x:c>
      <x:c r="E993" s="24" t="str">
        <x:f>IF(D993="","",IFERROR(VLOOKUP(D993,$A$2:$B$1226,2,FALSE),""))</x:f>
        <x:v>Plot and Journey Archetypes</x:v>
      </x:c>
      <x:c r="F993" s="24" t="n">
        <x:v>3</x:v>
      </x:c>
      <x:c r="G993" s="24" t="str">
        <x:v>Training institution becomes the setting for social sorting, rivalry, hidden politics, and power acquisition.</x:v>
      </x:c>
      <x:c r="H993" s="24" t="str">
        <x:v>A character can occupy several narrative functions over time; record arc and point of view.</x:v>
      </x:c>
      <x:c r="I993" s="24" t="str">
        <x:v>magic school; academy story; sect training</x:v>
      </x:c>
      <x:c r="J993" s="24" t="str">
        <x:v>Structures quests, arcs, genre expectations, causality, escalation, and world transformation.</x:v>
      </x:c>
      <x:c r="K993" s="24" t="str">
        <x:v>magic school; academy story; sect training</x:v>
      </x:c>
      <x:c r="L993" s="24" t="str">
        <x:v>Preserve each source's ontology, culture, history, and terminology when making comparisons.</x:v>
      </x:c>
      <x:c r="M993" s="24" t="str">
        <x:v>Core Family</x:v>
      </x:c>
    </x:row>
    <x:row r="994" ht="44" customHeight="1">
      <x:c r="A994" s="24" t="str">
        <x:v>NAR-439</x:v>
      </x:c>
      <x:c r="B994" s="24" t="str">
        <x:v>Monster-of-the-Week Structure</x:v>
      </x:c>
      <x:c r="C994" s="24" t="str">
        <x:v>Narrative Archetypes</x:v>
      </x:c>
      <x:c r="D994" s="24" t="str">
        <x:v>NAR-400</x:v>
      </x:c>
      <x:c r="E994" s="24" t="str">
        <x:f>IF(D994="","",IFERROR(VLOOKUP(D994,$A$2:$B$1226,2,FALSE),""))</x:f>
        <x:v>Plot and Journey Archetypes</x:v>
      </x:c>
      <x:c r="F994" s="24" t="n">
        <x:v>3</x:v>
      </x:c>
      <x:c r="G994" s="24" t="str">
        <x:v>Episodic threats allow recurring investigation, hunting, moral variation, and gradual worldbuilding.</x:v>
      </x:c>
      <x:c r="H994" s="24" t="str">
        <x:v>A character can occupy several narrative functions over time; record arc and point of view.</x:v>
      </x:c>
      <x:c r="I994" s="24" t="str">
        <x:v>monster of the week; case arc</x:v>
      </x:c>
      <x:c r="J994" s="24" t="str">
        <x:v>Structures quests, arcs, genre expectations, causality, escalation, and world transformation.</x:v>
      </x:c>
      <x:c r="K994" s="24" t="str">
        <x:v>monster of the week; case arc</x:v>
      </x:c>
      <x:c r="L994" s="24" t="str">
        <x:v>Preserve each source's ontology, culture, history, and terminology when making comparisons.</x:v>
      </x:c>
      <x:c r="M994" s="24" t="str">
        <x:v>Core Family</x:v>
      </x:c>
    </x:row>
    <x:row r="995" ht="44" customHeight="1">
      <x:c r="A995" s="24" t="str">
        <x:v>NAR-440</x:v>
      </x:c>
      <x:c r="B995" s="24" t="str">
        <x:v>Road or Wandering Narrative</x:v>
      </x:c>
      <x:c r="C995" s="24" t="str">
        <x:v>Narrative Archetypes</x:v>
      </x:c>
      <x:c r="D995" s="24" t="str">
        <x:v>NAR-400</x:v>
      </x:c>
      <x:c r="E995" s="24" t="str">
        <x:f>IF(D995="","",IFERROR(VLOOKUP(D995,$A$2:$B$1226,2,FALSE),""))</x:f>
        <x:v>Plot and Journey Archetypes</x:v>
      </x:c>
      <x:c r="F995" s="24" t="n">
        <x:v>3</x:v>
      </x:c>
      <x:c r="G995" s="24" t="str">
        <x:v>Characters move continuously among local communities, producing episodic comparison and accumulating relationships.</x:v>
      </x:c>
      <x:c r="H995" s="24" t="str">
        <x:v>A character can occupy several narrative functions over time; record arc and point of view.</x:v>
      </x:c>
      <x:c r="I995" s="24" t="str">
        <x:v>wandering hero; journey tale; traveling party</x:v>
      </x:c>
      <x:c r="J995" s="24" t="str">
        <x:v>Structures quests, arcs, genre expectations, causality, escalation, and world transformation.</x:v>
      </x:c>
      <x:c r="K995" s="24" t="str">
        <x:v>wandering hero; journey tale; traveling party</x:v>
      </x:c>
      <x:c r="L995" s="24" t="str">
        <x:v>Preserve each source's ontology, culture, history, and terminology when making comparisons.</x:v>
      </x:c>
      <x:c r="M995" s="24" t="str">
        <x:v>Core Family</x:v>
      </x:c>
    </x:row>
    <x:row r="996" ht="44" customHeight="1">
      <x:c r="A996" s="24" t="str">
        <x:v>CIV-100</x:v>
      </x:c>
      <x:c r="B996" s="24" t="str">
        <x:v>Polity and Governance Archetypes</x:v>
      </x:c>
      <x:c r="C996" s="24" t="str">
        <x:v>Civilization &amp; Culture Archetypes</x:v>
      </x:c>
      <x:c r="D996" s="24" t="str">
        <x:v>CIV-000</x:v>
      </x:c>
      <x:c r="E996" s="24" t="str">
        <x:f>IF(D996="","",IFERROR(VLOOKUP(D996,$A$2:$B$1226,2,FALSE),""))</x:f>
        <x:v>Civilization &amp; Culture Archetypes</x:v>
      </x:c>
      <x:c r="F996" s="24" t="n">
        <x:v>2</x:v>
      </x:c>
      <x:c r="G996" s="24" t="str">
        <x:v>Reusable forms of political organization, legitimacy, and rule.</x:v>
      </x:c>
      <x:c r="H996" s="24" t="str">
        <x:v>A civilization archetype is an analytical pattern, not a claim that cultures are homogeneous or biologically determined.</x:v>
      </x:c>
      <x:c r="I996" s="24" t="str"/>
      <x:c r="J996" s="24" t="str">
        <x:v>Supports comparison of social worldbuilding without reducing peoples to one culture.</x:v>
      </x:c>
      <x:c r="K996" s="24" t="str">
        <x:v>Polity and Governance Archetypes</x:v>
      </x:c>
      <x:c r="L996" s="24" t="str">
        <x:v>Preserve each source's ontology, culture, history, and terminology when making comparisons.</x:v>
      </x:c>
      <x:c r="M996" s="24" t="str">
        <x:v>Category</x:v>
      </x:c>
    </x:row>
    <x:row r="997" ht="44" customHeight="1">
      <x:c r="A997" s="24" t="str">
        <x:v>CIV-200</x:v>
      </x:c>
      <x:c r="B997" s="24" t="str">
        <x:v>Settlement and Environmental Archetypes</x:v>
      </x:c>
      <x:c r="C997" s="24" t="str">
        <x:v>Civilization &amp; Culture Archetypes</x:v>
      </x:c>
      <x:c r="D997" s="24" t="str">
        <x:v>CIV-000</x:v>
      </x:c>
      <x:c r="E997" s="24" t="str">
        <x:f>IF(D997="","",IFERROR(VLOOKUP(D997,$A$2:$B$1226,2,FALSE),""))</x:f>
        <x:v>Civilization &amp; Culture Archetypes</x:v>
      </x:c>
      <x:c r="F997" s="24" t="n">
        <x:v>2</x:v>
      </x:c>
      <x:c r="G997" s="24" t="str">
        <x:v>Societies organized around distinctive habitats, mobility, and spatial forms.</x:v>
      </x:c>
      <x:c r="H997" s="24" t="str">
        <x:v>A civilization archetype is an analytical pattern, not a claim that cultures are homogeneous or biologically determined.</x:v>
      </x:c>
      <x:c r="I997" s="24" t="str"/>
      <x:c r="J997" s="24" t="str">
        <x:v>Supports comparison of social worldbuilding without reducing peoples to one culture.</x:v>
      </x:c>
      <x:c r="K997" s="24" t="str">
        <x:v>Settlement and Environmental Archetypes</x:v>
      </x:c>
      <x:c r="L997" s="24" t="str">
        <x:v>Preserve each source's ontology, culture, history, and terminology when making comparisons.</x:v>
      </x:c>
      <x:c r="M997" s="24" t="str">
        <x:v>Category</x:v>
      </x:c>
    </x:row>
    <x:row r="998" ht="44" customHeight="1">
      <x:c r="A998" s="24" t="str">
        <x:v>CIV-300</x:v>
      </x:c>
      <x:c r="B998" s="24" t="str">
        <x:v>Economic and Institutional Archetypes</x:v>
      </x:c>
      <x:c r="C998" s="24" t="str">
        <x:v>Civilization &amp; Culture Archetypes</x:v>
      </x:c>
      <x:c r="D998" s="24" t="str">
        <x:v>CIV-000</x:v>
      </x:c>
      <x:c r="E998" s="24" t="str">
        <x:f>IF(D998="","",IFERROR(VLOOKUP(D998,$A$2:$B$1226,2,FALSE),""))</x:f>
        <x:v>Civilization &amp; Culture Archetypes</x:v>
      </x:c>
      <x:c r="F998" s="24" t="n">
        <x:v>2</x:v>
      </x:c>
      <x:c r="G998" s="24" t="str">
        <x:v>Societies shaped by guilds, adventuring economies, craft, magic, trade, or industrial systems.</x:v>
      </x:c>
      <x:c r="H998" s="24" t="str">
        <x:v>A civilization archetype is an analytical pattern, not a claim that cultures are homogeneous or biologically determined.</x:v>
      </x:c>
      <x:c r="I998" s="24" t="str"/>
      <x:c r="J998" s="24" t="str">
        <x:v>Supports comparison of social worldbuilding without reducing peoples to one culture.</x:v>
      </x:c>
      <x:c r="K998" s="24" t="str">
        <x:v>Economic and Institutional Archetypes</x:v>
      </x:c>
      <x:c r="L998" s="24" t="str">
        <x:v>Preserve each source's ontology, culture, history, and terminology when making comparisons.</x:v>
      </x:c>
      <x:c r="M998" s="24" t="str">
        <x:v>Category</x:v>
      </x:c>
    </x:row>
    <x:row r="999" ht="44" customHeight="1">
      <x:c r="A999" s="24" t="str">
        <x:v>CIV-400</x:v>
      </x:c>
      <x:c r="B999" s="24" t="str">
        <x:v>Historical and Ideological Archetypes</x:v>
      </x:c>
      <x:c r="C999" s="24" t="str">
        <x:v>Civilization &amp; Culture Archetypes</x:v>
      </x:c>
      <x:c r="D999" s="24" t="str">
        <x:v>CIV-000</x:v>
      </x:c>
      <x:c r="E999" s="24" t="str">
        <x:f>IF(D999="","",IFERROR(VLOOKUP(D999,$A$2:$B$1226,2,FALSE),""))</x:f>
        <x:v>Civilization &amp; Culture Archetypes</x:v>
      </x:c>
      <x:c r="F999" s="24" t="n">
        <x:v>2</x:v>
      </x:c>
      <x:c r="G999" s="24" t="str">
        <x:v>Societies defined by decline, exile, colonization, rebellion, sacred mission, or relations with other peoples.</x:v>
      </x:c>
      <x:c r="H999" s="24" t="str">
        <x:v>A civilization archetype is an analytical pattern, not a claim that cultures are homogeneous or biologically determined.</x:v>
      </x:c>
      <x:c r="I999" s="24" t="str"/>
      <x:c r="J999" s="24" t="str">
        <x:v>Supports comparison of social worldbuilding without reducing peoples to one culture.</x:v>
      </x:c>
      <x:c r="K999" s="24" t="str">
        <x:v>Historical and Ideological Archetypes</x:v>
      </x:c>
      <x:c r="L999" s="24" t="str">
        <x:v>Preserve each source's ontology, culture, history, and terminology when making comparisons.</x:v>
      </x:c>
      <x:c r="M999" s="24" t="str">
        <x:v>Category</x:v>
      </x:c>
    </x:row>
    <x:row r="1000" ht="44" customHeight="1">
      <x:c r="A1000" s="24" t="str">
        <x:v>CIV-101</x:v>
      </x:c>
      <x:c r="B1000" s="24" t="str">
        <x:v>Feudal Monarchy</x:v>
      </x:c>
      <x:c r="C1000" s="24" t="str">
        <x:v>Civilization &amp; Culture Archetypes</x:v>
      </x:c>
      <x:c r="D1000" s="24" t="str">
        <x:v>CIV-100</x:v>
      </x:c>
      <x:c r="E1000" s="24" t="str">
        <x:f>IF(D1000="","",IFERROR(VLOOKUP(D1000,$A$2:$B$1226,2,FALSE),""))</x:f>
        <x:v>Polity and Governance Archetypes</x:v>
      </x:c>
      <x:c r="F1000" s="24" t="n">
        <x:v>3</x:v>
      </x:c>
      <x:c r="G1000" s="24" t="str">
        <x:v>Realm organized around hereditary sovereignty, landholding elites, vassalage, and layered personal obligation.</x:v>
      </x:c>
      <x:c r="H1000" s="24" t="str">
        <x:v>Separate political form, economy, religion, ethnicity, ecology, and moral framing.</x:v>
      </x:c>
      <x:c r="I1000" s="24" t="str">
        <x:v>feudal kingdom; crown and vassals</x:v>
      </x:c>
      <x:c r="J1000" s="24" t="str">
        <x:v>Models legitimacy, hierarchy, law, conflict, succession, and state capacity.</x:v>
      </x:c>
      <x:c r="K1000" s="24" t="str">
        <x:v>feudal kingdom; crown and vassals</x:v>
      </x:c>
      <x:c r="L1000" s="24" t="str">
        <x:v>Preserve each source's ontology, culture, history, and terminology when making comparisons.</x:v>
      </x:c>
      <x:c r="M1000" s="24" t="str">
        <x:v>Core Family</x:v>
      </x:c>
    </x:row>
    <x:row r="1001" ht="44" customHeight="1">
      <x:c r="A1001" s="24" t="str">
        <x:v>CIV-102</x:v>
      </x:c>
      <x:c r="B1001" s="24" t="str">
        <x:v>Centralized Empire</x:v>
      </x:c>
      <x:c r="C1001" s="24" t="str">
        <x:v>Civilization &amp; Culture Archetypes</x:v>
      </x:c>
      <x:c r="D1001" s="24" t="str">
        <x:v>CIV-100</x:v>
      </x:c>
      <x:c r="E1001" s="24" t="str">
        <x:f>IF(D1001="","",IFERROR(VLOOKUP(D1001,$A$2:$B$1226,2,FALSE),""))</x:f>
        <x:v>Polity and Governance Archetypes</x:v>
      </x:c>
      <x:c r="F1001" s="24" t="n">
        <x:v>3</x:v>
      </x:c>
      <x:c r="G1001" s="24" t="str">
        <x:v>Large territorial state governed through bureaucracy, taxation, armies, provinces, and imperial ideology.</x:v>
      </x:c>
      <x:c r="H1001" s="24" t="str">
        <x:v>Separate political form, economy, religion, ethnicity, ecology, and moral framing.</x:v>
      </x:c>
      <x:c r="I1001" s="24" t="str">
        <x:v>empire; imperial state</x:v>
      </x:c>
      <x:c r="J1001" s="24" t="str">
        <x:v>Models legitimacy, hierarchy, law, conflict, succession, and state capacity.</x:v>
      </x:c>
      <x:c r="K1001" s="24" t="str">
        <x:v>empire; imperial state</x:v>
      </x:c>
      <x:c r="L1001" s="24" t="str">
        <x:v>Preserve each source's ontology, culture, history, and terminology when making comparisons.</x:v>
      </x:c>
      <x:c r="M1001" s="24" t="str">
        <x:v>Core Family</x:v>
      </x:c>
    </x:row>
    <x:row r="1002" ht="44" customHeight="1">
      <x:c r="A1002" s="24" t="str">
        <x:v>CIV-103</x:v>
      </x:c>
      <x:c r="B1002" s="24" t="str">
        <x:v>Decentralized Empire or Hegemony</x:v>
      </x:c>
      <x:c r="C1002" s="24" t="str">
        <x:v>Civilization &amp; Culture Archetypes</x:v>
      </x:c>
      <x:c r="D1002" s="24" t="str">
        <x:v>CIV-100</x:v>
      </x:c>
      <x:c r="E1002" s="24" t="str">
        <x:f>IF(D1002="","",IFERROR(VLOOKUP(D1002,$A$2:$B$1226,2,FALSE),""))</x:f>
        <x:v>Polity and Governance Archetypes</x:v>
      </x:c>
      <x:c r="F1002" s="24" t="n">
        <x:v>3</x:v>
      </x:c>
      <x:c r="G1002" s="24" t="str">
        <x:v>Large political sphere held through tribute, alliances, client rulers, or uneven control.</x:v>
      </x:c>
      <x:c r="H1002" s="24" t="str">
        <x:v>Separate political form, economy, religion, ethnicity, ecology, and moral framing.</x:v>
      </x:c>
      <x:c r="I1002" s="24" t="str">
        <x:v>hegemony; tributary empire; loose empire</x:v>
      </x:c>
      <x:c r="J1002" s="24" t="str">
        <x:v>Models legitimacy, hierarchy, law, conflict, succession, and state capacity.</x:v>
      </x:c>
      <x:c r="K1002" s="24" t="str">
        <x:v>hegemony; tributary empire; loose empire</x:v>
      </x:c>
      <x:c r="L1002" s="24" t="str">
        <x:v>Preserve each source's ontology, culture, history, and terminology when making comparisons.</x:v>
      </x:c>
      <x:c r="M1002" s="24" t="str">
        <x:v>Core Family</x:v>
      </x:c>
    </x:row>
    <x:row r="1003" ht="44" customHeight="1">
      <x:c r="A1003" s="24" t="str">
        <x:v>CIV-104</x:v>
      </x:c>
      <x:c r="B1003" s="24" t="str">
        <x:v>City-State</x:v>
      </x:c>
      <x:c r="C1003" s="24" t="str">
        <x:v>Civilization &amp; Culture Archetypes</x:v>
      </x:c>
      <x:c r="D1003" s="24" t="str">
        <x:v>CIV-100</x:v>
      </x:c>
      <x:c r="E1003" s="24" t="str">
        <x:f>IF(D1003="","",IFERROR(VLOOKUP(D1003,$A$2:$B$1226,2,FALSE),""))</x:f>
        <x:v>Polity and Governance Archetypes</x:v>
      </x:c>
      <x:c r="F1003" s="24" t="n">
        <x:v>3</x:v>
      </x:c>
      <x:c r="G1003" s="24" t="str">
        <x:v>Independent city and its territory functioning as a sovereign political community.</x:v>
      </x:c>
      <x:c r="H1003" s="24" t="str">
        <x:v>Separate political form, economy, religion, ethnicity, ecology, and moral framing.</x:v>
      </x:c>
      <x:c r="I1003" s="24" t="str">
        <x:v>city-state; polis; free city</x:v>
      </x:c>
      <x:c r="J1003" s="24" t="str">
        <x:v>Models legitimacy, hierarchy, law, conflict, succession, and state capacity.</x:v>
      </x:c>
      <x:c r="K1003" s="24" t="str">
        <x:v>city-state; polis; free city</x:v>
      </x:c>
      <x:c r="L1003" s="24" t="str">
        <x:v>Preserve each source's ontology, culture, history, and terminology when making comparisons.</x:v>
      </x:c>
      <x:c r="M1003" s="24" t="str">
        <x:v>Core Family</x:v>
      </x:c>
    </x:row>
    <x:row r="1004" ht="44" customHeight="1">
      <x:c r="A1004" s="24" t="str">
        <x:v>CIV-105</x:v>
      </x:c>
      <x:c r="B1004" s="24" t="str">
        <x:v>Merchant Republic</x:v>
      </x:c>
      <x:c r="C1004" s="24" t="str">
        <x:v>Civilization &amp; Culture Archetypes</x:v>
      </x:c>
      <x:c r="D1004" s="24" t="str">
        <x:v>CIV-100</x:v>
      </x:c>
      <x:c r="E1004" s="24" t="str">
        <x:f>IF(D1004="","",IFERROR(VLOOKUP(D1004,$A$2:$B$1226,2,FALSE),""))</x:f>
        <x:v>Polity and Governance Archetypes</x:v>
      </x:c>
      <x:c r="F1004" s="24" t="n">
        <x:v>3</x:v>
      </x:c>
      <x:c r="G1004" s="24" t="str">
        <x:v>Polity where commercial elites, guilds, councils, or elected magistrates dominate governance.</x:v>
      </x:c>
      <x:c r="H1004" s="24" t="str">
        <x:v>Separate political form, economy, religion, ethnicity, ecology, and moral framing.</x:v>
      </x:c>
      <x:c r="I1004" s="24" t="str">
        <x:v>merchant republic; trade city; oligarchic republic</x:v>
      </x:c>
      <x:c r="J1004" s="24" t="str">
        <x:v>Models legitimacy, hierarchy, law, conflict, succession, and state capacity.</x:v>
      </x:c>
      <x:c r="K1004" s="24" t="str">
        <x:v>merchant republic; trade city; oligarchic republic</x:v>
      </x:c>
      <x:c r="L1004" s="24" t="str">
        <x:v>Preserve each source's ontology, culture, history, and terminology when making comparisons.</x:v>
      </x:c>
      <x:c r="M1004" s="24" t="str">
        <x:v>Core Family</x:v>
      </x:c>
    </x:row>
    <x:row r="1005" ht="44" customHeight="1">
      <x:c r="A1005" s="24" t="str">
        <x:v>CIV-106</x:v>
      </x:c>
      <x:c r="B1005" s="24" t="str">
        <x:v>Theocracy</x:v>
      </x:c>
      <x:c r="C1005" s="24" t="str">
        <x:v>Civilization &amp; Culture Archetypes</x:v>
      </x:c>
      <x:c r="D1005" s="24" t="str">
        <x:v>CIV-100</x:v>
      </x:c>
      <x:c r="E1005" s="24" t="str">
        <x:f>IF(D1005="","",IFERROR(VLOOKUP(D1005,$A$2:$B$1226,2,FALSE),""))</x:f>
        <x:v>Polity and Governance Archetypes</x:v>
      </x:c>
      <x:c r="F1005" s="24" t="n">
        <x:v>3</x:v>
      </x:c>
      <x:c r="G1005" s="24" t="str">
        <x:v>Polity in which sacred law, priesthood, deity, or religious legitimacy directly governs public authority.</x:v>
      </x:c>
      <x:c r="H1005" s="24" t="str">
        <x:v>Separate political form, economy, religion, ethnicity, ecology, and moral framing.</x:v>
      </x:c>
      <x:c r="I1005" s="24" t="str">
        <x:v>theocracy; temple state; holy kingdom</x:v>
      </x:c>
      <x:c r="J1005" s="24" t="str">
        <x:v>Models legitimacy, hierarchy, law, conflict, succession, and state capacity.</x:v>
      </x:c>
      <x:c r="K1005" s="24" t="str">
        <x:v>theocracy; temple state; holy kingdom</x:v>
      </x:c>
      <x:c r="L1005" s="24" t="str">
        <x:v>Preserve each source's ontology, culture, history, and terminology when making comparisons.</x:v>
      </x:c>
      <x:c r="M1005" s="24" t="str">
        <x:v>Core Family</x:v>
      </x:c>
    </x:row>
    <x:row r="1006" ht="44" customHeight="1">
      <x:c r="A1006" s="24" t="str">
        <x:v>CIV-107</x:v>
      </x:c>
      <x:c r="B1006" s="24" t="str">
        <x:v>Mageocracy</x:v>
      </x:c>
      <x:c r="C1006" s="24" t="str">
        <x:v>Civilization &amp; Culture Archetypes</x:v>
      </x:c>
      <x:c r="D1006" s="24" t="str">
        <x:v>CIV-100</x:v>
      </x:c>
      <x:c r="E1006" s="24" t="str">
        <x:f>IF(D1006="","",IFERROR(VLOOKUP(D1006,$A$2:$B$1226,2,FALSE),""))</x:f>
        <x:v>Polity and Governance Archetypes</x:v>
      </x:c>
      <x:c r="F1006" s="24" t="n">
        <x:v>3</x:v>
      </x:c>
      <x:c r="G1006" s="24" t="str">
        <x:v>Polity ruled by magic users or institutions that monopolize supernatural expertise.</x:v>
      </x:c>
      <x:c r="H1006" s="24" t="str">
        <x:v>Separate political form, economy, religion, ethnicity, ecology, and moral framing.</x:v>
      </x:c>
      <x:c r="I1006" s="24" t="str">
        <x:v>mageocracy; wizard council; sorcerer caste</x:v>
      </x:c>
      <x:c r="J1006" s="24" t="str">
        <x:v>Models legitimacy, hierarchy, law, conflict, succession, and state capacity.</x:v>
      </x:c>
      <x:c r="K1006" s="24" t="str">
        <x:v>mageocracy; wizard council; sorcerer caste</x:v>
      </x:c>
      <x:c r="L1006" s="24" t="str">
        <x:v>Preserve each source's ontology, culture, history, and terminology when making comparisons.</x:v>
      </x:c>
      <x:c r="M1006" s="24" t="str">
        <x:v>Core Family</x:v>
      </x:c>
    </x:row>
    <x:row r="1007" ht="44" customHeight="1">
      <x:c r="A1007" s="24" t="str">
        <x:v>CIV-108</x:v>
      </x:c>
      <x:c r="B1007" s="24" t="str">
        <x:v>Necrocracy</x:v>
      </x:c>
      <x:c r="C1007" s="24" t="str">
        <x:v>Civilization &amp; Culture Archetypes</x:v>
      </x:c>
      <x:c r="D1007" s="24" t="str">
        <x:v>CIV-100</x:v>
      </x:c>
      <x:c r="E1007" s="24" t="str">
        <x:f>IF(D1007="","",IFERROR(VLOOKUP(D1007,$A$2:$B$1226,2,FALSE),""))</x:f>
        <x:v>Polity and Governance Archetypes</x:v>
      </x:c>
      <x:c r="F1007" s="24" t="n">
        <x:v>3</x:v>
      </x:c>
      <x:c r="G1007" s="24" t="str">
        <x:v>Polity ruled by undead, necromancers, ancestors, or institutions of death.</x:v>
      </x:c>
      <x:c r="H1007" s="24" t="str">
        <x:v>Separate political form, economy, religion, ethnicity, ecology, and moral framing.</x:v>
      </x:c>
      <x:c r="I1007" s="24" t="str">
        <x:v>necromantic state; vampire kingdom; lich empire</x:v>
      </x:c>
      <x:c r="J1007" s="24" t="str">
        <x:v>Models legitimacy, hierarchy, law, conflict, succession, and state capacity.</x:v>
      </x:c>
      <x:c r="K1007" s="24" t="str">
        <x:v>necromantic state; vampire kingdom; lich empire</x:v>
      </x:c>
      <x:c r="L1007" s="24" t="str">
        <x:v>Preserve each source's ontology, culture, history, and terminology when making comparisons.</x:v>
      </x:c>
      <x:c r="M1007" s="24" t="str">
        <x:v>Core Family</x:v>
      </x:c>
    </x:row>
    <x:row r="1008" ht="44" customHeight="1">
      <x:c r="A1008" s="24" t="str">
        <x:v>CIV-109</x:v>
      </x:c>
      <x:c r="B1008" s="24" t="str">
        <x:v>God-Kingdom</x:v>
      </x:c>
      <x:c r="C1008" s="24" t="str">
        <x:v>Civilization &amp; Culture Archetypes</x:v>
      </x:c>
      <x:c r="D1008" s="24" t="str">
        <x:v>CIV-100</x:v>
      </x:c>
      <x:c r="E1008" s="24" t="str">
        <x:f>IF(D1008="","",IFERROR(VLOOKUP(D1008,$A$2:$B$1226,2,FALSE),""))</x:f>
        <x:v>Polity and Governance Archetypes</x:v>
      </x:c>
      <x:c r="F1008" s="24" t="n">
        <x:v>3</x:v>
      </x:c>
      <x:c r="G1008" s="24" t="str">
        <x:v>Polity ruled by a living deity, avatar, divine monarch, or sovereign treated as cosmologically necessary.</x:v>
      </x:c>
      <x:c r="H1008" s="24" t="str">
        <x:v>Separate political form, economy, religion, ethnicity, ecology, and moral framing.</x:v>
      </x:c>
      <x:c r="I1008" s="24" t="str">
        <x:v>god-king realm; divine monarchy</x:v>
      </x:c>
      <x:c r="J1008" s="24" t="str">
        <x:v>Models legitimacy, hierarchy, law, conflict, succession, and state capacity.</x:v>
      </x:c>
      <x:c r="K1008" s="24" t="str">
        <x:v>god-king realm; divine monarchy</x:v>
      </x:c>
      <x:c r="L1008" s="24" t="str">
        <x:v>Preserve each source's ontology, culture, history, and terminology when making comparisons.</x:v>
      </x:c>
      <x:c r="M1008" s="24" t="str">
        <x:v>Core Family</x:v>
      </x:c>
    </x:row>
    <x:row r="1009" ht="44" customHeight="1">
      <x:c r="A1009" s="24" t="str">
        <x:v>CIV-110</x:v>
      </x:c>
      <x:c r="B1009" s="24" t="str">
        <x:v>Dragon-Ruled Realm</x:v>
      </x:c>
      <x:c r="C1009" s="24" t="str">
        <x:v>Civilization &amp; Culture Archetypes</x:v>
      </x:c>
      <x:c r="D1009" s="24" t="str">
        <x:v>CIV-100</x:v>
      </x:c>
      <x:c r="E1009" s="24" t="str">
        <x:f>IF(D1009="","",IFERROR(VLOOKUP(D1009,$A$2:$B$1226,2,FALSE),""))</x:f>
        <x:v>Polity and Governance Archetypes</x:v>
      </x:c>
      <x:c r="F1009" s="24" t="n">
        <x:v>3</x:v>
      </x:c>
      <x:c r="G1009" s="24" t="str">
        <x:v>Polity governed by dragons, dragon riders, draconic bloodlines, or tribute to a dragon sovereign.</x:v>
      </x:c>
      <x:c r="H1009" s="24" t="str">
        <x:v>Separate political form, economy, religion, ethnicity, ecology, and moral framing.</x:v>
      </x:c>
      <x:c r="I1009" s="24" t="str">
        <x:v>dragon empire; wyrm kingdom</x:v>
      </x:c>
      <x:c r="J1009" s="24" t="str">
        <x:v>Models legitimacy, hierarchy, law, conflict, succession, and state capacity.</x:v>
      </x:c>
      <x:c r="K1009" s="24" t="str">
        <x:v>dragon empire; wyrm kingdom</x:v>
      </x:c>
      <x:c r="L1009" s="24" t="str">
        <x:v>Preserve each source's ontology, culture, history, and terminology when making comparisons.</x:v>
      </x:c>
      <x:c r="M1009" s="24" t="str">
        <x:v>Core Family</x:v>
      </x:c>
    </x:row>
    <x:row r="1010" ht="44" customHeight="1">
      <x:c r="A1010" s="24" t="str">
        <x:v>CIV-111</x:v>
      </x:c>
      <x:c r="B1010" s="24" t="str">
        <x:v>Demon Realm or Infernal State</x:v>
      </x:c>
      <x:c r="C1010" s="24" t="str">
        <x:v>Civilization &amp; Culture Archetypes</x:v>
      </x:c>
      <x:c r="D1010" s="24" t="str">
        <x:v>CIV-100</x:v>
      </x:c>
      <x:c r="E1010" s="24" t="str">
        <x:f>IF(D1010="","",IFERROR(VLOOKUP(D1010,$A$2:$B$1226,2,FALSE),""))</x:f>
        <x:v>Polity and Governance Archetypes</x:v>
      </x:c>
      <x:c r="F1010" s="24" t="n">
        <x:v>3</x:v>
      </x:c>
      <x:c r="G1010" s="24" t="str">
        <x:v>Polity inhabited or ruled by demons and structured through conquest, hierarchy, contracts, or metaphysical appetite.</x:v>
      </x:c>
      <x:c r="H1010" s="24" t="str">
        <x:v>Separate political form, economy, religion, ethnicity, ecology, and moral framing.</x:v>
      </x:c>
      <x:c r="I1010" s="24" t="str">
        <x:v>demon kingdom; infernal hierarchy</x:v>
      </x:c>
      <x:c r="J1010" s="24" t="str">
        <x:v>Models legitimacy, hierarchy, law, conflict, succession, and state capacity.</x:v>
      </x:c>
      <x:c r="K1010" s="24" t="str">
        <x:v>demon kingdom; infernal hierarchy</x:v>
      </x:c>
      <x:c r="L1010" s="24" t="str">
        <x:v>Preserve each source's ontology, culture, history, and terminology when making comparisons.</x:v>
      </x:c>
      <x:c r="M1010" s="24" t="str">
        <x:v>Core Family</x:v>
      </x:c>
    </x:row>
    <x:row r="1011" ht="44" customHeight="1">
      <x:c r="A1011" s="24" t="str">
        <x:v>CIV-112</x:v>
      </x:c>
      <x:c r="B1011" s="24" t="str">
        <x:v>Fae Court Polity</x:v>
      </x:c>
      <x:c r="C1011" s="24" t="str">
        <x:v>Civilization &amp; Culture Archetypes</x:v>
      </x:c>
      <x:c r="D1011" s="24" t="str">
        <x:v>CIV-100</x:v>
      </x:c>
      <x:c r="E1011" s="24" t="str">
        <x:f>IF(D1011="","",IFERROR(VLOOKUP(D1011,$A$2:$B$1226,2,FALSE),""))</x:f>
        <x:v>Polity and Governance Archetypes</x:v>
      </x:c>
      <x:c r="F1011" s="24" t="n">
        <x:v>3</x:v>
      </x:c>
      <x:c r="G1011" s="24" t="str">
        <x:v>Otherworldly realm organized through court, season, etiquette, personal bond, and supernatural sovereignty.</x:v>
      </x:c>
      <x:c r="H1011" s="24" t="str">
        <x:v>Separate political form, economy, religion, ethnicity, ecology, and moral framing.</x:v>
      </x:c>
      <x:c r="I1011" s="24" t="str">
        <x:v>faerie court; seasonal kingdom</x:v>
      </x:c>
      <x:c r="J1011" s="24" t="str">
        <x:v>Models legitimacy, hierarchy, law, conflict, succession, and state capacity.</x:v>
      </x:c>
      <x:c r="K1011" s="24" t="str">
        <x:v>faerie court; seasonal kingdom</x:v>
      </x:c>
      <x:c r="L1011" s="24" t="str">
        <x:v>Preserve each source's ontology, culture, history, and terminology when making comparisons.</x:v>
      </x:c>
      <x:c r="M1011" s="24" t="str">
        <x:v>Core Family</x:v>
      </x:c>
    </x:row>
    <x:row r="1012" ht="44" customHeight="1">
      <x:c r="A1012" s="24" t="str">
        <x:v>CIV-113</x:v>
      </x:c>
      <x:c r="B1012" s="24" t="str">
        <x:v>Tribal Confederation</x:v>
      </x:c>
      <x:c r="C1012" s="24" t="str">
        <x:v>Civilization &amp; Culture Archetypes</x:v>
      </x:c>
      <x:c r="D1012" s="24" t="str">
        <x:v>CIV-100</x:v>
      </x:c>
      <x:c r="E1012" s="24" t="str">
        <x:f>IF(D1012="","",IFERROR(VLOOKUP(D1012,$A$2:$B$1226,2,FALSE),""))</x:f>
        <x:v>Polity and Governance Archetypes</x:v>
      </x:c>
      <x:c r="F1012" s="24" t="n">
        <x:v>3</x:v>
      </x:c>
      <x:c r="G1012" s="24" t="str">
        <x:v>Alliance of local, clan, or kin groups retaining autonomy under shared ritual, defense, or leadership.</x:v>
      </x:c>
      <x:c r="H1012" s="24" t="str">
        <x:v>Separate political form, economy, religion, ethnicity, ecology, and moral framing.</x:v>
      </x:c>
      <x:c r="I1012" s="24" t="str">
        <x:v>confederation; league of tribes</x:v>
      </x:c>
      <x:c r="J1012" s="24" t="str">
        <x:v>Models legitimacy, hierarchy, law, conflict, succession, and state capacity.</x:v>
      </x:c>
      <x:c r="K1012" s="24" t="str">
        <x:v>confederation; league of tribes</x:v>
      </x:c>
      <x:c r="L1012" s="24" t="str">
        <x:v>Preserve each source's ontology, culture, history, and terminology when making comparisons.</x:v>
      </x:c>
      <x:c r="M1012" s="24" t="str">
        <x:v>Core Family</x:v>
      </x:c>
    </x:row>
    <x:row r="1013" ht="44" customHeight="1">
      <x:c r="A1013" s="24" t="str">
        <x:v>CIV-114</x:v>
      </x:c>
      <x:c r="B1013" s="24" t="str">
        <x:v>Clan Polity</x:v>
      </x:c>
      <x:c r="C1013" s="24" t="str">
        <x:v>Civilization &amp; Culture Archetypes</x:v>
      </x:c>
      <x:c r="D1013" s="24" t="str">
        <x:v>CIV-100</x:v>
      </x:c>
      <x:c r="E1013" s="24" t="str">
        <x:f>IF(D1013="","",IFERROR(VLOOKUP(D1013,$A$2:$B$1226,2,FALSE),""))</x:f>
        <x:v>Polity and Governance Archetypes</x:v>
      </x:c>
      <x:c r="F1013" s="24" t="n">
        <x:v>3</x:v>
      </x:c>
      <x:c r="G1013" s="24" t="str">
        <x:v>Political order in which extended kin groups are the main units of law, land, warfare, and authority.</x:v>
      </x:c>
      <x:c r="H1013" s="24" t="str">
        <x:v>Separate political form, economy, religion, ethnicity, ecology, and moral framing.</x:v>
      </x:c>
      <x:c r="I1013" s="24" t="str">
        <x:v>clan society; house rule</x:v>
      </x:c>
      <x:c r="J1013" s="24" t="str">
        <x:v>Models legitimacy, hierarchy, law, conflict, succession, and state capacity.</x:v>
      </x:c>
      <x:c r="K1013" s="24" t="str">
        <x:v>clan society; house rule</x:v>
      </x:c>
      <x:c r="L1013" s="24" t="str">
        <x:v>Preserve each source's ontology, culture, history, and terminology when making comparisons.</x:v>
      </x:c>
      <x:c r="M1013" s="24" t="str">
        <x:v>Core Family</x:v>
      </x:c>
    </x:row>
    <x:row r="1014" ht="44" customHeight="1">
      <x:c r="A1014" s="24" t="str">
        <x:v>CIV-115</x:v>
      </x:c>
      <x:c r="B1014" s="24" t="str">
        <x:v>Caste State</x:v>
      </x:c>
      <x:c r="C1014" s="24" t="str">
        <x:v>Civilization &amp; Culture Archetypes</x:v>
      </x:c>
      <x:c r="D1014" s="24" t="str">
        <x:v>CIV-100</x:v>
      </x:c>
      <x:c r="E1014" s="24" t="str">
        <x:f>IF(D1014="","",IFERROR(VLOOKUP(D1014,$A$2:$B$1226,2,FALSE),""))</x:f>
        <x:v>Polity and Governance Archetypes</x:v>
      </x:c>
      <x:c r="F1014" s="24" t="n">
        <x:v>3</x:v>
      </x:c>
      <x:c r="G1014" s="24" t="str">
        <x:v>Polity whose law and economy assign rights and roles through hereditary or ascribed categories.</x:v>
      </x:c>
      <x:c r="H1014" s="24" t="str">
        <x:v>Separate political form, economy, religion, ethnicity, ecology, and moral framing.</x:v>
      </x:c>
      <x:c r="I1014" s="24" t="str">
        <x:v>caste order; estate society</x:v>
      </x:c>
      <x:c r="J1014" s="24" t="str">
        <x:v>Models legitimacy, hierarchy, law, conflict, succession, and state capacity.</x:v>
      </x:c>
      <x:c r="K1014" s="24" t="str">
        <x:v>caste order; estate society</x:v>
      </x:c>
      <x:c r="L1014" s="24" t="str">
        <x:v>Preserve each source's ontology, culture, history, and terminology when making comparisons.</x:v>
      </x:c>
      <x:c r="M1014" s="24" t="str">
        <x:v>Core Family</x:v>
      </x:c>
    </x:row>
    <x:row r="1015" ht="44" customHeight="1">
      <x:c r="A1015" s="24" t="str">
        <x:v>CIV-116</x:v>
      </x:c>
      <x:c r="B1015" s="24" t="str">
        <x:v>Council Republic</x:v>
      </x:c>
      <x:c r="C1015" s="24" t="str">
        <x:v>Civilization &amp; Culture Archetypes</x:v>
      </x:c>
      <x:c r="D1015" s="24" t="str">
        <x:v>CIV-100</x:v>
      </x:c>
      <x:c r="E1015" s="24" t="str">
        <x:f>IF(D1015="","",IFERROR(VLOOKUP(D1015,$A$2:$B$1226,2,FALSE),""))</x:f>
        <x:v>Polity and Governance Archetypes</x:v>
      </x:c>
      <x:c r="F1015" s="24" t="n">
        <x:v>3</x:v>
      </x:c>
      <x:c r="G1015" s="24" t="str">
        <x:v>Polity governed by collective councils of elders, guilds, houses, mages, or citizens.</x:v>
      </x:c>
      <x:c r="H1015" s="24" t="str">
        <x:v>Separate political form, economy, religion, ethnicity, ecology, and moral framing.</x:v>
      </x:c>
      <x:c r="I1015" s="24" t="str">
        <x:v>council state; senate; conclave rule</x:v>
      </x:c>
      <x:c r="J1015" s="24" t="str">
        <x:v>Models legitimacy, hierarchy, law, conflict, succession, and state capacity.</x:v>
      </x:c>
      <x:c r="K1015" s="24" t="str">
        <x:v>council state; senate; conclave rule</x:v>
      </x:c>
      <x:c r="L1015" s="24" t="str">
        <x:v>Preserve each source's ontology, culture, history, and terminology when making comparisons.</x:v>
      </x:c>
      <x:c r="M1015" s="24" t="str">
        <x:v>Core Family</x:v>
      </x:c>
    </x:row>
    <x:row r="1016" ht="44" customHeight="1">
      <x:c r="A1016" s="24" t="str">
        <x:v>CIV-117</x:v>
      </x:c>
      <x:c r="B1016" s="24" t="str">
        <x:v>Military Dictatorship</x:v>
      </x:c>
      <x:c r="C1016" s="24" t="str">
        <x:v>Civilization &amp; Culture Archetypes</x:v>
      </x:c>
      <x:c r="D1016" s="24" t="str">
        <x:v>CIV-100</x:v>
      </x:c>
      <x:c r="E1016" s="24" t="str">
        <x:f>IF(D1016="","",IFERROR(VLOOKUP(D1016,$A$2:$B$1226,2,FALSE),""))</x:f>
        <x:v>Polity and Governance Archetypes</x:v>
      </x:c>
      <x:c r="F1016" s="24" t="n">
        <x:v>3</x:v>
      </x:c>
      <x:c r="G1016" s="24" t="str">
        <x:v>Polity where military command structures directly control government and succession.</x:v>
      </x:c>
      <x:c r="H1016" s="24" t="str">
        <x:v>Separate political form, economy, religion, ethnicity, ecology, and moral framing.</x:v>
      </x:c>
      <x:c r="I1016" s="24" t="str">
        <x:v>junta; war council; martial state</x:v>
      </x:c>
      <x:c r="J1016" s="24" t="str">
        <x:v>Models legitimacy, hierarchy, law, conflict, succession, and state capacity.</x:v>
      </x:c>
      <x:c r="K1016" s="24" t="str">
        <x:v>junta; war council; martial state</x:v>
      </x:c>
      <x:c r="L1016" s="24" t="str">
        <x:v>Preserve each source's ontology, culture, history, and terminology when making comparisons.</x:v>
      </x:c>
      <x:c r="M1016" s="24" t="str">
        <x:v>Core Family</x:v>
      </x:c>
    </x:row>
    <x:row r="1017" ht="44" customHeight="1">
      <x:c r="A1017" s="24" t="str">
        <x:v>CIV-118</x:v>
      </x:c>
      <x:c r="B1017" s="24" t="str">
        <x:v>Warlord Fragmentation</x:v>
      </x:c>
      <x:c r="C1017" s="24" t="str">
        <x:v>Civilization &amp; Culture Archetypes</x:v>
      </x:c>
      <x:c r="D1017" s="24" t="str">
        <x:v>CIV-100</x:v>
      </x:c>
      <x:c r="E1017" s="24" t="str">
        <x:f>IF(D1017="","",IFERROR(VLOOKUP(D1017,$A$2:$B$1226,2,FALSE),""))</x:f>
        <x:v>Polity and Governance Archetypes</x:v>
      </x:c>
      <x:c r="F1017" s="24" t="n">
        <x:v>3</x:v>
      </x:c>
      <x:c r="G1017" s="24" t="str">
        <x:v>Region divided among personal military rulers, shifting coalitions, and weak central institutions.</x:v>
      </x:c>
      <x:c r="H1017" s="24" t="str">
        <x:v>Separate political form, economy, religion, ethnicity, ecology, and moral framing.</x:v>
      </x:c>
      <x:c r="I1017" s="24" t="str">
        <x:v>warlord era; fractured realm</x:v>
      </x:c>
      <x:c r="J1017" s="24" t="str">
        <x:v>Models legitimacy, hierarchy, law, conflict, succession, and state capacity.</x:v>
      </x:c>
      <x:c r="K1017" s="24" t="str">
        <x:v>warlord era; fractured realm</x:v>
      </x:c>
      <x:c r="L1017" s="24" t="str">
        <x:v>Preserve each source's ontology, culture, history, and terminology when making comparisons.</x:v>
      </x:c>
      <x:c r="M1017" s="24" t="str">
        <x:v>Core Family</x:v>
      </x:c>
    </x:row>
    <x:row r="1018" ht="44" customHeight="1">
      <x:c r="A1018" s="24" t="str">
        <x:v>CIV-119</x:v>
      </x:c>
      <x:c r="B1018" s="24" t="str">
        <x:v>Elective Monarchy</x:v>
      </x:c>
      <x:c r="C1018" s="24" t="str">
        <x:v>Civilization &amp; Culture Archetypes</x:v>
      </x:c>
      <x:c r="D1018" s="24" t="str">
        <x:v>CIV-100</x:v>
      </x:c>
      <x:c r="E1018" s="24" t="str">
        <x:f>IF(D1018="","",IFERROR(VLOOKUP(D1018,$A$2:$B$1226,2,FALSE),""))</x:f>
        <x:v>Polity and Governance Archetypes</x:v>
      </x:c>
      <x:c r="F1018" s="24" t="n">
        <x:v>3</x:v>
      </x:c>
      <x:c r="G1018" s="24" t="str">
        <x:v>Monarchy in which a defined elite or assembly chooses among eligible rulers.</x:v>
      </x:c>
      <x:c r="H1018" s="24" t="str">
        <x:v>Separate political form, economy, religion, ethnicity, ecology, and moral framing.</x:v>
      </x:c>
      <x:c r="I1018" s="24" t="str">
        <x:v>elected king; prince-electors</x:v>
      </x:c>
      <x:c r="J1018" s="24" t="str">
        <x:v>Models legitimacy, hierarchy, law, conflict, succession, and state capacity.</x:v>
      </x:c>
      <x:c r="K1018" s="24" t="str">
        <x:v>elected king; prince-electors</x:v>
      </x:c>
      <x:c r="L1018" s="24" t="str">
        <x:v>Preserve each source's ontology, culture, history, and terminology when making comparisons.</x:v>
      </x:c>
      <x:c r="M1018" s="24" t="str">
        <x:v>Core Family</x:v>
      </x:c>
    </x:row>
    <x:row r="1019" ht="44" customHeight="1">
      <x:c r="A1019" s="24" t="str">
        <x:v>CIV-120</x:v>
      </x:c>
      <x:c r="B1019" s="24" t="str">
        <x:v>Dual or Sacred Kingship</x:v>
      </x:c>
      <x:c r="C1019" s="24" t="str">
        <x:v>Civilization &amp; Culture Archetypes</x:v>
      </x:c>
      <x:c r="D1019" s="24" t="str">
        <x:v>CIV-100</x:v>
      </x:c>
      <x:c r="E1019" s="24" t="str">
        <x:f>IF(D1019="","",IFERROR(VLOOKUP(D1019,$A$2:$B$1226,2,FALSE),""))</x:f>
        <x:v>Polity and Governance Archetypes</x:v>
      </x:c>
      <x:c r="F1019" s="24" t="n">
        <x:v>3</x:v>
      </x:c>
      <x:c r="G1019" s="24" t="str">
        <x:v>Rule divided between paired sovereigns or between ritual and military authorities.</x:v>
      </x:c>
      <x:c r="H1019" s="24" t="str">
        <x:v>Separate political form, economy, religion, ethnicity, ecology, and moral framing.</x:v>
      </x:c>
      <x:c r="I1019" s="24" t="str">
        <x:v>dual monarchy; sacred king and war chief</x:v>
      </x:c>
      <x:c r="J1019" s="24" t="str">
        <x:v>Models legitimacy, hierarchy, law, conflict, succession, and state capacity.</x:v>
      </x:c>
      <x:c r="K1019" s="24" t="str">
        <x:v>dual monarchy; sacred king and war chief</x:v>
      </x:c>
      <x:c r="L1019" s="24" t="str">
        <x:v>Preserve each source's ontology, culture, history, and terminology when making comparisons.</x:v>
      </x:c>
      <x:c r="M1019" s="24" t="str">
        <x:v>Core Family</x:v>
      </x:c>
    </x:row>
    <x:row r="1020" ht="44" customHeight="1">
      <x:c r="A1020" s="24" t="str">
        <x:v>CIV-121</x:v>
      </x:c>
      <x:c r="B1020" s="24" t="str">
        <x:v>Hive Polity</x:v>
      </x:c>
      <x:c r="C1020" s="24" t="str">
        <x:v>Civilization &amp; Culture Archetypes</x:v>
      </x:c>
      <x:c r="D1020" s="24" t="str">
        <x:v>CIV-100</x:v>
      </x:c>
      <x:c r="E1020" s="24" t="str">
        <x:f>IF(D1020="","",IFERROR(VLOOKUP(D1020,$A$2:$B$1226,2,FALSE),""))</x:f>
        <x:v>Polity and Governance Archetypes</x:v>
      </x:c>
      <x:c r="F1020" s="24" t="n">
        <x:v>3</x:v>
      </x:c>
      <x:c r="G1020" s="24" t="str">
        <x:v>Society organized through biological caste, queen or core authority, and collective coordination.</x:v>
      </x:c>
      <x:c r="H1020" s="24" t="str">
        <x:v>Separate political form, economy, religion, ethnicity, ecology, and moral framing.</x:v>
      </x:c>
      <x:c r="I1020" s="24" t="str">
        <x:v>hive state; brood society</x:v>
      </x:c>
      <x:c r="J1020" s="24" t="str">
        <x:v>Models legitimacy, hierarchy, law, conflict, succession, and state capacity.</x:v>
      </x:c>
      <x:c r="K1020" s="24" t="str">
        <x:v>hive state; brood society</x:v>
      </x:c>
      <x:c r="L1020" s="24" t="str">
        <x:v>Preserve each source's ontology, culture, history, and terminology when making comparisons.</x:v>
      </x:c>
      <x:c r="M1020" s="24" t="str">
        <x:v>Core Family</x:v>
      </x:c>
    </x:row>
    <x:row r="1021" ht="44" customHeight="1">
      <x:c r="A1021" s="24" t="str">
        <x:v>CIV-122</x:v>
      </x:c>
      <x:c r="B1021" s="24" t="str">
        <x:v>Collective-Mind Polity</x:v>
      </x:c>
      <x:c r="C1021" s="24" t="str">
        <x:v>Civilization &amp; Culture Archetypes</x:v>
      </x:c>
      <x:c r="D1021" s="24" t="str">
        <x:v>CIV-100</x:v>
      </x:c>
      <x:c r="E1021" s="24" t="str">
        <x:f>IF(D1021="","",IFERROR(VLOOKUP(D1021,$A$2:$B$1226,2,FALSE),""))</x:f>
        <x:v>Polity and Governance Archetypes</x:v>
      </x:c>
      <x:c r="F1021" s="24" t="n">
        <x:v>3</x:v>
      </x:c>
      <x:c r="G1021" s="24" t="str">
        <x:v>Society governed through shared consciousness or distributed cognition rather than individual institutions.</x:v>
      </x:c>
      <x:c r="H1021" s="24" t="str">
        <x:v>Separate political form, economy, religion, ethnicity, ecology, and moral framing.</x:v>
      </x:c>
      <x:c r="I1021" s="24" t="str">
        <x:v>hive mind civilization; consensus mind</x:v>
      </x:c>
      <x:c r="J1021" s="24" t="str">
        <x:v>Models legitimacy, hierarchy, law, conflict, succession, and state capacity.</x:v>
      </x:c>
      <x:c r="K1021" s="24" t="str">
        <x:v>hive mind civilization; consensus mind</x:v>
      </x:c>
      <x:c r="L1021" s="24" t="str">
        <x:v>Preserve each source's ontology, culture, history, and terminology when making comparisons.</x:v>
      </x:c>
      <x:c r="M1021" s="24" t="str">
        <x:v>Core Family</x:v>
      </x:c>
    </x:row>
    <x:row r="1022" ht="44" customHeight="1">
      <x:c r="A1022" s="24" t="str">
        <x:v>CIV-123</x:v>
      </x:c>
      <x:c r="B1022" s="24" t="str">
        <x:v>Anarchic or Stateless Network</x:v>
      </x:c>
      <x:c r="C1022" s="24" t="str">
        <x:v>Civilization &amp; Culture Archetypes</x:v>
      </x:c>
      <x:c r="D1022" s="24" t="str">
        <x:v>CIV-100</x:v>
      </x:c>
      <x:c r="E1022" s="24" t="str">
        <x:f>IF(D1022="","",IFERROR(VLOOKUP(D1022,$A$2:$B$1226,2,FALSE),""))</x:f>
        <x:v>Polity and Governance Archetypes</x:v>
      </x:c>
      <x:c r="F1022" s="24" t="n">
        <x:v>3</x:v>
      </x:c>
      <x:c r="G1022" s="24" t="str">
        <x:v>Society coordinated through custom, kinship, guilds, communes, or voluntary networks without centralized state authority.</x:v>
      </x:c>
      <x:c r="H1022" s="24" t="str">
        <x:v>Separate political form, economy, religion, ethnicity, ecology, and moral framing.</x:v>
      </x:c>
      <x:c r="I1022" s="24" t="str">
        <x:v>stateless society; free communes; network polity</x:v>
      </x:c>
      <x:c r="J1022" s="24" t="str">
        <x:v>Models legitimacy, hierarchy, law, conflict, succession, and state capacity.</x:v>
      </x:c>
      <x:c r="K1022" s="24" t="str">
        <x:v>stateless society; free communes; network polity</x:v>
      </x:c>
      <x:c r="L1022" s="24" t="str">
        <x:v>Preserve each source's ontology, culture, history, and terminology when making comparisons.</x:v>
      </x:c>
      <x:c r="M1022" s="24" t="str">
        <x:v>Core Family</x:v>
      </x:c>
    </x:row>
    <x:row r="1023" ht="44" customHeight="1">
      <x:c r="A1023" s="24" t="str">
        <x:v>CIV-124</x:v>
      </x:c>
      <x:c r="B1023" s="24" t="str">
        <x:v>Colonial Administration</x:v>
      </x:c>
      <x:c r="C1023" s="24" t="str">
        <x:v>Civilization &amp; Culture Archetypes</x:v>
      </x:c>
      <x:c r="D1023" s="24" t="str">
        <x:v>CIV-100</x:v>
      </x:c>
      <x:c r="E1023" s="24" t="str">
        <x:f>IF(D1023="","",IFERROR(VLOOKUP(D1023,$A$2:$B$1226,2,FALSE),""))</x:f>
        <x:v>Polity and Governance Archetypes</x:v>
      </x:c>
      <x:c r="F1023" s="24" t="n">
        <x:v>3</x:v>
      </x:c>
      <x:c r="G1023" s="24" t="str">
        <x:v>Political order imposed by an outside power to extract resources, settle territory, or govern subordinate peoples.</x:v>
      </x:c>
      <x:c r="H1023" s="24" t="str">
        <x:v>Separate political form, economy, religion, ethnicity, ecology, and moral framing.</x:v>
      </x:c>
      <x:c r="I1023" s="24" t="str">
        <x:v>colony; imperial province; occupied territory</x:v>
      </x:c>
      <x:c r="J1023" s="24" t="str">
        <x:v>Models legitimacy, hierarchy, law, conflict, succession, and state capacity.</x:v>
      </x:c>
      <x:c r="K1023" s="24" t="str">
        <x:v>colony; imperial province; occupied territory</x:v>
      </x:c>
      <x:c r="L1023" s="24" t="str">
        <x:v>Preserve each source's ontology, culture, history, and terminology when making comparisons.</x:v>
      </x:c>
      <x:c r="M1023" s="24" t="str">
        <x:v>Core Family</x:v>
      </x:c>
    </x:row>
    <x:row r="1024" ht="44" customHeight="1">
      <x:c r="A1024" s="24" t="str">
        <x:v>CIV-125</x:v>
      </x:c>
      <x:c r="B1024" s="24" t="str">
        <x:v>Rebel or Revolutionary Government</x:v>
      </x:c>
      <x:c r="C1024" s="24" t="str">
        <x:v>Civilization &amp; Culture Archetypes</x:v>
      </x:c>
      <x:c r="D1024" s="24" t="str">
        <x:v>CIV-100</x:v>
      </x:c>
      <x:c r="E1024" s="24" t="str">
        <x:f>IF(D1024="","",IFERROR(VLOOKUP(D1024,$A$2:$B$1226,2,FALSE),""))</x:f>
        <x:v>Polity and Governance Archetypes</x:v>
      </x:c>
      <x:c r="F1024" s="24" t="n">
        <x:v>3</x:v>
      </x:c>
      <x:c r="G1024" s="24" t="str">
        <x:v>Emergent authority formed through resistance, liberation, councils, cells, or wartime necessity.</x:v>
      </x:c>
      <x:c r="H1024" s="24" t="str">
        <x:v>Separate political form, economy, religion, ethnicity, ecology, and moral framing.</x:v>
      </x:c>
      <x:c r="I1024" s="24" t="str">
        <x:v>rebel alliance; provisional government; commune</x:v>
      </x:c>
      <x:c r="J1024" s="24" t="str">
        <x:v>Models legitimacy, hierarchy, law, conflict, succession, and state capacity.</x:v>
      </x:c>
      <x:c r="K1024" s="24" t="str">
        <x:v>rebel alliance; provisional government; commune</x:v>
      </x:c>
      <x:c r="L1024" s="24" t="str">
        <x:v>Preserve each source's ontology, culture, history, and terminology when making comparisons.</x:v>
      </x:c>
      <x:c r="M1024" s="24" t="str">
        <x:v>Core Family</x:v>
      </x:c>
    </x:row>
    <x:row r="1025" ht="44" customHeight="1">
      <x:c r="A1025" s="24" t="str">
        <x:v>CIV-201</x:v>
      </x:c>
      <x:c r="B1025" s="24" t="str">
        <x:v>Elven Forest Realm</x:v>
      </x:c>
      <x:c r="C1025" s="24" t="str">
        <x:v>Civilization &amp; Culture Archetypes</x:v>
      </x:c>
      <x:c r="D1025" s="24" t="str">
        <x:v>CIV-200</x:v>
      </x:c>
      <x:c r="E1025" s="24" t="str">
        <x:f>IF(D1025="","",IFERROR(VLOOKUP(D1025,$A$2:$B$1226,2,FALSE),""))</x:f>
        <x:v>Settlement and Environmental Archetypes</x:v>
      </x:c>
      <x:c r="F1025" s="24" t="n">
        <x:v>3</x:v>
      </x:c>
      <x:c r="G1025" s="24" t="str">
        <x:v>Long-lived or magical society integrated with forests, hidden paths, ancient memory, and selective isolation.</x:v>
      </x:c>
      <x:c r="H1025" s="24" t="str">
        <x:v>Separate political form, economy, religion, ethnicity, ecology, and moral framing.</x:v>
      </x:c>
      <x:c r="I1025" s="24" t="str">
        <x:v>forest kingdom; woodland elves; living city</x:v>
      </x:c>
      <x:c r="J1025" s="24" t="str">
        <x:v>Models habitat, mobility, built environment, subsistence, defense, and ecological relation.</x:v>
      </x:c>
      <x:c r="K1025" s="24" t="str">
        <x:v>forest kingdom; woodland elves; living city</x:v>
      </x:c>
      <x:c r="L1025" s="24" t="str">
        <x:v>Preserve each source's ontology, culture, history, and terminology when making comparisons.</x:v>
      </x:c>
      <x:c r="M1025" s="24" t="str">
        <x:v>Core Family</x:v>
      </x:c>
    </x:row>
    <x:row r="1026" ht="44" customHeight="1">
      <x:c r="A1026" s="24" t="str">
        <x:v>CIV-202</x:v>
      </x:c>
      <x:c r="B1026" s="24" t="str">
        <x:v>Dwarven Mountain Hold</x:v>
      </x:c>
      <x:c r="C1026" s="24" t="str">
        <x:v>Civilization &amp; Culture Archetypes</x:v>
      </x:c>
      <x:c r="D1026" s="24" t="str">
        <x:v>CIV-200</x:v>
      </x:c>
      <x:c r="E1026" s="24" t="str">
        <x:f>IF(D1026="","",IFERROR(VLOOKUP(D1026,$A$2:$B$1226,2,FALSE),""))</x:f>
        <x:v>Settlement and Environmental Archetypes</x:v>
      </x:c>
      <x:c r="F1026" s="24" t="n">
        <x:v>3</x:v>
      </x:c>
      <x:c r="G1026" s="24" t="str">
        <x:v>Subterranean or mountain society organized around halls, mining, craft, clan, fortification, and ancestral continuity.</x:v>
      </x:c>
      <x:c r="H1026" s="24" t="str">
        <x:v>Separate political form, economy, religion, ethnicity, ecology, and moral framing.</x:v>
      </x:c>
      <x:c r="I1026" s="24" t="str">
        <x:v>mountain hold; underkingdom; delving realm</x:v>
      </x:c>
      <x:c r="J1026" s="24" t="str">
        <x:v>Models habitat, mobility, built environment, subsistence, defense, and ecological relation.</x:v>
      </x:c>
      <x:c r="K1026" s="24" t="str">
        <x:v>mountain hold; underkingdom; delving realm</x:v>
      </x:c>
      <x:c r="L1026" s="24" t="str">
        <x:v>Preserve each source's ontology, culture, history, and terminology when making comparisons.</x:v>
      </x:c>
      <x:c r="M1026" s="24" t="str">
        <x:v>Core Family</x:v>
      </x:c>
    </x:row>
    <x:row r="1027" ht="44" customHeight="1">
      <x:c r="A1027" s="24" t="str">
        <x:v>CIV-203</x:v>
      </x:c>
      <x:c r="B1027" s="24" t="str">
        <x:v>Orcish Warband or Confederacy</x:v>
      </x:c>
      <x:c r="C1027" s="24" t="str">
        <x:v>Civilization &amp; Culture Archetypes</x:v>
      </x:c>
      <x:c r="D1027" s="24" t="str">
        <x:v>CIV-200</x:v>
      </x:c>
      <x:c r="E1027" s="24" t="str">
        <x:f>IF(D1027="","",IFERROR(VLOOKUP(D1027,$A$2:$B$1226,2,FALSE),""))</x:f>
        <x:v>Settlement and Environmental Archetypes</x:v>
      </x:c>
      <x:c r="F1027" s="24" t="n">
        <x:v>3</x:v>
      </x:c>
      <x:c r="G1027" s="24" t="str">
        <x:v>Mobile or semi-settled orc-centered society organized around clans, warfare, honor, survival, or contested nationhood.</x:v>
      </x:c>
      <x:c r="H1027" s="24" t="str">
        <x:v>Separate political form, economy, religion, ethnicity, ecology, and moral framing.</x:v>
      </x:c>
      <x:c r="I1027" s="24" t="str">
        <x:v>orc horde; clan confederacy; warcamp</x:v>
      </x:c>
      <x:c r="J1027" s="24" t="str">
        <x:v>Models habitat, mobility, built environment, subsistence, defense, and ecological relation.</x:v>
      </x:c>
      <x:c r="K1027" s="24" t="str">
        <x:v>orc horde; clan confederacy; warcamp</x:v>
      </x:c>
      <x:c r="L1027" s="24" t="str">
        <x:v>Preserve each source's ontology, culture, history, and terminology when making comparisons.</x:v>
      </x:c>
      <x:c r="M1027" s="24" t="str">
        <x:v>Core Family</x:v>
      </x:c>
    </x:row>
    <x:row r="1028" ht="44" customHeight="1">
      <x:c r="A1028" s="24" t="str">
        <x:v>CIV-204</x:v>
      </x:c>
      <x:c r="B1028" s="24" t="str">
        <x:v>Goblin Undercity</x:v>
      </x:c>
      <x:c r="C1028" s="24" t="str">
        <x:v>Civilization &amp; Culture Archetypes</x:v>
      </x:c>
      <x:c r="D1028" s="24" t="str">
        <x:v>CIV-200</x:v>
      </x:c>
      <x:c r="E1028" s="24" t="str">
        <x:f>IF(D1028="","",IFERROR(VLOOKUP(D1028,$A$2:$B$1226,2,FALSE),""))</x:f>
        <x:v>Settlement and Environmental Archetypes</x:v>
      </x:c>
      <x:c r="F1028" s="24" t="n">
        <x:v>3</x:v>
      </x:c>
      <x:c r="G1028" s="24" t="str">
        <x:v>Dense subterranean or marginal settlement built around scavenging, tunnels, traps, trade, craft, and survival.</x:v>
      </x:c>
      <x:c r="H1028" s="24" t="str">
        <x:v>Separate political form, economy, religion, ethnicity, ecology, and moral framing.</x:v>
      </x:c>
      <x:c r="I1028" s="24" t="str">
        <x:v>goblin warrens; undercity; tunnel town</x:v>
      </x:c>
      <x:c r="J1028" s="24" t="str">
        <x:v>Models habitat, mobility, built environment, subsistence, defense, and ecological relation.</x:v>
      </x:c>
      <x:c r="K1028" s="24" t="str">
        <x:v>goblin warrens; undercity; tunnel town</x:v>
      </x:c>
      <x:c r="L1028" s="24" t="str">
        <x:v>Preserve each source's ontology, culture, history, and terminology when making comparisons.</x:v>
      </x:c>
      <x:c r="M1028" s="24" t="str">
        <x:v>Core Family</x:v>
      </x:c>
    </x:row>
    <x:row r="1029" ht="44" customHeight="1">
      <x:c r="A1029" s="24" t="str">
        <x:v>CIV-205</x:v>
      </x:c>
      <x:c r="B1029" s="24" t="str">
        <x:v>Nomadic Horse Culture</x:v>
      </x:c>
      <x:c r="C1029" s="24" t="str">
        <x:v>Civilization &amp; Culture Archetypes</x:v>
      </x:c>
      <x:c r="D1029" s="24" t="str">
        <x:v>CIV-200</x:v>
      </x:c>
      <x:c r="E1029" s="24" t="str">
        <x:f>IF(D1029="","",IFERROR(VLOOKUP(D1029,$A$2:$B$1226,2,FALSE),""))</x:f>
        <x:v>Settlement and Environmental Archetypes</x:v>
      </x:c>
      <x:c r="F1029" s="24" t="n">
        <x:v>3</x:v>
      </x:c>
      <x:c r="G1029" s="24" t="str">
        <x:v>Mobile pastoral society whose economy, warfare, status, and cosmology center on horses and open land.</x:v>
      </x:c>
      <x:c r="H1029" s="24" t="str">
        <x:v>Separate political form, economy, religion, ethnicity, ecology, and moral framing.</x:v>
      </x:c>
      <x:c r="I1029" s="24" t="str">
        <x:v>steppe nomads; horse lords; mounted clans</x:v>
      </x:c>
      <x:c r="J1029" s="24" t="str">
        <x:v>Models habitat, mobility, built environment, subsistence, defense, and ecological relation.</x:v>
      </x:c>
      <x:c r="K1029" s="24" t="str">
        <x:v>steppe nomads; horse lords; mounted clans</x:v>
      </x:c>
      <x:c r="L1029" s="24" t="str">
        <x:v>Avoid collapsing distinct Eurasian and other pastoral societies into a single 'horse barbarian' stereotype.</x:v>
      </x:c>
      <x:c r="M1029" s="24" t="str">
        <x:v>Core Family</x:v>
      </x:c>
    </x:row>
    <x:row r="1030" ht="44" customHeight="1">
      <x:c r="A1030" s="24" t="str">
        <x:v>CIV-206</x:v>
      </x:c>
      <x:c r="B1030" s="24" t="str">
        <x:v>Seafaring Raider Culture</x:v>
      </x:c>
      <x:c r="C1030" s="24" t="str">
        <x:v>Civilization &amp; Culture Archetypes</x:v>
      </x:c>
      <x:c r="D1030" s="24" t="str">
        <x:v>CIV-200</x:v>
      </x:c>
      <x:c r="E1030" s="24" t="str">
        <x:f>IF(D1030="","",IFERROR(VLOOKUP(D1030,$A$2:$B$1226,2,FALSE),""))</x:f>
        <x:v>Settlement and Environmental Archetypes</x:v>
      </x:c>
      <x:c r="F1030" s="24" t="n">
        <x:v>3</x:v>
      </x:c>
      <x:c r="G1030" s="24" t="str">
        <x:v>Maritime society combining trade, exploration, raiding, fishing, shipbuilding, and coastal politics.</x:v>
      </x:c>
      <x:c r="H1030" s="24" t="str">
        <x:v>Separate political form, economy, religion, ethnicity, ecology, and moral framing.</x:v>
      </x:c>
      <x:c r="I1030" s="24" t="str">
        <x:v>sea raiders; reavers; longship culture</x:v>
      </x:c>
      <x:c r="J1030" s="24" t="str">
        <x:v>Models habitat, mobility, built environment, subsistence, defense, and ecological relation.</x:v>
      </x:c>
      <x:c r="K1030" s="24" t="str">
        <x:v>sea raiders; reavers; longship culture</x:v>
      </x:c>
      <x:c r="L1030" s="24" t="str">
        <x:v>Preserve each source's ontology, culture, history, and terminology when making comparisons.</x:v>
      </x:c>
      <x:c r="M1030" s="24" t="str">
        <x:v>Core Family</x:v>
      </x:c>
    </x:row>
    <x:row r="1031" ht="44" customHeight="1">
      <x:c r="A1031" s="24" t="str">
        <x:v>CIV-207</x:v>
      </x:c>
      <x:c r="B1031" s="24" t="str">
        <x:v>Maritime Trading League</x:v>
      </x:c>
      <x:c r="C1031" s="24" t="str">
        <x:v>Civilization &amp; Culture Archetypes</x:v>
      </x:c>
      <x:c r="D1031" s="24" t="str">
        <x:v>CIV-200</x:v>
      </x:c>
      <x:c r="E1031" s="24" t="str">
        <x:f>IF(D1031="","",IFERROR(VLOOKUP(D1031,$A$2:$B$1226,2,FALSE),""))</x:f>
        <x:v>Settlement and Environmental Archetypes</x:v>
      </x:c>
      <x:c r="F1031" s="24" t="n">
        <x:v>3</x:v>
      </x:c>
      <x:c r="G1031" s="24" t="str">
        <x:v>Network of port cities and islands linked by commerce, navies, diasporas, and merchant law.</x:v>
      </x:c>
      <x:c r="H1031" s="24" t="str">
        <x:v>Separate political form, economy, religion, ethnicity, ecology, and moral framing.</x:v>
      </x:c>
      <x:c r="I1031" s="24" t="str">
        <x:v>trade league; island confederacy; thalassocracy</x:v>
      </x:c>
      <x:c r="J1031" s="24" t="str">
        <x:v>Models habitat, mobility, built environment, subsistence, defense, and ecological relation.</x:v>
      </x:c>
      <x:c r="K1031" s="24" t="str">
        <x:v>trade league; island confederacy; thalassocracy</x:v>
      </x:c>
      <x:c r="L1031" s="24" t="str">
        <x:v>Preserve each source's ontology, culture, history, and terminology when making comparisons.</x:v>
      </x:c>
      <x:c r="M1031" s="24" t="str">
        <x:v>Core Family</x:v>
      </x:c>
    </x:row>
    <x:row r="1032" ht="44" customHeight="1">
      <x:c r="A1032" s="24" t="str">
        <x:v>CIV-208</x:v>
      </x:c>
      <x:c r="B1032" s="24" t="str">
        <x:v>Desert Caravan Culture</x:v>
      </x:c>
      <x:c r="C1032" s="24" t="str">
        <x:v>Civilization &amp; Culture Archetypes</x:v>
      </x:c>
      <x:c r="D1032" s="24" t="str">
        <x:v>CIV-200</x:v>
      </x:c>
      <x:c r="E1032" s="24" t="str">
        <x:f>IF(D1032="","",IFERROR(VLOOKUP(D1032,$A$2:$B$1226,2,FALSE),""))</x:f>
        <x:v>Settlement and Environmental Archetypes</x:v>
      </x:c>
      <x:c r="F1032" s="24" t="n">
        <x:v>3</x:v>
      </x:c>
      <x:c r="G1032" s="24" t="str">
        <x:v>Society organized around oases, caravans, water rights, mobile trade, pastoralism, and desert survival.</x:v>
      </x:c>
      <x:c r="H1032" s="24" t="str">
        <x:v>Separate political form, economy, religion, ethnicity, ecology, and moral framing.</x:v>
      </x:c>
      <x:c r="I1032" s="24" t="str">
        <x:v>caravan society; oasis cities; desert confederation</x:v>
      </x:c>
      <x:c r="J1032" s="24" t="str">
        <x:v>Models habitat, mobility, built environment, subsistence, defense, and ecological relation.</x:v>
      </x:c>
      <x:c r="K1032" s="24" t="str">
        <x:v>caravan society; oasis cities; desert confederation</x:v>
      </x:c>
      <x:c r="L1032" s="24" t="str">
        <x:v>Preserve each source's ontology, culture, history, and terminology when making comparisons.</x:v>
      </x:c>
      <x:c r="M1032" s="24" t="str">
        <x:v>Core Family</x:v>
      </x:c>
    </x:row>
    <x:row r="1033" ht="44" customHeight="1">
      <x:c r="A1033" s="24" t="str">
        <x:v>CIV-209</x:v>
      </x:c>
      <x:c r="B1033" s="24" t="str">
        <x:v>Steppe Khanate</x:v>
      </x:c>
      <x:c r="C1033" s="24" t="str">
        <x:v>Civilization &amp; Culture Archetypes</x:v>
      </x:c>
      <x:c r="D1033" s="24" t="str">
        <x:v>CIV-200</x:v>
      </x:c>
      <x:c r="E1033" s="24" t="str">
        <x:f>IF(D1033="","",IFERROR(VLOOKUP(D1033,$A$2:$B$1226,2,FALSE),""))</x:f>
        <x:v>Settlement and Environmental Archetypes</x:v>
      </x:c>
      <x:c r="F1033" s="24" t="n">
        <x:v>3</x:v>
      </x:c>
      <x:c r="G1033" s="24" t="str">
        <x:v>Mobile imperial or confederated polity built on cavalry, tribute, kinship, and expansive grassland networks.</x:v>
      </x:c>
      <x:c r="H1033" s="24" t="str">
        <x:v>Separate political form, economy, religion, ethnicity, ecology, and moral framing.</x:v>
      </x:c>
      <x:c r="I1033" s="24" t="str">
        <x:v>khanate; horse empire</x:v>
      </x:c>
      <x:c r="J1033" s="24" t="str">
        <x:v>Models habitat, mobility, built environment, subsistence, defense, and ecological relation.</x:v>
      </x:c>
      <x:c r="K1033" s="24" t="str">
        <x:v>khanate; horse empire</x:v>
      </x:c>
      <x:c r="L1033" s="24" t="str">
        <x:v>Preserve each source's ontology, culture, history, and terminology when making comparisons.</x:v>
      </x:c>
      <x:c r="M1033" s="24" t="str">
        <x:v>Core Family</x:v>
      </x:c>
    </x:row>
    <x:row r="1034" ht="44" customHeight="1">
      <x:c r="A1034" s="24" t="str">
        <x:v>CIV-210</x:v>
      </x:c>
      <x:c r="B1034" s="24" t="str">
        <x:v>Icebound Survival Culture</x:v>
      </x:c>
      <x:c r="C1034" s="24" t="str">
        <x:v>Civilization &amp; Culture Archetypes</x:v>
      </x:c>
      <x:c r="D1034" s="24" t="str">
        <x:v>CIV-200</x:v>
      </x:c>
      <x:c r="E1034" s="24" t="str">
        <x:f>IF(D1034="","",IFERROR(VLOOKUP(D1034,$A$2:$B$1226,2,FALSE),""))</x:f>
        <x:v>Settlement and Environmental Archetypes</x:v>
      </x:c>
      <x:c r="F1034" s="24" t="n">
        <x:v>3</x:v>
      </x:c>
      <x:c r="G1034" s="24" t="str">
        <x:v>Society adapted to extreme cold through seasonal mobility, communal stores, specialized technology, and spiritual ecology.</x:v>
      </x:c>
      <x:c r="H1034" s="24" t="str">
        <x:v>Separate political form, economy, religion, ethnicity, ecology, and moral framing.</x:v>
      </x:c>
      <x:c r="I1034" s="24" t="str">
        <x:v>northern clans; tundra people; frost realm</x:v>
      </x:c>
      <x:c r="J1034" s="24" t="str">
        <x:v>Models habitat, mobility, built environment, subsistence, defense, and ecological relation.</x:v>
      </x:c>
      <x:c r="K1034" s="24" t="str">
        <x:v>northern clans; tundra people; frost realm</x:v>
      </x:c>
      <x:c r="L1034" s="24" t="str">
        <x:v>Preserve each source's ontology, culture, history, and terminology when making comparisons.</x:v>
      </x:c>
      <x:c r="M1034" s="24" t="str">
        <x:v>Core Family</x:v>
      </x:c>
    </x:row>
    <x:row r="1035" ht="44" customHeight="1">
      <x:c r="A1035" s="24" t="str">
        <x:v>CIV-211</x:v>
      </x:c>
      <x:c r="B1035" s="24" t="str">
        <x:v>Undersea Kingdom</x:v>
      </x:c>
      <x:c r="C1035" s="24" t="str">
        <x:v>Civilization &amp; Culture Archetypes</x:v>
      </x:c>
      <x:c r="D1035" s="24" t="str">
        <x:v>CIV-200</x:v>
      </x:c>
      <x:c r="E1035" s="24" t="str">
        <x:f>IF(D1035="","",IFERROR(VLOOKUP(D1035,$A$2:$B$1226,2,FALSE),""))</x:f>
        <x:v>Settlement and Environmental Archetypes</x:v>
      </x:c>
      <x:c r="F1035" s="24" t="n">
        <x:v>3</x:v>
      </x:c>
      <x:c r="G1035" s="24" t="str">
        <x:v>Aquatic polity organized around reefs, trenches, currents, pressure, maritime resources, and relation to surface worlds.</x:v>
      </x:c>
      <x:c r="H1035" s="24" t="str">
        <x:v>Separate political form, economy, religion, ethnicity, ecology, and moral framing.</x:v>
      </x:c>
      <x:c r="I1035" s="24" t="str">
        <x:v>merfolk kingdom; deep realm; coral city</x:v>
      </x:c>
      <x:c r="J1035" s="24" t="str">
        <x:v>Models habitat, mobility, built environment, subsistence, defense, and ecological relation.</x:v>
      </x:c>
      <x:c r="K1035" s="24" t="str">
        <x:v>merfolk kingdom; deep realm; coral city</x:v>
      </x:c>
      <x:c r="L1035" s="24" t="str">
        <x:v>Preserve each source's ontology, culture, history, and terminology when making comparisons.</x:v>
      </x:c>
      <x:c r="M1035" s="24" t="str">
        <x:v>Core Family</x:v>
      </x:c>
    </x:row>
    <x:row r="1036" ht="44" customHeight="1">
      <x:c r="A1036" s="24" t="str">
        <x:v>CIV-212</x:v>
      </x:c>
      <x:c r="B1036" s="24" t="str">
        <x:v>Floating City or Sky Realm</x:v>
      </x:c>
      <x:c r="C1036" s="24" t="str">
        <x:v>Civilization &amp; Culture Archetypes</x:v>
      </x:c>
      <x:c r="D1036" s="24" t="str">
        <x:v>CIV-200</x:v>
      </x:c>
      <x:c r="E1036" s="24" t="str">
        <x:f>IF(D1036="","",IFERROR(VLOOKUP(D1036,$A$2:$B$1226,2,FALSE),""))</x:f>
        <x:v>Settlement and Environmental Archetypes</x:v>
      </x:c>
      <x:c r="F1036" s="24" t="n">
        <x:v>3</x:v>
      </x:c>
      <x:c r="G1036" s="24" t="str">
        <x:v>Settlement suspended in air, carried by creatures, built on islands, or maintained through magic or technology.</x:v>
      </x:c>
      <x:c r="H1036" s="24" t="str">
        <x:v>Separate political form, economy, religion, ethnicity, ecology, and moral framing.</x:v>
      </x:c>
      <x:c r="I1036" s="24" t="str">
        <x:v>sky city; floating islands; cloud kingdom</x:v>
      </x:c>
      <x:c r="J1036" s="24" t="str">
        <x:v>Models habitat, mobility, built environment, subsistence, defense, and ecological relation.</x:v>
      </x:c>
      <x:c r="K1036" s="24" t="str">
        <x:v>sky city; floating islands; cloud kingdom</x:v>
      </x:c>
      <x:c r="L1036" s="24" t="str">
        <x:v>Preserve each source's ontology, culture, history, and terminology when making comparisons.</x:v>
      </x:c>
      <x:c r="M1036" s="24" t="str">
        <x:v>Core Family</x:v>
      </x:c>
    </x:row>
    <x:row r="1037" ht="44" customHeight="1">
      <x:c r="A1037" s="24" t="str">
        <x:v>CIV-213</x:v>
      </x:c>
      <x:c r="B1037" s="24" t="str">
        <x:v>Underground Civilization</x:v>
      </x:c>
      <x:c r="C1037" s="24" t="str">
        <x:v>Civilization &amp; Culture Archetypes</x:v>
      </x:c>
      <x:c r="D1037" s="24" t="str">
        <x:v>CIV-200</x:v>
      </x:c>
      <x:c r="E1037" s="24" t="str">
        <x:f>IF(D1037="","",IFERROR(VLOOKUP(D1037,$A$2:$B$1226,2,FALSE),""))</x:f>
        <x:v>Settlement and Environmental Archetypes</x:v>
      </x:c>
      <x:c r="F1037" s="24" t="n">
        <x:v>3</x:v>
      </x:c>
      <x:c r="G1037" s="24" t="str">
        <x:v>Large society beneath the surface with its own agriculture, trade, light systems, and cosmology.</x:v>
      </x:c>
      <x:c r="H1037" s="24" t="str">
        <x:v>Separate political form, economy, religion, ethnicity, ecology, and moral framing.</x:v>
      </x:c>
      <x:c r="I1037" s="24" t="str">
        <x:v>underdark realm; subterranean empire; cavern society</x:v>
      </x:c>
      <x:c r="J1037" s="24" t="str">
        <x:v>Models habitat, mobility, built environment, subsistence, defense, and ecological relation.</x:v>
      </x:c>
      <x:c r="K1037" s="24" t="str">
        <x:v>underdark realm; subterranean empire; cavern society</x:v>
      </x:c>
      <x:c r="L1037" s="24" t="str">
        <x:v>Preserve each source's ontology, culture, history, and terminology when making comparisons.</x:v>
      </x:c>
      <x:c r="M1037" s="24" t="str">
        <x:v>Core Family</x:v>
      </x:c>
    </x:row>
    <x:row r="1038" ht="44" customHeight="1">
      <x:c r="A1038" s="24" t="str">
        <x:v>CIV-214</x:v>
      </x:c>
      <x:c r="B1038" s="24" t="str">
        <x:v>Hidden Valley or Secret Kingdom</x:v>
      </x:c>
      <x:c r="C1038" s="24" t="str">
        <x:v>Civilization &amp; Culture Archetypes</x:v>
      </x:c>
      <x:c r="D1038" s="24" t="str">
        <x:v>CIV-200</x:v>
      </x:c>
      <x:c r="E1038" s="24" t="str">
        <x:f>IF(D1038="","",IFERROR(VLOOKUP(D1038,$A$2:$B$1226,2,FALSE),""))</x:f>
        <x:v>Settlement and Environmental Archetypes</x:v>
      </x:c>
      <x:c r="F1038" s="24" t="n">
        <x:v>3</x:v>
      </x:c>
      <x:c r="G1038" s="24" t="str">
        <x:v>Geographically or magically isolated society protected from external history and change.</x:v>
      </x:c>
      <x:c r="H1038" s="24" t="str">
        <x:v>Separate political form, economy, religion, ethnicity, ecology, and moral framing.</x:v>
      </x:c>
      <x:c r="I1038" s="24" t="str">
        <x:v>hidden kingdom; lost valley; concealed realm</x:v>
      </x:c>
      <x:c r="J1038" s="24" t="str">
        <x:v>Models habitat, mobility, built environment, subsistence, defense, and ecological relation.</x:v>
      </x:c>
      <x:c r="K1038" s="24" t="str">
        <x:v>hidden kingdom; lost valley; concealed realm</x:v>
      </x:c>
      <x:c r="L1038" s="24" t="str">
        <x:v>Preserve each source's ontology, culture, history, and terminology when making comparisons.</x:v>
      </x:c>
      <x:c r="M1038" s="24" t="str">
        <x:v>Core Family</x:v>
      </x:c>
    </x:row>
    <x:row r="1039" ht="44" customHeight="1">
      <x:c r="A1039" s="24" t="str">
        <x:v>CIV-215</x:v>
      </x:c>
      <x:c r="B1039" s="24" t="str">
        <x:v>Frontier March</x:v>
      </x:c>
      <x:c r="C1039" s="24" t="str">
        <x:v>Civilization &amp; Culture Archetypes</x:v>
      </x:c>
      <x:c r="D1039" s="24" t="str">
        <x:v>CIV-200</x:v>
      </x:c>
      <x:c r="E1039" s="24" t="str">
        <x:f>IF(D1039="","",IFERROR(VLOOKUP(D1039,$A$2:$B$1226,2,FALSE),""))</x:f>
        <x:v>Settlement and Environmental Archetypes</x:v>
      </x:c>
      <x:c r="F1039" s="24" t="n">
        <x:v>3</x:v>
      </x:c>
      <x:c r="G1039" s="24" t="str">
        <x:v>Border society shaped by defense, settlement, cultural exchange, monster threat, and weak central control.</x:v>
      </x:c>
      <x:c r="H1039" s="24" t="str">
        <x:v>Separate political form, economy, religion, ethnicity, ecology, and moral framing.</x:v>
      </x:c>
      <x:c r="I1039" s="24" t="str">
        <x:v>marches; borderlands; frontier</x:v>
      </x:c>
      <x:c r="J1039" s="24" t="str">
        <x:v>Models habitat, mobility, built environment, subsistence, defense, and ecological relation.</x:v>
      </x:c>
      <x:c r="K1039" s="24" t="str">
        <x:v>marches; borderlands; frontier</x:v>
      </x:c>
      <x:c r="L1039" s="24" t="str">
        <x:v>Preserve each source's ontology, culture, history, and terminology when making comparisons.</x:v>
      </x:c>
      <x:c r="M1039" s="24" t="str">
        <x:v>Core Family</x:v>
      </x:c>
    </x:row>
    <x:row r="1040" ht="44" customHeight="1">
      <x:c r="A1040" s="24" t="str">
        <x:v>CIV-216</x:v>
      </x:c>
      <x:c r="B1040" s="24" t="str">
        <x:v>Walled Free City</x:v>
      </x:c>
      <x:c r="C1040" s="24" t="str">
        <x:v>Civilization &amp; Culture Archetypes</x:v>
      </x:c>
      <x:c r="D1040" s="24" t="str">
        <x:v>CIV-200</x:v>
      </x:c>
      <x:c r="E1040" s="24" t="str">
        <x:f>IF(D1040="","",IFERROR(VLOOKUP(D1040,$A$2:$B$1226,2,FALSE),""))</x:f>
        <x:v>Settlement and Environmental Archetypes</x:v>
      </x:c>
      <x:c r="F1040" s="24" t="n">
        <x:v>3</x:v>
      </x:c>
      <x:c r="G1040" s="24" t="str">
        <x:v>Independent fortified city whose identity centers on defense, trade, guilds, and negotiated citizenship.</x:v>
      </x:c>
      <x:c r="H1040" s="24" t="str">
        <x:v>Separate political form, economy, religion, ethnicity, ecology, and moral framing.</x:v>
      </x:c>
      <x:c r="I1040" s="24" t="str">
        <x:v>free city; fortress city; city republic</x:v>
      </x:c>
      <x:c r="J1040" s="24" t="str">
        <x:v>Models habitat, mobility, built environment, subsistence, defense, and ecological relation.</x:v>
      </x:c>
      <x:c r="K1040" s="24" t="str">
        <x:v>free city; fortress city; city republic</x:v>
      </x:c>
      <x:c r="L1040" s="24" t="str">
        <x:v>Preserve each source's ontology, culture, history, and terminology when making comparisons.</x:v>
      </x:c>
      <x:c r="M1040" s="24" t="str">
        <x:v>Core Family</x:v>
      </x:c>
    </x:row>
    <x:row r="1041" ht="44" customHeight="1">
      <x:c r="A1041" s="24" t="str">
        <x:v>CIV-217</x:v>
      </x:c>
      <x:c r="B1041" s="24" t="str">
        <x:v>Monastic Mountain Society</x:v>
      </x:c>
      <x:c r="C1041" s="24" t="str">
        <x:v>Civilization &amp; Culture Archetypes</x:v>
      </x:c>
      <x:c r="D1041" s="24" t="str">
        <x:v>CIV-200</x:v>
      </x:c>
      <x:c r="E1041" s="24" t="str">
        <x:f>IF(D1041="","",IFERROR(VLOOKUP(D1041,$A$2:$B$1226,2,FALSE),""))</x:f>
        <x:v>Settlement and Environmental Archetypes</x:v>
      </x:c>
      <x:c r="F1041" s="24" t="n">
        <x:v>3</x:v>
      </x:c>
      <x:c r="G1041" s="24" t="str">
        <x:v>Community organized around isolated monasteries, pilgrimage, martial discipline, and spiritual landscape.</x:v>
      </x:c>
      <x:c r="H1041" s="24" t="str">
        <x:v>Separate political form, economy, religion, ethnicity, ecology, and moral framing.</x:v>
      </x:c>
      <x:c r="I1041" s="24" t="str">
        <x:v>mountain sect; monastery realm; sacred peaks</x:v>
      </x:c>
      <x:c r="J1041" s="24" t="str">
        <x:v>Models habitat, mobility, built environment, subsistence, defense, and ecological relation.</x:v>
      </x:c>
      <x:c r="K1041" s="24" t="str">
        <x:v>mountain sect; monastery realm; sacred peaks</x:v>
      </x:c>
      <x:c r="L1041" s="24" t="str">
        <x:v>Preserve each source's ontology, culture, history, and terminology when making comparisons.</x:v>
      </x:c>
      <x:c r="M1041" s="24" t="str">
        <x:v>Core Family</x:v>
      </x:c>
    </x:row>
    <x:row r="1042" ht="44" customHeight="1">
      <x:c r="A1042" s="24" t="str">
        <x:v>CIV-218</x:v>
      </x:c>
      <x:c r="B1042" s="24" t="str">
        <x:v>Living City</x:v>
      </x:c>
      <x:c r="C1042" s="24" t="str">
        <x:v>Civilization &amp; Culture Archetypes</x:v>
      </x:c>
      <x:c r="D1042" s="24" t="str">
        <x:v>CIV-200</x:v>
      </x:c>
      <x:c r="E1042" s="24" t="str">
        <x:f>IF(D1042="","",IFERROR(VLOOKUP(D1042,$A$2:$B$1226,2,FALSE),""))</x:f>
        <x:v>Settlement and Environmental Archetypes</x:v>
      </x:c>
      <x:c r="F1042" s="24" t="n">
        <x:v>3</x:v>
      </x:c>
      <x:c r="G1042" s="24" t="str">
        <x:v>Settlement that is biologically, magically, spiritually, or mechanically alive and participates in governance or ecology.</x:v>
      </x:c>
      <x:c r="H1042" s="24" t="str">
        <x:v>Separate political form, economy, religion, ethnicity, ecology, and moral framing.</x:v>
      </x:c>
      <x:c r="I1042" s="24" t="str">
        <x:v>sentient city; city organism; living fortress</x:v>
      </x:c>
      <x:c r="J1042" s="24" t="str">
        <x:v>Models habitat, mobility, built environment, subsistence, defense, and ecological relation.</x:v>
      </x:c>
      <x:c r="K1042" s="24" t="str">
        <x:v>sentient city; city organism; living fortress</x:v>
      </x:c>
      <x:c r="L1042" s="24" t="str">
        <x:v>Preserve each source's ontology, culture, history, and terminology when making comparisons.</x:v>
      </x:c>
      <x:c r="M1042" s="24" t="str">
        <x:v>Core Family</x:v>
      </x:c>
    </x:row>
    <x:row r="1043" ht="44" customHeight="1">
      <x:c r="A1043" s="24" t="str">
        <x:v>CIV-219</x:v>
      </x:c>
      <x:c r="B1043" s="24" t="str">
        <x:v>Dungeon Civilization</x:v>
      </x:c>
      <x:c r="C1043" s="24" t="str">
        <x:v>Civilization &amp; Culture Archetypes</x:v>
      </x:c>
      <x:c r="D1043" s="24" t="str">
        <x:v>CIV-200</x:v>
      </x:c>
      <x:c r="E1043" s="24" t="str">
        <x:f>IF(D1043="","",IFERROR(VLOOKUP(D1043,$A$2:$B$1226,2,FALSE),""))</x:f>
        <x:v>Settlement and Environmental Archetypes</x:v>
      </x:c>
      <x:c r="F1043" s="24" t="n">
        <x:v>3</x:v>
      </x:c>
      <x:c r="G1043" s="24" t="str">
        <x:v>Society adapted to a multi-level hostile or resource-rich dungeon as permanent habitat.</x:v>
      </x:c>
      <x:c r="H1043" s="24" t="str">
        <x:v>Separate political form, economy, religion, ethnicity, ecology, and moral framing.</x:v>
      </x:c>
      <x:c r="I1043" s="24" t="str">
        <x:v>dungeon city; labyrinth society; floor kingdom</x:v>
      </x:c>
      <x:c r="J1043" s="24" t="str">
        <x:v>Models habitat, mobility, built environment, subsistence, defense, and ecological relation.</x:v>
      </x:c>
      <x:c r="K1043" s="24" t="str">
        <x:v>dungeon city; labyrinth society; floor kingdom</x:v>
      </x:c>
      <x:c r="L1043" s="24" t="str">
        <x:v>Preserve each source's ontology, culture, history, and terminology when making comparisons.</x:v>
      </x:c>
      <x:c r="M1043" s="24" t="str">
        <x:v>Core Family</x:v>
      </x:c>
    </x:row>
    <x:row r="1044" ht="44" customHeight="1">
      <x:c r="A1044" s="24" t="str">
        <x:v>CIV-220</x:v>
      </x:c>
      <x:c r="B1044" s="24" t="str">
        <x:v>Migratory World or Fleet Culture</x:v>
      </x:c>
      <x:c r="C1044" s="24" t="str">
        <x:v>Civilization &amp; Culture Archetypes</x:v>
      </x:c>
      <x:c r="D1044" s="24" t="str">
        <x:v>CIV-200</x:v>
      </x:c>
      <x:c r="E1044" s="24" t="str">
        <x:f>IF(D1044="","",IFERROR(VLOOKUP(D1044,$A$2:$B$1226,2,FALSE),""))</x:f>
        <x:v>Settlement and Environmental Archetypes</x:v>
      </x:c>
      <x:c r="F1044" s="24" t="n">
        <x:v>3</x:v>
      </x:c>
      <x:c r="G1044" s="24" t="str">
        <x:v>People living in moving ships, caravans, beasts, cities, or planar routes rather than fixed territory.</x:v>
      </x:c>
      <x:c r="H1044" s="24" t="str">
        <x:v>Separate political form, economy, religion, ethnicity, ecology, and moral framing.</x:v>
      </x:c>
      <x:c r="I1044" s="24" t="str">
        <x:v>fleet people; wandering city; migrant nation</x:v>
      </x:c>
      <x:c r="J1044" s="24" t="str">
        <x:v>Models habitat, mobility, built environment, subsistence, defense, and ecological relation.</x:v>
      </x:c>
      <x:c r="K1044" s="24" t="str">
        <x:v>fleet people; wandering city; migrant nation</x:v>
      </x:c>
      <x:c r="L1044" s="24" t="str">
        <x:v>Preserve each source's ontology, culture, history, and terminology when making comparisons.</x:v>
      </x:c>
      <x:c r="M1044" s="24" t="str">
        <x:v>Core Family</x:v>
      </x:c>
    </x:row>
    <x:row r="1045" ht="44" customHeight="1">
      <x:c r="A1045" s="24" t="str">
        <x:v>CIV-221</x:v>
      </x:c>
      <x:c r="B1045" s="24" t="str">
        <x:v>Ruined-City Remnant</x:v>
      </x:c>
      <x:c r="C1045" s="24" t="str">
        <x:v>Civilization &amp; Culture Archetypes</x:v>
      </x:c>
      <x:c r="D1045" s="24" t="str">
        <x:v>CIV-200</x:v>
      </x:c>
      <x:c r="E1045" s="24" t="str">
        <x:f>IF(D1045="","",IFERROR(VLOOKUP(D1045,$A$2:$B$1226,2,FALSE),""))</x:f>
        <x:v>Settlement and Environmental Archetypes</x:v>
      </x:c>
      <x:c r="F1045" s="24" t="n">
        <x:v>3</x:v>
      </x:c>
      <x:c r="G1045" s="24" t="str">
        <x:v>Community inhabiting and reusing the infrastructure of a fallen civilization.</x:v>
      </x:c>
      <x:c r="H1045" s="24" t="str">
        <x:v>Separate political form, economy, religion, ethnicity, ecology, and moral framing.</x:v>
      </x:c>
      <x:c r="I1045" s="24" t="str">
        <x:v>ruin dwellers; post-imperial city; scavenger settlement</x:v>
      </x:c>
      <x:c r="J1045" s="24" t="str">
        <x:v>Models habitat, mobility, built environment, subsistence, defense, and ecological relation.</x:v>
      </x:c>
      <x:c r="K1045" s="24" t="str">
        <x:v>ruin dwellers; post-imperial city; scavenger settlement</x:v>
      </x:c>
      <x:c r="L1045" s="24" t="str">
        <x:v>Preserve each source's ontology, culture, history, and terminology when making comparisons.</x:v>
      </x:c>
      <x:c r="M1045" s="24" t="str">
        <x:v>Core Family</x:v>
      </x:c>
    </x:row>
    <x:row r="1046" ht="44" customHeight="1">
      <x:c r="A1046" s="24" t="str">
        <x:v>CIV-222</x:v>
      </x:c>
      <x:c r="B1046" s="24" t="str">
        <x:v>Spirit-Integrated Landscape Society</x:v>
      </x:c>
      <x:c r="C1046" s="24" t="str">
        <x:v>Civilization &amp; Culture Archetypes</x:v>
      </x:c>
      <x:c r="D1046" s="24" t="str">
        <x:v>CIV-200</x:v>
      </x:c>
      <x:c r="E1046" s="24" t="str">
        <x:f>IF(D1046="","",IFERROR(VLOOKUP(D1046,$A$2:$B$1226,2,FALSE),""))</x:f>
        <x:v>Settlement and Environmental Archetypes</x:v>
      </x:c>
      <x:c r="F1046" s="24" t="n">
        <x:v>3</x:v>
      </x:c>
      <x:c r="G1046" s="24" t="str">
        <x:v>Community whose law and livelihood explicitly include local spirits, ancestors, sacred beings, and reciprocal ecological obligations.</x:v>
      </x:c>
      <x:c r="H1046" s="24" t="str">
        <x:v>Separate political form, economy, religion, ethnicity, ecology, and moral framing.</x:v>
      </x:c>
      <x:c r="I1046" s="24" t="str">
        <x:v>spirit village; animist polity; kami-integrated society</x:v>
      </x:c>
      <x:c r="J1046" s="24" t="str">
        <x:v>Models habitat, mobility, built environment, subsistence, defense, and ecological relation.</x:v>
      </x:c>
      <x:c r="K1046" s="24" t="str">
        <x:v>spirit village; animist polity; kami-integrated society</x:v>
      </x:c>
      <x:c r="L1046" s="24" t="str">
        <x:v>Preserve each source's ontology, culture, history, and terminology when making comparisons.</x:v>
      </x:c>
      <x:c r="M1046" s="24" t="str">
        <x:v>Core Family</x:v>
      </x:c>
    </x:row>
    <x:row r="1047" ht="44" customHeight="1">
      <x:c r="A1047" s="24" t="str">
        <x:v>CIV-223</x:v>
      </x:c>
      <x:c r="B1047" s="24" t="str">
        <x:v>Monster-Human Coexistence Settlement</x:v>
      </x:c>
      <x:c r="C1047" s="24" t="str">
        <x:v>Civilization &amp; Culture Archetypes</x:v>
      </x:c>
      <x:c r="D1047" s="24" t="str">
        <x:v>CIV-200</x:v>
      </x:c>
      <x:c r="E1047" s="24" t="str">
        <x:f>IF(D1047="","",IFERROR(VLOOKUP(D1047,$A$2:$B$1226,2,FALSE),""))</x:f>
        <x:v>Settlement and Environmental Archetypes</x:v>
      </x:c>
      <x:c r="F1047" s="24" t="n">
        <x:v>3</x:v>
      </x:c>
      <x:c r="G1047" s="24" t="str">
        <x:v>Society built around negotiated citizenship, ecology, law, and economy among humans and beings usually treated as monsters.</x:v>
      </x:c>
      <x:c r="H1047" s="24" t="str">
        <x:v>Separate political form, economy, religion, ethnicity, ecology, and moral framing.</x:v>
      </x:c>
      <x:c r="I1047" s="24" t="str">
        <x:v>mixed-species city; monster town; coexistence realm</x:v>
      </x:c>
      <x:c r="J1047" s="24" t="str">
        <x:v>Models habitat, mobility, built environment, subsistence, defense, and ecological relation.</x:v>
      </x:c>
      <x:c r="K1047" s="24" t="str">
        <x:v>mixed-species city; monster town; coexistence realm</x:v>
      </x:c>
      <x:c r="L1047" s="24" t="str">
        <x:v>Preserve each source's ontology, culture, history, and terminology when making comparisons.</x:v>
      </x:c>
      <x:c r="M1047" s="24" t="str">
        <x:v>Core Family</x:v>
      </x:c>
    </x:row>
    <x:row r="1048" ht="44" customHeight="1">
      <x:c r="A1048" s="24" t="str">
        <x:v>CIV-224</x:v>
      </x:c>
      <x:c r="B1048" s="24" t="str">
        <x:v>Isolationist Island Culture</x:v>
      </x:c>
      <x:c r="C1048" s="24" t="str">
        <x:v>Civilization &amp; Culture Archetypes</x:v>
      </x:c>
      <x:c r="D1048" s="24" t="str">
        <x:v>CIV-200</x:v>
      </x:c>
      <x:c r="E1048" s="24" t="str">
        <x:f>IF(D1048="","",IFERROR(VLOOKUP(D1048,$A$2:$B$1226,2,FALSE),""))</x:f>
        <x:v>Settlement and Environmental Archetypes</x:v>
      </x:c>
      <x:c r="F1048" s="24" t="n">
        <x:v>3</x:v>
      </x:c>
      <x:c r="G1048" s="24" t="str">
        <x:v>Insular society protected or constrained by sea, taboo, magic, limited resources, and controlled contact.</x:v>
      </x:c>
      <x:c r="H1048" s="24" t="str">
        <x:v>Separate political form, economy, religion, ethnicity, ecology, and moral framing.</x:v>
      </x:c>
      <x:c r="I1048" s="24" t="str">
        <x:v>island kingdom; closed realm</x:v>
      </x:c>
      <x:c r="J1048" s="24" t="str">
        <x:v>Models habitat, mobility, built environment, subsistence, defense, and ecological relation.</x:v>
      </x:c>
      <x:c r="K1048" s="24" t="str">
        <x:v>island kingdom; closed realm</x:v>
      </x:c>
      <x:c r="L1048" s="24" t="str">
        <x:v>Preserve each source's ontology, culture, history, and terminology when making comparisons.</x:v>
      </x:c>
      <x:c r="M1048" s="24" t="str">
        <x:v>Core Family</x:v>
      </x:c>
    </x:row>
    <x:row r="1049" ht="44" customHeight="1">
      <x:c r="A1049" s="24" t="str">
        <x:v>CIV-225</x:v>
      </x:c>
      <x:c r="B1049" s="24" t="str">
        <x:v>Pilgrimage City</x:v>
      </x:c>
      <x:c r="C1049" s="24" t="str">
        <x:v>Civilization &amp; Culture Archetypes</x:v>
      </x:c>
      <x:c r="D1049" s="24" t="str">
        <x:v>CIV-200</x:v>
      </x:c>
      <x:c r="E1049" s="24" t="str">
        <x:f>IF(D1049="","",IFERROR(VLOOKUP(D1049,$A$2:$B$1226,2,FALSE),""))</x:f>
        <x:v>Settlement and Environmental Archetypes</x:v>
      </x:c>
      <x:c r="F1049" s="24" t="n">
        <x:v>3</x:v>
      </x:c>
      <x:c r="G1049" s="24" t="str">
        <x:v>Settlement whose economy, architecture, authority, and population center on sacred travel and ritual visitation.</x:v>
      </x:c>
      <x:c r="H1049" s="24" t="str">
        <x:v>Separate political form, economy, religion, ethnicity, ecology, and moral framing.</x:v>
      </x:c>
      <x:c r="I1049" s="24" t="str">
        <x:v>holy city; shrine town; pilgrimage center</x:v>
      </x:c>
      <x:c r="J1049" s="24" t="str">
        <x:v>Models habitat, mobility, built environment, subsistence, defense, and ecological relation.</x:v>
      </x:c>
      <x:c r="K1049" s="24" t="str">
        <x:v>holy city; shrine town; pilgrimage center</x:v>
      </x:c>
      <x:c r="L1049" s="24" t="str">
        <x:v>Preserve each source's ontology, culture, history, and terminology when making comparisons.</x:v>
      </x:c>
      <x:c r="M1049" s="24" t="str">
        <x:v>Core Family</x:v>
      </x:c>
    </x:row>
    <x:row r="1050" ht="44" customHeight="1">
      <x:c r="A1050" s="24" t="str">
        <x:v>CIV-301</x:v>
      </x:c>
      <x:c r="B1050" s="24" t="str">
        <x:v>Guild-Dominated City</x:v>
      </x:c>
      <x:c r="C1050" s="24" t="str">
        <x:v>Civilization &amp; Culture Archetypes</x:v>
      </x:c>
      <x:c r="D1050" s="24" t="str">
        <x:v>CIV-300</x:v>
      </x:c>
      <x:c r="E1050" s="24" t="str">
        <x:f>IF(D1050="","",IFERROR(VLOOKUP(D1050,$A$2:$B$1226,2,FALSE),""))</x:f>
        <x:v>Economic and Institutional Archetypes</x:v>
      </x:c>
      <x:c r="F1050" s="24" t="n">
        <x:v>3</x:v>
      </x:c>
      <x:c r="G1050" s="24" t="str">
        <x:v>Urban society where professional guilds exercise major political, legal, economic, and military power.</x:v>
      </x:c>
      <x:c r="H1050" s="24" t="str">
        <x:v>Separate political form, economy, religion, ethnicity, ecology, and moral framing.</x:v>
      </x:c>
      <x:c r="I1050" s="24" t="str">
        <x:v>guild city; craft oligarchy</x:v>
      </x:c>
      <x:c r="J1050" s="24" t="str">
        <x:v>Models labor, resources, institutions, trade, technology, magic access, and incentives.</x:v>
      </x:c>
      <x:c r="K1050" s="24" t="str">
        <x:v>guild city; craft oligarchy</x:v>
      </x:c>
      <x:c r="L1050" s="24" t="str">
        <x:v>Preserve each source's ontology, culture, history, and terminology when making comparisons.</x:v>
      </x:c>
      <x:c r="M1050" s="24" t="str">
        <x:v>Core Family</x:v>
      </x:c>
    </x:row>
    <x:row r="1051" ht="44" customHeight="1">
      <x:c r="A1051" s="24" t="str">
        <x:v>CIV-302</x:v>
      </x:c>
      <x:c r="B1051" s="24" t="str">
        <x:v>Adventurer Economy</x:v>
      </x:c>
      <x:c r="C1051" s="24" t="str">
        <x:v>Civilization &amp; Culture Archetypes</x:v>
      </x:c>
      <x:c r="D1051" s="24" t="str">
        <x:v>CIV-300</x:v>
      </x:c>
      <x:c r="E1051" s="24" t="str">
        <x:f>IF(D1051="","",IFERROR(VLOOKUP(D1051,$A$2:$B$1226,2,FALSE),""))</x:f>
        <x:v>Economic and Institutional Archetypes</x:v>
      </x:c>
      <x:c r="F1051" s="24" t="n">
        <x:v>3</x:v>
      </x:c>
      <x:c r="G1051" s="24" t="str">
        <x:v>Society that institutionalizes quests, monster parts, dungeon loot, ranks, and mobile armed freelancers.</x:v>
      </x:c>
      <x:c r="H1051" s="24" t="str">
        <x:v>Separate political form, economy, religion, ethnicity, ecology, and moral framing.</x:v>
      </x:c>
      <x:c r="I1051" s="24" t="str">
        <x:v>adventurer guild economy; quest market</x:v>
      </x:c>
      <x:c r="J1051" s="24" t="str">
        <x:v>Models labor, resources, institutions, trade, technology, magic access, and incentives.</x:v>
      </x:c>
      <x:c r="K1051" s="24" t="str">
        <x:v>adventurer guild economy; quest market</x:v>
      </x:c>
      <x:c r="L1051" s="24" t="str">
        <x:v>Preserve each source's ontology, culture, history, and terminology when making comparisons.</x:v>
      </x:c>
      <x:c r="M1051" s="24" t="str">
        <x:v>Core Family</x:v>
      </x:c>
    </x:row>
    <x:row r="1052" ht="44" customHeight="1">
      <x:c r="A1052" s="24" t="str">
        <x:v>CIV-303</x:v>
      </x:c>
      <x:c r="B1052" s="24" t="str">
        <x:v>Dungeon Extraction Economy</x:v>
      </x:c>
      <x:c r="C1052" s="24" t="str">
        <x:v>Civilization &amp; Culture Archetypes</x:v>
      </x:c>
      <x:c r="D1052" s="24" t="str">
        <x:v>CIV-300</x:v>
      </x:c>
      <x:c r="E1052" s="24" t="str">
        <x:f>IF(D1052="","",IFERROR(VLOOKUP(D1052,$A$2:$B$1226,2,FALSE),""))</x:f>
        <x:v>Economic and Institutional Archetypes</x:v>
      </x:c>
      <x:c r="F1052" s="24" t="n">
        <x:v>3</x:v>
      </x:c>
      <x:c r="G1052" s="24" t="str">
        <x:v>Economy built around harvesting artifacts, minerals, monsters, mana, or knowledge from dangerous sites.</x:v>
      </x:c>
      <x:c r="H1052" s="24" t="str">
        <x:v>Separate political form, economy, religion, ethnicity, ecology, and moral framing.</x:v>
      </x:c>
      <x:c r="I1052" s="24" t="str">
        <x:v>dungeon mining; relic economy; delver economy</x:v>
      </x:c>
      <x:c r="J1052" s="24" t="str">
        <x:v>Models labor, resources, institutions, trade, technology, magic access, and incentives.</x:v>
      </x:c>
      <x:c r="K1052" s="24" t="str">
        <x:v>dungeon mining; relic economy; delver economy</x:v>
      </x:c>
      <x:c r="L1052" s="24" t="str">
        <x:v>Preserve each source's ontology, culture, history, and terminology when making comparisons.</x:v>
      </x:c>
      <x:c r="M1052" s="24" t="str">
        <x:v>Core Family</x:v>
      </x:c>
    </x:row>
    <x:row r="1053" ht="44" customHeight="1">
      <x:c r="A1053" s="24" t="str">
        <x:v>CIV-304</x:v>
      </x:c>
      <x:c r="B1053" s="24" t="str">
        <x:v>Magical Academy Society</x:v>
      </x:c>
      <x:c r="C1053" s="24" t="str">
        <x:v>Civilization &amp; Culture Archetypes</x:v>
      </x:c>
      <x:c r="D1053" s="24" t="str">
        <x:v>CIV-300</x:v>
      </x:c>
      <x:c r="E1053" s="24" t="str">
        <x:f>IF(D1053="","",IFERROR(VLOOKUP(D1053,$A$2:$B$1226,2,FALSE),""))</x:f>
        <x:v>Economic and Institutional Archetypes</x:v>
      </x:c>
      <x:c r="F1053" s="24" t="n">
        <x:v>3</x:v>
      </x:c>
      <x:c r="G1053" s="24" t="str">
        <x:v>Society whose elite formation, research, status, and innovation center on magic schools and examinations.</x:v>
      </x:c>
      <x:c r="H1053" s="24" t="str">
        <x:v>Separate political form, economy, religion, ethnicity, ecology, and moral framing.</x:v>
      </x:c>
      <x:c r="I1053" s="24" t="str">
        <x:v>wizard-school society; academy city</x:v>
      </x:c>
      <x:c r="J1053" s="24" t="str">
        <x:v>Models labor, resources, institutions, trade, technology, magic access, and incentives.</x:v>
      </x:c>
      <x:c r="K1053" s="24" t="str">
        <x:v>wizard-school society; academy city</x:v>
      </x:c>
      <x:c r="L1053" s="24" t="str">
        <x:v>Preserve each source's ontology, culture, history, and terminology when making comparisons.</x:v>
      </x:c>
      <x:c r="M1053" s="24" t="str">
        <x:v>Core Family</x:v>
      </x:c>
    </x:row>
    <x:row r="1054" ht="44" customHeight="1">
      <x:c r="A1054" s="24" t="str">
        <x:v>CIV-305</x:v>
      </x:c>
      <x:c r="B1054" s="24" t="str">
        <x:v>Artisan and Smith Culture</x:v>
      </x:c>
      <x:c r="C1054" s="24" t="str">
        <x:v>Civilization &amp; Culture Archetypes</x:v>
      </x:c>
      <x:c r="D1054" s="24" t="str">
        <x:v>CIV-300</x:v>
      </x:c>
      <x:c r="E1054" s="24" t="str">
        <x:f>IF(D1054="","",IFERROR(VLOOKUP(D1054,$A$2:$B$1226,2,FALSE),""))</x:f>
        <x:v>Economic and Institutional Archetypes</x:v>
      </x:c>
      <x:c r="F1054" s="24" t="n">
        <x:v>3</x:v>
      </x:c>
      <x:c r="G1054" s="24" t="str">
        <x:v>Society in which craft mastery, workshops, guild lineages, and objects organize status and identity.</x:v>
      </x:c>
      <x:c r="H1054" s="24" t="str">
        <x:v>Separate political form, economy, religion, ethnicity, ecology, and moral framing.</x:v>
      </x:c>
      <x:c r="I1054" s="24" t="str">
        <x:v>smith culture; artisan republic; forge society</x:v>
      </x:c>
      <x:c r="J1054" s="24" t="str">
        <x:v>Models labor, resources, institutions, trade, technology, magic access, and incentives.</x:v>
      </x:c>
      <x:c r="K1054" s="24" t="str">
        <x:v>smith culture; artisan republic; forge society</x:v>
      </x:c>
      <x:c r="L1054" s="24" t="str">
        <x:v>Preserve each source's ontology, culture, history, and terminology when making comparisons.</x:v>
      </x:c>
      <x:c r="M1054" s="24" t="str">
        <x:v>Core Family</x:v>
      </x:c>
    </x:row>
    <x:row r="1055" ht="44" customHeight="1">
      <x:c r="A1055" s="24" t="str">
        <x:v>CIV-306</x:v>
      </x:c>
      <x:c r="B1055" s="24" t="str">
        <x:v>Merchant Diaspora</x:v>
      </x:c>
      <x:c r="C1055" s="24" t="str">
        <x:v>Civilization &amp; Culture Archetypes</x:v>
      </x:c>
      <x:c r="D1055" s="24" t="str">
        <x:v>CIV-300</x:v>
      </x:c>
      <x:c r="E1055" s="24" t="str">
        <x:f>IF(D1055="","",IFERROR(VLOOKUP(D1055,$A$2:$B$1226,2,FALSE),""))</x:f>
        <x:v>Economic and Institutional Archetypes</x:v>
      </x:c>
      <x:c r="F1055" s="24" t="n">
        <x:v>3</x:v>
      </x:c>
      <x:c r="G1055" s="24" t="str">
        <x:v>Transregional commercial community maintaining kinship, law, language, and trust across multiple polities.</x:v>
      </x:c>
      <x:c r="H1055" s="24" t="str">
        <x:v>Separate political form, economy, religion, ethnicity, ecology, and moral framing.</x:v>
      </x:c>
      <x:c r="I1055" s="24" t="str">
        <x:v>trade diaspora; caravan people; merchant minority</x:v>
      </x:c>
      <x:c r="J1055" s="24" t="str">
        <x:v>Models labor, resources, institutions, trade, technology, magic access, and incentives.</x:v>
      </x:c>
      <x:c r="K1055" s="24" t="str">
        <x:v>trade diaspora; caravan people; merchant minority</x:v>
      </x:c>
      <x:c r="L1055" s="24" t="str">
        <x:v>Preserve each source's ontology, culture, history, and terminology when making comparisons.</x:v>
      </x:c>
      <x:c r="M1055" s="24" t="str">
        <x:v>Core Family</x:v>
      </x:c>
    </x:row>
    <x:row r="1056" ht="44" customHeight="1">
      <x:c r="A1056" s="24" t="str">
        <x:v>CIV-307</x:v>
      </x:c>
      <x:c r="B1056" s="24" t="str">
        <x:v>Agrarian Temple Economy</x:v>
      </x:c>
      <x:c r="C1056" s="24" t="str">
        <x:v>Civilization &amp; Culture Archetypes</x:v>
      </x:c>
      <x:c r="D1056" s="24" t="str">
        <x:v>CIV-300</x:v>
      </x:c>
      <x:c r="E1056" s="24" t="str">
        <x:f>IF(D1056="","",IFERROR(VLOOKUP(D1056,$A$2:$B$1226,2,FALSE),""))</x:f>
        <x:v>Economic and Institutional Archetypes</x:v>
      </x:c>
      <x:c r="F1056" s="24" t="n">
        <x:v>3</x:v>
      </x:c>
      <x:c r="G1056" s="24" t="str">
        <x:v>Society where temples coordinate land, storage, redistribution, calendars, labor, and ritual legitimacy.</x:v>
      </x:c>
      <x:c r="H1056" s="24" t="str">
        <x:v>Separate political form, economy, religion, ethnicity, ecology, and moral framing.</x:v>
      </x:c>
      <x:c r="I1056" s="24" t="str">
        <x:v>temple economy; sacred granary</x:v>
      </x:c>
      <x:c r="J1056" s="24" t="str">
        <x:v>Models labor, resources, institutions, trade, technology, magic access, and incentives.</x:v>
      </x:c>
      <x:c r="K1056" s="24" t="str">
        <x:v>temple economy; sacred granary</x:v>
      </x:c>
      <x:c r="L1056" s="24" t="str">
        <x:v>Preserve each source's ontology, culture, history, and terminology when making comparisons.</x:v>
      </x:c>
      <x:c r="M1056" s="24" t="str">
        <x:v>Core Family</x:v>
      </x:c>
    </x:row>
    <x:row r="1057" ht="44" customHeight="1">
      <x:c r="A1057" s="24" t="str">
        <x:v>CIV-308</x:v>
      </x:c>
      <x:c r="B1057" s="24" t="str">
        <x:v>Tribute Economy</x:v>
      </x:c>
      <x:c r="C1057" s="24" t="str">
        <x:v>Civilization &amp; Culture Archetypes</x:v>
      </x:c>
      <x:c r="D1057" s="24" t="str">
        <x:v>CIV-300</x:v>
      </x:c>
      <x:c r="E1057" s="24" t="str">
        <x:f>IF(D1057="","",IFERROR(VLOOKUP(D1057,$A$2:$B$1226,2,FALSE),""))</x:f>
        <x:v>Economic and Institutional Archetypes</x:v>
      </x:c>
      <x:c r="F1057" s="24" t="n">
        <x:v>3</x:v>
      </x:c>
      <x:c r="G1057" s="24" t="str">
        <x:v>Political economy based on subordinate groups delivering goods, labor, hostages, or symbolic submission to a center.</x:v>
      </x:c>
      <x:c r="H1057" s="24" t="str">
        <x:v>Separate political form, economy, religion, ethnicity, ecology, and moral framing.</x:v>
      </x:c>
      <x:c r="I1057" s="24" t="str">
        <x:v>tribute system; imperial extraction</x:v>
      </x:c>
      <x:c r="J1057" s="24" t="str">
        <x:v>Models labor, resources, institutions, trade, technology, magic access, and incentives.</x:v>
      </x:c>
      <x:c r="K1057" s="24" t="str">
        <x:v>tribute system; imperial extraction</x:v>
      </x:c>
      <x:c r="L1057" s="24" t="str">
        <x:v>Preserve each source's ontology, culture, history, and terminology when making comparisons.</x:v>
      </x:c>
      <x:c r="M1057" s="24" t="str">
        <x:v>Core Family</x:v>
      </x:c>
    </x:row>
    <x:row r="1058" ht="44" customHeight="1">
      <x:c r="A1058" s="24" t="str">
        <x:v>CIV-309</x:v>
      </x:c>
      <x:c r="B1058" s="24" t="str">
        <x:v>Slave or Bonded-Labor Economy</x:v>
      </x:c>
      <x:c r="C1058" s="24" t="str">
        <x:v>Civilization &amp; Culture Archetypes</x:v>
      </x:c>
      <x:c r="D1058" s="24" t="str">
        <x:v>CIV-300</x:v>
      </x:c>
      <x:c r="E1058" s="24" t="str">
        <x:f>IF(D1058="","",IFERROR(VLOOKUP(D1058,$A$2:$B$1226,2,FALSE),""))</x:f>
        <x:v>Economic and Institutional Archetypes</x:v>
      </x:c>
      <x:c r="F1058" s="24" t="n">
        <x:v>3</x:v>
      </x:c>
      <x:c r="G1058" s="24" t="str">
        <x:v>Society structurally dependent on coerced labor, ownership, debt bondage, or magically enforced service.</x:v>
      </x:c>
      <x:c r="H1058" s="24" t="str">
        <x:v>Separate political form, economy, religion, ethnicity, ecology, and moral framing.</x:v>
      </x:c>
      <x:c r="I1058" s="24" t="str">
        <x:v>slave empire; thrall economy; debt bondage</x:v>
      </x:c>
      <x:c r="J1058" s="24" t="str">
        <x:v>Models labor, resources, institutions, trade, technology, magic access, and incentives.</x:v>
      </x:c>
      <x:c r="K1058" s="24" t="str">
        <x:v>slave empire; thrall economy; debt bondage</x:v>
      </x:c>
      <x:c r="L1058" s="24" t="str">
        <x:v>Preserve each source's ontology, culture, history, and terminology when making comparisons.</x:v>
      </x:c>
      <x:c r="M1058" s="24" t="str">
        <x:v>Core Family</x:v>
      </x:c>
    </x:row>
    <x:row r="1059" ht="44" customHeight="1">
      <x:c r="A1059" s="24" t="str">
        <x:v>CIV-310</x:v>
      </x:c>
      <x:c r="B1059" s="24" t="str">
        <x:v>Necromantic Labor Economy</x:v>
      </x:c>
      <x:c r="C1059" s="24" t="str">
        <x:v>Civilization &amp; Culture Archetypes</x:v>
      </x:c>
      <x:c r="D1059" s="24" t="str">
        <x:v>CIV-300</x:v>
      </x:c>
      <x:c r="E1059" s="24" t="str">
        <x:f>IF(D1059="","",IFERROR(VLOOKUP(D1059,$A$2:$B$1226,2,FALSE),""))</x:f>
        <x:v>Economic and Institutional Archetypes</x:v>
      </x:c>
      <x:c r="F1059" s="24" t="n">
        <x:v>3</x:v>
      </x:c>
      <x:c r="G1059" s="24" t="str">
        <x:v>Economy using undead labor, raising ethical and political questions about bodies, souls, unemployment, and control.</x:v>
      </x:c>
      <x:c r="H1059" s="24" t="str">
        <x:v>Separate political form, economy, religion, ethnicity, ecology, and moral framing.</x:v>
      </x:c>
      <x:c r="I1059" s="24" t="str">
        <x:v>undead workforce; skeleton labor; necro-economy</x:v>
      </x:c>
      <x:c r="J1059" s="24" t="str">
        <x:v>Models labor, resources, institutions, trade, technology, magic access, and incentives.</x:v>
      </x:c>
      <x:c r="K1059" s="24" t="str">
        <x:v>undead workforce; skeleton labor; necro-economy</x:v>
      </x:c>
      <x:c r="L1059" s="24" t="str">
        <x:v>Preserve each source's ontology, culture, history, and terminology when making comparisons.</x:v>
      </x:c>
      <x:c r="M1059" s="24" t="str">
        <x:v>Core Family</x:v>
      </x:c>
    </x:row>
    <x:row r="1060" ht="44" customHeight="1">
      <x:c r="A1060" s="24" t="str">
        <x:v>CIV-311</x:v>
      </x:c>
      <x:c r="B1060" s="24" t="str">
        <x:v>Construct Labor Economy</x:v>
      </x:c>
      <x:c r="C1060" s="24" t="str">
        <x:v>Civilization &amp; Culture Archetypes</x:v>
      </x:c>
      <x:c r="D1060" s="24" t="str">
        <x:v>CIV-300</x:v>
      </x:c>
      <x:c r="E1060" s="24" t="str">
        <x:f>IF(D1060="","",IFERROR(VLOOKUP(D1060,$A$2:$B$1226,2,FALSE),""))</x:f>
        <x:v>Economic and Institutional Archetypes</x:v>
      </x:c>
      <x:c r="F1060" s="24" t="n">
        <x:v>3</x:v>
      </x:c>
      <x:c r="G1060" s="24" t="str">
        <x:v>Society dependent on golems, automata, homunculi, or engineered workers.</x:v>
      </x:c>
      <x:c r="H1060" s="24" t="str">
        <x:v>Separate political form, economy, religion, ethnicity, ecology, and moral framing.</x:v>
      </x:c>
      <x:c r="I1060" s="24" t="str">
        <x:v>golem industry; clockwork labor; artificial servants</x:v>
      </x:c>
      <x:c r="J1060" s="24" t="str">
        <x:v>Models labor, resources, institutions, trade, technology, magic access, and incentives.</x:v>
      </x:c>
      <x:c r="K1060" s="24" t="str">
        <x:v>golem industry; clockwork labor; artificial servants</x:v>
      </x:c>
      <x:c r="L1060" s="24" t="str">
        <x:v>Preserve each source's ontology, culture, history, and terminology when making comparisons.</x:v>
      </x:c>
      <x:c r="M1060" s="24" t="str">
        <x:v>Core Family</x:v>
      </x:c>
    </x:row>
    <x:row r="1061" ht="44" customHeight="1">
      <x:c r="A1061" s="24" t="str">
        <x:v>CIV-312</x:v>
      </x:c>
      <x:c r="B1061" s="24" t="str">
        <x:v>Magitech Industrial Society</x:v>
      </x:c>
      <x:c r="C1061" s="24" t="str">
        <x:v>Civilization &amp; Culture Archetypes</x:v>
      </x:c>
      <x:c r="D1061" s="24" t="str">
        <x:v>CIV-300</x:v>
      </x:c>
      <x:c r="E1061" s="24" t="str">
        <x:f>IF(D1061="","",IFERROR(VLOOKUP(D1061,$A$2:$B$1226,2,FALSE),""))</x:f>
        <x:v>Economic and Institutional Archetypes</x:v>
      </x:c>
      <x:c r="F1061" s="24" t="n">
        <x:v>3</x:v>
      </x:c>
      <x:c r="G1061" s="24" t="str">
        <x:v>Society combining mass production, magical energy, engineering, corporations, and disruptive technological change.</x:v>
      </x:c>
      <x:c r="H1061" s="24" t="str">
        <x:v>Separate political form, economy, religion, ethnicity, ecology, and moral framing.</x:v>
      </x:c>
      <x:c r="I1061" s="24" t="str">
        <x:v>magitech empire; crystal industry; arcane industrialism</x:v>
      </x:c>
      <x:c r="J1061" s="24" t="str">
        <x:v>Models labor, resources, institutions, trade, technology, magic access, and incentives.</x:v>
      </x:c>
      <x:c r="K1061" s="24" t="str">
        <x:v>magitech empire; crystal industry; arcane industrialism</x:v>
      </x:c>
      <x:c r="L1061" s="24" t="str">
        <x:v>Preserve each source's ontology, culture, history, and terminology when making comparisons.</x:v>
      </x:c>
      <x:c r="M1061" s="24" t="str">
        <x:v>Core Family</x:v>
      </x:c>
    </x:row>
    <x:row r="1062" ht="44" customHeight="1">
      <x:c r="A1062" s="24" t="str">
        <x:v>CIV-313</x:v>
      </x:c>
      <x:c r="B1062" s="24" t="str">
        <x:v>Post-Scarcity Magical Society</x:v>
      </x:c>
      <x:c r="C1062" s="24" t="str">
        <x:v>Civilization &amp; Culture Archetypes</x:v>
      </x:c>
      <x:c r="D1062" s="24" t="str">
        <x:v>CIV-300</x:v>
      </x:c>
      <x:c r="E1062" s="24" t="str">
        <x:f>IF(D1062="","",IFERROR(VLOOKUP(D1062,$A$2:$B$1226,2,FALSE),""))</x:f>
        <x:v>Economic and Institutional Archetypes</x:v>
      </x:c>
      <x:c r="F1062" s="24" t="n">
        <x:v>3</x:v>
      </x:c>
      <x:c r="G1062" s="24" t="str">
        <x:v>Society where creation, teleportation, automation, or divine provision reduces ordinary material scarcity.</x:v>
      </x:c>
      <x:c r="H1062" s="24" t="str">
        <x:v>Separate political form, economy, religion, ethnicity, ecology, and moral framing.</x:v>
      </x:c>
      <x:c r="I1062" s="24" t="str">
        <x:v>utopian magic economy; replicator society</x:v>
      </x:c>
      <x:c r="J1062" s="24" t="str">
        <x:v>Models labor, resources, institutions, trade, technology, magic access, and incentives.</x:v>
      </x:c>
      <x:c r="K1062" s="24" t="str">
        <x:v>utopian magic economy; replicator society</x:v>
      </x:c>
      <x:c r="L1062" s="24" t="str">
        <x:v>Preserve each source's ontology, culture, history, and terminology when making comparisons.</x:v>
      </x:c>
      <x:c r="M1062" s="24" t="str">
        <x:v>Core Family</x:v>
      </x:c>
    </x:row>
    <x:row r="1063" ht="44" customHeight="1">
      <x:c r="A1063" s="24" t="str">
        <x:v>CIV-314</x:v>
      </x:c>
      <x:c r="B1063" s="24" t="str">
        <x:v>Mana Resource Economy</x:v>
      </x:c>
      <x:c r="C1063" s="24" t="str">
        <x:v>Civilization &amp; Culture Archetypes</x:v>
      </x:c>
      <x:c r="D1063" s="24" t="str">
        <x:v>CIV-300</x:v>
      </x:c>
      <x:c r="E1063" s="24" t="str">
        <x:f>IF(D1063="","",IFERROR(VLOOKUP(D1063,$A$2:$B$1226,2,FALSE),""))</x:f>
        <x:v>Economic and Institutional Archetypes</x:v>
      </x:c>
      <x:c r="F1063" s="24" t="n">
        <x:v>3</x:v>
      </x:c>
      <x:c r="G1063" s="24" t="str">
        <x:v>Economy organized around extraction, storage, taxation, trade, or depletion of magical energy.</x:v>
      </x:c>
      <x:c r="H1063" s="24" t="str">
        <x:v>Separate political form, economy, religion, ethnicity, ecology, and moral framing.</x:v>
      </x:c>
      <x:c r="I1063" s="24" t="str">
        <x:v>mana economy; crystal trade; ley extraction</x:v>
      </x:c>
      <x:c r="J1063" s="24" t="str">
        <x:v>Models labor, resources, institutions, trade, technology, magic access, and incentives.</x:v>
      </x:c>
      <x:c r="K1063" s="24" t="str">
        <x:v>mana economy; crystal trade; ley extraction</x:v>
      </x:c>
      <x:c r="L1063" s="24" t="str">
        <x:v>Preserve each source's ontology, culture, history, and terminology when making comparisons.</x:v>
      </x:c>
      <x:c r="M1063" s="24" t="str">
        <x:v>Core Family</x:v>
      </x:c>
    </x:row>
    <x:row r="1064" ht="44" customHeight="1">
      <x:c r="A1064" s="24" t="str">
        <x:v>CIV-315</x:v>
      </x:c>
      <x:c r="B1064" s="24" t="str">
        <x:v>Monster-Part Economy</x:v>
      </x:c>
      <x:c r="C1064" s="24" t="str">
        <x:v>Civilization &amp; Culture Archetypes</x:v>
      </x:c>
      <x:c r="D1064" s="24" t="str">
        <x:v>CIV-300</x:v>
      </x:c>
      <x:c r="E1064" s="24" t="str">
        <x:f>IF(D1064="","",IFERROR(VLOOKUP(D1064,$A$2:$B$1226,2,FALSE),""))</x:f>
        <x:v>Economic and Institutional Archetypes</x:v>
      </x:c>
      <x:c r="F1064" s="24" t="n">
        <x:v>3</x:v>
      </x:c>
      <x:c r="G1064" s="24" t="str">
        <x:v>Craft, medicine, magic, food, and trade depend on hunting and processing supernatural creatures.</x:v>
      </x:c>
      <x:c r="H1064" s="24" t="str">
        <x:v>Separate political form, economy, religion, ethnicity, ecology, and moral framing.</x:v>
      </x:c>
      <x:c r="I1064" s="24" t="str">
        <x:v>monster materials; hunter economy; alchemical parts</x:v>
      </x:c>
      <x:c r="J1064" s="24" t="str">
        <x:v>Models labor, resources, institutions, trade, technology, magic access, and incentives.</x:v>
      </x:c>
      <x:c r="K1064" s="24" t="str">
        <x:v>monster materials; hunter economy; alchemical parts</x:v>
      </x:c>
      <x:c r="L1064" s="24" t="str">
        <x:v>Preserve each source's ontology, culture, history, and terminology when making comparisons.</x:v>
      </x:c>
      <x:c r="M1064" s="24" t="str">
        <x:v>Core Family</x:v>
      </x:c>
    </x:row>
    <x:row r="1065" ht="44" customHeight="1">
      <x:c r="A1065" s="24" t="str">
        <x:v>CIV-316</x:v>
      </x:c>
      <x:c r="B1065" s="24" t="str">
        <x:v>Relic and Salvage Economy</x:v>
      </x:c>
      <x:c r="C1065" s="24" t="str">
        <x:v>Civilization &amp; Culture Archetypes</x:v>
      </x:c>
      <x:c r="D1065" s="24" t="str">
        <x:v>CIV-300</x:v>
      </x:c>
      <x:c r="E1065" s="24" t="str">
        <x:f>IF(D1065="","",IFERROR(VLOOKUP(D1065,$A$2:$B$1226,2,FALSE),""))</x:f>
        <x:v>Economic and Institutional Archetypes</x:v>
      </x:c>
      <x:c r="F1065" s="24" t="n">
        <x:v>3</x:v>
      </x:c>
      <x:c r="G1065" s="24" t="str">
        <x:v>Society depends on artifacts and infrastructure recovered from a more advanced or magical past.</x:v>
      </x:c>
      <x:c r="H1065" s="24" t="str">
        <x:v>Separate political form, economy, religion, ethnicity, ecology, and moral framing.</x:v>
      </x:c>
      <x:c r="I1065" s="24" t="str">
        <x:v>salvage culture; ruin economy; precursor technology</x:v>
      </x:c>
      <x:c r="J1065" s="24" t="str">
        <x:v>Models labor, resources, institutions, trade, technology, magic access, and incentives.</x:v>
      </x:c>
      <x:c r="K1065" s="24" t="str">
        <x:v>salvage culture; ruin economy; precursor technology</x:v>
      </x:c>
      <x:c r="L1065" s="24" t="str">
        <x:v>Preserve each source's ontology, culture, history, and terminology when making comparisons.</x:v>
      </x:c>
      <x:c r="M1065" s="24" t="str">
        <x:v>Core Family</x:v>
      </x:c>
    </x:row>
    <x:row r="1066" ht="44" customHeight="1">
      <x:c r="A1066" s="24" t="str">
        <x:v>CIV-317</x:v>
      </x:c>
      <x:c r="B1066" s="24" t="str">
        <x:v>Caravan Trade Network</x:v>
      </x:c>
      <x:c r="C1066" s="24" t="str">
        <x:v>Civilization &amp; Culture Archetypes</x:v>
      </x:c>
      <x:c r="D1066" s="24" t="str">
        <x:v>CIV-300</x:v>
      </x:c>
      <x:c r="E1066" s="24" t="str">
        <x:f>IF(D1066="","",IFERROR(VLOOKUP(D1066,$A$2:$B$1226,2,FALSE),""))</x:f>
        <x:v>Economic and Institutional Archetypes</x:v>
      </x:c>
      <x:c r="F1066" s="24" t="n">
        <x:v>3</x:v>
      </x:c>
      <x:c r="G1066" s="24" t="str">
        <x:v>Long-distance exchange organized through routes, seasonal markets, guides, guards, and negotiated passage.</x:v>
      </x:c>
      <x:c r="H1066" s="24" t="str">
        <x:v>Separate political form, economy, religion, ethnicity, ecology, and moral framing.</x:v>
      </x:c>
      <x:c r="I1066" s="24" t="str">
        <x:v>silk-road analogue; caravan system</x:v>
      </x:c>
      <x:c r="J1066" s="24" t="str">
        <x:v>Models labor, resources, institutions, trade, technology, magic access, and incentives.</x:v>
      </x:c>
      <x:c r="K1066" s="24" t="str">
        <x:v>silk-road analogue; caravan system</x:v>
      </x:c>
      <x:c r="L1066" s="24" t="str">
        <x:v>Preserve each source's ontology, culture, history, and terminology when making comparisons.</x:v>
      </x:c>
      <x:c r="M1066" s="24" t="str">
        <x:v>Core Family</x:v>
      </x:c>
    </x:row>
    <x:row r="1067" ht="44" customHeight="1">
      <x:c r="A1067" s="24" t="str">
        <x:v>CIV-318</x:v>
      </x:c>
      <x:c r="B1067" s="24" t="str">
        <x:v>Pirate Confederacy Economy</x:v>
      </x:c>
      <x:c r="C1067" s="24" t="str">
        <x:v>Civilization &amp; Culture Archetypes</x:v>
      </x:c>
      <x:c r="D1067" s="24" t="str">
        <x:v>CIV-300</x:v>
      </x:c>
      <x:c r="E1067" s="24" t="str">
        <x:f>IF(D1067="","",IFERROR(VLOOKUP(D1067,$A$2:$B$1226,2,FALSE),""))</x:f>
        <x:v>Economic and Institutional Archetypes</x:v>
      </x:c>
      <x:c r="F1067" s="24" t="n">
        <x:v>3</x:v>
      </x:c>
      <x:c r="G1067" s="24" t="str">
        <x:v>Maritime economy combining plunder, smuggling, protection, free ports, and informal law.</x:v>
      </x:c>
      <x:c r="H1067" s="24" t="str">
        <x:v>Separate political form, economy, religion, ethnicity, ecology, and moral framing.</x:v>
      </x:c>
      <x:c r="I1067" s="24" t="str">
        <x:v>pirate haven; corsair league</x:v>
      </x:c>
      <x:c r="J1067" s="24" t="str">
        <x:v>Models labor, resources, institutions, trade, technology, magic access, and incentives.</x:v>
      </x:c>
      <x:c r="K1067" s="24" t="str">
        <x:v>pirate haven; corsair league</x:v>
      </x:c>
      <x:c r="L1067" s="24" t="str">
        <x:v>Preserve each source's ontology, culture, history, and terminology when making comparisons.</x:v>
      </x:c>
      <x:c r="M1067" s="24" t="str">
        <x:v>Core Family</x:v>
      </x:c>
    </x:row>
    <x:row r="1068" ht="44" customHeight="1">
      <x:c r="A1068" s="24" t="str">
        <x:v>CIV-319</x:v>
      </x:c>
      <x:c r="B1068" s="24" t="str">
        <x:v>Mage Monopoly</x:v>
      </x:c>
      <x:c r="C1068" s="24" t="str">
        <x:v>Civilization &amp; Culture Archetypes</x:v>
      </x:c>
      <x:c r="D1068" s="24" t="str">
        <x:v>CIV-300</x:v>
      </x:c>
      <x:c r="E1068" s="24" t="str">
        <x:f>IF(D1068="","",IFERROR(VLOOKUP(D1068,$A$2:$B$1226,2,FALSE),""))</x:f>
        <x:v>Economic and Institutional Archetypes</x:v>
      </x:c>
      <x:c r="F1068" s="24" t="n">
        <x:v>3</x:v>
      </x:c>
      <x:c r="G1068" s="24" t="str">
        <x:v>Magic users or institutions control key services such as healing, transport, weather, communication, or warfare.</x:v>
      </x:c>
      <x:c r="H1068" s="24" t="str">
        <x:v>Separate political form, economy, religion, ethnicity, ecology, and moral framing.</x:v>
      </x:c>
      <x:c r="I1068" s="24" t="str">
        <x:v>arcane monopoly; licensed magic; spell cartel</x:v>
      </x:c>
      <x:c r="J1068" s="24" t="str">
        <x:v>Models labor, resources, institutions, trade, technology, magic access, and incentives.</x:v>
      </x:c>
      <x:c r="K1068" s="24" t="str">
        <x:v>arcane monopoly; licensed magic; spell cartel</x:v>
      </x:c>
      <x:c r="L1068" s="24" t="str">
        <x:v>Preserve each source's ontology, culture, history, and terminology when making comparisons.</x:v>
      </x:c>
      <x:c r="M1068" s="24" t="str">
        <x:v>Core Family</x:v>
      </x:c>
    </x:row>
    <x:row r="1069" ht="44" customHeight="1">
      <x:c r="A1069" s="24" t="str">
        <x:v>CIV-320</x:v>
      </x:c>
      <x:c r="B1069" s="24" t="str">
        <x:v>Anti-Magic Economy</x:v>
      </x:c>
      <x:c r="C1069" s="24" t="str">
        <x:v>Civilization &amp; Culture Archetypes</x:v>
      </x:c>
      <x:c r="D1069" s="24" t="str">
        <x:v>CIV-300</x:v>
      </x:c>
      <x:c r="E1069" s="24" t="str">
        <x:f>IF(D1069="","",IFERROR(VLOOKUP(D1069,$A$2:$B$1226,2,FALSE),""))</x:f>
        <x:v>Economic and Institutional Archetypes</x:v>
      </x:c>
      <x:c r="F1069" s="24" t="n">
        <x:v>3</x:v>
      </x:c>
      <x:c r="G1069" s="24" t="str">
        <x:v>Society restricts supernatural practice and develops institutions, technology, or ideology to replace and suppress it.</x:v>
      </x:c>
      <x:c r="H1069" s="24" t="str">
        <x:v>Separate political form, economy, religion, ethnicity, ecology, and moral framing.</x:v>
      </x:c>
      <x:c r="I1069" s="24" t="str">
        <x:v>null state; anti-mage society; technocratic reaction</x:v>
      </x:c>
      <x:c r="J1069" s="24" t="str">
        <x:v>Models labor, resources, institutions, trade, technology, magic access, and incentives.</x:v>
      </x:c>
      <x:c r="K1069" s="24" t="str">
        <x:v>null state; anti-mage society; technocratic reaction</x:v>
      </x:c>
      <x:c r="L1069" s="24" t="str">
        <x:v>Preserve each source's ontology, culture, history, and terminology when making comparisons.</x:v>
      </x:c>
      <x:c r="M1069" s="24" t="str">
        <x:v>Core Family</x:v>
      </x:c>
    </x:row>
    <x:row r="1070" ht="44" customHeight="1">
      <x:c r="A1070" s="24" t="str">
        <x:v>CIV-321</x:v>
      </x:c>
      <x:c r="B1070" s="24" t="str">
        <x:v>Crafting-Progression Society</x:v>
      </x:c>
      <x:c r="C1070" s="24" t="str">
        <x:v>Civilization &amp; Culture Archetypes</x:v>
      </x:c>
      <x:c r="D1070" s="24" t="str">
        <x:v>CIV-300</x:v>
      </x:c>
      <x:c r="E1070" s="24" t="str">
        <x:f>IF(D1070="","",IFERROR(VLOOKUP(D1070,$A$2:$B$1226,2,FALSE),""))</x:f>
        <x:v>Economic and Institutional Archetypes</x:v>
      </x:c>
      <x:c r="F1070" s="24" t="n">
        <x:v>3</x:v>
      </x:c>
      <x:c r="G1070" s="24" t="str">
        <x:v>Status and power are gained through recipe discovery, quality tiers, production classes, and artisan levels.</x:v>
      </x:c>
      <x:c r="H1070" s="24" t="str">
        <x:v>Separate political form, economy, religion, ethnicity, ecology, and moral framing.</x:v>
      </x:c>
      <x:c r="I1070" s="24" t="str">
        <x:v>crafting world; production class society</x:v>
      </x:c>
      <x:c r="J1070" s="24" t="str">
        <x:v>Models labor, resources, institutions, trade, technology, magic access, and incentives.</x:v>
      </x:c>
      <x:c r="K1070" s="24" t="str">
        <x:v>crafting world; production class society</x:v>
      </x:c>
      <x:c r="L1070" s="24" t="str">
        <x:v>Preserve each source's ontology, culture, history, and terminology when making comparisons.</x:v>
      </x:c>
      <x:c r="M1070" s="24" t="str">
        <x:v>Core Family</x:v>
      </x:c>
    </x:row>
    <x:row r="1071" ht="44" customHeight="1">
      <x:c r="A1071" s="24" t="str">
        <x:v>CIV-322</x:v>
      </x:c>
      <x:c r="B1071" s="24" t="str">
        <x:v>Quest Board Governance</x:v>
      </x:c>
      <x:c r="C1071" s="24" t="str">
        <x:v>Civilization &amp; Culture Archetypes</x:v>
      </x:c>
      <x:c r="D1071" s="24" t="str">
        <x:v>CIV-300</x:v>
      </x:c>
      <x:c r="E1071" s="24" t="str">
        <x:f>IF(D1071="","",IFERROR(VLOOKUP(D1071,$A$2:$B$1226,2,FALSE),""))</x:f>
        <x:v>Economic and Institutional Archetypes</x:v>
      </x:c>
      <x:c r="F1071" s="24" t="n">
        <x:v>3</x:v>
      </x:c>
      <x:c r="G1071" s="24" t="str">
        <x:v>Public needs and state functions are outsourced through standardized posted missions and rewards.</x:v>
      </x:c>
      <x:c r="H1071" s="24" t="str">
        <x:v>Separate political form, economy, religion, ethnicity, ecology, and moral framing.</x:v>
      </x:c>
      <x:c r="I1071" s="24" t="str">
        <x:v>quest board; bounty administration; adventurer contracting</x:v>
      </x:c>
      <x:c r="J1071" s="24" t="str">
        <x:v>Models labor, resources, institutions, trade, technology, magic access, and incentives.</x:v>
      </x:c>
      <x:c r="K1071" s="24" t="str">
        <x:v>quest board; bounty administration; adventurer contracting</x:v>
      </x:c>
      <x:c r="L1071" s="24" t="str">
        <x:v>Preserve each source's ontology, culture, history, and terminology when making comparisons.</x:v>
      </x:c>
      <x:c r="M1071" s="24" t="str">
        <x:v>Core Family</x:v>
      </x:c>
    </x:row>
    <x:row r="1072" ht="44" customHeight="1">
      <x:c r="A1072" s="24" t="str">
        <x:v>CIV-401</x:v>
      </x:c>
      <x:c r="B1072" s="24" t="str">
        <x:v>Ancient Golden-Age Civilization</x:v>
      </x:c>
      <x:c r="C1072" s="24" t="str">
        <x:v>Civilization &amp; Culture Archetypes</x:v>
      </x:c>
      <x:c r="D1072" s="24" t="str">
        <x:v>CIV-400</x:v>
      </x:c>
      <x:c r="E1072" s="24" t="str">
        <x:f>IF(D1072="","",IFERROR(VLOOKUP(D1072,$A$2:$B$1226,2,FALSE),""))</x:f>
        <x:v>Historical and Ideological Archetypes</x:v>
      </x:c>
      <x:c r="F1072" s="24" t="n">
        <x:v>3</x:v>
      </x:c>
      <x:c r="G1072" s="24" t="str">
        <x:v>Idealized or genuinely advanced predecessor society whose achievements define present aspirations.</x:v>
      </x:c>
      <x:c r="H1072" s="24" t="str">
        <x:v>Separate political form, economy, religion, ethnicity, ecology, and moral framing.</x:v>
      </x:c>
      <x:c r="I1072" s="24" t="str">
        <x:v>golden age; elder civilization; high age</x:v>
      </x:c>
      <x:c r="J1072" s="24" t="str">
        <x:v>Models historical memory, decline, identity, ideology, trauma, supremacy, reform, and intergroup relations.</x:v>
      </x:c>
      <x:c r="K1072" s="24" t="str">
        <x:v>golden age; elder civilization; high age</x:v>
      </x:c>
      <x:c r="L1072" s="24" t="str">
        <x:v>Preserve each source's ontology, culture, history, and terminology when making comparisons.</x:v>
      </x:c>
      <x:c r="M1072" s="24" t="str">
        <x:v>Core Family</x:v>
      </x:c>
    </x:row>
    <x:row r="1073" ht="44" customHeight="1">
      <x:c r="A1073" s="24" t="str">
        <x:v>CIV-402</x:v>
      </x:c>
      <x:c r="B1073" s="24" t="str">
        <x:v>Fallen Ancient Empire</x:v>
      </x:c>
      <x:c r="C1073" s="24" t="str">
        <x:v>Civilization &amp; Culture Archetypes</x:v>
      </x:c>
      <x:c r="D1073" s="24" t="str">
        <x:v>CIV-400</x:v>
      </x:c>
      <x:c r="E1073" s="24" t="str">
        <x:f>IF(D1073="","",IFERROR(VLOOKUP(D1073,$A$2:$B$1226,2,FALSE),""))</x:f>
        <x:v>Historical and Ideological Archetypes</x:v>
      </x:c>
      <x:c r="F1073" s="24" t="n">
        <x:v>3</x:v>
      </x:c>
      <x:c r="G1073" s="24" t="str">
        <x:v>Powerful predecessor civilization destroyed by hubris, war, corruption, magic, or catastrophe, leaving ruins and legacies.</x:v>
      </x:c>
      <x:c r="H1073" s="24" t="str">
        <x:v>Separate political form, economy, religion, ethnicity, ecology, and moral framing.</x:v>
      </x:c>
      <x:c r="I1073" s="24" t="str">
        <x:v>fallen empire; precursor civilization; lost age</x:v>
      </x:c>
      <x:c r="J1073" s="24" t="str">
        <x:v>Models historical memory, decline, identity, ideology, trauma, supremacy, reform, and intergroup relations.</x:v>
      </x:c>
      <x:c r="K1073" s="24" t="str">
        <x:v>fallen empire; precursor civilization; lost age</x:v>
      </x:c>
      <x:c r="L1073" s="24" t="str">
        <x:v>Preserve each source's ontology, culture, history, and terminology when making comparisons.</x:v>
      </x:c>
      <x:c r="M1073" s="24" t="str">
        <x:v>Core Family</x:v>
      </x:c>
    </x:row>
    <x:row r="1074" ht="44" customHeight="1">
      <x:c r="A1074" s="24" t="str">
        <x:v>CIV-403</x:v>
      </x:c>
      <x:c r="B1074" s="24" t="str">
        <x:v>Lost Civilization</x:v>
      </x:c>
      <x:c r="C1074" s="24" t="str">
        <x:v>Civilization &amp; Culture Archetypes</x:v>
      </x:c>
      <x:c r="D1074" s="24" t="str">
        <x:v>CIV-400</x:v>
      </x:c>
      <x:c r="E1074" s="24" t="str">
        <x:f>IF(D1074="","",IFERROR(VLOOKUP(D1074,$A$2:$B$1226,2,FALSE),""))</x:f>
        <x:v>Historical and Ideological Archetypes</x:v>
      </x:c>
      <x:c r="F1074" s="24" t="n">
        <x:v>3</x:v>
      </x:c>
      <x:c r="G1074" s="24" t="str">
        <x:v>Society absent from present knowledge except through ruins, texts, descendants, or hidden survival.</x:v>
      </x:c>
      <x:c r="H1074" s="24" t="str">
        <x:v>Separate political form, economy, religion, ethnicity, ecology, and moral framing.</x:v>
      </x:c>
      <x:c r="I1074" s="24" t="str">
        <x:v>lost city; vanished people; forgotten kingdom</x:v>
      </x:c>
      <x:c r="J1074" s="24" t="str">
        <x:v>Models historical memory, decline, identity, ideology, trauma, supremacy, reform, and intergroup relations.</x:v>
      </x:c>
      <x:c r="K1074" s="24" t="str">
        <x:v>lost city; vanished people; forgotten kingdom</x:v>
      </x:c>
      <x:c r="L1074" s="24" t="str">
        <x:v>Preserve each source's ontology, culture, history, and terminology when making comparisons.</x:v>
      </x:c>
      <x:c r="M1074" s="24" t="str">
        <x:v>Core Family</x:v>
      </x:c>
    </x:row>
    <x:row r="1075" ht="44" customHeight="1">
      <x:c r="A1075" s="24" t="str">
        <x:v>CIV-404</x:v>
      </x:c>
      <x:c r="B1075" s="24" t="str">
        <x:v>Fading Elder People</x:v>
      </x:c>
      <x:c r="C1075" s="24" t="str">
        <x:v>Civilization &amp; Culture Archetypes</x:v>
      </x:c>
      <x:c r="D1075" s="24" t="str">
        <x:v>CIV-400</x:v>
      </x:c>
      <x:c r="E1075" s="24" t="str">
        <x:f>IF(D1075="","",IFERROR(VLOOKUP(D1075,$A$2:$B$1226,2,FALSE),""))</x:f>
        <x:v>Historical and Ideological Archetypes</x:v>
      </x:c>
      <x:c r="F1075" s="24" t="n">
        <x:v>3</x:v>
      </x:c>
      <x:c r="G1075" s="24" t="str">
        <x:v>Long-lived or ancient culture declining demographically, magically, politically, or historically.</x:v>
      </x:c>
      <x:c r="H1075" s="24" t="str">
        <x:v>Separate political form, economy, religion, ethnicity, ecology, and moral framing.</x:v>
      </x:c>
      <x:c r="I1075" s="24" t="str">
        <x:v>fading elves; last immortals; elder remnant</x:v>
      </x:c>
      <x:c r="J1075" s="24" t="str">
        <x:v>Models historical memory, decline, identity, ideology, trauma, supremacy, reform, and intergroup relations.</x:v>
      </x:c>
      <x:c r="K1075" s="24" t="str">
        <x:v>fading elves; last immortals; elder remnant</x:v>
      </x:c>
      <x:c r="L1075" s="24" t="str">
        <x:v>Preserve each source's ontology, culture, history, and terminology when making comparisons.</x:v>
      </x:c>
      <x:c r="M1075" s="24" t="str">
        <x:v>Core Family</x:v>
      </x:c>
    </x:row>
    <x:row r="1076" ht="44" customHeight="1">
      <x:c r="A1076" s="24" t="str">
        <x:v>CIV-405</x:v>
      </x:c>
      <x:c r="B1076" s="24" t="str">
        <x:v>Post-Apocalyptic Remnant</x:v>
      </x:c>
      <x:c r="C1076" s="24" t="str">
        <x:v>Civilization &amp; Culture Archetypes</x:v>
      </x:c>
      <x:c r="D1076" s="24" t="str">
        <x:v>CIV-400</x:v>
      </x:c>
      <x:c r="E1076" s="24" t="str">
        <x:f>IF(D1076="","",IFERROR(VLOOKUP(D1076,$A$2:$B$1226,2,FALSE),""))</x:f>
        <x:v>Historical and Ideological Archetypes</x:v>
      </x:c>
      <x:c r="F1076" s="24" t="n">
        <x:v>3</x:v>
      </x:c>
      <x:c r="G1076" s="24" t="str">
        <x:v>Community surviving after civilizational collapse with partial knowledge and repurposed ruins.</x:v>
      </x:c>
      <x:c r="H1076" s="24" t="str">
        <x:v>Separate political form, economy, religion, ethnicity, ecology, and moral framing.</x:v>
      </x:c>
      <x:c r="I1076" s="24" t="str">
        <x:v>remnant society; after-the-fall culture</x:v>
      </x:c>
      <x:c r="J1076" s="24" t="str">
        <x:v>Models historical memory, decline, identity, ideology, trauma, supremacy, reform, and intergroup relations.</x:v>
      </x:c>
      <x:c r="K1076" s="24" t="str">
        <x:v>remnant society; after-the-fall culture</x:v>
      </x:c>
      <x:c r="L1076" s="24" t="str">
        <x:v>Preserve each source's ontology, culture, history, and terminology when making comparisons.</x:v>
      </x:c>
      <x:c r="M1076" s="24" t="str">
        <x:v>Core Family</x:v>
      </x:c>
    </x:row>
    <x:row r="1077" ht="44" customHeight="1">
      <x:c r="A1077" s="24" t="str">
        <x:v>CIV-406</x:v>
      </x:c>
      <x:c r="B1077" s="24" t="str">
        <x:v>Diaspora or Exile People</x:v>
      </x:c>
      <x:c r="C1077" s="24" t="str">
        <x:v>Civilization &amp; Culture Archetypes</x:v>
      </x:c>
      <x:c r="D1077" s="24" t="str">
        <x:v>CIV-400</x:v>
      </x:c>
      <x:c r="E1077" s="24" t="str">
        <x:f>IF(D1077="","",IFERROR(VLOOKUP(D1077,$A$2:$B$1226,2,FALSE),""))</x:f>
        <x:v>Historical and Ideological Archetypes</x:v>
      </x:c>
      <x:c r="F1077" s="24" t="n">
        <x:v>3</x:v>
      </x:c>
      <x:c r="G1077" s="24" t="str">
        <x:v>Community dispersed from a homeland while maintaining memory, identity, law, and return narratives.</x:v>
      </x:c>
      <x:c r="H1077" s="24" t="str">
        <x:v>Separate political form, economy, religion, ethnicity, ecology, and moral framing.</x:v>
      </x:c>
      <x:c r="I1077" s="24" t="str">
        <x:v>diaspora; exiles; displaced people</x:v>
      </x:c>
      <x:c r="J1077" s="24" t="str">
        <x:v>Models historical memory, decline, identity, ideology, trauma, supremacy, reform, and intergroup relations.</x:v>
      </x:c>
      <x:c r="K1077" s="24" t="str">
        <x:v>diaspora; exiles; displaced people</x:v>
      </x:c>
      <x:c r="L1077" s="24" t="str">
        <x:v>Preserve each source's ontology, culture, history, and terminology when making comparisons.</x:v>
      </x:c>
      <x:c r="M1077" s="24" t="str">
        <x:v>Core Family</x:v>
      </x:c>
    </x:row>
    <x:row r="1078" ht="44" customHeight="1">
      <x:c r="A1078" s="24" t="str">
        <x:v>CIV-407</x:v>
      </x:c>
      <x:c r="B1078" s="24" t="str">
        <x:v>Colonized People</x:v>
      </x:c>
      <x:c r="C1078" s="24" t="str">
        <x:v>Civilization &amp; Culture Archetypes</x:v>
      </x:c>
      <x:c r="D1078" s="24" t="str">
        <x:v>CIV-400</x:v>
      </x:c>
      <x:c r="E1078" s="24" t="str">
        <x:f>IF(D1078="","",IFERROR(VLOOKUP(D1078,$A$2:$B$1226,2,FALSE),""))</x:f>
        <x:v>Historical and Ideological Archetypes</x:v>
      </x:c>
      <x:c r="F1078" s="24" t="n">
        <x:v>3</x:v>
      </x:c>
      <x:c r="G1078" s="24" t="str">
        <x:v>Population subjected to outside rule, settlement, extraction, cultural suppression, or racial hierarchy.</x:v>
      </x:c>
      <x:c r="H1078" s="24" t="str">
        <x:v>Separate political form, economy, religion, ethnicity, ecology, and moral framing.</x:v>
      </x:c>
      <x:c r="I1078" s="24" t="str">
        <x:v>colonized realm; occupied people; subject nation</x:v>
      </x:c>
      <x:c r="J1078" s="24" t="str">
        <x:v>Models historical memory, decline, identity, ideology, trauma, supremacy, reform, and intergroup relations.</x:v>
      </x:c>
      <x:c r="K1078" s="24" t="str">
        <x:v>colonized realm; occupied people; subject nation</x:v>
      </x:c>
      <x:c r="L1078" s="24" t="str">
        <x:v>Preserve each source's ontology, culture, history, and terminology when making comparisons.</x:v>
      </x:c>
      <x:c r="M1078" s="24" t="str">
        <x:v>Core Family</x:v>
      </x:c>
    </x:row>
    <x:row r="1079" ht="44" customHeight="1">
      <x:c r="A1079" s="24" t="str">
        <x:v>CIV-408</x:v>
      </x:c>
      <x:c r="B1079" s="24" t="str">
        <x:v>Rebel Alliance</x:v>
      </x:c>
      <x:c r="C1079" s="24" t="str">
        <x:v>Civilization &amp; Culture Archetypes</x:v>
      </x:c>
      <x:c r="D1079" s="24" t="str">
        <x:v>CIV-400</x:v>
      </x:c>
      <x:c r="E1079" s="24" t="str">
        <x:f>IF(D1079="","",IFERROR(VLOOKUP(D1079,$A$2:$B$1226,2,FALSE),""))</x:f>
        <x:v>Historical and Ideological Archetypes</x:v>
      </x:c>
      <x:c r="F1079" s="24" t="n">
        <x:v>3</x:v>
      </x:c>
      <x:c r="G1079" s="24" t="str">
        <x:v>Coalition of factions and peoples united against empire or tyranny despite different interests.</x:v>
      </x:c>
      <x:c r="H1079" s="24" t="str">
        <x:v>Separate political form, economy, religion, ethnicity, ecology, and moral framing.</x:v>
      </x:c>
      <x:c r="I1079" s="24" t="str">
        <x:v>resistance; rebel coalition; liberation front</x:v>
      </x:c>
      <x:c r="J1079" s="24" t="str">
        <x:v>Models historical memory, decline, identity, ideology, trauma, supremacy, reform, and intergroup relations.</x:v>
      </x:c>
      <x:c r="K1079" s="24" t="str">
        <x:v>resistance; rebel coalition; liberation front</x:v>
      </x:c>
      <x:c r="L1079" s="24" t="str">
        <x:v>Preserve each source's ontology, culture, history, and terminology when making comparisons.</x:v>
      </x:c>
      <x:c r="M1079" s="24" t="str">
        <x:v>Core Family</x:v>
      </x:c>
    </x:row>
    <x:row r="1080" ht="44" customHeight="1">
      <x:c r="A1080" s="24" t="str">
        <x:v>CIV-409</x:v>
      </x:c>
      <x:c r="B1080" s="24" t="str">
        <x:v>Utopian Enclave</x:v>
      </x:c>
      <x:c r="C1080" s="24" t="str">
        <x:v>Civilization &amp; Culture Archetypes</x:v>
      </x:c>
      <x:c r="D1080" s="24" t="str">
        <x:v>CIV-400</x:v>
      </x:c>
      <x:c r="E1080" s="24" t="str">
        <x:f>IF(D1080="","",IFERROR(VLOOKUP(D1080,$A$2:$B$1226,2,FALSE),""))</x:f>
        <x:v>Historical and Ideological Archetypes</x:v>
      </x:c>
      <x:c r="F1080" s="24" t="n">
        <x:v>3</x:v>
      </x:c>
      <x:c r="G1080" s="24" t="str">
        <x:v>Protected community presented as unusually just, harmonious, abundant, or enlightened, often with hidden costs.</x:v>
      </x:c>
      <x:c r="H1080" s="24" t="str">
        <x:v>Separate political form, economy, religion, ethnicity, ecology, and moral framing.</x:v>
      </x:c>
      <x:c r="I1080" s="24" t="str">
        <x:v>utopia; hidden paradise; ideal city</x:v>
      </x:c>
      <x:c r="J1080" s="24" t="str">
        <x:v>Models historical memory, decline, identity, ideology, trauma, supremacy, reform, and intergroup relations.</x:v>
      </x:c>
      <x:c r="K1080" s="24" t="str">
        <x:v>utopia; hidden paradise; ideal city</x:v>
      </x:c>
      <x:c r="L1080" s="24" t="str">
        <x:v>Preserve each source's ontology, culture, history, and terminology when making comparisons.</x:v>
      </x:c>
      <x:c r="M1080" s="24" t="str">
        <x:v>Core Family</x:v>
      </x:c>
    </x:row>
    <x:row r="1081" ht="44" customHeight="1">
      <x:c r="A1081" s="24" t="str">
        <x:v>CIV-410</x:v>
      </x:c>
      <x:c r="B1081" s="24" t="str">
        <x:v>Dystopian Magical State</x:v>
      </x:c>
      <x:c r="C1081" s="24" t="str">
        <x:v>Civilization &amp; Culture Archetypes</x:v>
      </x:c>
      <x:c r="D1081" s="24" t="str">
        <x:v>CIV-400</x:v>
      </x:c>
      <x:c r="E1081" s="24" t="str">
        <x:f>IF(D1081="","",IFERROR(VLOOKUP(D1081,$A$2:$B$1226,2,FALSE),""))</x:f>
        <x:v>Historical and Ideological Archetypes</x:v>
      </x:c>
      <x:c r="F1081" s="24" t="n">
        <x:v>3</x:v>
      </x:c>
      <x:c r="G1081" s="24" t="str">
        <x:v>Society where magic, prophecy, surveillance, caste, immortality, or system rules enable pervasive control.</x:v>
      </x:c>
      <x:c r="H1081" s="24" t="str">
        <x:v>Separate political form, economy, religion, ethnicity, ecology, and moral framing.</x:v>
      </x:c>
      <x:c r="I1081" s="24" t="str">
        <x:v>magical dystopia; sorcerous police state</x:v>
      </x:c>
      <x:c r="J1081" s="24" t="str">
        <x:v>Models historical memory, decline, identity, ideology, trauma, supremacy, reform, and intergroup relations.</x:v>
      </x:c>
      <x:c r="K1081" s="24" t="str">
        <x:v>magical dystopia; sorcerous police state</x:v>
      </x:c>
      <x:c r="L1081" s="24" t="str">
        <x:v>Preserve each source's ontology, culture, history, and terminology when making comparisons.</x:v>
      </x:c>
      <x:c r="M1081" s="24" t="str">
        <x:v>Core Family</x:v>
      </x:c>
    </x:row>
    <x:row r="1082" ht="44" customHeight="1">
      <x:c r="A1082" s="24" t="str">
        <x:v>CIV-411</x:v>
      </x:c>
      <x:c r="B1082" s="24" t="str">
        <x:v>Isolationist Elder Realm</x:v>
      </x:c>
      <x:c r="C1082" s="24" t="str">
        <x:v>Civilization &amp; Culture Archetypes</x:v>
      </x:c>
      <x:c r="D1082" s="24" t="str">
        <x:v>CIV-400</x:v>
      </x:c>
      <x:c r="E1082" s="24" t="str">
        <x:f>IF(D1082="","",IFERROR(VLOOKUP(D1082,$A$2:$B$1226,2,FALSE),""))</x:f>
        <x:v>Historical and Ideological Archetypes</x:v>
      </x:c>
      <x:c r="F1082" s="24" t="n">
        <x:v>3</x:v>
      </x:c>
      <x:c r="G1082" s="24" t="str">
        <x:v>Ancient society that limits contact to preserve culture, safety, purity, secrecy, or power.</x:v>
      </x:c>
      <x:c r="H1082" s="24" t="str">
        <x:v>Separate political form, economy, religion, ethnicity, ecology, and moral framing.</x:v>
      </x:c>
      <x:c r="I1082" s="24" t="str">
        <x:v>hidden elves; closed kingdom; sealed nation</x:v>
      </x:c>
      <x:c r="J1082" s="24" t="str">
        <x:v>Models historical memory, decline, identity, ideology, trauma, supremacy, reform, and intergroup relations.</x:v>
      </x:c>
      <x:c r="K1082" s="24" t="str">
        <x:v>hidden elves; closed kingdom; sealed nation</x:v>
      </x:c>
      <x:c r="L1082" s="24" t="str">
        <x:v>Preserve each source's ontology, culture, history, and terminology when making comparisons.</x:v>
      </x:c>
      <x:c r="M1082" s="24" t="str">
        <x:v>Core Family</x:v>
      </x:c>
    </x:row>
    <x:row r="1083" ht="44" customHeight="1">
      <x:c r="A1083" s="24" t="str">
        <x:v>CIV-412</x:v>
      </x:c>
      <x:c r="B1083" s="24" t="str">
        <x:v>Expansionist Empire</x:v>
      </x:c>
      <x:c r="C1083" s="24" t="str">
        <x:v>Civilization &amp; Culture Archetypes</x:v>
      </x:c>
      <x:c r="D1083" s="24" t="str">
        <x:v>CIV-400</x:v>
      </x:c>
      <x:c r="E1083" s="24" t="str">
        <x:f>IF(D1083="","",IFERROR(VLOOKUP(D1083,$A$2:$B$1226,2,FALSE),""))</x:f>
        <x:v>Historical and Ideological Archetypes</x:v>
      </x:c>
      <x:c r="F1083" s="24" t="n">
        <x:v>3</x:v>
      </x:c>
      <x:c r="G1083" s="24" t="str">
        <x:v>State ideologically and institutionally committed to conquest, assimilation, settlement, and tribute.</x:v>
      </x:c>
      <x:c r="H1083" s="24" t="str">
        <x:v>Separate political form, economy, religion, ethnicity, ecology, and moral framing.</x:v>
      </x:c>
      <x:c r="I1083" s="24" t="str">
        <x:v>conquering empire; imperial machine</x:v>
      </x:c>
      <x:c r="J1083" s="24" t="str">
        <x:v>Models historical memory, decline, identity, ideology, trauma, supremacy, reform, and intergroup relations.</x:v>
      </x:c>
      <x:c r="K1083" s="24" t="str">
        <x:v>conquering empire; imperial machine</x:v>
      </x:c>
      <x:c r="L1083" s="24" t="str">
        <x:v>Preserve each source's ontology, culture, history, and terminology when making comparisons.</x:v>
      </x:c>
      <x:c r="M1083" s="24" t="str">
        <x:v>Core Family</x:v>
      </x:c>
    </x:row>
    <x:row r="1084" ht="44" customHeight="1">
      <x:c r="A1084" s="24" t="str">
        <x:v>CIV-413</x:v>
      </x:c>
      <x:c r="B1084" s="24" t="str">
        <x:v>Holy Mission Society</x:v>
      </x:c>
      <x:c r="C1084" s="24" t="str">
        <x:v>Civilization &amp; Culture Archetypes</x:v>
      </x:c>
      <x:c r="D1084" s="24" t="str">
        <x:v>CIV-400</x:v>
      </x:c>
      <x:c r="E1084" s="24" t="str">
        <x:f>IF(D1084="","",IFERROR(VLOOKUP(D1084,$A$2:$B$1226,2,FALSE),""))</x:f>
        <x:v>Historical and Ideological Archetypes</x:v>
      </x:c>
      <x:c r="F1084" s="24" t="n">
        <x:v>3</x:v>
      </x:c>
      <x:c r="G1084" s="24" t="str">
        <x:v>Culture organized around sacred destiny, pilgrimage, conversion, crusade, or protection of cosmic order.</x:v>
      </x:c>
      <x:c r="H1084" s="24" t="str">
        <x:v>Separate political form, economy, religion, ethnicity, ecology, and moral framing.</x:v>
      </x:c>
      <x:c r="I1084" s="24" t="str">
        <x:v>chosen kingdom; crusading realm; sacred mandate</x:v>
      </x:c>
      <x:c r="J1084" s="24" t="str">
        <x:v>Models historical memory, decline, identity, ideology, trauma, supremacy, reform, and intergroup relations.</x:v>
      </x:c>
      <x:c r="K1084" s="24" t="str">
        <x:v>chosen kingdom; crusading realm; sacred mandate</x:v>
      </x:c>
      <x:c r="L1084" s="24" t="str">
        <x:v>Preserve each source's ontology, culture, history, and terminology when making comparisons.</x:v>
      </x:c>
      <x:c r="M1084" s="24" t="str">
        <x:v>Core Family</x:v>
      </x:c>
    </x:row>
    <x:row r="1085" ht="44" customHeight="1">
      <x:c r="A1085" s="24" t="str">
        <x:v>CIV-414</x:v>
      </x:c>
      <x:c r="B1085" s="24" t="str">
        <x:v>Ritualized Warrior Culture</x:v>
      </x:c>
      <x:c r="C1085" s="24" t="str">
        <x:v>Civilization &amp; Culture Archetypes</x:v>
      </x:c>
      <x:c r="D1085" s="24" t="str">
        <x:v>CIV-400</x:v>
      </x:c>
      <x:c r="E1085" s="24" t="str">
        <x:f>IF(D1085="","",IFERROR(VLOOKUP(D1085,$A$2:$B$1226,2,FALSE),""))</x:f>
        <x:v>Historical and Ideological Archetypes</x:v>
      </x:c>
      <x:c r="F1085" s="24" t="n">
        <x:v>3</x:v>
      </x:c>
      <x:c r="G1085" s="24" t="str">
        <x:v>Society in which martial status, initiation, duels, raiding, or honor codes organize adulthood and hierarchy.</x:v>
      </x:c>
      <x:c r="H1085" s="24" t="str">
        <x:v>Separate political form, economy, religion, ethnicity, ecology, and moral framing.</x:v>
      </x:c>
      <x:c r="I1085" s="24" t="str">
        <x:v>warrior society; martial caste; honor culture</x:v>
      </x:c>
      <x:c r="J1085" s="24" t="str">
        <x:v>Models historical memory, decline, identity, ideology, trauma, supremacy, reform, and intergroup relations.</x:v>
      </x:c>
      <x:c r="K1085" s="24" t="str">
        <x:v>warrior society; martial caste; honor culture</x:v>
      </x:c>
      <x:c r="L1085" s="24" t="str">
        <x:v>Preserve each source's ontology, culture, history, and terminology when making comparisons.</x:v>
      </x:c>
      <x:c r="M1085" s="24" t="str">
        <x:v>Core Family</x:v>
      </x:c>
    </x:row>
    <x:row r="1086" ht="44" customHeight="1">
      <x:c r="A1086" s="24" t="str">
        <x:v>CIV-415</x:v>
      </x:c>
      <x:c r="B1086" s="24" t="str">
        <x:v>Scholar-Bureaucratic Culture</x:v>
      </x:c>
      <x:c r="C1086" s="24" t="str">
        <x:v>Civilization &amp; Culture Archetypes</x:v>
      </x:c>
      <x:c r="D1086" s="24" t="str">
        <x:v>CIV-400</x:v>
      </x:c>
      <x:c r="E1086" s="24" t="str">
        <x:f>IF(D1086="","",IFERROR(VLOOKUP(D1086,$A$2:$B$1226,2,FALSE),""))</x:f>
        <x:v>Historical and Ideological Archetypes</x:v>
      </x:c>
      <x:c r="F1086" s="24" t="n">
        <x:v>3</x:v>
      </x:c>
      <x:c r="G1086" s="24" t="str">
        <x:v>Society where examinations, literacy, records, and learned officials organize status and governance.</x:v>
      </x:c>
      <x:c r="H1086" s="24" t="str">
        <x:v>Separate political form, economy, religion, ethnicity, ecology, and moral framing.</x:v>
      </x:c>
      <x:c r="I1086" s="24" t="str">
        <x:v>exam state; scholar officials; literati analogue</x:v>
      </x:c>
      <x:c r="J1086" s="24" t="str">
        <x:v>Models historical memory, decline, identity, ideology, trauma, supremacy, reform, and intergroup relations.</x:v>
      </x:c>
      <x:c r="K1086" s="24" t="str">
        <x:v>exam state; scholar officials; literati analogue</x:v>
      </x:c>
      <x:c r="L1086" s="24" t="str">
        <x:v>Preserve each source's ontology, culture, history, and terminology when making comparisons.</x:v>
      </x:c>
      <x:c r="M1086" s="24" t="str">
        <x:v>Core Family</x:v>
      </x:c>
    </x:row>
    <x:row r="1087" ht="44" customHeight="1">
      <x:c r="A1087" s="24" t="str">
        <x:v>CIV-416</x:v>
      </x:c>
      <x:c r="B1087" s="24" t="str">
        <x:v>Ancestor-Governed Society</x:v>
      </x:c>
      <x:c r="C1087" s="24" t="str">
        <x:v>Civilization &amp; Culture Archetypes</x:v>
      </x:c>
      <x:c r="D1087" s="24" t="str">
        <x:v>CIV-400</x:v>
      </x:c>
      <x:c r="E1087" s="24" t="str">
        <x:f>IF(D1087="","",IFERROR(VLOOKUP(D1087,$A$2:$B$1226,2,FALSE),""))</x:f>
        <x:v>Historical and Ideological Archetypes</x:v>
      </x:c>
      <x:c r="F1087" s="24" t="n">
        <x:v>3</x:v>
      </x:c>
      <x:c r="G1087" s="24" t="str">
        <x:v>Living institutions are directly constrained or advised by active ancestors, preserved rulers, or ancestral law.</x:v>
      </x:c>
      <x:c r="H1087" s="24" t="str">
        <x:v>Separate political form, economy, religion, ethnicity, ecology, and moral framing.</x:v>
      </x:c>
      <x:c r="I1087" s="24" t="str">
        <x:v>ancestor council; dead rulers; lineage state</x:v>
      </x:c>
      <x:c r="J1087" s="24" t="str">
        <x:v>Models historical memory, decline, identity, ideology, trauma, supremacy, reform, and intergroup relations.</x:v>
      </x:c>
      <x:c r="K1087" s="24" t="str">
        <x:v>ancestor council; dead rulers; lineage state</x:v>
      </x:c>
      <x:c r="L1087" s="24" t="str">
        <x:v>Preserve each source's ontology, culture, history, and terminology when making comparisons.</x:v>
      </x:c>
      <x:c r="M1087" s="24" t="str">
        <x:v>Core Family</x:v>
      </x:c>
    </x:row>
    <x:row r="1088" ht="44" customHeight="1">
      <x:c r="A1088" s="24" t="str">
        <x:v>CIV-417</x:v>
      </x:c>
      <x:c r="B1088" s="24" t="str">
        <x:v>Prophecy-Governed Society</x:v>
      </x:c>
      <x:c r="C1088" s="24" t="str">
        <x:v>Civilization &amp; Culture Archetypes</x:v>
      </x:c>
      <x:c r="D1088" s="24" t="str">
        <x:v>CIV-400</x:v>
      </x:c>
      <x:c r="E1088" s="24" t="str">
        <x:f>IF(D1088="","",IFERROR(VLOOKUP(D1088,$A$2:$B$1226,2,FALSE),""))</x:f>
        <x:v>Historical and Ideological Archetypes</x:v>
      </x:c>
      <x:c r="F1088" s="24" t="n">
        <x:v>3</x:v>
      </x:c>
      <x:c r="G1088" s="24" t="str">
        <x:v>Political and social decisions are organized around oracles, foretold roles, auspicious timing, or fate institutions.</x:v>
      </x:c>
      <x:c r="H1088" s="24" t="str">
        <x:v>Separate political form, economy, religion, ethnicity, ecology, and moral framing.</x:v>
      </x:c>
      <x:c r="I1088" s="24" t="str">
        <x:v>oracle state; fate bureaucracy; prophetic kingdom</x:v>
      </x:c>
      <x:c r="J1088" s="24" t="str">
        <x:v>Models historical memory, decline, identity, ideology, trauma, supremacy, reform, and intergroup relations.</x:v>
      </x:c>
      <x:c r="K1088" s="24" t="str">
        <x:v>oracle state; fate bureaucracy; prophetic kingdom</x:v>
      </x:c>
      <x:c r="L1088" s="24" t="str">
        <x:v>Preserve each source's ontology, culture, history, and terminology when making comparisons.</x:v>
      </x:c>
      <x:c r="M1088" s="24" t="str">
        <x:v>Core Family</x:v>
      </x:c>
    </x:row>
    <x:row r="1089" ht="44" customHeight="1">
      <x:c r="A1089" s="24" t="str">
        <x:v>CIV-418</x:v>
      </x:c>
      <x:c r="B1089" s="24" t="str">
        <x:v>Cyclically Destroyed Society</x:v>
      </x:c>
      <x:c r="C1089" s="24" t="str">
        <x:v>Civilization &amp; Culture Archetypes</x:v>
      </x:c>
      <x:c r="D1089" s="24" t="str">
        <x:v>CIV-400</x:v>
      </x:c>
      <x:c r="E1089" s="24" t="str">
        <x:f>IF(D1089="","",IFERROR(VLOOKUP(D1089,$A$2:$B$1226,2,FALSE),""))</x:f>
        <x:v>Historical and Ideological Archetypes</x:v>
      </x:c>
      <x:c r="F1089" s="24" t="n">
        <x:v>3</x:v>
      </x:c>
      <x:c r="G1089" s="24" t="str">
        <x:v>Civilization repeatedly collapses and renews through cosmic ages, resets, invasions, or ritual catastrophe.</x:v>
      </x:c>
      <x:c r="H1089" s="24" t="str">
        <x:v>Separate political form, economy, religion, ethnicity, ecology, and moral framing.</x:v>
      </x:c>
      <x:c r="I1089" s="24" t="str">
        <x:v>cycle civilization; recurring calamity; age reset</x:v>
      </x:c>
      <x:c r="J1089" s="24" t="str">
        <x:v>Models historical memory, decline, identity, ideology, trauma, supremacy, reform, and intergroup relations.</x:v>
      </x:c>
      <x:c r="K1089" s="24" t="str">
        <x:v>cycle civilization; recurring calamity; age reset</x:v>
      </x:c>
      <x:c r="L1089" s="24" t="str">
        <x:v>Preserve each source's ontology, culture, history, and terminology when making comparisons.</x:v>
      </x:c>
      <x:c r="M1089" s="24" t="str">
        <x:v>Core Family</x:v>
      </x:c>
    </x:row>
    <x:row r="1090" ht="44" customHeight="1">
      <x:c r="A1090" s="24" t="str">
        <x:v>CIV-419</x:v>
      </x:c>
      <x:c r="B1090" s="24" t="str">
        <x:v>Memory-Erased Society</x:v>
      </x:c>
      <x:c r="C1090" s="24" t="str">
        <x:v>Civilization &amp; Culture Archetypes</x:v>
      </x:c>
      <x:c r="D1090" s="24" t="str">
        <x:v>CIV-400</x:v>
      </x:c>
      <x:c r="E1090" s="24" t="str">
        <x:f>IF(D1090="","",IFERROR(VLOOKUP(D1090,$A$2:$B$1226,2,FALSE),""))</x:f>
        <x:v>Historical and Ideological Archetypes</x:v>
      </x:c>
      <x:c r="F1090" s="24" t="n">
        <x:v>3</x:v>
      </x:c>
      <x:c r="G1090" s="24" t="str">
        <x:v>A people has lost or been deprived of history, names, magic, or knowledge through deliberate or supernatural means.</x:v>
      </x:c>
      <x:c r="H1090" s="24" t="str">
        <x:v>Separate political form, economy, religion, ethnicity, ecology, and moral framing.</x:v>
      </x:c>
      <x:c r="I1090" s="24" t="str">
        <x:v>amnesiac culture; erased past; censored world</x:v>
      </x:c>
      <x:c r="J1090" s="24" t="str">
        <x:v>Models historical memory, decline, identity, ideology, trauma, supremacy, reform, and intergroup relations.</x:v>
      </x:c>
      <x:c r="K1090" s="24" t="str">
        <x:v>amnesiac culture; erased past; censored world</x:v>
      </x:c>
      <x:c r="L1090" s="24" t="str">
        <x:v>Preserve each source's ontology, culture, history, and terminology when making comparisons.</x:v>
      </x:c>
      <x:c r="M1090" s="24" t="str">
        <x:v>Core Family</x:v>
      </x:c>
    </x:row>
    <x:row r="1091" ht="44" customHeight="1">
      <x:c r="A1091" s="24" t="str">
        <x:v>CIV-420</x:v>
      </x:c>
      <x:c r="B1091" s="24" t="str">
        <x:v>Reconciled Multi-People Federation</x:v>
      </x:c>
      <x:c r="C1091" s="24" t="str">
        <x:v>Civilization &amp; Culture Archetypes</x:v>
      </x:c>
      <x:c r="D1091" s="24" t="str">
        <x:v>CIV-400</x:v>
      </x:c>
      <x:c r="E1091" s="24" t="str">
        <x:f>IF(D1091="","",IFERROR(VLOOKUP(D1091,$A$2:$B$1226,2,FALSE),""))</x:f>
        <x:v>Historical and Ideological Archetypes</x:v>
      </x:c>
      <x:c r="F1091" s="24" t="n">
        <x:v>3</x:v>
      </x:c>
      <x:c r="G1091" s="24" t="str">
        <x:v>Polity built through negotiated coexistence among formerly hostile species, cultures, or realms.</x:v>
      </x:c>
      <x:c r="H1091" s="24" t="str">
        <x:v>Separate political form, economy, religion, ethnicity, ecology, and moral framing.</x:v>
      </x:c>
      <x:c r="I1091" s="24" t="str">
        <x:v>federation; alliance of peoples; plural kingdom</x:v>
      </x:c>
      <x:c r="J1091" s="24" t="str">
        <x:v>Models historical memory, decline, identity, ideology, trauma, supremacy, reform, and intergroup relations.</x:v>
      </x:c>
      <x:c r="K1091" s="24" t="str">
        <x:v>federation; alliance of peoples; plural kingdom</x:v>
      </x:c>
      <x:c r="L1091" s="24" t="str">
        <x:v>Preserve each source's ontology, culture, history, and terminology when making comparisons.</x:v>
      </x:c>
      <x:c r="M1091" s="24" t="str">
        <x:v>Core Family</x:v>
      </x:c>
    </x:row>
    <x:row r="1092" ht="44" customHeight="1">
      <x:c r="A1092" s="24" t="str">
        <x:v>CIV-421</x:v>
      </x:c>
      <x:c r="B1092" s="24" t="str">
        <x:v>Segregated Multi-People Society</x:v>
      </x:c>
      <x:c r="C1092" s="24" t="str">
        <x:v>Civilization &amp; Culture Archetypes</x:v>
      </x:c>
      <x:c r="D1092" s="24" t="str">
        <x:v>CIV-400</x:v>
      </x:c>
      <x:c r="E1092" s="24" t="str">
        <x:f>IF(D1092="","",IFERROR(VLOOKUP(D1092,$A$2:$B$1226,2,FALSE),""))</x:f>
        <x:v>Historical and Ideological Archetypes</x:v>
      </x:c>
      <x:c r="F1092" s="24" t="n">
        <x:v>3</x:v>
      </x:c>
      <x:c r="G1092" s="24" t="str">
        <x:v>Polity formally or informally separates peoples by district, occupation, law, caste, or magical status.</x:v>
      </x:c>
      <x:c r="H1092" s="24" t="str">
        <x:v>Separate political form, economy, religion, ethnicity, ecology, and moral framing.</x:v>
      </x:c>
      <x:c r="I1092" s="24" t="str">
        <x:v>racial caste state; species quarters; divided realm</x:v>
      </x:c>
      <x:c r="J1092" s="24" t="str">
        <x:v>Models historical memory, decline, identity, ideology, trauma, supremacy, reform, and intergroup relations.</x:v>
      </x:c>
      <x:c r="K1092" s="24" t="str">
        <x:v>racial caste state; species quarters; divided realm</x:v>
      </x:c>
      <x:c r="L1092" s="24" t="str">
        <x:v>Preserve each source's ontology, culture, history, and terminology when making comparisons.</x:v>
      </x:c>
      <x:c r="M1092" s="24" t="str">
        <x:v>Core Family</x:v>
      </x:c>
    </x:row>
    <x:row r="1093" ht="44" customHeight="1">
      <x:c r="A1093" s="24" t="str">
        <x:v>CIV-422</x:v>
      </x:c>
      <x:c r="B1093" s="24" t="str">
        <x:v>Human-Supremacist State</x:v>
      </x:c>
      <x:c r="C1093" s="24" t="str">
        <x:v>Civilization &amp; Culture Archetypes</x:v>
      </x:c>
      <x:c r="D1093" s="24" t="str">
        <x:v>CIV-400</x:v>
      </x:c>
      <x:c r="E1093" s="24" t="str">
        <x:f>IF(D1093="","",IFERROR(VLOOKUP(D1093,$A$2:$B$1226,2,FALSE),""))</x:f>
        <x:v>Historical and Ideological Archetypes</x:v>
      </x:c>
      <x:c r="F1093" s="24" t="n">
        <x:v>3</x:v>
      </x:c>
      <x:c r="G1093" s="24" t="str">
        <x:v>Political order asserting human dominance and restricting, assimilating, or eliminating other beings.</x:v>
      </x:c>
      <x:c r="H1093" s="24" t="str">
        <x:v>Separate political form, economy, religion, ethnicity, ecology, and moral framing.</x:v>
      </x:c>
      <x:c r="I1093" s="24" t="str">
        <x:v>human empire; anti-nonhuman regime</x:v>
      </x:c>
      <x:c r="J1093" s="24" t="str">
        <x:v>Models historical memory, decline, identity, ideology, trauma, supremacy, reform, and intergroup relations.</x:v>
      </x:c>
      <x:c r="K1093" s="24" t="str">
        <x:v>human empire; anti-nonhuman regime</x:v>
      </x:c>
      <x:c r="L1093" s="24" t="str">
        <x:v>Preserve each source's ontology, culture, history, and terminology when making comparisons.</x:v>
      </x:c>
      <x:c r="M1093" s="24" t="str">
        <x:v>Core Family</x:v>
      </x:c>
    </x:row>
    <x:row r="1094" ht="44" customHeight="1">
      <x:c r="A1094" s="24" t="str">
        <x:v>CIV-423</x:v>
      </x:c>
      <x:c r="B1094" s="24" t="str">
        <x:v>Elder-People Supremacist State</x:v>
      </x:c>
      <x:c r="C1094" s="24" t="str">
        <x:v>Civilization &amp; Culture Archetypes</x:v>
      </x:c>
      <x:c r="D1094" s="24" t="str">
        <x:v>CIV-400</x:v>
      </x:c>
      <x:c r="E1094" s="24" t="str">
        <x:f>IF(D1094="","",IFERROR(VLOOKUP(D1094,$A$2:$B$1226,2,FALSE),""))</x:f>
        <x:v>Historical and Ideological Archetypes</x:v>
      </x:c>
      <x:c r="F1094" s="24" t="n">
        <x:v>3</x:v>
      </x:c>
      <x:c r="G1094" s="24" t="str">
        <x:v>Political order asserting the inherited right of an ancient, magical, or long-lived people to dominate others.</x:v>
      </x:c>
      <x:c r="H1094" s="24" t="str">
        <x:v>Separate political form, economy, religion, ethnicity, ecology, and moral framing.</x:v>
      </x:c>
      <x:c r="I1094" s="24" t="str">
        <x:v>elven empire; dragon supremacy; immortal caste</x:v>
      </x:c>
      <x:c r="J1094" s="24" t="str">
        <x:v>Models historical memory, decline, identity, ideology, trauma, supremacy, reform, and intergroup relations.</x:v>
      </x:c>
      <x:c r="K1094" s="24" t="str">
        <x:v>elven empire; dragon supremacy; immortal caste</x:v>
      </x:c>
      <x:c r="L1094" s="24" t="str">
        <x:v>Preserve each source's ontology, culture, history, and terminology when making comparisons.</x:v>
      </x:c>
      <x:c r="M1094" s="24" t="str">
        <x:v>Core Family</x:v>
      </x:c>
    </x:row>
    <x:row r="1095" ht="44" customHeight="1">
      <x:c r="A1095" s="24" t="str">
        <x:v>CIV-424</x:v>
      </x:c>
      <x:c r="B1095" s="24" t="str">
        <x:v>Monster-Reclamation Society</x:v>
      </x:c>
      <x:c r="C1095" s="24" t="str">
        <x:v>Civilization &amp; Culture Archetypes</x:v>
      </x:c>
      <x:c r="D1095" s="24" t="str">
        <x:v>CIV-400</x:v>
      </x:c>
      <x:c r="E1095" s="24" t="str">
        <x:f>IF(D1095="","",IFERROR(VLOOKUP(D1095,$A$2:$B$1226,2,FALSE),""))</x:f>
        <x:v>Historical and Ideological Archetypes</x:v>
      </x:c>
      <x:c r="F1095" s="24" t="n">
        <x:v>3</x:v>
      </x:c>
      <x:c r="G1095" s="24" t="str">
        <x:v>Formerly demonized beings establish personhood, law, homeland, or political agency.</x:v>
      </x:c>
      <x:c r="H1095" s="24" t="str">
        <x:v>Separate political form, economy, religion, ethnicity, ecology, and moral framing.</x:v>
      </x:c>
      <x:c r="I1095" s="24" t="str">
        <x:v>monster nation; reclaimed orcs; undead rights society</x:v>
      </x:c>
      <x:c r="J1095" s="24" t="str">
        <x:v>Models historical memory, decline, identity, ideology, trauma, supremacy, reform, and intergroup relations.</x:v>
      </x:c>
      <x:c r="K1095" s="24" t="str">
        <x:v>monster nation; reclaimed orcs; undead rights society</x:v>
      </x:c>
      <x:c r="L1095" s="24" t="str">
        <x:v>Preserve each source's ontology, culture, history, and terminology when making comparisons.</x:v>
      </x:c>
      <x:c r="M1095" s="24" t="str">
        <x:v>Core Family</x:v>
      </x:c>
    </x:row>
    <x:row r="1096" ht="44" customHeight="1">
      <x:c r="A1096" s="24" t="str">
        <x:v>CIV-425</x:v>
      </x:c>
      <x:c r="B1096" s="24" t="str">
        <x:v>World-Tree Civilization</x:v>
      </x:c>
      <x:c r="C1096" s="24" t="str">
        <x:v>Civilization &amp; Culture Archetypes</x:v>
      </x:c>
      <x:c r="D1096" s="24" t="str">
        <x:v>CIV-400</x:v>
      </x:c>
      <x:c r="E1096" s="24" t="str">
        <x:f>IF(D1096="","",IFERROR(VLOOKUP(D1096,$A$2:$B$1226,2,FALSE),""))</x:f>
        <x:v>Historical and Ideological Archetypes</x:v>
      </x:c>
      <x:c r="F1096" s="24" t="n">
        <x:v>3</x:v>
      </x:c>
      <x:c r="G1096" s="24" t="str">
        <x:v>Society organized physically and cosmologically around a sacred or living tree connecting realms.</x:v>
      </x:c>
      <x:c r="H1096" s="24" t="str">
        <x:v>Separate political form, economy, religion, ethnicity, ecology, and moral framing.</x:v>
      </x:c>
      <x:c r="I1096" s="24" t="str">
        <x:v>world tree city; tree kingdom; canopy civilization</x:v>
      </x:c>
      <x:c r="J1096" s="24" t="str">
        <x:v>Models historical memory, decline, identity, ideology, trauma, supremacy, reform, and intergroup relations.</x:v>
      </x:c>
      <x:c r="K1096" s="24" t="str">
        <x:v>world tree city; tree kingdom; canopy civilization</x:v>
      </x:c>
      <x:c r="L1096" s="24" t="str">
        <x:v>Preserve each source's ontology, culture, history, and terminology when making comparisons.</x:v>
      </x:c>
      <x:c r="M1096" s="24" t="str">
        <x:v>Core Family</x:v>
      </x:c>
    </x:row>
    <x:row r="1097" ht="44" customHeight="1">
      <x:c r="A1097" s="24" t="str">
        <x:v>CIV-426</x:v>
      </x:c>
      <x:c r="B1097" s="24" t="str">
        <x:v>Dragon-Cycle Civilization</x:v>
      </x:c>
      <x:c r="C1097" s="24" t="str">
        <x:v>Civilization &amp; Culture Archetypes</x:v>
      </x:c>
      <x:c r="D1097" s="24" t="str">
        <x:v>CIV-400</x:v>
      </x:c>
      <x:c r="E1097" s="24" t="str">
        <x:f>IF(D1097="","",IFERROR(VLOOKUP(D1097,$A$2:$B$1226,2,FALSE),""))</x:f>
        <x:v>Historical and Ideological Archetypes</x:v>
      </x:c>
      <x:c r="F1097" s="24" t="n">
        <x:v>3</x:v>
      </x:c>
      <x:c r="G1097" s="24" t="str">
        <x:v>Society's eras, legitimacy, or catastrophe are structured by dragon births, flights, bonds, or returns.</x:v>
      </x:c>
      <x:c r="H1097" s="24" t="str">
        <x:v>Separate political form, economy, religion, ethnicity, ecology, and moral framing.</x:v>
      </x:c>
      <x:c r="I1097" s="24" t="str">
        <x:v>age of dragons; dragon dynasties; draconic cycle</x:v>
      </x:c>
      <x:c r="J1097" s="24" t="str">
        <x:v>Models historical memory, decline, identity, ideology, trauma, supremacy, reform, and intergroup relations.</x:v>
      </x:c>
      <x:c r="K1097" s="24" t="str">
        <x:v>age of dragons; dragon dynasties; draconic cycle</x:v>
      </x:c>
      <x:c r="L1097" s="24" t="str">
        <x:v>Preserve each source's ontology, culture, history, and terminology when making comparisons.</x:v>
      </x:c>
      <x:c r="M1097" s="24" t="str">
        <x:v>Core Family</x:v>
      </x:c>
    </x:row>
    <x:row r="1098" ht="44" customHeight="1">
      <x:c r="A1098" s="24" t="str">
        <x:v>MEC-100</x:v>
      </x:c>
      <x:c r="B1098" s="24" t="str">
        <x:v>Combat Function Archetypes</x:v>
      </x:c>
      <x:c r="C1098" s="24" t="str">
        <x:v>Game-Mechanical Archetypes</x:v>
      </x:c>
      <x:c r="D1098" s="24" t="str">
        <x:v>MEC-000</x:v>
      </x:c>
      <x:c r="E1098" s="24" t="str">
        <x:f>IF(D1098="","",IFERROR(VLOOKUP(D1098,$A$2:$B$1226,2,FALSE),""))</x:f>
        <x:v>Game-Mechanical Archetypes</x:v>
      </x:c>
      <x:c r="F1098" s="24" t="n">
        <x:v>2</x:v>
      </x:c>
      <x:c r="G1098" s="24" t="str">
        <x:v>Encounter roles defined by damage, protection, healing, control, mobility, and target selection.</x:v>
      </x:c>
      <x:c r="H1098" s="24" t="str">
        <x:v>Mechanical role describes rules behavior; it does not by itself establish lore, profession, or personality.</x:v>
      </x:c>
      <x:c r="I1098" s="24" t="str"/>
      <x:c r="J1098" s="24" t="str">
        <x:v>Enables comparison among tabletop classes, tactical jobs, CRPG builds, JRPG roles, and MMO functions.</x:v>
      </x:c>
      <x:c r="K1098" s="24" t="str">
        <x:v>Combat Function Archetypes</x:v>
      </x:c>
      <x:c r="L1098" s="24" t="str">
        <x:v>Preserve each source's ontology, culture, history, and terminology when making comparisons.</x:v>
      </x:c>
      <x:c r="M1098" s="24" t="str">
        <x:v>Category</x:v>
      </x:c>
    </x:row>
    <x:row r="1099" ht="44" customHeight="1">
      <x:c r="A1099" s="24" t="str">
        <x:v>MEC-200</x:v>
      </x:c>
      <x:c r="B1099" s="24" t="str">
        <x:v>Resource and Casting Models</x:v>
      </x:c>
      <x:c r="C1099" s="24" t="str">
        <x:v>Game-Mechanical Archetypes</x:v>
      </x:c>
      <x:c r="D1099" s="24" t="str">
        <x:v>MEC-000</x:v>
      </x:c>
      <x:c r="E1099" s="24" t="str">
        <x:f>IF(D1099="","",IFERROR(VLOOKUP(D1099,$A$2:$B$1226,2,FALSE),""))</x:f>
        <x:v>Game-Mechanical Archetypes</x:v>
      </x:c>
      <x:c r="F1099" s="24" t="n">
        <x:v>2</x:v>
      </x:c>
      <x:c r="G1099" s="24" t="str">
        <x:v>How abilities are prepared, paid for, refreshed, risked, or sequenced.</x:v>
      </x:c>
      <x:c r="H1099" s="24" t="str">
        <x:v>Mechanical role describes rules behavior; it does not by itself establish lore, profession, or personality.</x:v>
      </x:c>
      <x:c r="I1099" s="24" t="str"/>
      <x:c r="J1099" s="24" t="str">
        <x:v>Enables comparison among tabletop classes, tactical jobs, CRPG builds, JRPG roles, and MMO functions.</x:v>
      </x:c>
      <x:c r="K1099" s="24" t="str">
        <x:v>Resource and Casting Models</x:v>
      </x:c>
      <x:c r="L1099" s="24" t="str">
        <x:v>Preserve each source's ontology, culture, history, and terminology when making comparisons.</x:v>
      </x:c>
      <x:c r="M1099" s="24" t="str">
        <x:v>Category</x:v>
      </x:c>
    </x:row>
    <x:row r="1100" ht="44" customHeight="1">
      <x:c r="A1100" s="24" t="str">
        <x:v>MEC-300</x:v>
      </x:c>
      <x:c r="B1100" s="24" t="str">
        <x:v>Progression and Build Models</x:v>
      </x:c>
      <x:c r="C1100" s="24" t="str">
        <x:v>Game-Mechanical Archetypes</x:v>
      </x:c>
      <x:c r="D1100" s="24" t="str">
        <x:v>MEC-000</x:v>
      </x:c>
      <x:c r="E1100" s="24" t="str">
        <x:f>IF(D1100="","",IFERROR(VLOOKUP(D1100,$A$2:$B$1226,2,FALSE),""))</x:f>
        <x:v>Game-Mechanical Archetypes</x:v>
      </x:c>
      <x:c r="F1100" s="24" t="n">
        <x:v>2</x:v>
      </x:c>
      <x:c r="G1100" s="24" t="str">
        <x:v>How characters gain, combine, switch, and specialize abilities over time.</x:v>
      </x:c>
      <x:c r="H1100" s="24" t="str">
        <x:v>Mechanical role describes rules behavior; it does not by itself establish lore, profession, or personality.</x:v>
      </x:c>
      <x:c r="I1100" s="24" t="str"/>
      <x:c r="J1100" s="24" t="str">
        <x:v>Enables comparison among tabletop classes, tactical jobs, CRPG builds, JRPG roles, and MMO functions.</x:v>
      </x:c>
      <x:c r="K1100" s="24" t="str">
        <x:v>Progression and Build Models</x:v>
      </x:c>
      <x:c r="L1100" s="24" t="str">
        <x:v>Preserve each source's ontology, culture, history, and terminology when making comparisons.</x:v>
      </x:c>
      <x:c r="M1100" s="24" t="str">
        <x:v>Category</x:v>
      </x:c>
    </x:row>
    <x:row r="1101" ht="44" customHeight="1">
      <x:c r="A1101" s="24" t="str">
        <x:v>MEC-400</x:v>
      </x:c>
      <x:c r="B1101" s="24" t="str">
        <x:v>Unit and Encounter Models</x:v>
      </x:c>
      <x:c r="C1101" s="24" t="str">
        <x:v>Game-Mechanical Archetypes</x:v>
      </x:c>
      <x:c r="D1101" s="24" t="str">
        <x:v>MEC-000</x:v>
      </x:c>
      <x:c r="E1101" s="24" t="str">
        <x:f>IF(D1101="","",IFERROR(VLOOKUP(D1101,$A$2:$B$1226,2,FALSE),""))</x:f>
        <x:v>Game-Mechanical Archetypes</x:v>
      </x:c>
      <x:c r="F1101" s="24" t="n">
        <x:v>2</x:v>
      </x:c>
      <x:c r="G1101" s="24" t="str">
        <x:v>Roles defined by party structure, companions, monsters, bosses, crafting, or noncombat play.</x:v>
      </x:c>
      <x:c r="H1101" s="24" t="str">
        <x:v>Mechanical role describes rules behavior; it does not by itself establish lore, profession, or personality.</x:v>
      </x:c>
      <x:c r="I1101" s="24" t="str"/>
      <x:c r="J1101" s="24" t="str">
        <x:v>Enables comparison among tabletop classes, tactical jobs, CRPG builds, JRPG roles, and MMO functions.</x:v>
      </x:c>
      <x:c r="K1101" s="24" t="str">
        <x:v>Unit and Encounter Models</x:v>
      </x:c>
      <x:c r="L1101" s="24" t="str">
        <x:v>Preserve each source's ontology, culture, history, and terminology when making comparisons.</x:v>
      </x:c>
      <x:c r="M1101" s="24" t="str">
        <x:v>Category</x:v>
      </x:c>
    </x:row>
    <x:row r="1102" ht="44" customHeight="1">
      <x:c r="A1102" s="24" t="str">
        <x:v>MEC-101</x:v>
      </x:c>
      <x:c r="B1102" s="24" t="str">
        <x:v>Tank</x:v>
      </x:c>
      <x:c r="C1102" s="24" t="str">
        <x:v>Game-Mechanical Archetypes</x:v>
      </x:c>
      <x:c r="D1102" s="24" t="str">
        <x:v>MEC-100</x:v>
      </x:c>
      <x:c r="E1102" s="24" t="str">
        <x:f>IF(D1102="","",IFERROR(VLOOKUP(D1102,$A$2:$B$1226,2,FALSE),""))</x:f>
        <x:v>Combat Function Archetypes</x:v>
      </x:c>
      <x:c r="F1102" s="24" t="n">
        <x:v>3</x:v>
      </x:c>
      <x:c r="G1102" s="24" t="str">
        <x:v>Role designed to absorb damage, maintain enemy attention, and protect more vulnerable allies.</x:v>
      </x:c>
      <x:c r="H1102" s="24" t="str">
        <x:v>Record system, edition, encounter assumptions, and party size before comparing balance.</x:v>
      </x:c>
      <x:c r="I1102" s="24" t="str">
        <x:v>tank; defender; frontliner</x:v>
      </x:c>
      <x:c r="J1102" s="24" t="str">
        <x:v>Defines party contribution, encounter behavior, targeting, survivability, and tactical niche.</x:v>
      </x:c>
      <x:c r="K1102" s="24" t="str">
        <x:v>tank; defender; frontliner</x:v>
      </x:c>
      <x:c r="L1102" s="24" t="str">
        <x:v>Preserve each source's ontology, culture, history, and terminology when making comparisons.</x:v>
      </x:c>
      <x:c r="M1102" s="24" t="str">
        <x:v>Core Family</x:v>
      </x:c>
    </x:row>
    <x:row r="1103" ht="44" customHeight="1">
      <x:c r="A1103" s="24" t="str">
        <x:v>MEC-102</x:v>
      </x:c>
      <x:c r="B1103" s="24" t="str">
        <x:v>Main Tank</x:v>
      </x:c>
      <x:c r="C1103" s="24" t="str">
        <x:v>Game-Mechanical Archetypes</x:v>
      </x:c>
      <x:c r="D1103" s="24" t="str">
        <x:v>MEC-100</x:v>
      </x:c>
      <x:c r="E1103" s="24" t="str">
        <x:f>IF(D1103="","",IFERROR(VLOOKUP(D1103,$A$2:$B$1226,2,FALSE),""))</x:f>
        <x:v>Combat Function Archetypes</x:v>
      </x:c>
      <x:c r="F1103" s="24" t="n">
        <x:v>3</x:v>
      </x:c>
      <x:c r="G1103" s="24" t="str">
        <x:v>Primary durable character expected to hold bosses or major enemies continuously.</x:v>
      </x:c>
      <x:c r="H1103" s="24" t="str">
        <x:v>Record system, edition, encounter assumptions, and party size before comparing balance.</x:v>
      </x:c>
      <x:c r="I1103" s="24" t="str">
        <x:v>main tank; primary defender</x:v>
      </x:c>
      <x:c r="J1103" s="24" t="str">
        <x:v>Defines party contribution, encounter behavior, targeting, survivability, and tactical niche.</x:v>
      </x:c>
      <x:c r="K1103" s="24" t="str">
        <x:v>main tank; primary defender</x:v>
      </x:c>
      <x:c r="L1103" s="24" t="str">
        <x:v>Preserve each source's ontology, culture, history, and terminology when making comparisons.</x:v>
      </x:c>
      <x:c r="M1103" s="24" t="str">
        <x:v>Core Family</x:v>
      </x:c>
    </x:row>
    <x:row r="1104" ht="44" customHeight="1">
      <x:c r="A1104" s="24" t="str">
        <x:v>MEC-103</x:v>
      </x:c>
      <x:c r="B1104" s="24" t="str">
        <x:v>Off-Tank</x:v>
      </x:c>
      <x:c r="C1104" s="24" t="str">
        <x:v>Game-Mechanical Archetypes</x:v>
      </x:c>
      <x:c r="D1104" s="24" t="str">
        <x:v>MEC-100</x:v>
      </x:c>
      <x:c r="E1104" s="24" t="str">
        <x:f>IF(D1104="","",IFERROR(VLOOKUP(D1104,$A$2:$B$1226,2,FALSE),""))</x:f>
        <x:v>Combat Function Archetypes</x:v>
      </x:c>
      <x:c r="F1104" s="24" t="n">
        <x:v>3</x:v>
      </x:c>
      <x:c r="G1104" s="24" t="str">
        <x:v>Secondary defender who handles adds, swaps, support, or temporary tanking.</x:v>
      </x:c>
      <x:c r="H1104" s="24" t="str">
        <x:v>Record system, edition, encounter assumptions, and party size before comparing balance.</x:v>
      </x:c>
      <x:c r="I1104" s="24" t="str">
        <x:v>off-tank; secondary tank</x:v>
      </x:c>
      <x:c r="J1104" s="24" t="str">
        <x:v>Defines party contribution, encounter behavior, targeting, survivability, and tactical niche.</x:v>
      </x:c>
      <x:c r="K1104" s="24" t="str">
        <x:v>off-tank; secondary tank</x:v>
      </x:c>
      <x:c r="L1104" s="24" t="str">
        <x:v>Preserve each source's ontology, culture, history, and terminology when making comparisons.</x:v>
      </x:c>
      <x:c r="M1104" s="24" t="str">
        <x:v>Core Family</x:v>
      </x:c>
    </x:row>
    <x:row r="1105" ht="44" customHeight="1">
      <x:c r="A1105" s="24" t="str">
        <x:v>MEC-104</x:v>
      </x:c>
      <x:c r="B1105" s="24" t="str">
        <x:v>Bruiser</x:v>
      </x:c>
      <x:c r="C1105" s="24" t="str">
        <x:v>Game-Mechanical Archetypes</x:v>
      </x:c>
      <x:c r="D1105" s="24" t="str">
        <x:v>MEC-100</x:v>
      </x:c>
      <x:c r="E1105" s="24" t="str">
        <x:f>IF(D1105="","",IFERROR(VLOOKUP(D1105,$A$2:$B$1226,2,FALSE),""))</x:f>
        <x:v>Combat Function Archetypes</x:v>
      </x:c>
      <x:c r="F1105" s="24" t="n">
        <x:v>3</x:v>
      </x:c>
      <x:c r="G1105" s="24" t="str">
        <x:v>Durable damage dealer balancing survivability and pressure without full tank specialization.</x:v>
      </x:c>
      <x:c r="H1105" s="24" t="str">
        <x:v>Record system, edition, encounter assumptions, and party size before comparing balance.</x:v>
      </x:c>
      <x:c r="I1105" s="24" t="str">
        <x:v>bruiser; juggernaut; brawler</x:v>
      </x:c>
      <x:c r="J1105" s="24" t="str">
        <x:v>Defines party contribution, encounter behavior, targeting, survivability, and tactical niche.</x:v>
      </x:c>
      <x:c r="K1105" s="24" t="str">
        <x:v>bruiser; juggernaut; brawler</x:v>
      </x:c>
      <x:c r="L1105" s="24" t="str">
        <x:v>Preserve each source's ontology, culture, history, and terminology when making comparisons.</x:v>
      </x:c>
      <x:c r="M1105" s="24" t="str">
        <x:v>Core Family</x:v>
      </x:c>
    </x:row>
    <x:row r="1106" ht="44" customHeight="1">
      <x:c r="A1106" s="24" t="str">
        <x:v>MEC-105</x:v>
      </x:c>
      <x:c r="B1106" s="24" t="str">
        <x:v>Melee Striker</x:v>
      </x:c>
      <x:c r="C1106" s="24" t="str">
        <x:v>Game-Mechanical Archetypes</x:v>
      </x:c>
      <x:c r="D1106" s="24" t="str">
        <x:v>MEC-100</x:v>
      </x:c>
      <x:c r="E1106" s="24" t="str">
        <x:f>IF(D1106="","",IFERROR(VLOOKUP(D1106,$A$2:$B$1226,2,FALSE),""))</x:f>
        <x:v>Combat Function Archetypes</x:v>
      </x:c>
      <x:c r="F1106" s="24" t="n">
        <x:v>3</x:v>
      </x:c>
      <x:c r="G1106" s="24" t="str">
        <x:v>High-damage role operating at close range and often relying on positioning or mobility.</x:v>
      </x:c>
      <x:c r="H1106" s="24" t="str">
        <x:v>Record system, edition, encounter assumptions, and party size before comparing balance.</x:v>
      </x:c>
      <x:c r="I1106" s="24" t="str">
        <x:v>melee DPS; striker; assassin</x:v>
      </x:c>
      <x:c r="J1106" s="24" t="str">
        <x:v>Defines party contribution, encounter behavior, targeting, survivability, and tactical niche.</x:v>
      </x:c>
      <x:c r="K1106" s="24" t="str">
        <x:v>melee DPS; striker; assassin</x:v>
      </x:c>
      <x:c r="L1106" s="24" t="str">
        <x:v>Preserve each source's ontology, culture, history, and terminology when making comparisons.</x:v>
      </x:c>
      <x:c r="M1106" s="24" t="str">
        <x:v>Core Family</x:v>
      </x:c>
    </x:row>
    <x:row r="1107" ht="44" customHeight="1">
      <x:c r="A1107" s="24" t="str">
        <x:v>MEC-106</x:v>
      </x:c>
      <x:c r="B1107" s="24" t="str">
        <x:v>Ranged Striker</x:v>
      </x:c>
      <x:c r="C1107" s="24" t="str">
        <x:v>Game-Mechanical Archetypes</x:v>
      </x:c>
      <x:c r="D1107" s="24" t="str">
        <x:v>MEC-100</x:v>
      </x:c>
      <x:c r="E1107" s="24" t="str">
        <x:f>IF(D1107="","",IFERROR(VLOOKUP(D1107,$A$2:$B$1226,2,FALSE),""))</x:f>
        <x:v>Combat Function Archetypes</x:v>
      </x:c>
      <x:c r="F1107" s="24" t="n">
        <x:v>3</x:v>
      </x:c>
      <x:c r="G1107" s="24" t="str">
        <x:v>Damage role attacking from distance through bows, guns, spells, or projectiles.</x:v>
      </x:c>
      <x:c r="H1107" s="24" t="str">
        <x:v>Record system, edition, encounter assumptions, and party size before comparing balance.</x:v>
      </x:c>
      <x:c r="I1107" s="24" t="str">
        <x:v>ranged DPS; marksman; artillery</x:v>
      </x:c>
      <x:c r="J1107" s="24" t="str">
        <x:v>Defines party contribution, encounter behavior, targeting, survivability, and tactical niche.</x:v>
      </x:c>
      <x:c r="K1107" s="24" t="str">
        <x:v>ranged DPS; marksman; artillery</x:v>
      </x:c>
      <x:c r="L1107" s="24" t="str">
        <x:v>Preserve each source's ontology, culture, history, and terminology when making comparisons.</x:v>
      </x:c>
      <x:c r="M1107" s="24" t="str">
        <x:v>Core Family</x:v>
      </x:c>
    </x:row>
    <x:row r="1108" ht="44" customHeight="1">
      <x:c r="A1108" s="24" t="str">
        <x:v>MEC-107</x:v>
      </x:c>
      <x:c r="B1108" s="24" t="str">
        <x:v>Burst Damage</x:v>
      </x:c>
      <x:c r="C1108" s="24" t="str">
        <x:v>Game-Mechanical Archetypes</x:v>
      </x:c>
      <x:c r="D1108" s="24" t="str">
        <x:v>MEC-100</x:v>
      </x:c>
      <x:c r="E1108" s="24" t="str">
        <x:f>IF(D1108="","",IFERROR(VLOOKUP(D1108,$A$2:$B$1226,2,FALSE),""))</x:f>
        <x:v>Combat Function Archetypes</x:v>
      </x:c>
      <x:c r="F1108" s="24" t="n">
        <x:v>3</x:v>
      </x:c>
      <x:c r="G1108" s="24" t="str">
        <x:v>Role or build optimized for short windows of exceptionally high output.</x:v>
      </x:c>
      <x:c r="H1108" s="24" t="str">
        <x:v>Record system, edition, encounter assumptions, and party size before comparing balance.</x:v>
      </x:c>
      <x:c r="I1108" s="24" t="str">
        <x:v>burst DPS; nova; execution</x:v>
      </x:c>
      <x:c r="J1108" s="24" t="str">
        <x:v>Defines party contribution, encounter behavior, targeting, survivability, and tactical niche.</x:v>
      </x:c>
      <x:c r="K1108" s="24" t="str">
        <x:v>burst DPS; nova; execution</x:v>
      </x:c>
      <x:c r="L1108" s="24" t="str">
        <x:v>Preserve each source's ontology, culture, history, and terminology when making comparisons.</x:v>
      </x:c>
      <x:c r="M1108" s="24" t="str">
        <x:v>Core Family</x:v>
      </x:c>
    </x:row>
    <x:row r="1109" ht="44" customHeight="1">
      <x:c r="A1109" s="24" t="str">
        <x:v>MEC-108</x:v>
      </x:c>
      <x:c r="B1109" s="24" t="str">
        <x:v>Sustained Damage</x:v>
      </x:c>
      <x:c r="C1109" s="24" t="str">
        <x:v>Game-Mechanical Archetypes</x:v>
      </x:c>
      <x:c r="D1109" s="24" t="str">
        <x:v>MEC-100</x:v>
      </x:c>
      <x:c r="E1109" s="24" t="str">
        <x:f>IF(D1109="","",IFERROR(VLOOKUP(D1109,$A$2:$B$1226,2,FALSE),""))</x:f>
        <x:v>Combat Function Archetypes</x:v>
      </x:c>
      <x:c r="F1109" s="24" t="n">
        <x:v>3</x:v>
      </x:c>
      <x:c r="G1109" s="24" t="str">
        <x:v>Role or build optimized for consistent output over extended encounters.</x:v>
      </x:c>
      <x:c r="H1109" s="24" t="str">
        <x:v>Record system, edition, encounter assumptions, and party size before comparing balance.</x:v>
      </x:c>
      <x:c r="I1109" s="24" t="str">
        <x:v>sustained DPS; damage over time; attrition</x:v>
      </x:c>
      <x:c r="J1109" s="24" t="str">
        <x:v>Defines party contribution, encounter behavior, targeting, survivability, and tactical niche.</x:v>
      </x:c>
      <x:c r="K1109" s="24" t="str">
        <x:v>sustained DPS; damage over time; attrition</x:v>
      </x:c>
      <x:c r="L1109" s="24" t="str">
        <x:v>Preserve each source's ontology, culture, history, and terminology when making comparisons.</x:v>
      </x:c>
      <x:c r="M1109" s="24" t="str">
        <x:v>Core Family</x:v>
      </x:c>
    </x:row>
    <x:row r="1110" ht="44" customHeight="1">
      <x:c r="A1110" s="24" t="str">
        <x:v>MEC-109</x:v>
      </x:c>
      <x:c r="B1110" s="24" t="str">
        <x:v>Area-of-Effect Damage</x:v>
      </x:c>
      <x:c r="C1110" s="24" t="str">
        <x:v>Game-Mechanical Archetypes</x:v>
      </x:c>
      <x:c r="D1110" s="24" t="str">
        <x:v>MEC-100</x:v>
      </x:c>
      <x:c r="E1110" s="24" t="str">
        <x:f>IF(D1110="","",IFERROR(VLOOKUP(D1110,$A$2:$B$1226,2,FALSE),""))</x:f>
        <x:v>Combat Function Archetypes</x:v>
      </x:c>
      <x:c r="F1110" s="24" t="n">
        <x:v>3</x:v>
      </x:c>
      <x:c r="G1110" s="24" t="str">
        <x:v>Role specializing in damaging many targets or controlling zones.</x:v>
      </x:c>
      <x:c r="H1110" s="24" t="str">
        <x:v>Record system, edition, encounter assumptions, and party size before comparing balance.</x:v>
      </x:c>
      <x:c r="I1110" s="24" t="str">
        <x:v>AoE; cleave; blaster</x:v>
      </x:c>
      <x:c r="J1110" s="24" t="str">
        <x:v>Defines party contribution, encounter behavior, targeting, survivability, and tactical niche.</x:v>
      </x:c>
      <x:c r="K1110" s="24" t="str">
        <x:v>AoE; cleave; blaster</x:v>
      </x:c>
      <x:c r="L1110" s="24" t="str">
        <x:v>Preserve each source's ontology, culture, history, and terminology when making comparisons.</x:v>
      </x:c>
      <x:c r="M1110" s="24" t="str">
        <x:v>Core Family</x:v>
      </x:c>
    </x:row>
    <x:row r="1111" ht="44" customHeight="1">
      <x:c r="A1111" s="24" t="str">
        <x:v>MEC-110</x:v>
      </x:c>
      <x:c r="B1111" s="24" t="str">
        <x:v>Single-Target Damage</x:v>
      </x:c>
      <x:c r="C1111" s="24" t="str">
        <x:v>Game-Mechanical Archetypes</x:v>
      </x:c>
      <x:c r="D1111" s="24" t="str">
        <x:v>MEC-100</x:v>
      </x:c>
      <x:c r="E1111" s="24" t="str">
        <x:f>IF(D1111="","",IFERROR(VLOOKUP(D1111,$A$2:$B$1226,2,FALSE),""))</x:f>
        <x:v>Combat Function Archetypes</x:v>
      </x:c>
      <x:c r="F1111" s="24" t="n">
        <x:v>3</x:v>
      </x:c>
      <x:c r="G1111" s="24" t="str">
        <x:v>Role specializing in concentrated damage against one priority target.</x:v>
      </x:c>
      <x:c r="H1111" s="24" t="str">
        <x:v>Record system, edition, encounter assumptions, and party size before comparing balance.</x:v>
      </x:c>
      <x:c r="I1111" s="24" t="str">
        <x:v>boss killer; duelist; sniper</x:v>
      </x:c>
      <x:c r="J1111" s="24" t="str">
        <x:v>Defines party contribution, encounter behavior, targeting, survivability, and tactical niche.</x:v>
      </x:c>
      <x:c r="K1111" s="24" t="str">
        <x:v>boss killer; duelist; sniper</x:v>
      </x:c>
      <x:c r="L1111" s="24" t="str">
        <x:v>Preserve each source's ontology, culture, history, and terminology when making comparisons.</x:v>
      </x:c>
      <x:c r="M1111" s="24" t="str">
        <x:v>Core Family</x:v>
      </x:c>
    </x:row>
    <x:row r="1112" ht="44" customHeight="1">
      <x:c r="A1112" s="24" t="str">
        <x:v>MEC-111</x:v>
      </x:c>
      <x:c r="B1112" s="24" t="str">
        <x:v>Damage-over-Time Specialist</x:v>
      </x:c>
      <x:c r="C1112" s="24" t="str">
        <x:v>Game-Mechanical Archetypes</x:v>
      </x:c>
      <x:c r="D1112" s="24" t="str">
        <x:v>MEC-100</x:v>
      </x:c>
      <x:c r="E1112" s="24" t="str">
        <x:f>IF(D1112="","",IFERROR(VLOOKUP(D1112,$A$2:$B$1226,2,FALSE),""))</x:f>
        <x:v>Combat Function Archetypes</x:v>
      </x:c>
      <x:c r="F1112" s="24" t="n">
        <x:v>3</x:v>
      </x:c>
      <x:c r="G1112" s="24" t="str">
        <x:v>Role applying persistent effects that accumulate or spread over time.</x:v>
      </x:c>
      <x:c r="H1112" s="24" t="str">
        <x:v>Record system, edition, encounter assumptions, and party size before comparing balance.</x:v>
      </x:c>
      <x:c r="I1112" s="24" t="str">
        <x:v>DoT class; poisoner; curse damage</x:v>
      </x:c>
      <x:c r="J1112" s="24" t="str">
        <x:v>Defines party contribution, encounter behavior, targeting, survivability, and tactical niche.</x:v>
      </x:c>
      <x:c r="K1112" s="24" t="str">
        <x:v>DoT class; poisoner; curse damage</x:v>
      </x:c>
      <x:c r="L1112" s="24" t="str">
        <x:v>Preserve each source's ontology, culture, history, and terminology when making comparisons.</x:v>
      </x:c>
      <x:c r="M1112" s="24" t="str">
        <x:v>Core Family</x:v>
      </x:c>
    </x:row>
    <x:row r="1113" ht="44" customHeight="1">
      <x:c r="A1113" s="24" t="str">
        <x:v>MEC-112</x:v>
      </x:c>
      <x:c r="B1113" s="24" t="str">
        <x:v>Healer</x:v>
      </x:c>
      <x:c r="C1113" s="24" t="str">
        <x:v>Game-Mechanical Archetypes</x:v>
      </x:c>
      <x:c r="D1113" s="24" t="str">
        <x:v>MEC-100</x:v>
      </x:c>
      <x:c r="E1113" s="24" t="str">
        <x:f>IF(D1113="","",IFERROR(VLOOKUP(D1113,$A$2:$B$1226,2,FALSE),""))</x:f>
        <x:v>Combat Function Archetypes</x:v>
      </x:c>
      <x:c r="F1113" s="24" t="n">
        <x:v>3</x:v>
      </x:c>
      <x:c r="G1113" s="24" t="str">
        <x:v>Role restoring health, removing conditions, and preventing defeat.</x:v>
      </x:c>
      <x:c r="H1113" s="24" t="str">
        <x:v>Record system, edition, encounter assumptions, and party size before comparing balance.</x:v>
      </x:c>
      <x:c r="I1113" s="24" t="str">
        <x:v>healer; medic; restoration</x:v>
      </x:c>
      <x:c r="J1113" s="24" t="str">
        <x:v>Defines party contribution, encounter behavior, targeting, survivability, and tactical niche.</x:v>
      </x:c>
      <x:c r="K1113" s="24" t="str">
        <x:v>healer; medic; restoration</x:v>
      </x:c>
      <x:c r="L1113" s="24" t="str">
        <x:v>Preserve each source's ontology, culture, history, and terminology when making comparisons.</x:v>
      </x:c>
      <x:c r="M1113" s="24" t="str">
        <x:v>Core Family</x:v>
      </x:c>
    </x:row>
    <x:row r="1114" ht="44" customHeight="1">
      <x:c r="A1114" s="24" t="str">
        <x:v>MEC-113</x:v>
      </x:c>
      <x:c r="B1114" s="24" t="str">
        <x:v>Burst Healer</x:v>
      </x:c>
      <x:c r="C1114" s="24" t="str">
        <x:v>Game-Mechanical Archetypes</x:v>
      </x:c>
      <x:c r="D1114" s="24" t="str">
        <x:v>MEC-100</x:v>
      </x:c>
      <x:c r="E1114" s="24" t="str">
        <x:f>IF(D1114="","",IFERROR(VLOOKUP(D1114,$A$2:$B$1226,2,FALSE),""))</x:f>
        <x:v>Combat Function Archetypes</x:v>
      </x:c>
      <x:c r="F1114" s="24" t="n">
        <x:v>3</x:v>
      </x:c>
      <x:c r="G1114" s="24" t="str">
        <x:v>Healer specializing in rapid recovery after sudden damage.</x:v>
      </x:c>
      <x:c r="H1114" s="24" t="str">
        <x:v>Record system, edition, encounter assumptions, and party size before comparing balance.</x:v>
      </x:c>
      <x:c r="I1114" s="24" t="str">
        <x:v>burst healing; direct healer</x:v>
      </x:c>
      <x:c r="J1114" s="24" t="str">
        <x:v>Defines party contribution, encounter behavior, targeting, survivability, and tactical niche.</x:v>
      </x:c>
      <x:c r="K1114" s="24" t="str">
        <x:v>burst healing; direct healer</x:v>
      </x:c>
      <x:c r="L1114" s="24" t="str">
        <x:v>Preserve each source's ontology, culture, history, and terminology when making comparisons.</x:v>
      </x:c>
      <x:c r="M1114" s="24" t="str">
        <x:v>Core Family</x:v>
      </x:c>
    </x:row>
    <x:row r="1115" ht="44" customHeight="1">
      <x:c r="A1115" s="24" t="str">
        <x:v>MEC-114</x:v>
      </x:c>
      <x:c r="B1115" s="24" t="str">
        <x:v>Sustain Healer</x:v>
      </x:c>
      <x:c r="C1115" s="24" t="str">
        <x:v>Game-Mechanical Archetypes</x:v>
      </x:c>
      <x:c r="D1115" s="24" t="str">
        <x:v>MEC-100</x:v>
      </x:c>
      <x:c r="E1115" s="24" t="str">
        <x:f>IF(D1115="","",IFERROR(VLOOKUP(D1115,$A$2:$B$1226,2,FALSE),""))</x:f>
        <x:v>Combat Function Archetypes</x:v>
      </x:c>
      <x:c r="F1115" s="24" t="n">
        <x:v>3</x:v>
      </x:c>
      <x:c r="G1115" s="24" t="str">
        <x:v>Healer specializing in regeneration, efficiency, and long encounters.</x:v>
      </x:c>
      <x:c r="H1115" s="24" t="str">
        <x:v>Record system, edition, encounter assumptions, and party size before comparing balance.</x:v>
      </x:c>
      <x:c r="I1115" s="24" t="str">
        <x:v>heal-over-time; sustain healer</x:v>
      </x:c>
      <x:c r="J1115" s="24" t="str">
        <x:v>Defines party contribution, encounter behavior, targeting, survivability, and tactical niche.</x:v>
      </x:c>
      <x:c r="K1115" s="24" t="str">
        <x:v>heal-over-time; sustain healer</x:v>
      </x:c>
      <x:c r="L1115" s="24" t="str">
        <x:v>Preserve each source's ontology, culture, history, and terminology when making comparisons.</x:v>
      </x:c>
      <x:c r="M1115" s="24" t="str">
        <x:v>Core Family</x:v>
      </x:c>
    </x:row>
    <x:row r="1116" ht="44" customHeight="1">
      <x:c r="A1116" s="24" t="str">
        <x:v>MEC-115</x:v>
      </x:c>
      <x:c r="B1116" s="24" t="str">
        <x:v>Barrier or Shield Healer</x:v>
      </x:c>
      <x:c r="C1116" s="24" t="str">
        <x:v>Game-Mechanical Archetypes</x:v>
      </x:c>
      <x:c r="D1116" s="24" t="str">
        <x:v>MEC-100</x:v>
      </x:c>
      <x:c r="E1116" s="24" t="str">
        <x:f>IF(D1116="","",IFERROR(VLOOKUP(D1116,$A$2:$B$1226,2,FALSE),""))</x:f>
        <x:v>Combat Function Archetypes</x:v>
      </x:c>
      <x:c r="F1116" s="24" t="n">
        <x:v>3</x:v>
      </x:c>
      <x:c r="G1116" s="24" t="str">
        <x:v>Support role preventing damage through wards, shields, and predictive mitigation.</x:v>
      </x:c>
      <x:c r="H1116" s="24" t="str">
        <x:v>Record system, edition, encounter assumptions, and party size before comparing balance.</x:v>
      </x:c>
      <x:c r="I1116" s="24" t="str">
        <x:v>barrier healer; shield support</x:v>
      </x:c>
      <x:c r="J1116" s="24" t="str">
        <x:v>Defines party contribution, encounter behavior, targeting, survivability, and tactical niche.</x:v>
      </x:c>
      <x:c r="K1116" s="24" t="str">
        <x:v>barrier healer; shield support</x:v>
      </x:c>
      <x:c r="L1116" s="24" t="str">
        <x:v>Preserve each source's ontology, culture, history, and terminology when making comparisons.</x:v>
      </x:c>
      <x:c r="M1116" s="24" t="str">
        <x:v>Core Family</x:v>
      </x:c>
    </x:row>
    <x:row r="1117" ht="44" customHeight="1">
      <x:c r="A1117" s="24" t="str">
        <x:v>MEC-116</x:v>
      </x:c>
      <x:c r="B1117" s="24" t="str">
        <x:v>Buffer</x:v>
      </x:c>
      <x:c r="C1117" s="24" t="str">
        <x:v>Game-Mechanical Archetypes</x:v>
      </x:c>
      <x:c r="D1117" s="24" t="str">
        <x:v>MEC-100</x:v>
      </x:c>
      <x:c r="E1117" s="24" t="str">
        <x:f>IF(D1117="","",IFERROR(VLOOKUP(D1117,$A$2:$B$1226,2,FALSE),""))</x:f>
        <x:v>Combat Function Archetypes</x:v>
      </x:c>
      <x:c r="F1117" s="24" t="n">
        <x:v>3</x:v>
      </x:c>
      <x:c r="G1117" s="24" t="str">
        <x:v>Role increasing allies' damage, defense, speed, accuracy, resource gain, or other capabilities.</x:v>
      </x:c>
      <x:c r="H1117" s="24" t="str">
        <x:v>Record system, edition, encounter assumptions, and party size before comparing balance.</x:v>
      </x:c>
      <x:c r="I1117" s="24" t="str">
        <x:v>buffer; enhancer; support</x:v>
      </x:c>
      <x:c r="J1117" s="24" t="str">
        <x:v>Defines party contribution, encounter behavior, targeting, survivability, and tactical niche.</x:v>
      </x:c>
      <x:c r="K1117" s="24" t="str">
        <x:v>buffer; enhancer; support</x:v>
      </x:c>
      <x:c r="L1117" s="24" t="str">
        <x:v>Preserve each source's ontology, culture, history, and terminology when making comparisons.</x:v>
      </x:c>
      <x:c r="M1117" s="24" t="str">
        <x:v>Core Family</x:v>
      </x:c>
    </x:row>
    <x:row r="1118" ht="44" customHeight="1">
      <x:c r="A1118" s="24" t="str">
        <x:v>MEC-117</x:v>
      </x:c>
      <x:c r="B1118" s="24" t="str">
        <x:v>Debuffer</x:v>
      </x:c>
      <x:c r="C1118" s="24" t="str">
        <x:v>Game-Mechanical Archetypes</x:v>
      </x:c>
      <x:c r="D1118" s="24" t="str">
        <x:v>MEC-100</x:v>
      </x:c>
      <x:c r="E1118" s="24" t="str">
        <x:f>IF(D1118="","",IFERROR(VLOOKUP(D1118,$A$2:$B$1226,2,FALSE),""))</x:f>
        <x:v>Combat Function Archetypes</x:v>
      </x:c>
      <x:c r="F1118" s="24" t="n">
        <x:v>3</x:v>
      </x:c>
      <x:c r="G1118" s="24" t="str">
        <x:v>Role weakening enemies through status conditions, vulnerability, slow, silence, or reduced attributes.</x:v>
      </x:c>
      <x:c r="H1118" s="24" t="str">
        <x:v>Record system, edition, encounter assumptions, and party size before comparing balance.</x:v>
      </x:c>
      <x:c r="I1118" s="24" t="str">
        <x:v>debuffer; hexer; status specialist</x:v>
      </x:c>
      <x:c r="J1118" s="24" t="str">
        <x:v>Defines party contribution, encounter behavior, targeting, survivability, and tactical niche.</x:v>
      </x:c>
      <x:c r="K1118" s="24" t="str">
        <x:v>debuffer; hexer; status specialist</x:v>
      </x:c>
      <x:c r="L1118" s="24" t="str">
        <x:v>Preserve each source's ontology, culture, history, and terminology when making comparisons.</x:v>
      </x:c>
      <x:c r="M1118" s="24" t="str">
        <x:v>Core Family</x:v>
      </x:c>
    </x:row>
    <x:row r="1119" ht="44" customHeight="1">
      <x:c r="A1119" s="24" t="str">
        <x:v>MEC-118</x:v>
      </x:c>
      <x:c r="B1119" s="24" t="str">
        <x:v>Controller</x:v>
      </x:c>
      <x:c r="C1119" s="24" t="str">
        <x:v>Game-Mechanical Archetypes</x:v>
      </x:c>
      <x:c r="D1119" s="24" t="str">
        <x:v>MEC-100</x:v>
      </x:c>
      <x:c r="E1119" s="24" t="str">
        <x:f>IF(D1119="","",IFERROR(VLOOKUP(D1119,$A$2:$B$1226,2,FALSE),""))</x:f>
        <x:v>Combat Function Archetypes</x:v>
      </x:c>
      <x:c r="F1119" s="24" t="n">
        <x:v>3</x:v>
      </x:c>
      <x:c r="G1119" s="24" t="str">
        <x:v>Role shaping enemy options, movement, actions, zones, and encounter tempo.</x:v>
      </x:c>
      <x:c r="H1119" s="24" t="str">
        <x:v>Record system, edition, encounter assumptions, and party size before comparing balance.</x:v>
      </x:c>
      <x:c r="I1119" s="24" t="str">
        <x:v>controller; battlefield control; lockdown</x:v>
      </x:c>
      <x:c r="J1119" s="24" t="str">
        <x:v>Defines party contribution, encounter behavior, targeting, survivability, and tactical niche.</x:v>
      </x:c>
      <x:c r="K1119" s="24" t="str">
        <x:v>controller; battlefield control; lockdown</x:v>
      </x:c>
      <x:c r="L1119" s="24" t="str">
        <x:v>Preserve each source's ontology, culture, history, and terminology when making comparisons.</x:v>
      </x:c>
      <x:c r="M1119" s="24" t="str">
        <x:v>Core Family</x:v>
      </x:c>
    </x:row>
    <x:row r="1120" ht="44" customHeight="1">
      <x:c r="A1120" s="24" t="str">
        <x:v>MEC-119</x:v>
      </x:c>
      <x:c r="B1120" s="24" t="str">
        <x:v>Crowd-Control Specialist</x:v>
      </x:c>
      <x:c r="C1120" s="24" t="str">
        <x:v>Game-Mechanical Archetypes</x:v>
      </x:c>
      <x:c r="D1120" s="24" t="str">
        <x:v>MEC-100</x:v>
      </x:c>
      <x:c r="E1120" s="24" t="str">
        <x:f>IF(D1120="","",IFERROR(VLOOKUP(D1120,$A$2:$B$1226,2,FALSE),""))</x:f>
        <x:v>Combat Function Archetypes</x:v>
      </x:c>
      <x:c r="F1120" s="24" t="n">
        <x:v>3</x:v>
      </x:c>
      <x:c r="G1120" s="24" t="str">
        <x:v>Role disabling or displacing multiple enemies through stun, sleep, fear, roots, and similar effects.</x:v>
      </x:c>
      <x:c r="H1120" s="24" t="str">
        <x:v>Record system, edition, encounter assumptions, and party size before comparing balance.</x:v>
      </x:c>
      <x:c r="I1120" s="24" t="str">
        <x:v>CC; mesmerist; crowd controller</x:v>
      </x:c>
      <x:c r="J1120" s="24" t="str">
        <x:v>Defines party contribution, encounter behavior, targeting, survivability, and tactical niche.</x:v>
      </x:c>
      <x:c r="K1120" s="24" t="str">
        <x:v>CC; mesmerist; crowd controller</x:v>
      </x:c>
      <x:c r="L1120" s="24" t="str">
        <x:v>Preserve each source's ontology, culture, history, and terminology when making comparisons.</x:v>
      </x:c>
      <x:c r="M1120" s="24" t="str">
        <x:v>Core Family</x:v>
      </x:c>
    </x:row>
    <x:row r="1121" ht="44" customHeight="1">
      <x:c r="A1121" s="24" t="str">
        <x:v>MEC-120</x:v>
      </x:c>
      <x:c r="B1121" s="24" t="str">
        <x:v>Skirmisher</x:v>
      </x:c>
      <x:c r="C1121" s="24" t="str">
        <x:v>Game-Mechanical Archetypes</x:v>
      </x:c>
      <x:c r="D1121" s="24" t="str">
        <x:v>MEC-100</x:v>
      </x:c>
      <x:c r="E1121" s="24" t="str">
        <x:f>IF(D1121="","",IFERROR(VLOOKUP(D1121,$A$2:$B$1226,2,FALSE),""))</x:f>
        <x:v>Combat Function Archetypes</x:v>
      </x:c>
      <x:c r="F1121" s="24" t="n">
        <x:v>3</x:v>
      </x:c>
      <x:c r="G1121" s="24" t="str">
        <x:v>Mobile role that enters and exits danger, exploits flanks, and avoids sustained contact.</x:v>
      </x:c>
      <x:c r="H1121" s="24" t="str">
        <x:v>Record system, edition, encounter assumptions, and party size before comparing balance.</x:v>
      </x:c>
      <x:c r="I1121" s="24" t="str">
        <x:v>skirmisher; mobile striker; harasser</x:v>
      </x:c>
      <x:c r="J1121" s="24" t="str">
        <x:v>Defines party contribution, encounter behavior, targeting, survivability, and tactical niche.</x:v>
      </x:c>
      <x:c r="K1121" s="24" t="str">
        <x:v>skirmisher; mobile striker; harasser</x:v>
      </x:c>
      <x:c r="L1121" s="24" t="str">
        <x:v>Preserve each source's ontology, culture, history, and terminology when making comparisons.</x:v>
      </x:c>
      <x:c r="M1121" s="24" t="str">
        <x:v>Core Family</x:v>
      </x:c>
    </x:row>
    <x:row r="1122" ht="44" customHeight="1">
      <x:c r="A1122" s="24" t="str">
        <x:v>MEC-121</x:v>
      </x:c>
      <x:c r="B1122" s="24" t="str">
        <x:v>Artillery</x:v>
      </x:c>
      <x:c r="C1122" s="24" t="str">
        <x:v>Game-Mechanical Archetypes</x:v>
      </x:c>
      <x:c r="D1122" s="24" t="str">
        <x:v>MEC-100</x:v>
      </x:c>
      <x:c r="E1122" s="24" t="str">
        <x:f>IF(D1122="","",IFERROR(VLOOKUP(D1122,$A$2:$B$1226,2,FALSE),""))</x:f>
        <x:v>Combat Function Archetypes</x:v>
      </x:c>
      <x:c r="F1122" s="24" t="n">
        <x:v>3</x:v>
      </x:c>
      <x:c r="G1122" s="24" t="str">
        <x:v>Long-range role with high output, area effects, or setup requirements and low close-range safety.</x:v>
      </x:c>
      <x:c r="H1122" s="24" t="str">
        <x:v>Record system, edition, encounter assumptions, and party size before comparing balance.</x:v>
      </x:c>
      <x:c r="I1122" s="24" t="str">
        <x:v>artillery; siege caster; sniper mage</x:v>
      </x:c>
      <x:c r="J1122" s="24" t="str">
        <x:v>Defines party contribution, encounter behavior, targeting, survivability, and tactical niche.</x:v>
      </x:c>
      <x:c r="K1122" s="24" t="str">
        <x:v>artillery; siege caster; sniper mage</x:v>
      </x:c>
      <x:c r="L1122" s="24" t="str">
        <x:v>Preserve each source's ontology, culture, history, and terminology when making comparisons.</x:v>
      </x:c>
      <x:c r="M1122" s="24" t="str">
        <x:v>Core Family</x:v>
      </x:c>
    </x:row>
    <x:row r="1123" ht="44" customHeight="1">
      <x:c r="A1123" s="24" t="str">
        <x:v>MEC-122</x:v>
      </x:c>
      <x:c r="B1123" s="24" t="str">
        <x:v>Assassin</x:v>
      </x:c>
      <x:c r="C1123" s="24" t="str">
        <x:v>Game-Mechanical Archetypes</x:v>
      </x:c>
      <x:c r="D1123" s="24" t="str">
        <x:v>MEC-100</x:v>
      </x:c>
      <x:c r="E1123" s="24" t="str">
        <x:f>IF(D1123="","",IFERROR(VLOOKUP(D1123,$A$2:$B$1226,2,FALSE),""))</x:f>
        <x:v>Combat Function Archetypes</x:v>
      </x:c>
      <x:c r="F1123" s="24" t="n">
        <x:v>3</x:v>
      </x:c>
      <x:c r="G1123" s="24" t="str">
        <x:v>Role optimized for target access, burst, stealth, and elimination of vulnerable priorities.</x:v>
      </x:c>
      <x:c r="H1123" s="24" t="str">
        <x:v>Record system, edition, encounter assumptions, and party size before comparing balance.</x:v>
      </x:c>
      <x:c r="I1123" s="24" t="str">
        <x:v>assassin; rogue burst; executioner</x:v>
      </x:c>
      <x:c r="J1123" s="24" t="str">
        <x:v>Defines party contribution, encounter behavior, targeting, survivability, and tactical niche.</x:v>
      </x:c>
      <x:c r="K1123" s="24" t="str">
        <x:v>assassin; rogue burst; executioner</x:v>
      </x:c>
      <x:c r="L1123" s="24" t="str">
        <x:v>Preserve each source's ontology, culture, history, and terminology when making comparisons.</x:v>
      </x:c>
      <x:c r="M1123" s="24" t="str">
        <x:v>Core Family</x:v>
      </x:c>
    </x:row>
    <x:row r="1124" ht="44" customHeight="1">
      <x:c r="A1124" s="24" t="str">
        <x:v>MEC-123</x:v>
      </x:c>
      <x:c r="B1124" s="24" t="str">
        <x:v>Defender</x:v>
      </x:c>
      <x:c r="C1124" s="24" t="str">
        <x:v>Game-Mechanical Archetypes</x:v>
      </x:c>
      <x:c r="D1124" s="24" t="str">
        <x:v>MEC-100</x:v>
      </x:c>
      <x:c r="E1124" s="24" t="str">
        <x:f>IF(D1124="","",IFERROR(VLOOKUP(D1124,$A$2:$B$1226,2,FALSE),""))</x:f>
        <x:v>Combat Function Archetypes</x:v>
      </x:c>
      <x:c r="F1124" s="24" t="n">
        <x:v>3</x:v>
      </x:c>
      <x:c r="G1124" s="24" t="str">
        <x:v>Role preventing harm through interception, control, blocking, and threat management rather than only raw health.</x:v>
      </x:c>
      <x:c r="H1124" s="24" t="str">
        <x:v>Record system, edition, encounter assumptions, and party size before comparing balance.</x:v>
      </x:c>
      <x:c r="I1124" s="24" t="str">
        <x:v>defender; protector; guardian</x:v>
      </x:c>
      <x:c r="J1124" s="24" t="str">
        <x:v>Defines party contribution, encounter behavior, targeting, survivability, and tactical niche.</x:v>
      </x:c>
      <x:c r="K1124" s="24" t="str">
        <x:v>defender; protector; guardian</x:v>
      </x:c>
      <x:c r="L1124" s="24" t="str">
        <x:v>Preserve each source's ontology, culture, history, and terminology when making comparisons.</x:v>
      </x:c>
      <x:c r="M1124" s="24" t="str">
        <x:v>Core Family</x:v>
      </x:c>
    </x:row>
    <x:row r="1125" ht="44" customHeight="1">
      <x:c r="A1125" s="24" t="str">
        <x:v>MEC-124</x:v>
      </x:c>
      <x:c r="B1125" s="24" t="str">
        <x:v>Leader or Tactical Support</x:v>
      </x:c>
      <x:c r="C1125" s="24" t="str">
        <x:v>Game-Mechanical Archetypes</x:v>
      </x:c>
      <x:c r="D1125" s="24" t="str">
        <x:v>MEC-100</x:v>
      </x:c>
      <x:c r="E1125" s="24" t="str">
        <x:f>IF(D1125="","",IFERROR(VLOOKUP(D1125,$A$2:$B$1226,2,FALSE),""))</x:f>
        <x:v>Combat Function Archetypes</x:v>
      </x:c>
      <x:c r="F1125" s="24" t="n">
        <x:v>3</x:v>
      </x:c>
      <x:c r="G1125" s="24" t="str">
        <x:v>Role granting actions, movement, morale, healing, or coordination to allies.</x:v>
      </x:c>
      <x:c r="H1125" s="24" t="str">
        <x:v>Record system, edition, encounter assumptions, and party size before comparing balance.</x:v>
      </x:c>
      <x:c r="I1125" s="24" t="str">
        <x:v>leader; warlord; commander</x:v>
      </x:c>
      <x:c r="J1125" s="24" t="str">
        <x:v>Defines party contribution, encounter behavior, targeting, survivability, and tactical niche.</x:v>
      </x:c>
      <x:c r="K1125" s="24" t="str">
        <x:v>leader; warlord; commander</x:v>
      </x:c>
      <x:c r="L1125" s="24" t="str">
        <x:v>Preserve each source's ontology, culture, history, and terminology when making comparisons.</x:v>
      </x:c>
      <x:c r="M1125" s="24" t="str">
        <x:v>Core Family</x:v>
      </x:c>
    </x:row>
    <x:row r="1126" ht="44" customHeight="1">
      <x:c r="A1126" s="24" t="str">
        <x:v>MEC-125</x:v>
      </x:c>
      <x:c r="B1126" s="24" t="str">
        <x:v>Zone Controller</x:v>
      </x:c>
      <x:c r="C1126" s="24" t="str">
        <x:v>Game-Mechanical Archetypes</x:v>
      </x:c>
      <x:c r="D1126" s="24" t="str">
        <x:v>MEC-100</x:v>
      </x:c>
      <x:c r="E1126" s="24" t="str">
        <x:f>IF(D1126="","",IFERROR(VLOOKUP(D1126,$A$2:$B$1226,2,FALSE),""))</x:f>
        <x:v>Combat Function Archetypes</x:v>
      </x:c>
      <x:c r="F1126" s="24" t="n">
        <x:v>3</x:v>
      </x:c>
      <x:c r="G1126" s="24" t="str">
        <x:v>Role creating persistent hazardous, protective, or restrictive areas.</x:v>
      </x:c>
      <x:c r="H1126" s="24" t="str">
        <x:v>Record system, edition, encounter assumptions, and party size before comparing balance.</x:v>
      </x:c>
      <x:c r="I1126" s="24" t="str">
        <x:v>zone control; field caster; trapper</x:v>
      </x:c>
      <x:c r="J1126" s="24" t="str">
        <x:v>Defines party contribution, encounter behavior, targeting, survivability, and tactical niche.</x:v>
      </x:c>
      <x:c r="K1126" s="24" t="str">
        <x:v>zone control; field caster; trapper</x:v>
      </x:c>
      <x:c r="L1126" s="24" t="str">
        <x:v>Preserve each source's ontology, culture, history, and terminology when making comparisons.</x:v>
      </x:c>
      <x:c r="M1126" s="24" t="str">
        <x:v>Core Family</x:v>
      </x:c>
    </x:row>
    <x:row r="1127" ht="44" customHeight="1">
      <x:c r="A1127" s="24" t="str">
        <x:v>MEC-126</x:v>
      </x:c>
      <x:c r="B1127" s="24" t="str">
        <x:v>Counterattacker</x:v>
      </x:c>
      <x:c r="C1127" s="24" t="str">
        <x:v>Game-Mechanical Archetypes</x:v>
      </x:c>
      <x:c r="D1127" s="24" t="str">
        <x:v>MEC-100</x:v>
      </x:c>
      <x:c r="E1127" s="24" t="str">
        <x:f>IF(D1127="","",IFERROR(VLOOKUP(D1127,$A$2:$B$1226,2,FALSE),""))</x:f>
        <x:v>Combat Function Archetypes</x:v>
      </x:c>
      <x:c r="F1127" s="24" t="n">
        <x:v>3</x:v>
      </x:c>
      <x:c r="G1127" s="24" t="str">
        <x:v>Role whose output depends on parries, retaliation, reflected damage, or enemy actions.</x:v>
      </x:c>
      <x:c r="H1127" s="24" t="str">
        <x:v>Record system, edition, encounter assumptions, and party size before comparing balance.</x:v>
      </x:c>
      <x:c r="I1127" s="24" t="str">
        <x:v>counter tank; riposte; reactive fighter</x:v>
      </x:c>
      <x:c r="J1127" s="24" t="str">
        <x:v>Defines party contribution, encounter behavior, targeting, survivability, and tactical niche.</x:v>
      </x:c>
      <x:c r="K1127" s="24" t="str">
        <x:v>counter tank; riposte; reactive fighter</x:v>
      </x:c>
      <x:c r="L1127" s="24" t="str">
        <x:v>Preserve each source's ontology, culture, history, and terminology when making comparisons.</x:v>
      </x:c>
      <x:c r="M1127" s="24" t="str">
        <x:v>Core Family</x:v>
      </x:c>
    </x:row>
    <x:row r="1128" ht="44" customHeight="1">
      <x:c r="A1128" s="24" t="str">
        <x:v>MEC-127</x:v>
      </x:c>
      <x:c r="B1128" s="24" t="str">
        <x:v>Glass Cannon</x:v>
      </x:c>
      <x:c r="C1128" s="24" t="str">
        <x:v>Game-Mechanical Archetypes</x:v>
      </x:c>
      <x:c r="D1128" s="24" t="str">
        <x:v>MEC-100</x:v>
      </x:c>
      <x:c r="E1128" s="24" t="str">
        <x:f>IF(D1128="","",IFERROR(VLOOKUP(D1128,$A$2:$B$1226,2,FALSE),""))</x:f>
        <x:v>Combat Function Archetypes</x:v>
      </x:c>
      <x:c r="F1128" s="24" t="n">
        <x:v>3</x:v>
      </x:c>
      <x:c r="G1128" s="24" t="str">
        <x:v>Role with exceptional output and low durability or narrow defensive margin.</x:v>
      </x:c>
      <x:c r="H1128" s="24" t="str">
        <x:v>Record system, edition, encounter assumptions, and party size before comparing balance.</x:v>
      </x:c>
      <x:c r="I1128" s="24" t="str">
        <x:v>glass cannon; fragile nuker</x:v>
      </x:c>
      <x:c r="J1128" s="24" t="str">
        <x:v>Defines party contribution, encounter behavior, targeting, survivability, and tactical niche.</x:v>
      </x:c>
      <x:c r="K1128" s="24" t="str">
        <x:v>glass cannon; fragile nuker</x:v>
      </x:c>
      <x:c r="L1128" s="24" t="str">
        <x:v>Preserve each source's ontology, culture, history, and terminology when making comparisons.</x:v>
      </x:c>
      <x:c r="M1128" s="24" t="str">
        <x:v>Core Family</x:v>
      </x:c>
    </x:row>
    <x:row r="1129" ht="44" customHeight="1">
      <x:c r="A1129" s="24" t="str">
        <x:v>MEC-128</x:v>
      </x:c>
      <x:c r="B1129" s="24" t="str">
        <x:v>Jack-of-All-Trades</x:v>
      </x:c>
      <x:c r="C1129" s="24" t="str">
        <x:v>Game-Mechanical Archetypes</x:v>
      </x:c>
      <x:c r="D1129" s="24" t="str">
        <x:v>MEC-100</x:v>
      </x:c>
      <x:c r="E1129" s="24" t="str">
        <x:f>IF(D1129="","",IFERROR(VLOOKUP(D1129,$A$2:$B$1226,2,FALSE),""))</x:f>
        <x:v>Combat Function Archetypes</x:v>
      </x:c>
      <x:c r="F1129" s="24" t="n">
        <x:v>3</x:v>
      </x:c>
      <x:c r="G1129" s="24" t="str">
        <x:v>Flexible role competent in many functions but not dominant in any one.</x:v>
      </x:c>
      <x:c r="H1129" s="24" t="str">
        <x:v>Record system, edition, encounter assumptions, and party size before comparing balance.</x:v>
      </x:c>
      <x:c r="I1129" s="24" t="str">
        <x:v>generalist; red mage; hybrid</x:v>
      </x:c>
      <x:c r="J1129" s="24" t="str">
        <x:v>Defines party contribution, encounter behavior, targeting, survivability, and tactical niche.</x:v>
      </x:c>
      <x:c r="K1129" s="24" t="str">
        <x:v>generalist; red mage; hybrid</x:v>
      </x:c>
      <x:c r="L1129" s="24" t="str">
        <x:v>Preserve each source's ontology, culture, history, and terminology when making comparisons.</x:v>
      </x:c>
      <x:c r="M1129" s="24" t="str">
        <x:v>Core Family</x:v>
      </x:c>
    </x:row>
    <x:row r="1130" ht="44" customHeight="1">
      <x:c r="A1130" s="24" t="str">
        <x:v>MEC-129</x:v>
      </x:c>
      <x:c r="B1130" s="24" t="str">
        <x:v>Specialist</x:v>
      </x:c>
      <x:c r="C1130" s="24" t="str">
        <x:v>Game-Mechanical Archetypes</x:v>
      </x:c>
      <x:c r="D1130" s="24" t="str">
        <x:v>MEC-100</x:v>
      </x:c>
      <x:c r="E1130" s="24" t="str">
        <x:f>IF(D1130="","",IFERROR(VLOOKUP(D1130,$A$2:$B$1226,2,FALSE),""))</x:f>
        <x:v>Combat Function Archetypes</x:v>
      </x:c>
      <x:c r="F1130" s="24" t="n">
        <x:v>3</x:v>
      </x:c>
      <x:c r="G1130" s="24" t="str">
        <x:v>Role extremely strong in a narrow function and weak outside it.</x:v>
      </x:c>
      <x:c r="H1130" s="24" t="str">
        <x:v>Record system, edition, encounter assumptions, and party size before comparing balance.</x:v>
      </x:c>
      <x:c r="I1130" s="24" t="str">
        <x:v>specialist; niche class</x:v>
      </x:c>
      <x:c r="J1130" s="24" t="str">
        <x:v>Defines party contribution, encounter behavior, targeting, survivability, and tactical niche.</x:v>
      </x:c>
      <x:c r="K1130" s="24" t="str">
        <x:v>specialist; niche class</x:v>
      </x:c>
      <x:c r="L1130" s="24" t="str">
        <x:v>Preserve each source's ontology, culture, history, and terminology when making comparisons.</x:v>
      </x:c>
      <x:c r="M1130" s="24" t="str">
        <x:v>Core Family</x:v>
      </x:c>
    </x:row>
    <x:row r="1131" ht="44" customHeight="1">
      <x:c r="A1131" s="24" t="str">
        <x:v>MEC-130</x:v>
      </x:c>
      <x:c r="B1131" s="24" t="str">
        <x:v>Skill Monkey</x:v>
      </x:c>
      <x:c r="C1131" s="24" t="str">
        <x:v>Game-Mechanical Archetypes</x:v>
      </x:c>
      <x:c r="D1131" s="24" t="str">
        <x:v>MEC-100</x:v>
      </x:c>
      <x:c r="E1131" s="24" t="str">
        <x:f>IF(D1131="","",IFERROR(VLOOKUP(D1131,$A$2:$B$1226,2,FALSE),""))</x:f>
        <x:v>Combat Function Archetypes</x:v>
      </x:c>
      <x:c r="F1131" s="24" t="n">
        <x:v>3</x:v>
      </x:c>
      <x:c r="G1131" s="24" t="str">
        <x:v>Role with broad noncombat skills, expertise, utility, and problem-solving coverage.</x:v>
      </x:c>
      <x:c r="H1131" s="24" t="str">
        <x:v>Record system, edition, encounter assumptions, and party size before comparing balance.</x:v>
      </x:c>
      <x:c r="I1131" s="24" t="str">
        <x:v>skill monkey; expert; rogue utility</x:v>
      </x:c>
      <x:c r="J1131" s="24" t="str">
        <x:v>Defines party contribution, encounter behavior, targeting, survivability, and tactical niche.</x:v>
      </x:c>
      <x:c r="K1131" s="24" t="str">
        <x:v>skill monkey; expert; rogue utility</x:v>
      </x:c>
      <x:c r="L1131" s="24" t="str">
        <x:v>Preserve each source's ontology, culture, history, and terminology when making comparisons.</x:v>
      </x:c>
      <x:c r="M1131" s="24" t="str">
        <x:v>Core Family</x:v>
      </x:c>
    </x:row>
    <x:row r="1132" ht="44" customHeight="1">
      <x:c r="A1132" s="24" t="str">
        <x:v>MEC-131</x:v>
      </x:c>
      <x:c r="B1132" s="24" t="str">
        <x:v>Face</x:v>
      </x:c>
      <x:c r="C1132" s="24" t="str">
        <x:v>Game-Mechanical Archetypes</x:v>
      </x:c>
      <x:c r="D1132" s="24" t="str">
        <x:v>MEC-100</x:v>
      </x:c>
      <x:c r="E1132" s="24" t="str">
        <x:f>IF(D1132="","",IFERROR(VLOOKUP(D1132,$A$2:$B$1226,2,FALSE),""))</x:f>
        <x:v>Combat Function Archetypes</x:v>
      </x:c>
      <x:c r="F1132" s="24" t="n">
        <x:v>3</x:v>
      </x:c>
      <x:c r="G1132" s="24" t="str">
        <x:v>Character optimized for persuasion, deception, leadership, and social interaction.</x:v>
      </x:c>
      <x:c r="H1132" s="24" t="str">
        <x:v>Record system, edition, encounter assumptions, and party size before comparing balance.</x:v>
      </x:c>
      <x:c r="I1132" s="24" t="str">
        <x:v>party face; diplomat; charisma build</x:v>
      </x:c>
      <x:c r="J1132" s="24" t="str">
        <x:v>Defines party contribution, encounter behavior, targeting, survivability, and tactical niche.</x:v>
      </x:c>
      <x:c r="K1132" s="24" t="str">
        <x:v>party face; diplomat; charisma build</x:v>
      </x:c>
      <x:c r="L1132" s="24" t="str">
        <x:v>Preserve each source's ontology, culture, history, and terminology when making comparisons.</x:v>
      </x:c>
      <x:c r="M1132" s="24" t="str">
        <x:v>Core Family</x:v>
      </x:c>
    </x:row>
    <x:row r="1133" ht="44" customHeight="1">
      <x:c r="A1133" s="24" t="str">
        <x:v>MEC-132</x:v>
      </x:c>
      <x:c r="B1133" s="24" t="str">
        <x:v>Scout</x:v>
      </x:c>
      <x:c r="C1133" s="24" t="str">
        <x:v>Game-Mechanical Archetypes</x:v>
      </x:c>
      <x:c r="D1133" s="24" t="str">
        <x:v>MEC-100</x:v>
      </x:c>
      <x:c r="E1133" s="24" t="str">
        <x:f>IF(D1133="","",IFERROR(VLOOKUP(D1133,$A$2:$B$1226,2,FALSE),""))</x:f>
        <x:v>Combat Function Archetypes</x:v>
      </x:c>
      <x:c r="F1133" s="24" t="n">
        <x:v>3</x:v>
      </x:c>
      <x:c r="G1133" s="24" t="str">
        <x:v>Character optimized for perception, stealth, navigation, initiative, and information gathering.</x:v>
      </x:c>
      <x:c r="H1133" s="24" t="str">
        <x:v>Record system, edition, encounter assumptions, and party size before comparing balance.</x:v>
      </x:c>
      <x:c r="I1133" s="24" t="str">
        <x:v>scout; recon; explorer</x:v>
      </x:c>
      <x:c r="J1133" s="24" t="str">
        <x:v>Defines party contribution, encounter behavior, targeting, survivability, and tactical niche.</x:v>
      </x:c>
      <x:c r="K1133" s="24" t="str">
        <x:v>scout; recon; explorer</x:v>
      </x:c>
      <x:c r="L1133" s="24" t="str">
        <x:v>Preserve each source's ontology, culture, history, and terminology when making comparisons.</x:v>
      </x:c>
      <x:c r="M1133" s="24" t="str">
        <x:v>Core Family</x:v>
      </x:c>
    </x:row>
    <x:row r="1134" ht="44" customHeight="1">
      <x:c r="A1134" s="24" t="str">
        <x:v>MEC-133</x:v>
      </x:c>
      <x:c r="B1134" s="24" t="str">
        <x:v>Trap and Hazard Specialist</x:v>
      </x:c>
      <x:c r="C1134" s="24" t="str">
        <x:v>Game-Mechanical Archetypes</x:v>
      </x:c>
      <x:c r="D1134" s="24" t="str">
        <x:v>MEC-100</x:v>
      </x:c>
      <x:c r="E1134" s="24" t="str">
        <x:f>IF(D1134="","",IFERROR(VLOOKUP(D1134,$A$2:$B$1226,2,FALSE),""))</x:f>
        <x:v>Combat Function Archetypes</x:v>
      </x:c>
      <x:c r="F1134" s="24" t="n">
        <x:v>3</x:v>
      </x:c>
      <x:c r="G1134" s="24" t="str">
        <x:v>Role detecting, disarming, creating, or exploiting traps and environmental dangers.</x:v>
      </x:c>
      <x:c r="H1134" s="24" t="str">
        <x:v>Record system, edition, encounter assumptions, and party size before comparing balance.</x:v>
      </x:c>
      <x:c r="I1134" s="24" t="str">
        <x:v>trapper; dungeon specialist; engineer</x:v>
      </x:c>
      <x:c r="J1134" s="24" t="str">
        <x:v>Defines party contribution, encounter behavior, targeting, survivability, and tactical niche.</x:v>
      </x:c>
      <x:c r="K1134" s="24" t="str">
        <x:v>trapper; dungeon specialist; engineer</x:v>
      </x:c>
      <x:c r="L1134" s="24" t="str">
        <x:v>Preserve each source's ontology, culture, history, and terminology when making comparisons.</x:v>
      </x:c>
      <x:c r="M1134" s="24" t="str">
        <x:v>Core Family</x:v>
      </x:c>
    </x:row>
    <x:row r="1135" ht="44" customHeight="1">
      <x:c r="A1135" s="24" t="str">
        <x:v>MEC-134</x:v>
      </x:c>
      <x:c r="B1135" s="24" t="str">
        <x:v>Summoner or Pet Role</x:v>
      </x:c>
      <x:c r="C1135" s="24" t="str">
        <x:v>Game-Mechanical Archetypes</x:v>
      </x:c>
      <x:c r="D1135" s="24" t="str">
        <x:v>MEC-100</x:v>
      </x:c>
      <x:c r="E1135" s="24" t="str">
        <x:f>IF(D1135="","",IFERROR(VLOOKUP(D1135,$A$2:$B$1226,2,FALSE),""))</x:f>
        <x:v>Combat Function Archetypes</x:v>
      </x:c>
      <x:c r="F1135" s="24" t="n">
        <x:v>3</x:v>
      </x:c>
      <x:c r="G1135" s="24" t="str">
        <x:v>Role whose effectiveness is substantially mediated through controllable companions.</x:v>
      </x:c>
      <x:c r="H1135" s="24" t="str">
        <x:v>Record system, edition, encounter assumptions, and party size before comparing balance.</x:v>
      </x:c>
      <x:c r="I1135" s="24" t="str">
        <x:v>pet class; summoner; minion master</x:v>
      </x:c>
      <x:c r="J1135" s="24" t="str">
        <x:v>Defines party contribution, encounter behavior, targeting, survivability, and tactical niche.</x:v>
      </x:c>
      <x:c r="K1135" s="24" t="str">
        <x:v>pet class; summoner; minion master</x:v>
      </x:c>
      <x:c r="L1135" s="24" t="str">
        <x:v>Preserve each source's ontology, culture, history, and terminology when making comparisons.</x:v>
      </x:c>
      <x:c r="M1135" s="24" t="str">
        <x:v>Core Family</x:v>
      </x:c>
    </x:row>
    <x:row r="1136" ht="44" customHeight="1">
      <x:c r="A1136" s="24" t="str">
        <x:v>MEC-135</x:v>
      </x:c>
      <x:c r="B1136" s="24" t="str">
        <x:v>Transforming Role</x:v>
      </x:c>
      <x:c r="C1136" s="24" t="str">
        <x:v>Game-Mechanical Archetypes</x:v>
      </x:c>
      <x:c r="D1136" s="24" t="str">
        <x:v>MEC-100</x:v>
      </x:c>
      <x:c r="E1136" s="24" t="str">
        <x:f>IF(D1136="","",IFERROR(VLOOKUP(D1136,$A$2:$B$1226,2,FALSE),""))</x:f>
        <x:v>Combat Function Archetypes</x:v>
      </x:c>
      <x:c r="F1136" s="24" t="n">
        <x:v>3</x:v>
      </x:c>
      <x:c r="G1136" s="24" t="str">
        <x:v>Role switches stat profile, abilities, body, or function through transformation.</x:v>
      </x:c>
      <x:c r="H1136" s="24" t="str">
        <x:v>Record system, edition, encounter assumptions, and party size before comparing balance.</x:v>
      </x:c>
      <x:c r="I1136" s="24" t="str">
        <x:v>shifter; stance form; magical transformation</x:v>
      </x:c>
      <x:c r="J1136" s="24" t="str">
        <x:v>Defines party contribution, encounter behavior, targeting, survivability, and tactical niche.</x:v>
      </x:c>
      <x:c r="K1136" s="24" t="str">
        <x:v>shifter; stance form; magical transformation</x:v>
      </x:c>
      <x:c r="L1136" s="24" t="str">
        <x:v>Preserve each source's ontology, culture, history, and terminology when making comparisons.</x:v>
      </x:c>
      <x:c r="M1136" s="24" t="str">
        <x:v>Core Family</x:v>
      </x:c>
    </x:row>
    <x:row r="1137" ht="44" customHeight="1">
      <x:c r="A1137" s="24" t="str">
        <x:v>MEC-136</x:v>
      </x:c>
      <x:c r="B1137" s="24" t="str">
        <x:v>Stance Switcher</x:v>
      </x:c>
      <x:c r="C1137" s="24" t="str">
        <x:v>Game-Mechanical Archetypes</x:v>
      </x:c>
      <x:c r="D1137" s="24" t="str">
        <x:v>MEC-100</x:v>
      </x:c>
      <x:c r="E1137" s="24" t="str">
        <x:f>IF(D1137="","",IFERROR(VLOOKUP(D1137,$A$2:$B$1226,2,FALSE),""))</x:f>
        <x:v>Combat Function Archetypes</x:v>
      </x:c>
      <x:c r="F1137" s="24" t="n">
        <x:v>3</x:v>
      </x:c>
      <x:c r="G1137" s="24" t="str">
        <x:v>Role alternates among mutually exclusive modes optimized for different situations.</x:v>
      </x:c>
      <x:c r="H1137" s="24" t="str">
        <x:v>Record system, edition, encounter assumptions, and party size before comparing balance.</x:v>
      </x:c>
      <x:c r="I1137" s="24" t="str">
        <x:v>stance class; mode switcher; form changer</x:v>
      </x:c>
      <x:c r="J1137" s="24" t="str">
        <x:v>Defines party contribution, encounter behavior, targeting, survivability, and tactical niche.</x:v>
      </x:c>
      <x:c r="K1137" s="24" t="str">
        <x:v>stance class; mode switcher; form changer</x:v>
      </x:c>
      <x:c r="L1137" s="24" t="str">
        <x:v>Preserve each source's ontology, culture, history, and terminology when making comparisons.</x:v>
      </x:c>
      <x:c r="M1137" s="24" t="str">
        <x:v>Core Family</x:v>
      </x:c>
    </x:row>
    <x:row r="1138" ht="44" customHeight="1">
      <x:c r="A1138" s="24" t="str">
        <x:v>MEC-137</x:v>
      </x:c>
      <x:c r="B1138" s="24" t="str">
        <x:v>Mimic or Copy Role</x:v>
      </x:c>
      <x:c r="C1138" s="24" t="str">
        <x:v>Game-Mechanical Archetypes</x:v>
      </x:c>
      <x:c r="D1138" s="24" t="str">
        <x:v>MEC-100</x:v>
      </x:c>
      <x:c r="E1138" s="24" t="str">
        <x:f>IF(D1138="","",IFERROR(VLOOKUP(D1138,$A$2:$B$1226,2,FALSE),""))</x:f>
        <x:v>Combat Function Archetypes</x:v>
      </x:c>
      <x:c r="F1138" s="24" t="n">
        <x:v>3</x:v>
      </x:c>
      <x:c r="G1138" s="24" t="str">
        <x:v>Role acquires or reproduces abilities used by enemies or allies.</x:v>
      </x:c>
      <x:c r="H1138" s="24" t="str">
        <x:v>Record system, edition, encounter assumptions, and party size before comparing balance.</x:v>
      </x:c>
      <x:c r="I1138" s="24" t="str">
        <x:v>mimic; blue mage; skill copier</x:v>
      </x:c>
      <x:c r="J1138" s="24" t="str">
        <x:v>Defines party contribution, encounter behavior, targeting, survivability, and tactical niche.</x:v>
      </x:c>
      <x:c r="K1138" s="24" t="str">
        <x:v>mimic; blue mage; skill copier</x:v>
      </x:c>
      <x:c r="L1138" s="24" t="str">
        <x:v>Preserve each source's ontology, culture, history, and terminology when making comparisons.</x:v>
      </x:c>
      <x:c r="M1138" s="24" t="str">
        <x:v>Core Family</x:v>
      </x:c>
    </x:row>
    <x:row r="1139" ht="44" customHeight="1">
      <x:c r="A1139" s="24" t="str">
        <x:v>MEC-138</x:v>
      </x:c>
      <x:c r="B1139" s="24" t="str">
        <x:v>Luck or Random Role</x:v>
      </x:c>
      <x:c r="C1139" s="24" t="str">
        <x:v>Game-Mechanical Archetypes</x:v>
      </x:c>
      <x:c r="D1139" s="24" t="str">
        <x:v>MEC-100</x:v>
      </x:c>
      <x:c r="E1139" s="24" t="str">
        <x:f>IF(D1139="","",IFERROR(VLOOKUP(D1139,$A$2:$B$1226,2,FALSE),""))</x:f>
        <x:v>Combat Function Archetypes</x:v>
      </x:c>
      <x:c r="F1139" s="24" t="n">
        <x:v>3</x:v>
      </x:c>
      <x:c r="G1139" s="24" t="str">
        <x:v>Role accepts variance through cards, dice, random skills, proc chains, or probabilistic outcomes.</x:v>
      </x:c>
      <x:c r="H1139" s="24" t="str">
        <x:v>Record system, edition, encounter assumptions, and party size before comparing balance.</x:v>
      </x:c>
      <x:c r="I1139" s="24" t="str">
        <x:v>gambler; RNG class; random caster</x:v>
      </x:c>
      <x:c r="J1139" s="24" t="str">
        <x:v>Defines party contribution, encounter behavior, targeting, survivability, and tactical niche.</x:v>
      </x:c>
      <x:c r="K1139" s="24" t="str">
        <x:v>gambler; RNG class; random caster</x:v>
      </x:c>
      <x:c r="L1139" s="24" t="str">
        <x:v>Preserve each source's ontology, culture, history, and terminology when making comparisons.</x:v>
      </x:c>
      <x:c r="M1139" s="24" t="str">
        <x:v>Core Family</x:v>
      </x:c>
    </x:row>
    <x:row r="1140" ht="44" customHeight="1">
      <x:c r="A1140" s="24" t="str">
        <x:v>MEC-201</x:v>
      </x:c>
      <x:c r="B1140" s="24" t="str">
        <x:v>Vancian or Prepared Casting</x:v>
      </x:c>
      <x:c r="C1140" s="24" t="str">
        <x:v>Game-Mechanical Archetypes</x:v>
      </x:c>
      <x:c r="D1140" s="24" t="str">
        <x:v>MEC-200</x:v>
      </x:c>
      <x:c r="E1140" s="24" t="str">
        <x:f>IF(D1140="","",IFERROR(VLOOKUP(D1140,$A$2:$B$1226,2,FALSE),""))</x:f>
        <x:v>Resource and Casting Models</x:v>
      </x:c>
      <x:c r="F1140" s="24" t="n">
        <x:v>3</x:v>
      </x:c>
      <x:c r="G1140" s="24" t="str">
        <x:v>Caster selects a limited set of spells in advance and expends prepared uses or slots.</x:v>
      </x:c>
      <x:c r="H1140" s="24" t="str">
        <x:v>Record system, edition, encounter assumptions, and party size before comparing balance.</x:v>
      </x:c>
      <x:c r="I1140" s="24" t="str">
        <x:v>prepared caster; Vancian magic; spell slots</x:v>
      </x:c>
      <x:c r="J1140" s="24" t="str">
        <x:v>Defines pacing, preparation, risk, repeatability, and the cost structure of power.</x:v>
      </x:c>
      <x:c r="K1140" s="24" t="str">
        <x:v>prepared caster; Vancian magic; spell slots</x:v>
      </x:c>
      <x:c r="L1140" s="24" t="str">
        <x:v>Preserve each source's ontology, culture, history, and terminology when making comparisons.</x:v>
      </x:c>
      <x:c r="M1140" s="24" t="str">
        <x:v>Core Family</x:v>
      </x:c>
    </x:row>
    <x:row r="1141" ht="44" customHeight="1">
      <x:c r="A1141" s="24" t="str">
        <x:v>MEC-202</x:v>
      </x:c>
      <x:c r="B1141" s="24" t="str">
        <x:v>Spontaneous Casting</x:v>
      </x:c>
      <x:c r="C1141" s="24" t="str">
        <x:v>Game-Mechanical Archetypes</x:v>
      </x:c>
      <x:c r="D1141" s="24" t="str">
        <x:v>MEC-200</x:v>
      </x:c>
      <x:c r="E1141" s="24" t="str">
        <x:f>IF(D1141="","",IFERROR(VLOOKUP(D1141,$A$2:$B$1226,2,FALSE),""))</x:f>
        <x:v>Resource and Casting Models</x:v>
      </x:c>
      <x:c r="F1141" s="24" t="n">
        <x:v>3</x:v>
      </x:c>
      <x:c r="G1141" s="24" t="str">
        <x:v>Caster knows a limited repertoire but chooses which known spell to use at the moment of casting.</x:v>
      </x:c>
      <x:c r="H1141" s="24" t="str">
        <x:v>Record system, edition, encounter assumptions, and party size before comparing balance.</x:v>
      </x:c>
      <x:c r="I1141" s="24" t="str">
        <x:v>spontaneous caster; sorcerer model</x:v>
      </x:c>
      <x:c r="J1141" s="24" t="str">
        <x:v>Defines pacing, preparation, risk, repeatability, and the cost structure of power.</x:v>
      </x:c>
      <x:c r="K1141" s="24" t="str">
        <x:v>spontaneous caster; sorcerer model</x:v>
      </x:c>
      <x:c r="L1141" s="24" t="str">
        <x:v>Preserve each source's ontology, culture, history, and terminology when making comparisons.</x:v>
      </x:c>
      <x:c r="M1141" s="24" t="str">
        <x:v>Core Family</x:v>
      </x:c>
    </x:row>
    <x:row r="1142" ht="44" customHeight="1">
      <x:c r="A1142" s="24" t="str">
        <x:v>MEC-203</x:v>
      </x:c>
      <x:c r="B1142" s="24" t="str">
        <x:v>Mana Pool</x:v>
      </x:c>
      <x:c r="C1142" s="24" t="str">
        <x:v>Game-Mechanical Archetypes</x:v>
      </x:c>
      <x:c r="D1142" s="24" t="str">
        <x:v>MEC-200</x:v>
      </x:c>
      <x:c r="E1142" s="24" t="str">
        <x:f>IF(D1142="","",IFERROR(VLOOKUP(D1142,$A$2:$B$1226,2,FALSE),""))</x:f>
        <x:v>Resource and Casting Models</x:v>
      </x:c>
      <x:c r="F1142" s="24" t="n">
        <x:v>3</x:v>
      </x:c>
      <x:c r="G1142" s="24" t="str">
        <x:v>Abilities consume a shared regenerating or refillable magical resource.</x:v>
      </x:c>
      <x:c r="H1142" s="24" t="str">
        <x:v>Record system, edition, encounter assumptions, and party size before comparing balance.</x:v>
      </x:c>
      <x:c r="I1142" s="24" t="str">
        <x:v>mana; MP; magic points</x:v>
      </x:c>
      <x:c r="J1142" s="24" t="str">
        <x:v>Defines pacing, preparation, risk, repeatability, and the cost structure of power.</x:v>
      </x:c>
      <x:c r="K1142" s="24" t="str">
        <x:v>mana; MP; magic points</x:v>
      </x:c>
      <x:c r="L1142" s="24" t="str">
        <x:v>Preserve each source's ontology, culture, history, and terminology when making comparisons.</x:v>
      </x:c>
      <x:c r="M1142" s="24" t="str">
        <x:v>Core Family</x:v>
      </x:c>
    </x:row>
    <x:row r="1143" ht="44" customHeight="1">
      <x:c r="A1143" s="24" t="str">
        <x:v>MEC-204</x:v>
      </x:c>
      <x:c r="B1143" s="24" t="str">
        <x:v>Per-Encounter Resource</x:v>
      </x:c>
      <x:c r="C1143" s="24" t="str">
        <x:v>Game-Mechanical Archetypes</x:v>
      </x:c>
      <x:c r="D1143" s="24" t="str">
        <x:v>MEC-200</x:v>
      </x:c>
      <x:c r="E1143" s="24" t="str">
        <x:f>IF(D1143="","",IFERROR(VLOOKUP(D1143,$A$2:$B$1226,2,FALSE),""))</x:f>
        <x:v>Resource and Casting Models</x:v>
      </x:c>
      <x:c r="F1143" s="24" t="n">
        <x:v>3</x:v>
      </x:c>
      <x:c r="G1143" s="24" t="str">
        <x:v>Abilities refresh after each encounter, battle, or short rest.</x:v>
      </x:c>
      <x:c r="H1143" s="24" t="str">
        <x:v>Record system, edition, encounter assumptions, and party size before comparing balance.</x:v>
      </x:c>
      <x:c r="I1143" s="24" t="str">
        <x:v>encounter powers; battle charges</x:v>
      </x:c>
      <x:c r="J1143" s="24" t="str">
        <x:v>Defines pacing, preparation, risk, repeatability, and the cost structure of power.</x:v>
      </x:c>
      <x:c r="K1143" s="24" t="str">
        <x:v>encounter powers; battle charges</x:v>
      </x:c>
      <x:c r="L1143" s="24" t="str">
        <x:v>Preserve each source's ontology, culture, history, and terminology when making comparisons.</x:v>
      </x:c>
      <x:c r="M1143" s="24" t="str">
        <x:v>Core Family</x:v>
      </x:c>
    </x:row>
    <x:row r="1144" ht="44" customHeight="1">
      <x:c r="A1144" s="24" t="str">
        <x:v>MEC-205</x:v>
      </x:c>
      <x:c r="B1144" s="24" t="str">
        <x:v>Per-Day Resource</x:v>
      </x:c>
      <x:c r="C1144" s="24" t="str">
        <x:v>Game-Mechanical Archetypes</x:v>
      </x:c>
      <x:c r="D1144" s="24" t="str">
        <x:v>MEC-200</x:v>
      </x:c>
      <x:c r="E1144" s="24" t="str">
        <x:f>IF(D1144="","",IFERROR(VLOOKUP(D1144,$A$2:$B$1226,2,FALSE),""))</x:f>
        <x:v>Resource and Casting Models</x:v>
      </x:c>
      <x:c r="F1144" s="24" t="n">
        <x:v>3</x:v>
      </x:c>
      <x:c r="G1144" s="24" t="str">
        <x:v>Abilities refresh after extended rest, daily reset, or in-world cycle.</x:v>
      </x:c>
      <x:c r="H1144" s="24" t="str">
        <x:v>Record system, edition, encounter assumptions, and party size before comparing balance.</x:v>
      </x:c>
      <x:c r="I1144" s="24" t="str">
        <x:v>daily powers; spell slots; long-rest resource</x:v>
      </x:c>
      <x:c r="J1144" s="24" t="str">
        <x:v>Defines pacing, preparation, risk, repeatability, and the cost structure of power.</x:v>
      </x:c>
      <x:c r="K1144" s="24" t="str">
        <x:v>daily powers; spell slots; long-rest resource</x:v>
      </x:c>
      <x:c r="L1144" s="24" t="str">
        <x:v>Preserve each source's ontology, culture, history, and terminology when making comparisons.</x:v>
      </x:c>
      <x:c r="M1144" s="24" t="str">
        <x:v>Core Family</x:v>
      </x:c>
    </x:row>
    <x:row r="1145" ht="44" customHeight="1">
      <x:c r="A1145" s="24" t="str">
        <x:v>MEC-206</x:v>
      </x:c>
      <x:c r="B1145" s="24" t="str">
        <x:v>Cooldown Model</x:v>
      </x:c>
      <x:c r="C1145" s="24" t="str">
        <x:v>Game-Mechanical Archetypes</x:v>
      </x:c>
      <x:c r="D1145" s="24" t="str">
        <x:v>MEC-200</x:v>
      </x:c>
      <x:c r="E1145" s="24" t="str">
        <x:f>IF(D1145="","",IFERROR(VLOOKUP(D1145,$A$2:$B$1226,2,FALSE),""))</x:f>
        <x:v>Resource and Casting Models</x:v>
      </x:c>
      <x:c r="F1145" s="24" t="n">
        <x:v>3</x:v>
      </x:c>
      <x:c r="G1145" s="24" t="str">
        <x:v>Abilities become unavailable for fixed real-time or turn-based intervals after use.</x:v>
      </x:c>
      <x:c r="H1145" s="24" t="str">
        <x:v>Record system, edition, encounter assumptions, and party size before comparing balance.</x:v>
      </x:c>
      <x:c r="I1145" s="24" t="str">
        <x:v>cooldown; recharge timer</x:v>
      </x:c>
      <x:c r="J1145" s="24" t="str">
        <x:v>Defines pacing, preparation, risk, repeatability, and the cost structure of power.</x:v>
      </x:c>
      <x:c r="K1145" s="24" t="str">
        <x:v>cooldown; recharge timer</x:v>
      </x:c>
      <x:c r="L1145" s="24" t="str">
        <x:v>Preserve each source's ontology, culture, history, and terminology when making comparisons.</x:v>
      </x:c>
      <x:c r="M1145" s="24" t="str">
        <x:v>Core Family</x:v>
      </x:c>
    </x:row>
    <x:row r="1146" ht="44" customHeight="1">
      <x:c r="A1146" s="24" t="str">
        <x:v>MEC-207</x:v>
      </x:c>
      <x:c r="B1146" s="24" t="str">
        <x:v>Charge Model</x:v>
      </x:c>
      <x:c r="C1146" s="24" t="str">
        <x:v>Game-Mechanical Archetypes</x:v>
      </x:c>
      <x:c r="D1146" s="24" t="str">
        <x:v>MEC-200</x:v>
      </x:c>
      <x:c r="E1146" s="24" t="str">
        <x:f>IF(D1146="","",IFERROR(VLOOKUP(D1146,$A$2:$B$1226,2,FALSE),""))</x:f>
        <x:v>Resource and Casting Models</x:v>
      </x:c>
      <x:c r="F1146" s="24" t="n">
        <x:v>3</x:v>
      </x:c>
      <x:c r="G1146" s="24" t="str">
        <x:v>Abilities have a limited number of stored uses that recover individually or under conditions.</x:v>
      </x:c>
      <x:c r="H1146" s="24" t="str">
        <x:v>Record system, edition, encounter assumptions, and party size before comparing balance.</x:v>
      </x:c>
      <x:c r="I1146" s="24" t="str">
        <x:v>charges; ammunition; spell uses</x:v>
      </x:c>
      <x:c r="J1146" s="24" t="str">
        <x:v>Defines pacing, preparation, risk, repeatability, and the cost structure of power.</x:v>
      </x:c>
      <x:c r="K1146" s="24" t="str">
        <x:v>charges; ammunition; spell uses</x:v>
      </x:c>
      <x:c r="L1146" s="24" t="str">
        <x:v>Preserve each source's ontology, culture, history, and terminology when making comparisons.</x:v>
      </x:c>
      <x:c r="M1146" s="24" t="str">
        <x:v>Core Family</x:v>
      </x:c>
    </x:row>
    <x:row r="1147" ht="44" customHeight="1">
      <x:c r="A1147" s="24" t="str">
        <x:v>MEC-208</x:v>
      </x:c>
      <x:c r="B1147" s="24" t="str">
        <x:v>Builder-Spender</x:v>
      </x:c>
      <x:c r="C1147" s="24" t="str">
        <x:v>Game-Mechanical Archetypes</x:v>
      </x:c>
      <x:c r="D1147" s="24" t="str">
        <x:v>MEC-200</x:v>
      </x:c>
      <x:c r="E1147" s="24" t="str">
        <x:f>IF(D1147="","",IFERROR(VLOOKUP(D1147,$A$2:$B$1226,2,FALSE),""))</x:f>
        <x:v>Resource and Casting Models</x:v>
      </x:c>
      <x:c r="F1147" s="24" t="n">
        <x:v>3</x:v>
      </x:c>
      <x:c r="G1147" s="24" t="str">
        <x:v>Basic actions generate a resource that stronger actions consume.</x:v>
      </x:c>
      <x:c r="H1147" s="24" t="str">
        <x:v>Record system, edition, encounter assumptions, and party size before comparing balance.</x:v>
      </x:c>
      <x:c r="I1147" s="24" t="str">
        <x:v>combo points; rage; gauge; builder spender</x:v>
      </x:c>
      <x:c r="J1147" s="24" t="str">
        <x:v>Defines pacing, preparation, risk, repeatability, and the cost structure of power.</x:v>
      </x:c>
      <x:c r="K1147" s="24" t="str">
        <x:v>combo points; rage; gauge; builder spender</x:v>
      </x:c>
      <x:c r="L1147" s="24" t="str">
        <x:v>Preserve each source's ontology, culture, history, and terminology when making comparisons.</x:v>
      </x:c>
      <x:c r="M1147" s="24" t="str">
        <x:v>Core Family</x:v>
      </x:c>
    </x:row>
    <x:row r="1148" ht="44" customHeight="1">
      <x:c r="A1148" s="24" t="str">
        <x:v>MEC-209</x:v>
      </x:c>
      <x:c r="B1148" s="24" t="str">
        <x:v>Health-Cost Casting</x:v>
      </x:c>
      <x:c r="C1148" s="24" t="str">
        <x:v>Game-Mechanical Archetypes</x:v>
      </x:c>
      <x:c r="D1148" s="24" t="str">
        <x:v>MEC-200</x:v>
      </x:c>
      <x:c r="E1148" s="24" t="str">
        <x:f>IF(D1148="","",IFERROR(VLOOKUP(D1148,$A$2:$B$1226,2,FALSE),""))</x:f>
        <x:v>Resource and Casting Models</x:v>
      </x:c>
      <x:c r="F1148" s="24" t="n">
        <x:v>3</x:v>
      </x:c>
      <x:c r="G1148" s="24" t="str">
        <x:v>Abilities consume the user's life, wounds, blood, or maximum health.</x:v>
      </x:c>
      <x:c r="H1148" s="24" t="str">
        <x:v>Record system, edition, encounter assumptions, and party size before comparing balance.</x:v>
      </x:c>
      <x:c r="I1148" s="24" t="str">
        <x:v>blood magic cost; HP casting</x:v>
      </x:c>
      <x:c r="J1148" s="24" t="str">
        <x:v>Defines pacing, preparation, risk, repeatability, and the cost structure of power.</x:v>
      </x:c>
      <x:c r="K1148" s="24" t="str">
        <x:v>blood magic cost; HP casting</x:v>
      </x:c>
      <x:c r="L1148" s="24" t="str">
        <x:v>Preserve each source's ontology, culture, history, and terminology when making comparisons.</x:v>
      </x:c>
      <x:c r="M1148" s="24" t="str">
        <x:v>Core Family</x:v>
      </x:c>
    </x:row>
    <x:row r="1149" ht="44" customHeight="1">
      <x:c r="A1149" s="24" t="str">
        <x:v>MEC-210</x:v>
      </x:c>
      <x:c r="B1149" s="24" t="str">
        <x:v>Sacrifice-Cost System</x:v>
      </x:c>
      <x:c r="C1149" s="24" t="str">
        <x:v>Game-Mechanical Archetypes</x:v>
      </x:c>
      <x:c r="D1149" s="24" t="str">
        <x:v>MEC-200</x:v>
      </x:c>
      <x:c r="E1149" s="24" t="str">
        <x:f>IF(D1149="","",IFERROR(VLOOKUP(D1149,$A$2:$B$1226,2,FALSE),""))</x:f>
        <x:v>Resource and Casting Models</x:v>
      </x:c>
      <x:c r="F1149" s="24" t="n">
        <x:v>3</x:v>
      </x:c>
      <x:c r="G1149" s="24" t="str">
        <x:v>Power consumes permanent or narratively costly resources such as allies, years, items, memories, or souls.</x:v>
      </x:c>
      <x:c r="H1149" s="24" t="str">
        <x:v>Record system, edition, encounter assumptions, and party size before comparing balance.</x:v>
      </x:c>
      <x:c r="I1149" s="24" t="str">
        <x:v>sacrifice; equivalent exchange; burn resource</x:v>
      </x:c>
      <x:c r="J1149" s="24" t="str">
        <x:v>Defines pacing, preparation, risk, repeatability, and the cost structure of power.</x:v>
      </x:c>
      <x:c r="K1149" s="24" t="str">
        <x:v>sacrifice; equivalent exchange; burn resource</x:v>
      </x:c>
      <x:c r="L1149" s="24" t="str">
        <x:v>Preserve each source's ontology, culture, history, and terminology when making comparisons.</x:v>
      </x:c>
      <x:c r="M1149" s="24" t="str">
        <x:v>Core Family</x:v>
      </x:c>
    </x:row>
    <x:row r="1150" ht="44" customHeight="1">
      <x:c r="A1150" s="24" t="str">
        <x:v>MEC-211</x:v>
      </x:c>
      <x:c r="B1150" s="24" t="str">
        <x:v>Item-Based Casting</x:v>
      </x:c>
      <x:c r="C1150" s="24" t="str">
        <x:v>Game-Mechanical Archetypes</x:v>
      </x:c>
      <x:c r="D1150" s="24" t="str">
        <x:v>MEC-200</x:v>
      </x:c>
      <x:c r="E1150" s="24" t="str">
        <x:f>IF(D1150="","",IFERROR(VLOOKUP(D1150,$A$2:$B$1226,2,FALSE),""))</x:f>
        <x:v>Resource and Casting Models</x:v>
      </x:c>
      <x:c r="F1150" s="24" t="n">
        <x:v>3</x:v>
      </x:c>
      <x:c r="G1150" s="24" t="str">
        <x:v>Abilities require consumable scrolls, reagents, bombs, cards, ammunition, or crafted items.</x:v>
      </x:c>
      <x:c r="H1150" s="24" t="str">
        <x:v>Record system, edition, encounter assumptions, and party size before comparing balance.</x:v>
      </x:c>
      <x:c r="I1150" s="24" t="str">
        <x:v>item user; alchemist; consumable caster</x:v>
      </x:c>
      <x:c r="J1150" s="24" t="str">
        <x:v>Defines pacing, preparation, risk, repeatability, and the cost structure of power.</x:v>
      </x:c>
      <x:c r="K1150" s="24" t="str">
        <x:v>item user; alchemist; consumable caster</x:v>
      </x:c>
      <x:c r="L1150" s="24" t="str">
        <x:v>Preserve each source's ontology, culture, history, and terminology when making comparisons.</x:v>
      </x:c>
      <x:c r="M1150" s="24" t="str">
        <x:v>Core Family</x:v>
      </x:c>
    </x:row>
    <x:row r="1151" ht="44" customHeight="1">
      <x:c r="A1151" s="24" t="str">
        <x:v>MEC-212</x:v>
      </x:c>
      <x:c r="B1151" s="24" t="str">
        <x:v>Ammo and Reload Model</x:v>
      </x:c>
      <x:c r="C1151" s="24" t="str">
        <x:v>Game-Mechanical Archetypes</x:v>
      </x:c>
      <x:c r="D1151" s="24" t="str">
        <x:v>MEC-200</x:v>
      </x:c>
      <x:c r="E1151" s="24" t="str">
        <x:f>IF(D1151="","",IFERROR(VLOOKUP(D1151,$A$2:$B$1226,2,FALSE),""))</x:f>
        <x:v>Resource and Casting Models</x:v>
      </x:c>
      <x:c r="F1151" s="24" t="n">
        <x:v>3</x:v>
      </x:c>
      <x:c r="G1151" s="24" t="str">
        <x:v>Ranged actions depend on ammunition count, magazines, reload actions, or preparation.</x:v>
      </x:c>
      <x:c r="H1151" s="24" t="str">
        <x:v>Record system, edition, encounter assumptions, and party size before comparing balance.</x:v>
      </x:c>
      <x:c r="I1151" s="24" t="str">
        <x:v>ammo; reload; quiver</x:v>
      </x:c>
      <x:c r="J1151" s="24" t="str">
        <x:v>Defines pacing, preparation, risk, repeatability, and the cost structure of power.</x:v>
      </x:c>
      <x:c r="K1151" s="24" t="str">
        <x:v>ammo; reload; quiver</x:v>
      </x:c>
      <x:c r="L1151" s="24" t="str">
        <x:v>Preserve each source's ontology, culture, history, and terminology when making comparisons.</x:v>
      </x:c>
      <x:c r="M1151" s="24" t="str">
        <x:v>Core Family</x:v>
      </x:c>
    </x:row>
    <x:row r="1152" ht="44" customHeight="1">
      <x:c r="A1152" s="24" t="str">
        <x:v>MEC-213</x:v>
      </x:c>
      <x:c r="B1152" s="24" t="str">
        <x:v>Stamina or Energy Pool</x:v>
      </x:c>
      <x:c r="C1152" s="24" t="str">
        <x:v>Game-Mechanical Archetypes</x:v>
      </x:c>
      <x:c r="D1152" s="24" t="str">
        <x:v>MEC-200</x:v>
      </x:c>
      <x:c r="E1152" s="24" t="str">
        <x:f>IF(D1152="","",IFERROR(VLOOKUP(D1152,$A$2:$B$1226,2,FALSE),""))</x:f>
        <x:v>Resource and Casting Models</x:v>
      </x:c>
      <x:c r="F1152" s="24" t="n">
        <x:v>3</x:v>
      </x:c>
      <x:c r="G1152" s="24" t="str">
        <x:v>Physical actions consume a regenerating resource governing pace and mobility.</x:v>
      </x:c>
      <x:c r="H1152" s="24" t="str">
        <x:v>Record system, edition, encounter assumptions, and party size before comparing balance.</x:v>
      </x:c>
      <x:c r="I1152" s="24" t="str">
        <x:v>stamina; energy; endurance</x:v>
      </x:c>
      <x:c r="J1152" s="24" t="str">
        <x:v>Defines pacing, preparation, risk, repeatability, and the cost structure of power.</x:v>
      </x:c>
      <x:c r="K1152" s="24" t="str">
        <x:v>stamina; energy; endurance</x:v>
      </x:c>
      <x:c r="L1152" s="24" t="str">
        <x:v>Preserve each source's ontology, culture, history, and terminology when making comparisons.</x:v>
      </x:c>
      <x:c r="M1152" s="24" t="str">
        <x:v>Core Family</x:v>
      </x:c>
    </x:row>
    <x:row r="1153" ht="44" customHeight="1">
      <x:c r="A1153" s="24" t="str">
        <x:v>MEC-214</x:v>
      </x:c>
      <x:c r="B1153" s="24" t="str">
        <x:v>Rage or Damage-Fueled Resource</x:v>
      </x:c>
      <x:c r="C1153" s="24" t="str">
        <x:v>Game-Mechanical Archetypes</x:v>
      </x:c>
      <x:c r="D1153" s="24" t="str">
        <x:v>MEC-200</x:v>
      </x:c>
      <x:c r="E1153" s="24" t="str">
        <x:f>IF(D1153="","",IFERROR(VLOOKUP(D1153,$A$2:$B$1226,2,FALSE),""))</x:f>
        <x:v>Resource and Casting Models</x:v>
      </x:c>
      <x:c r="F1153" s="24" t="n">
        <x:v>3</x:v>
      </x:c>
      <x:c r="G1153" s="24" t="str">
        <x:v>Taking or dealing damage generates power used for stronger abilities.</x:v>
      </x:c>
      <x:c r="H1153" s="24" t="str">
        <x:v>Record system, edition, encounter assumptions, and party size before comparing balance.</x:v>
      </x:c>
      <x:c r="I1153" s="24" t="str">
        <x:v>rage; fury; wrath</x:v>
      </x:c>
      <x:c r="J1153" s="24" t="str">
        <x:v>Defines pacing, preparation, risk, repeatability, and the cost structure of power.</x:v>
      </x:c>
      <x:c r="K1153" s="24" t="str">
        <x:v>rage; fury; wrath</x:v>
      </x:c>
      <x:c r="L1153" s="24" t="str">
        <x:v>Preserve each source's ontology, culture, history, and terminology when making comparisons.</x:v>
      </x:c>
      <x:c r="M1153" s="24" t="str">
        <x:v>Core Family</x:v>
      </x:c>
    </x:row>
    <x:row r="1154" ht="44" customHeight="1">
      <x:c r="A1154" s="24" t="str">
        <x:v>MEC-215</x:v>
      </x:c>
      <x:c r="B1154" s="24" t="str">
        <x:v>Limit Gauge</x:v>
      </x:c>
      <x:c r="C1154" s="24" t="str">
        <x:v>Game-Mechanical Archetypes</x:v>
      </x:c>
      <x:c r="D1154" s="24" t="str">
        <x:v>MEC-200</x:v>
      </x:c>
      <x:c r="E1154" s="24" t="str">
        <x:f>IF(D1154="","",IFERROR(VLOOKUP(D1154,$A$2:$B$1226,2,FALSE),""))</x:f>
        <x:v>Resource and Casting Models</x:v>
      </x:c>
      <x:c r="F1154" s="24" t="n">
        <x:v>3</x:v>
      </x:c>
      <x:c r="G1154" s="24" t="str">
        <x:v>Exceptional abilities become available through accumulated combat stress, damage, time, or team action.</x:v>
      </x:c>
      <x:c r="H1154" s="24" t="str">
        <x:v>Record system, edition, encounter assumptions, and party size before comparing balance.</x:v>
      </x:c>
      <x:c r="I1154" s="24" t="str">
        <x:v>limit break; overdrive; ultimate gauge</x:v>
      </x:c>
      <x:c r="J1154" s="24" t="str">
        <x:v>Defines pacing, preparation, risk, repeatability, and the cost structure of power.</x:v>
      </x:c>
      <x:c r="K1154" s="24" t="str">
        <x:v>limit break; overdrive; ultimate gauge</x:v>
      </x:c>
      <x:c r="L1154" s="24" t="str">
        <x:v>Preserve each source's ontology, culture, history, and terminology when making comparisons.</x:v>
      </x:c>
      <x:c r="M1154" s="24" t="str">
        <x:v>Core Family</x:v>
      </x:c>
    </x:row>
    <x:row r="1155" ht="44" customHeight="1">
      <x:c r="A1155" s="24" t="str">
        <x:v>MEC-216</x:v>
      </x:c>
      <x:c r="B1155" s="24" t="str">
        <x:v>Combo Chain</x:v>
      </x:c>
      <x:c r="C1155" s="24" t="str">
        <x:v>Game-Mechanical Archetypes</x:v>
      </x:c>
      <x:c r="D1155" s="24" t="str">
        <x:v>MEC-200</x:v>
      </x:c>
      <x:c r="E1155" s="24" t="str">
        <x:f>IF(D1155="","",IFERROR(VLOOKUP(D1155,$A$2:$B$1226,2,FALSE),""))</x:f>
        <x:v>Resource and Casting Models</x:v>
      </x:c>
      <x:c r="F1155" s="24" t="n">
        <x:v>3</x:v>
      </x:c>
      <x:c r="G1155" s="24" t="str">
        <x:v>Abilities gain value when executed in specified sequences or timing windows.</x:v>
      </x:c>
      <x:c r="H1155" s="24" t="str">
        <x:v>Record system, edition, encounter assumptions, and party size before comparing balance.</x:v>
      </x:c>
      <x:c r="I1155" s="24" t="str">
        <x:v>combo; chain; rotation</x:v>
      </x:c>
      <x:c r="J1155" s="24" t="str">
        <x:v>Defines pacing, preparation, risk, repeatability, and the cost structure of power.</x:v>
      </x:c>
      <x:c r="K1155" s="24" t="str">
        <x:v>combo; chain; rotation</x:v>
      </x:c>
      <x:c r="L1155" s="24" t="str">
        <x:v>Preserve each source's ontology, culture, history, and terminology when making comparisons.</x:v>
      </x:c>
      <x:c r="M1155" s="24" t="str">
        <x:v>Core Family</x:v>
      </x:c>
    </x:row>
    <x:row r="1156" ht="44" customHeight="1">
      <x:c r="A1156" s="24" t="str">
        <x:v>MEC-217</x:v>
      </x:c>
      <x:c r="B1156" s="24" t="str">
        <x:v>Position-Based Bonuses</x:v>
      </x:c>
      <x:c r="C1156" s="24" t="str">
        <x:v>Game-Mechanical Archetypes</x:v>
      </x:c>
      <x:c r="D1156" s="24" t="str">
        <x:v>MEC-200</x:v>
      </x:c>
      <x:c r="E1156" s="24" t="str">
        <x:f>IF(D1156="","",IFERROR(VLOOKUP(D1156,$A$2:$B$1226,2,FALSE),""))</x:f>
        <x:v>Resource and Casting Models</x:v>
      </x:c>
      <x:c r="F1156" s="24" t="n">
        <x:v>3</x:v>
      </x:c>
      <x:c r="G1156" s="24" t="str">
        <x:v>Abilities depend on flanking, facing, elevation, range bands, or exact spatial relationship.</x:v>
      </x:c>
      <x:c r="H1156" s="24" t="str">
        <x:v>Record system, edition, encounter assumptions, and party size before comparing balance.</x:v>
      </x:c>
      <x:c r="I1156" s="24" t="str">
        <x:v>positional; backstab; high ground</x:v>
      </x:c>
      <x:c r="J1156" s="24" t="str">
        <x:v>Defines pacing, preparation, risk, repeatability, and the cost structure of power.</x:v>
      </x:c>
      <x:c r="K1156" s="24" t="str">
        <x:v>positional; backstab; high ground</x:v>
      </x:c>
      <x:c r="L1156" s="24" t="str">
        <x:v>Preserve each source's ontology, culture, history, and terminology when making comparisons.</x:v>
      </x:c>
      <x:c r="M1156" s="24" t="str">
        <x:v>Core Family</x:v>
      </x:c>
    </x:row>
    <x:row r="1157" ht="44" customHeight="1">
      <x:c r="A1157" s="24" t="str">
        <x:v>MEC-218</x:v>
      </x:c>
      <x:c r="B1157" s="24" t="str">
        <x:v>Reaction or Interrupt Model</x:v>
      </x:c>
      <x:c r="C1157" s="24" t="str">
        <x:v>Game-Mechanical Archetypes</x:v>
      </x:c>
      <x:c r="D1157" s="24" t="str">
        <x:v>MEC-200</x:v>
      </x:c>
      <x:c r="E1157" s="24" t="str">
        <x:f>IF(D1157="","",IFERROR(VLOOKUP(D1157,$A$2:$B$1226,2,FALSE),""))</x:f>
        <x:v>Resource and Casting Models</x:v>
      </x:c>
      <x:c r="F1157" s="24" t="n">
        <x:v>3</x:v>
      </x:c>
      <x:c r="G1157" s="24" t="str">
        <x:v>Power is reserved for responses to triggers, enemy actions, or timing windows.</x:v>
      </x:c>
      <x:c r="H1157" s="24" t="str">
        <x:v>Record system, edition, encounter assumptions, and party size before comparing balance.</x:v>
      </x:c>
      <x:c r="I1157" s="24" t="str">
        <x:v>reaction; counter; interrupt</x:v>
      </x:c>
      <x:c r="J1157" s="24" t="str">
        <x:v>Defines pacing, preparation, risk, repeatability, and the cost structure of power.</x:v>
      </x:c>
      <x:c r="K1157" s="24" t="str">
        <x:v>reaction; counter; interrupt</x:v>
      </x:c>
      <x:c r="L1157" s="24" t="str">
        <x:v>Preserve each source's ontology, culture, history, and terminology when making comparisons.</x:v>
      </x:c>
      <x:c r="M1157" s="24" t="str">
        <x:v>Core Family</x:v>
      </x:c>
    </x:row>
    <x:row r="1158" ht="44" customHeight="1">
      <x:c r="A1158" s="24" t="str">
        <x:v>MEC-219</x:v>
      </x:c>
      <x:c r="B1158" s="24" t="str">
        <x:v>Random Draw Model</x:v>
      </x:c>
      <x:c r="C1158" s="24" t="str">
        <x:v>Game-Mechanical Archetypes</x:v>
      </x:c>
      <x:c r="D1158" s="24" t="str">
        <x:v>MEC-200</x:v>
      </x:c>
      <x:c r="E1158" s="24" t="str">
        <x:f>IF(D1158="","",IFERROR(VLOOKUP(D1158,$A$2:$B$1226,2,FALSE),""))</x:f>
        <x:v>Resource and Casting Models</x:v>
      </x:c>
      <x:c r="F1158" s="24" t="n">
        <x:v>3</x:v>
      </x:c>
      <x:c r="G1158" s="24" t="str">
        <x:v>Available abilities or bonuses are determined by drawing cards, runes, dice, or random options.</x:v>
      </x:c>
      <x:c r="H1158" s="24" t="str">
        <x:v>Record system, edition, encounter assumptions, and party size before comparing balance.</x:v>
      </x:c>
      <x:c r="I1158" s="24" t="str">
        <x:v>deck; draw; roulette</x:v>
      </x:c>
      <x:c r="J1158" s="24" t="str">
        <x:v>Defines pacing, preparation, risk, repeatability, and the cost structure of power.</x:v>
      </x:c>
      <x:c r="K1158" s="24" t="str">
        <x:v>deck; draw; roulette</x:v>
      </x:c>
      <x:c r="L1158" s="24" t="str">
        <x:v>Preserve each source's ontology, culture, history, and terminology when making comparisons.</x:v>
      </x:c>
      <x:c r="M1158" s="24" t="str">
        <x:v>Core Family</x:v>
      </x:c>
    </x:row>
    <x:row r="1159" ht="44" customHeight="1">
      <x:c r="A1159" s="24" t="str">
        <x:v>MEC-220</x:v>
      </x:c>
      <x:c r="B1159" s="24" t="str">
        <x:v>Corruption or Instability Meter</x:v>
      </x:c>
      <x:c r="C1159" s="24" t="str">
        <x:v>Game-Mechanical Archetypes</x:v>
      </x:c>
      <x:c r="D1159" s="24" t="str">
        <x:v>MEC-200</x:v>
      </x:c>
      <x:c r="E1159" s="24" t="str">
        <x:f>IF(D1159="","",IFERROR(VLOOKUP(D1159,$A$2:$B$1226,2,FALSE),""))</x:f>
        <x:v>Resource and Casting Models</x:v>
      </x:c>
      <x:c r="F1159" s="24" t="n">
        <x:v>3</x:v>
      </x:c>
      <x:c r="G1159" s="24" t="str">
        <x:v>Using power increases a dangerous secondary resource that can cause mutation, failure, or loss of control.</x:v>
      </x:c>
      <x:c r="H1159" s="24" t="str">
        <x:v>Record system, edition, encounter assumptions, and party size before comparing balance.</x:v>
      </x:c>
      <x:c r="I1159" s="24" t="str">
        <x:v>corruption meter; heat; instability</x:v>
      </x:c>
      <x:c r="J1159" s="24" t="str">
        <x:v>Defines pacing, preparation, risk, repeatability, and the cost structure of power.</x:v>
      </x:c>
      <x:c r="K1159" s="24" t="str">
        <x:v>corruption meter; heat; instability</x:v>
      </x:c>
      <x:c r="L1159" s="24" t="str">
        <x:v>Preserve each source's ontology, culture, history, and terminology when making comparisons.</x:v>
      </x:c>
      <x:c r="M1159" s="24" t="str">
        <x:v>Core Family</x:v>
      </x:c>
    </x:row>
    <x:row r="1160" ht="44" customHeight="1">
      <x:c r="A1160" s="24" t="str">
        <x:v>MEC-221</x:v>
      </x:c>
      <x:c r="B1160" s="24" t="str">
        <x:v>Heat or Overload Model</x:v>
      </x:c>
      <x:c r="C1160" s="24" t="str">
        <x:v>Game-Mechanical Archetypes</x:v>
      </x:c>
      <x:c r="D1160" s="24" t="str">
        <x:v>MEC-200</x:v>
      </x:c>
      <x:c r="E1160" s="24" t="str">
        <x:f>IF(D1160="","",IFERROR(VLOOKUP(D1160,$A$2:$B$1226,2,FALSE),""))</x:f>
        <x:v>Resource and Casting Models</x:v>
      </x:c>
      <x:c r="F1160" s="24" t="n">
        <x:v>3</x:v>
      </x:c>
      <x:c r="G1160" s="24" t="str">
        <x:v>Power generates heat or strain requiring cooldown, venting, or risk management.</x:v>
      </x:c>
      <x:c r="H1160" s="24" t="str">
        <x:v>Record system, edition, encounter assumptions, and party size before comparing balance.</x:v>
      </x:c>
      <x:c r="I1160" s="24" t="str">
        <x:v>heat; overcharge; overload</x:v>
      </x:c>
      <x:c r="J1160" s="24" t="str">
        <x:v>Defines pacing, preparation, risk, repeatability, and the cost structure of power.</x:v>
      </x:c>
      <x:c r="K1160" s="24" t="str">
        <x:v>heat; overcharge; overload</x:v>
      </x:c>
      <x:c r="L1160" s="24" t="str">
        <x:v>Preserve each source's ontology, culture, history, and terminology when making comparisons.</x:v>
      </x:c>
      <x:c r="M1160" s="24" t="str">
        <x:v>Core Family</x:v>
      </x:c>
    </x:row>
    <x:row r="1161" ht="44" customHeight="1">
      <x:c r="A1161" s="24" t="str">
        <x:v>MEC-222</x:v>
      </x:c>
      <x:c r="B1161" s="24" t="str">
        <x:v>Concentration and Channeling</x:v>
      </x:c>
      <x:c r="C1161" s="24" t="str">
        <x:v>Game-Mechanical Archetypes</x:v>
      </x:c>
      <x:c r="D1161" s="24" t="str">
        <x:v>MEC-200</x:v>
      </x:c>
      <x:c r="E1161" s="24" t="str">
        <x:f>IF(D1161="","",IFERROR(VLOOKUP(D1161,$A$2:$B$1226,2,FALSE),""))</x:f>
        <x:v>Resource and Casting Models</x:v>
      </x:c>
      <x:c r="F1161" s="24" t="n">
        <x:v>3</x:v>
      </x:c>
      <x:c r="G1161" s="24" t="str">
        <x:v>Power requires continuous focus and can be interrupted by movement, damage, or competing actions.</x:v>
      </x:c>
      <x:c r="H1161" s="24" t="str">
        <x:v>Record system, edition, encounter assumptions, and party size before comparing balance.</x:v>
      </x:c>
      <x:c r="I1161" s="24" t="str">
        <x:v>channel; concentration; maintained spell</x:v>
      </x:c>
      <x:c r="J1161" s="24" t="str">
        <x:v>Defines pacing, preparation, risk, repeatability, and the cost structure of power.</x:v>
      </x:c>
      <x:c r="K1161" s="24" t="str">
        <x:v>channel; concentration; maintained spell</x:v>
      </x:c>
      <x:c r="L1161" s="24" t="str">
        <x:v>Preserve each source's ontology, culture, history, and terminology when making comparisons.</x:v>
      </x:c>
      <x:c r="M1161" s="24" t="str">
        <x:v>Core Family</x:v>
      </x:c>
    </x:row>
    <x:row r="1162" ht="44" customHeight="1">
      <x:c r="A1162" s="24" t="str">
        <x:v>MEC-223</x:v>
      </x:c>
      <x:c r="B1162" s="24" t="str">
        <x:v>Ritual Time Model</x:v>
      </x:c>
      <x:c r="C1162" s="24" t="str">
        <x:v>Game-Mechanical Archetypes</x:v>
      </x:c>
      <x:c r="D1162" s="24" t="str">
        <x:v>MEC-200</x:v>
      </x:c>
      <x:c r="E1162" s="24" t="str">
        <x:f>IF(D1162="","",IFERROR(VLOOKUP(D1162,$A$2:$B$1226,2,FALSE),""))</x:f>
        <x:v>Resource and Casting Models</x:v>
      </x:c>
      <x:c r="F1162" s="24" t="n">
        <x:v>3</x:v>
      </x:c>
      <x:c r="G1162" s="24" t="str">
        <x:v>Power requires extended setup, materials, participants, or precise conditions rather than ordinary action economy.</x:v>
      </x:c>
      <x:c r="H1162" s="24" t="str">
        <x:v>Record system, edition, encounter assumptions, and party size before comparing balance.</x:v>
      </x:c>
      <x:c r="I1162" s="24" t="str">
        <x:v>ritual; cast time; ceremony</x:v>
      </x:c>
      <x:c r="J1162" s="24" t="str">
        <x:v>Defines pacing, preparation, risk, repeatability, and the cost structure of power.</x:v>
      </x:c>
      <x:c r="K1162" s="24" t="str">
        <x:v>ritual; cast time; ceremony</x:v>
      </x:c>
      <x:c r="L1162" s="24" t="str">
        <x:v>Preserve each source's ontology, culture, history, and terminology when making comparisons.</x:v>
      </x:c>
      <x:c r="M1162" s="24" t="str">
        <x:v>Core Family</x:v>
      </x:c>
    </x:row>
    <x:row r="1163" ht="44" customHeight="1">
      <x:c r="A1163" s="24" t="str">
        <x:v>MEC-224</x:v>
      </x:c>
      <x:c r="B1163" s="24" t="str">
        <x:v>No-Resource or At-Will Model</x:v>
      </x:c>
      <x:c r="C1163" s="24" t="str">
        <x:v>Game-Mechanical Archetypes</x:v>
      </x:c>
      <x:c r="D1163" s="24" t="str">
        <x:v>MEC-200</x:v>
      </x:c>
      <x:c r="E1163" s="24" t="str">
        <x:f>IF(D1163="","",IFERROR(VLOOKUP(D1163,$A$2:$B$1226,2,FALSE),""))</x:f>
        <x:v>Resource and Casting Models</x:v>
      </x:c>
      <x:c r="F1163" s="24" t="n">
        <x:v>3</x:v>
      </x:c>
      <x:c r="G1163" s="24" t="str">
        <x:v>Core abilities can be used freely, with balance achieved through lower impact, conditions, or action opportunity.</x:v>
      </x:c>
      <x:c r="H1163" s="24" t="str">
        <x:v>Record system, edition, encounter assumptions, and party size before comparing balance.</x:v>
      </x:c>
      <x:c r="I1163" s="24" t="str">
        <x:v>at-will; basic action; cantrip</x:v>
      </x:c>
      <x:c r="J1163" s="24" t="str">
        <x:v>Defines pacing, preparation, risk, repeatability, and the cost structure of power.</x:v>
      </x:c>
      <x:c r="K1163" s="24" t="str">
        <x:v>at-will; basic action; cantrip</x:v>
      </x:c>
      <x:c r="L1163" s="24" t="str">
        <x:v>Preserve each source's ontology, culture, history, and terminology when making comparisons.</x:v>
      </x:c>
      <x:c r="M1163" s="24" t="str">
        <x:v>Core Family</x:v>
      </x:c>
    </x:row>
    <x:row r="1164" ht="44" customHeight="1">
      <x:c r="A1164" s="24" t="str">
        <x:v>MEC-225</x:v>
      </x:c>
      <x:c r="B1164" s="24" t="str">
        <x:v>Durability or Equipment Wear</x:v>
      </x:c>
      <x:c r="C1164" s="24" t="str">
        <x:v>Game-Mechanical Archetypes</x:v>
      </x:c>
      <x:c r="D1164" s="24" t="str">
        <x:v>MEC-200</x:v>
      </x:c>
      <x:c r="E1164" s="24" t="str">
        <x:f>IF(D1164="","",IFERROR(VLOOKUP(D1164,$A$2:$B$1226,2,FALSE),""))</x:f>
        <x:v>Resource and Casting Models</x:v>
      </x:c>
      <x:c r="F1164" s="24" t="n">
        <x:v>3</x:v>
      </x:c>
      <x:c r="G1164" s="24" t="str">
        <x:v>Power depends on tools that degrade, break, consume maintenance, or lose enchantment.</x:v>
      </x:c>
      <x:c r="H1164" s="24" t="str">
        <x:v>Record system, edition, encounter assumptions, and party size before comparing balance.</x:v>
      </x:c>
      <x:c r="I1164" s="24" t="str">
        <x:v>durability; weapon wear; repair</x:v>
      </x:c>
      <x:c r="J1164" s="24" t="str">
        <x:v>Defines pacing, preparation, risk, repeatability, and the cost structure of power.</x:v>
      </x:c>
      <x:c r="K1164" s="24" t="str">
        <x:v>durability; weapon wear; repair</x:v>
      </x:c>
      <x:c r="L1164" s="24" t="str">
        <x:v>Preserve each source's ontology, culture, history, and terminology when making comparisons.</x:v>
      </x:c>
      <x:c r="M1164" s="24" t="str">
        <x:v>Core Family</x:v>
      </x:c>
    </x:row>
    <x:row r="1165" ht="44" customHeight="1">
      <x:c r="A1165" s="24" t="str">
        <x:v>MEC-226</x:v>
      </x:c>
      <x:c r="B1165" s="24" t="str">
        <x:v>Soul or Follower Resource</x:v>
      </x:c>
      <x:c r="C1165" s="24" t="str">
        <x:v>Game-Mechanical Archetypes</x:v>
      </x:c>
      <x:c r="D1165" s="24" t="str">
        <x:v>MEC-200</x:v>
      </x:c>
      <x:c r="E1165" s="24" t="str">
        <x:f>IF(D1165="","",IFERROR(VLOOKUP(D1165,$A$2:$B$1226,2,FALSE),""))</x:f>
        <x:v>Resource and Casting Models</x:v>
      </x:c>
      <x:c r="F1165" s="24" t="n">
        <x:v>3</x:v>
      </x:c>
      <x:c r="G1165" s="24" t="str">
        <x:v>Abilities consume captured souls, minions, worship, corpses, followers, or social authority.</x:v>
      </x:c>
      <x:c r="H1165" s="24" t="str">
        <x:v>Record system, edition, encounter assumptions, and party size before comparing balance.</x:v>
      </x:c>
      <x:c r="I1165" s="24" t="str">
        <x:v>souls; corpses; faith; minion resource</x:v>
      </x:c>
      <x:c r="J1165" s="24" t="str">
        <x:v>Defines pacing, preparation, risk, repeatability, and the cost structure of power.</x:v>
      </x:c>
      <x:c r="K1165" s="24" t="str">
        <x:v>souls; corpses; faith; minion resource</x:v>
      </x:c>
      <x:c r="L1165" s="24" t="str">
        <x:v>Preserve each source's ontology, culture, history, and terminology when making comparisons.</x:v>
      </x:c>
      <x:c r="M1165" s="24" t="str">
        <x:v>Core Family</x:v>
      </x:c>
    </x:row>
    <x:row r="1166" ht="44" customHeight="1">
      <x:c r="A1166" s="24" t="str">
        <x:v>MEC-301</x:v>
      </x:c>
      <x:c r="B1166" s="24" t="str">
        <x:v>Fixed Class</x:v>
      </x:c>
      <x:c r="C1166" s="24" t="str">
        <x:v>Game-Mechanical Archetypes</x:v>
      </x:c>
      <x:c r="D1166" s="24" t="str">
        <x:v>MEC-300</x:v>
      </x:c>
      <x:c r="E1166" s="24" t="str">
        <x:f>IF(D1166="","",IFERROR(VLOOKUP(D1166,$A$2:$B$1226,2,FALSE),""))</x:f>
        <x:v>Progression and Build Models</x:v>
      </x:c>
      <x:c r="F1166" s="24" t="n">
        <x:v>3</x:v>
      </x:c>
      <x:c r="G1166" s="24" t="str">
        <x:v>Character progression occurs within one defined class with limited or no switching.</x:v>
      </x:c>
      <x:c r="H1166" s="24" t="str">
        <x:v>Record system, edition, encounter assumptions, and party size before comparing balance.</x:v>
      </x:c>
      <x:c r="I1166" s="24" t="str">
        <x:v>single class; fixed job</x:v>
      </x:c>
      <x:c r="J1166" s="24" t="str">
        <x:v>Defines character differentiation, advancement, replayability, and build identity.</x:v>
      </x:c>
      <x:c r="K1166" s="24" t="str">
        <x:v>single class; fixed job</x:v>
      </x:c>
      <x:c r="L1166" s="24" t="str">
        <x:v>Preserve each source's ontology, culture, history, and terminology when making comparisons.</x:v>
      </x:c>
      <x:c r="M1166" s="24" t="str">
        <x:v>Core Family</x:v>
      </x:c>
    </x:row>
    <x:row r="1167" ht="44" customHeight="1">
      <x:c r="A1167" s="24" t="str">
        <x:v>MEC-302</x:v>
      </x:c>
      <x:c r="B1167" s="24" t="str">
        <x:v>Class Change or Job System</x:v>
      </x:c>
      <x:c r="C1167" s="24" t="str">
        <x:v>Game-Mechanical Archetypes</x:v>
      </x:c>
      <x:c r="D1167" s="24" t="str">
        <x:v>MEC-300</x:v>
      </x:c>
      <x:c r="E1167" s="24" t="str">
        <x:f>IF(D1167="","",IFERROR(VLOOKUP(D1167,$A$2:$B$1226,2,FALSE),""))</x:f>
        <x:v>Progression and Build Models</x:v>
      </x:c>
      <x:c r="F1167" s="24" t="n">
        <x:v>3</x:v>
      </x:c>
      <x:c r="G1167" s="24" t="str">
        <x:v>Characters can switch among jobs, often carrying selected levels or abilities.</x:v>
      </x:c>
      <x:c r="H1167" s="24" t="str">
        <x:v>Record system, edition, encounter assumptions, and party size before comparing balance.</x:v>
      </x:c>
      <x:c r="I1167" s="24" t="str">
        <x:v>job change; class switch; license system</x:v>
      </x:c>
      <x:c r="J1167" s="24" t="str">
        <x:v>Defines character differentiation, advancement, replayability, and build identity.</x:v>
      </x:c>
      <x:c r="K1167" s="24" t="str">
        <x:v>job change; class switch; license system</x:v>
      </x:c>
      <x:c r="L1167" s="24" t="str">
        <x:v>Preserve each source's ontology, culture, history, and terminology when making comparisons.</x:v>
      </x:c>
      <x:c r="M1167" s="24" t="str">
        <x:v>Core Family</x:v>
      </x:c>
    </x:row>
    <x:row r="1168" ht="44" customHeight="1">
      <x:c r="A1168" s="24" t="str">
        <x:v>MEC-303</x:v>
      </x:c>
      <x:c r="B1168" s="24" t="str">
        <x:v>Multiclassing</x:v>
      </x:c>
      <x:c r="C1168" s="24" t="str">
        <x:v>Game-Mechanical Archetypes</x:v>
      </x:c>
      <x:c r="D1168" s="24" t="str">
        <x:v>MEC-300</x:v>
      </x:c>
      <x:c r="E1168" s="24" t="str">
        <x:f>IF(D1168="","",IFERROR(VLOOKUP(D1168,$A$2:$B$1226,2,FALSE),""))</x:f>
        <x:v>Progression and Build Models</x:v>
      </x:c>
      <x:c r="F1168" s="24" t="n">
        <x:v>3</x:v>
      </x:c>
      <x:c r="G1168" s="24" t="str">
        <x:v>Character combines progression from two or more classes.</x:v>
      </x:c>
      <x:c r="H1168" s="24" t="str">
        <x:v>Record system, edition, encounter assumptions, and party size before comparing balance.</x:v>
      </x:c>
      <x:c r="I1168" s="24" t="str">
        <x:v>multiclass; dual class; hybrid build</x:v>
      </x:c>
      <x:c r="J1168" s="24" t="str">
        <x:v>Defines character differentiation, advancement, replayability, and build identity.</x:v>
      </x:c>
      <x:c r="K1168" s="24" t="str">
        <x:v>multiclass; dual class; hybrid build</x:v>
      </x:c>
      <x:c r="L1168" s="24" t="str">
        <x:v>Preserve each source's ontology, culture, history, and terminology when making comparisons.</x:v>
      </x:c>
      <x:c r="M1168" s="24" t="str">
        <x:v>Core Family</x:v>
      </x:c>
    </x:row>
    <x:row r="1169" ht="44" customHeight="1">
      <x:c r="A1169" s="24" t="str">
        <x:v>MEC-304</x:v>
      </x:c>
      <x:c r="B1169" s="24" t="str">
        <x:v>Subclass Specialization</x:v>
      </x:c>
      <x:c r="C1169" s="24" t="str">
        <x:v>Game-Mechanical Archetypes</x:v>
      </x:c>
      <x:c r="D1169" s="24" t="str">
        <x:v>MEC-300</x:v>
      </x:c>
      <x:c r="E1169" s="24" t="str">
        <x:f>IF(D1169="","",IFERROR(VLOOKUP(D1169,$A$2:$B$1226,2,FALSE),""))</x:f>
        <x:v>Progression and Build Models</x:v>
      </x:c>
      <x:c r="F1169" s="24" t="n">
        <x:v>3</x:v>
      </x:c>
      <x:c r="G1169" s="24" t="str">
        <x:v>A broad class branches into a narrower path with distinct abilities and identity.</x:v>
      </x:c>
      <x:c r="H1169" s="24" t="str">
        <x:v>Record system, edition, encounter assumptions, and party size before comparing balance.</x:v>
      </x:c>
      <x:c r="I1169" s="24" t="str">
        <x:v>subclass; specialization; archetype</x:v>
      </x:c>
      <x:c r="J1169" s="24" t="str">
        <x:v>Defines character differentiation, advancement, replayability, and build identity.</x:v>
      </x:c>
      <x:c r="K1169" s="24" t="str">
        <x:v>subclass; specialization; archetype</x:v>
      </x:c>
      <x:c r="L1169" s="24" t="str">
        <x:v>Preserve each source's ontology, culture, history, and terminology when making comparisons.</x:v>
      </x:c>
      <x:c r="M1169" s="24" t="str">
        <x:v>Core Family</x:v>
      </x:c>
    </x:row>
    <x:row r="1170" ht="44" customHeight="1">
      <x:c r="A1170" s="24" t="str">
        <x:v>MEC-305</x:v>
      </x:c>
      <x:c r="B1170" s="24" t="str">
        <x:v>Prestige or Advanced Class</x:v>
      </x:c>
      <x:c r="C1170" s="24" t="str">
        <x:v>Game-Mechanical Archetypes</x:v>
      </x:c>
      <x:c r="D1170" s="24" t="str">
        <x:v>MEC-300</x:v>
      </x:c>
      <x:c r="E1170" s="24" t="str">
        <x:f>IF(D1170="","",IFERROR(VLOOKUP(D1170,$A$2:$B$1226,2,FALSE),""))</x:f>
        <x:v>Progression and Build Models</x:v>
      </x:c>
      <x:c r="F1170" s="24" t="n">
        <x:v>3</x:v>
      </x:c>
      <x:c r="G1170" s="24" t="str">
        <x:v>Specialized class unlocked after prerequisites, promotion, item, story event, or high rank.</x:v>
      </x:c>
      <x:c r="H1170" s="24" t="str">
        <x:v>Record system, edition, encounter assumptions, and party size before comparing balance.</x:v>
      </x:c>
      <x:c r="I1170" s="24" t="str">
        <x:v>prestige class; advanced job; promotion</x:v>
      </x:c>
      <x:c r="J1170" s="24" t="str">
        <x:v>Defines character differentiation, advancement, replayability, and build identity.</x:v>
      </x:c>
      <x:c r="K1170" s="24" t="str">
        <x:v>prestige class; advanced job; promotion</x:v>
      </x:c>
      <x:c r="L1170" s="24" t="str">
        <x:v>Preserve each source's ontology, culture, history, and terminology when making comparisons.</x:v>
      </x:c>
      <x:c r="M1170" s="24" t="str">
        <x:v>Core Family</x:v>
      </x:c>
    </x:row>
    <x:row r="1171" ht="44" customHeight="1">
      <x:c r="A1171" s="24" t="str">
        <x:v>MEC-306</x:v>
      </x:c>
      <x:c r="B1171" s="24" t="str">
        <x:v>Classless Skill System</x:v>
      </x:c>
      <x:c r="C1171" s="24" t="str">
        <x:v>Game-Mechanical Archetypes</x:v>
      </x:c>
      <x:c r="D1171" s="24" t="str">
        <x:v>MEC-300</x:v>
      </x:c>
      <x:c r="E1171" s="24" t="str">
        <x:f>IF(D1171="","",IFERROR(VLOOKUP(D1171,$A$2:$B$1226,2,FALSE),""))</x:f>
        <x:v>Progression and Build Models</x:v>
      </x:c>
      <x:c r="F1171" s="24" t="n">
        <x:v>3</x:v>
      </x:c>
      <x:c r="G1171" s="24" t="str">
        <x:v>Characters buy or improve individual skills, attributes, perks, and powers without fixed classes.</x:v>
      </x:c>
      <x:c r="H1171" s="24" t="str">
        <x:v>Record system, edition, encounter assumptions, and party size before comparing balance.</x:v>
      </x:c>
      <x:c r="I1171" s="24" t="str">
        <x:v>skill-based; classless; point buy</x:v>
      </x:c>
      <x:c r="J1171" s="24" t="str">
        <x:v>Defines character differentiation, advancement, replayability, and build identity.</x:v>
      </x:c>
      <x:c r="K1171" s="24" t="str">
        <x:v>skill-based; classless; point buy</x:v>
      </x:c>
      <x:c r="L1171" s="24" t="str">
        <x:v>Preserve each source's ontology, culture, history, and terminology when making comparisons.</x:v>
      </x:c>
      <x:c r="M1171" s="24" t="str">
        <x:v>Core Family</x:v>
      </x:c>
    </x:row>
    <x:row r="1172" ht="44" customHeight="1">
      <x:c r="A1172" s="24" t="str">
        <x:v>MEC-307</x:v>
      </x:c>
      <x:c r="B1172" s="24" t="str">
        <x:v>Talent Tree</x:v>
      </x:c>
      <x:c r="C1172" s="24" t="str">
        <x:v>Game-Mechanical Archetypes</x:v>
      </x:c>
      <x:c r="D1172" s="24" t="str">
        <x:v>MEC-300</x:v>
      </x:c>
      <x:c r="E1172" s="24" t="str">
        <x:f>IF(D1172="","",IFERROR(VLOOKUP(D1172,$A$2:$B$1226,2,FALSE),""))</x:f>
        <x:v>Progression and Build Models</x:v>
      </x:c>
      <x:c r="F1172" s="24" t="n">
        <x:v>3</x:v>
      </x:c>
      <x:c r="G1172" s="24" t="str">
        <x:v>Progression involves selecting connected passive and active upgrades along branches.</x:v>
      </x:c>
      <x:c r="H1172" s="24" t="str">
        <x:v>Record system, edition, encounter assumptions, and party size before comparing balance.</x:v>
      </x:c>
      <x:c r="I1172" s="24" t="str">
        <x:v>skill tree; talent tree; perk tree</x:v>
      </x:c>
      <x:c r="J1172" s="24" t="str">
        <x:v>Defines character differentiation, advancement, replayability, and build identity.</x:v>
      </x:c>
      <x:c r="K1172" s="24" t="str">
        <x:v>skill tree; talent tree; perk tree</x:v>
      </x:c>
      <x:c r="L1172" s="24" t="str">
        <x:v>Preserve each source's ontology, culture, history, and terminology when making comparisons.</x:v>
      </x:c>
      <x:c r="M1172" s="24" t="str">
        <x:v>Core Family</x:v>
      </x:c>
    </x:row>
    <x:row r="1173" ht="44" customHeight="1">
      <x:c r="A1173" s="24" t="str">
        <x:v>MEC-308</x:v>
      </x:c>
      <x:c r="B1173" s="24" t="str">
        <x:v>Loadout-Based Build</x:v>
      </x:c>
      <x:c r="C1173" s="24" t="str">
        <x:v>Game-Mechanical Archetypes</x:v>
      </x:c>
      <x:c r="D1173" s="24" t="str">
        <x:v>MEC-300</x:v>
      </x:c>
      <x:c r="E1173" s="24" t="str">
        <x:f>IF(D1173="","",IFERROR(VLOOKUP(D1173,$A$2:$B$1226,2,FALSE),""))</x:f>
        <x:v>Progression and Build Models</x:v>
      </x:c>
      <x:c r="F1173" s="24" t="n">
        <x:v>3</x:v>
      </x:c>
      <x:c r="G1173" s="24" t="str">
        <x:v>Character identity changes through equipped abilities, weapons, cards, spells, or modules rather than permanent class.</x:v>
      </x:c>
      <x:c r="H1173" s="24" t="str">
        <x:v>Record system, edition, encounter assumptions, and party size before comparing balance.</x:v>
      </x:c>
      <x:c r="I1173" s="24" t="str">
        <x:v>loadout; deck build; ability slots</x:v>
      </x:c>
      <x:c r="J1173" s="24" t="str">
        <x:v>Defines character differentiation, advancement, replayability, and build identity.</x:v>
      </x:c>
      <x:c r="K1173" s="24" t="str">
        <x:v>loadout; deck build; ability slots</x:v>
      </x:c>
      <x:c r="L1173" s="24" t="str">
        <x:v>Preserve each source's ontology, culture, history, and terminology when making comparisons.</x:v>
      </x:c>
      <x:c r="M1173" s="24" t="str">
        <x:v>Core Family</x:v>
      </x:c>
    </x:row>
    <x:row r="1174" ht="44" customHeight="1">
      <x:c r="A1174" s="24" t="str">
        <x:v>MEC-309</x:v>
      </x:c>
      <x:c r="B1174" s="24" t="str">
        <x:v>Equipment-Defined Role</x:v>
      </x:c>
      <x:c r="C1174" s="24" t="str">
        <x:v>Game-Mechanical Archetypes</x:v>
      </x:c>
      <x:c r="D1174" s="24" t="str">
        <x:v>MEC-300</x:v>
      </x:c>
      <x:c r="E1174" s="24" t="str">
        <x:f>IF(D1174="","",IFERROR(VLOOKUP(D1174,$A$2:$B$1226,2,FALSE),""))</x:f>
        <x:v>Progression and Build Models</x:v>
      </x:c>
      <x:c r="F1174" s="24" t="n">
        <x:v>3</x:v>
      </x:c>
      <x:c r="G1174" s="24" t="str">
        <x:v>Weapons, armor, tools, or relics substantially determine available abilities and party function.</x:v>
      </x:c>
      <x:c r="H1174" s="24" t="str">
        <x:v>Record system, edition, encounter assumptions, and party size before comparing balance.</x:v>
      </x:c>
      <x:c r="I1174" s="24" t="str">
        <x:v>weapon class; gear build; equipment role</x:v>
      </x:c>
      <x:c r="J1174" s="24" t="str">
        <x:v>Defines character differentiation, advancement, replayability, and build identity.</x:v>
      </x:c>
      <x:c r="K1174" s="24" t="str">
        <x:v>weapon class; gear build; equipment role</x:v>
      </x:c>
      <x:c r="L1174" s="24" t="str">
        <x:v>Preserve each source's ontology, culture, history, and terminology when making comparisons.</x:v>
      </x:c>
      <x:c r="M1174" s="24" t="str">
        <x:v>Core Family</x:v>
      </x:c>
    </x:row>
    <x:row r="1175" ht="44" customHeight="1">
      <x:c r="A1175" s="24" t="str">
        <x:v>MEC-310</x:v>
      </x:c>
      <x:c r="B1175" s="24" t="str">
        <x:v>Level-Based Progression</x:v>
      </x:c>
      <x:c r="C1175" s="24" t="str">
        <x:v>Game-Mechanical Archetypes</x:v>
      </x:c>
      <x:c r="D1175" s="24" t="str">
        <x:v>MEC-300</x:v>
      </x:c>
      <x:c r="E1175" s="24" t="str">
        <x:f>IF(D1175="","",IFERROR(VLOOKUP(D1175,$A$2:$B$1226,2,FALSE),""))</x:f>
        <x:v>Progression and Build Models</x:v>
      </x:c>
      <x:c r="F1175" s="24" t="n">
        <x:v>3</x:v>
      </x:c>
      <x:c r="G1175" s="24" t="str">
        <x:v>Capabilities rise through discrete levels earned by experience or milestones.</x:v>
      </x:c>
      <x:c r="H1175" s="24" t="str">
        <x:v>Record system, edition, encounter assumptions, and party size before comparing balance.</x:v>
      </x:c>
      <x:c r="I1175" s="24" t="str">
        <x:v>levels; XP; rank</x:v>
      </x:c>
      <x:c r="J1175" s="24" t="str">
        <x:v>Defines character differentiation, advancement, replayability, and build identity.</x:v>
      </x:c>
      <x:c r="K1175" s="24" t="str">
        <x:v>levels; XP; rank</x:v>
      </x:c>
      <x:c r="L1175" s="24" t="str">
        <x:v>Preserve each source's ontology, culture, history, and terminology when making comparisons.</x:v>
      </x:c>
      <x:c r="M1175" s="24" t="str">
        <x:v>Core Family</x:v>
      </x:c>
    </x:row>
    <x:row r="1176" ht="44" customHeight="1">
      <x:c r="A1176" s="24" t="str">
        <x:v>MEC-311</x:v>
      </x:c>
      <x:c r="B1176" s="24" t="str">
        <x:v>Skill-Use Progression</x:v>
      </x:c>
      <x:c r="C1176" s="24" t="str">
        <x:v>Game-Mechanical Archetypes</x:v>
      </x:c>
      <x:c r="D1176" s="24" t="str">
        <x:v>MEC-300</x:v>
      </x:c>
      <x:c r="E1176" s="24" t="str">
        <x:f>IF(D1176="","",IFERROR(VLOOKUP(D1176,$A$2:$B$1226,2,FALSE),""))</x:f>
        <x:v>Progression and Build Models</x:v>
      </x:c>
      <x:c r="F1176" s="24" t="n">
        <x:v>3</x:v>
      </x:c>
      <x:c r="G1176" s="24" t="str">
        <x:v>Skills improve through repeated use rather than global level allocation.</x:v>
      </x:c>
      <x:c r="H1176" s="24" t="str">
        <x:v>Record system, edition, encounter assumptions, and party size before comparing balance.</x:v>
      </x:c>
      <x:c r="I1176" s="24" t="str">
        <x:v>use-based leveling; practice progression</x:v>
      </x:c>
      <x:c r="J1176" s="24" t="str">
        <x:v>Defines character differentiation, advancement, replayability, and build identity.</x:v>
      </x:c>
      <x:c r="K1176" s="24" t="str">
        <x:v>use-based leveling; practice progression</x:v>
      </x:c>
      <x:c r="L1176" s="24" t="str">
        <x:v>Preserve each source's ontology, culture, history, and terminology when making comparisons.</x:v>
      </x:c>
      <x:c r="M1176" s="24" t="str">
        <x:v>Core Family</x:v>
      </x:c>
    </x:row>
    <x:row r="1177" ht="44" customHeight="1">
      <x:c r="A1177" s="24" t="str">
        <x:v>MEC-312</x:v>
      </x:c>
      <x:c r="B1177" s="24" t="str">
        <x:v>Point-Buy Progression</x:v>
      </x:c>
      <x:c r="C1177" s="24" t="str">
        <x:v>Game-Mechanical Archetypes</x:v>
      </x:c>
      <x:c r="D1177" s="24" t="str">
        <x:v>MEC-300</x:v>
      </x:c>
      <x:c r="E1177" s="24" t="str">
        <x:f>IF(D1177="","",IFERROR(VLOOKUP(D1177,$A$2:$B$1226,2,FALSE),""))</x:f>
        <x:v>Progression and Build Models</x:v>
      </x:c>
      <x:c r="F1177" s="24" t="n">
        <x:v>3</x:v>
      </x:c>
      <x:c r="G1177" s="24" t="str">
        <x:v>Players allocate earned points directly among attributes, skills, powers, or perks.</x:v>
      </x:c>
      <x:c r="H1177" s="24" t="str">
        <x:v>Record system, edition, encounter assumptions, and party size before comparing balance.</x:v>
      </x:c>
      <x:c r="I1177" s="24" t="str">
        <x:v>point buy; free allocation</x:v>
      </x:c>
      <x:c r="J1177" s="24" t="str">
        <x:v>Defines character differentiation, advancement, replayability, and build identity.</x:v>
      </x:c>
      <x:c r="K1177" s="24" t="str">
        <x:v>point buy; free allocation</x:v>
      </x:c>
      <x:c r="L1177" s="24" t="str">
        <x:v>Preserve each source's ontology, culture, history, and terminology when making comparisons.</x:v>
      </x:c>
      <x:c r="M1177" s="24" t="str">
        <x:v>Core Family</x:v>
      </x:c>
    </x:row>
    <x:row r="1178" ht="44" customHeight="1">
      <x:c r="A1178" s="24" t="str">
        <x:v>MEC-313</x:v>
      </x:c>
      <x:c r="B1178" s="24" t="str">
        <x:v>Narrative Advancement</x:v>
      </x:c>
      <x:c r="C1178" s="24" t="str">
        <x:v>Game-Mechanical Archetypes</x:v>
      </x:c>
      <x:c r="D1178" s="24" t="str">
        <x:v>MEC-300</x:v>
      </x:c>
      <x:c r="E1178" s="24" t="str">
        <x:f>IF(D1178="","",IFERROR(VLOOKUP(D1178,$A$2:$B$1226,2,FALSE),""))</x:f>
        <x:v>Progression and Build Models</x:v>
      </x:c>
      <x:c r="F1178" s="24" t="n">
        <x:v>3</x:v>
      </x:c>
      <x:c r="G1178" s="24" t="str">
        <x:v>New abilities and status are gained primarily through story events, relationships, training, and consequences.</x:v>
      </x:c>
      <x:c r="H1178" s="24" t="str">
        <x:v>Record system, edition, encounter assumptions, and party size before comparing balance.</x:v>
      </x:c>
      <x:c r="I1178" s="24" t="str">
        <x:v>milestone; fiction-first advancement</x:v>
      </x:c>
      <x:c r="J1178" s="24" t="str">
        <x:v>Defines character differentiation, advancement, replayability, and build identity.</x:v>
      </x:c>
      <x:c r="K1178" s="24" t="str">
        <x:v>milestone; fiction-first advancement</x:v>
      </x:c>
      <x:c r="L1178" s="24" t="str">
        <x:v>Preserve each source's ontology, culture, history, and terminology when making comparisons.</x:v>
      </x:c>
      <x:c r="M1178" s="24" t="str">
        <x:v>Core Family</x:v>
      </x:c>
    </x:row>
    <x:row r="1179" ht="44" customHeight="1">
      <x:c r="A1179" s="24" t="str">
        <x:v>MEC-314</x:v>
      </x:c>
      <x:c r="B1179" s="24" t="str">
        <x:v>Rank and Promotion System</x:v>
      </x:c>
      <x:c r="C1179" s="24" t="str">
        <x:v>Game-Mechanical Archetypes</x:v>
      </x:c>
      <x:c r="D1179" s="24" t="str">
        <x:v>MEC-300</x:v>
      </x:c>
      <x:c r="E1179" s="24" t="str">
        <x:f>IF(D1179="","",IFERROR(VLOOKUP(D1179,$A$2:$B$1226,2,FALSE),""))</x:f>
        <x:v>Progression and Build Models</x:v>
      </x:c>
      <x:c r="F1179" s="24" t="n">
        <x:v>3</x:v>
      </x:c>
      <x:c r="G1179" s="24" t="str">
        <x:v>Progression is tied to formal military, guild, hunter, or sect rank.</x:v>
      </x:c>
      <x:c r="H1179" s="24" t="str">
        <x:v>Record system, edition, encounter assumptions, and party size before comparing balance.</x:v>
      </x:c>
      <x:c r="I1179" s="24" t="str">
        <x:v>promotion; guild rank; hunter grade</x:v>
      </x:c>
      <x:c r="J1179" s="24" t="str">
        <x:v>Defines character differentiation, advancement, replayability, and build identity.</x:v>
      </x:c>
      <x:c r="K1179" s="24" t="str">
        <x:v>promotion; guild rank; hunter grade</x:v>
      </x:c>
      <x:c r="L1179" s="24" t="str">
        <x:v>Preserve each source's ontology, culture, history, and terminology when making comparisons.</x:v>
      </x:c>
      <x:c r="M1179" s="24" t="str">
        <x:v>Core Family</x:v>
      </x:c>
    </x:row>
    <x:row r="1180" ht="44" customHeight="1">
      <x:c r="A1180" s="24" t="str">
        <x:v>MEC-315</x:v>
      </x:c>
      <x:c r="B1180" s="24" t="str">
        <x:v>Cultivation Realm System</x:v>
      </x:c>
      <x:c r="C1180" s="24" t="str">
        <x:v>Game-Mechanical Archetypes</x:v>
      </x:c>
      <x:c r="D1180" s="24" t="str">
        <x:v>MEC-300</x:v>
      </x:c>
      <x:c r="E1180" s="24" t="str">
        <x:f>IF(D1180="","",IFERROR(VLOOKUP(D1180,$A$2:$B$1226,2,FALSE),""))</x:f>
        <x:v>Progression and Build Models</x:v>
      </x:c>
      <x:c r="F1180" s="24" t="n">
        <x:v>3</x:v>
      </x:c>
      <x:c r="G1180" s="24" t="str">
        <x:v>Progression passes through named metaphysical stages with qualitative transformations.</x:v>
      </x:c>
      <x:c r="H1180" s="24" t="str">
        <x:v>Record system, edition, encounter assumptions, and party size before comparing balance.</x:v>
      </x:c>
      <x:c r="I1180" s="24" t="str">
        <x:v>cultivation stages; realms; breakthroughs</x:v>
      </x:c>
      <x:c r="J1180" s="24" t="str">
        <x:v>Defines character differentiation, advancement, replayability, and build identity.</x:v>
      </x:c>
      <x:c r="K1180" s="24" t="str">
        <x:v>cultivation stages; realms; breakthroughs</x:v>
      </x:c>
      <x:c r="L1180" s="24" t="str">
        <x:v>Preserve each source's ontology, culture, history, and terminology when making comparisons.</x:v>
      </x:c>
      <x:c r="M1180" s="24" t="str">
        <x:v>Core Family</x:v>
      </x:c>
    </x:row>
    <x:row r="1181" ht="44" customHeight="1">
      <x:c r="A1181" s="24" t="str">
        <x:v>MEC-316</x:v>
      </x:c>
      <x:c r="B1181" s="24" t="str">
        <x:v>Evolution System</x:v>
      </x:c>
      <x:c r="C1181" s="24" t="str">
        <x:v>Game-Mechanical Archetypes</x:v>
      </x:c>
      <x:c r="D1181" s="24" t="str">
        <x:v>MEC-300</x:v>
      </x:c>
      <x:c r="E1181" s="24" t="str">
        <x:f>IF(D1181="","",IFERROR(VLOOKUP(D1181,$A$2:$B$1226,2,FALSE),""))</x:f>
        <x:v>Progression and Build Models</x:v>
      </x:c>
      <x:c r="F1181" s="24" t="n">
        <x:v>3</x:v>
      </x:c>
      <x:c r="G1181" s="24" t="str">
        <x:v>A creature or character changes species, form, or class after meeting conditions.</x:v>
      </x:c>
      <x:c r="H1181" s="24" t="str">
        <x:v>Record system, edition, encounter assumptions, and party size before comparing balance.</x:v>
      </x:c>
      <x:c r="I1181" s="24" t="str">
        <x:v>evolution; class evolution; metamorphosis</x:v>
      </x:c>
      <x:c r="J1181" s="24" t="str">
        <x:v>Defines character differentiation, advancement, replayability, and build identity.</x:v>
      </x:c>
      <x:c r="K1181" s="24" t="str">
        <x:v>evolution; class evolution; metamorphosis</x:v>
      </x:c>
      <x:c r="L1181" s="24" t="str">
        <x:v>Preserve each source's ontology, culture, history, and terminology when making comparisons.</x:v>
      </x:c>
      <x:c r="M1181" s="24" t="str">
        <x:v>Core Family</x:v>
      </x:c>
    </x:row>
    <x:row r="1182" ht="44" customHeight="1">
      <x:c r="A1182" s="24" t="str">
        <x:v>MEC-317</x:v>
      </x:c>
      <x:c r="B1182" s="24" t="str">
        <x:v>Reincarnation or Reset Progression</x:v>
      </x:c>
      <x:c r="C1182" s="24" t="str">
        <x:v>Game-Mechanical Archetypes</x:v>
      </x:c>
      <x:c r="D1182" s="24" t="str">
        <x:v>MEC-300</x:v>
      </x:c>
      <x:c r="E1182" s="24" t="str">
        <x:f>IF(D1182="","",IFERROR(VLOOKUP(D1182,$A$2:$B$1226,2,FALSE),""))</x:f>
        <x:v>Progression and Build Models</x:v>
      </x:c>
      <x:c r="F1182" s="24" t="n">
        <x:v>3</x:v>
      </x:c>
      <x:c r="G1182" s="24" t="str">
        <x:v>Character restarts with retained bonuses, knowledge, traits, or meta-currency.</x:v>
      </x:c>
      <x:c r="H1182" s="24" t="str">
        <x:v>Record system, edition, encounter assumptions, and party size before comparing balance.</x:v>
      </x:c>
      <x:c r="I1182" s="24" t="str">
        <x:v>rebirth; prestige reset; new game plus</x:v>
      </x:c>
      <x:c r="J1182" s="24" t="str">
        <x:v>Defines character differentiation, advancement, replayability, and build identity.</x:v>
      </x:c>
      <x:c r="K1182" s="24" t="str">
        <x:v>rebirth; prestige reset; new game plus</x:v>
      </x:c>
      <x:c r="L1182" s="24" t="str">
        <x:v>Preserve each source's ontology, culture, history, and terminology when making comparisons.</x:v>
      </x:c>
      <x:c r="M1182" s="24" t="str">
        <x:v>Core Family</x:v>
      </x:c>
    </x:row>
    <x:row r="1183" ht="44" customHeight="1">
      <x:c r="A1183" s="24" t="str">
        <x:v>MEC-318</x:v>
      </x:c>
      <x:c r="B1183" s="24" t="str">
        <x:v>Inheritance System</x:v>
      </x:c>
      <x:c r="C1183" s="24" t="str">
        <x:v>Game-Mechanical Archetypes</x:v>
      </x:c>
      <x:c r="D1183" s="24" t="str">
        <x:v>MEC-300</x:v>
      </x:c>
      <x:c r="E1183" s="24" t="str">
        <x:f>IF(D1183="","",IFERROR(VLOOKUP(D1183,$A$2:$B$1226,2,FALSE),""))</x:f>
        <x:v>Progression and Build Models</x:v>
      </x:c>
      <x:c r="F1183" s="24" t="n">
        <x:v>3</x:v>
      </x:c>
      <x:c r="G1183" s="24" t="str">
        <x:v>Abilities, items, titles, or traits pass to descendants, successors, clones, or later runs.</x:v>
      </x:c>
      <x:c r="H1183" s="24" t="str">
        <x:v>Record system, edition, encounter assumptions, and party size before comparing balance.</x:v>
      </x:c>
      <x:c r="I1183" s="24" t="str">
        <x:v>legacy; bloodline; generational transfer</x:v>
      </x:c>
      <x:c r="J1183" s="24" t="str">
        <x:v>Defines character differentiation, advancement, replayability, and build identity.</x:v>
      </x:c>
      <x:c r="K1183" s="24" t="str">
        <x:v>legacy; bloodline; generational transfer</x:v>
      </x:c>
      <x:c r="L1183" s="24" t="str">
        <x:v>Preserve each source's ontology, culture, history, and terminology when making comparisons.</x:v>
      </x:c>
      <x:c r="M1183" s="24" t="str">
        <x:v>Core Family</x:v>
      </x:c>
    </x:row>
    <x:row r="1184" ht="44" customHeight="1">
      <x:c r="A1184" s="24" t="str">
        <x:v>MEC-319</x:v>
      </x:c>
      <x:c r="B1184" s="24" t="str">
        <x:v>Companion Collection System</x:v>
      </x:c>
      <x:c r="C1184" s="24" t="str">
        <x:v>Game-Mechanical Archetypes</x:v>
      </x:c>
      <x:c r="D1184" s="24" t="str">
        <x:v>MEC-300</x:v>
      </x:c>
      <x:c r="E1184" s="24" t="str">
        <x:f>IF(D1184="","",IFERROR(VLOOKUP(D1184,$A$2:$B$1226,2,FALSE),""))</x:f>
        <x:v>Progression and Build Models</x:v>
      </x:c>
      <x:c r="F1184" s="24" t="n">
        <x:v>3</x:v>
      </x:c>
      <x:c r="G1184" s="24" t="str">
        <x:v>Progression centers on recruiting, summoning, breeding, or improving a roster of allies.</x:v>
      </x:c>
      <x:c r="H1184" s="24" t="str">
        <x:v>Record system, edition, encounter assumptions, and party size before comparing balance.</x:v>
      </x:c>
      <x:c r="I1184" s="24" t="str">
        <x:v>monster collection; gacha roster; recruit system</x:v>
      </x:c>
      <x:c r="J1184" s="24" t="str">
        <x:v>Defines character differentiation, advancement, replayability, and build identity.</x:v>
      </x:c>
      <x:c r="K1184" s="24" t="str">
        <x:v>monster collection; gacha roster; recruit system</x:v>
      </x:c>
      <x:c r="L1184" s="24" t="str">
        <x:v>Preserve each source's ontology, culture, history, and terminology when making comparisons.</x:v>
      </x:c>
      <x:c r="M1184" s="24" t="str">
        <x:v>Core Family</x:v>
      </x:c>
    </x:row>
    <x:row r="1185" ht="44" customHeight="1">
      <x:c r="A1185" s="24" t="str">
        <x:v>MEC-320</x:v>
      </x:c>
      <x:c r="B1185" s="24" t="str">
        <x:v>Crafting Progression</x:v>
      </x:c>
      <x:c r="C1185" s="24" t="str">
        <x:v>Game-Mechanical Archetypes</x:v>
      </x:c>
      <x:c r="D1185" s="24" t="str">
        <x:v>MEC-300</x:v>
      </x:c>
      <x:c r="E1185" s="24" t="str">
        <x:f>IF(D1185="","",IFERROR(VLOOKUP(D1185,$A$2:$B$1226,2,FALSE),""))</x:f>
        <x:v>Progression and Build Models</x:v>
      </x:c>
      <x:c r="F1185" s="24" t="n">
        <x:v>3</x:v>
      </x:c>
      <x:c r="G1185" s="24" t="str">
        <x:v>Character grows through recipes, material quality, tools, workshop capacity, and production mastery.</x:v>
      </x:c>
      <x:c r="H1185" s="24" t="str">
        <x:v>Record system, edition, encounter assumptions, and party size before comparing balance.</x:v>
      </x:c>
      <x:c r="I1185" s="24" t="str">
        <x:v>craft levels; artisan progression</x:v>
      </x:c>
      <x:c r="J1185" s="24" t="str">
        <x:v>Defines character differentiation, advancement, replayability, and build identity.</x:v>
      </x:c>
      <x:c r="K1185" s="24" t="str">
        <x:v>craft levels; artisan progression</x:v>
      </x:c>
      <x:c r="L1185" s="24" t="str">
        <x:v>Preserve each source's ontology, culture, history, and terminology when making comparisons.</x:v>
      </x:c>
      <x:c r="M1185" s="24" t="str">
        <x:v>Core Family</x:v>
      </x:c>
    </x:row>
    <x:row r="1186" ht="44" customHeight="1">
      <x:c r="A1186" s="24" t="str">
        <x:v>MEC-321</x:v>
      </x:c>
      <x:c r="B1186" s="24" t="str">
        <x:v>Faction Reputation Progression</x:v>
      </x:c>
      <x:c r="C1186" s="24" t="str">
        <x:v>Game-Mechanical Archetypes</x:v>
      </x:c>
      <x:c r="D1186" s="24" t="str">
        <x:v>MEC-300</x:v>
      </x:c>
      <x:c r="E1186" s="24" t="str">
        <x:f>IF(D1186="","",IFERROR(VLOOKUP(D1186,$A$2:$B$1226,2,FALSE),""))</x:f>
        <x:v>Progression and Build Models</x:v>
      </x:c>
      <x:c r="F1186" s="24" t="n">
        <x:v>3</x:v>
      </x:c>
      <x:c r="G1186" s="24" t="str">
        <x:v>Access and power increase through standing with institutions, peoples, or political groups.</x:v>
      </x:c>
      <x:c r="H1186" s="24" t="str">
        <x:v>Record system, edition, encounter assumptions, and party size before comparing balance.</x:v>
      </x:c>
      <x:c r="I1186" s="24" t="str">
        <x:v>reputation; renown; faction rank</x:v>
      </x:c>
      <x:c r="J1186" s="24" t="str">
        <x:v>Defines character differentiation, advancement, replayability, and build identity.</x:v>
      </x:c>
      <x:c r="K1186" s="24" t="str">
        <x:v>reputation; renown; faction rank</x:v>
      </x:c>
      <x:c r="L1186" s="24" t="str">
        <x:v>Preserve each source's ontology, culture, history, and terminology when making comparisons.</x:v>
      </x:c>
      <x:c r="M1186" s="24" t="str">
        <x:v>Core Family</x:v>
      </x:c>
    </x:row>
    <x:row r="1187" ht="44" customHeight="1">
      <x:c r="A1187" s="24" t="str">
        <x:v>MEC-322</x:v>
      </x:c>
      <x:c r="B1187" s="24" t="str">
        <x:v>Moral Alignment Progression</x:v>
      </x:c>
      <x:c r="C1187" s="24" t="str">
        <x:v>Game-Mechanical Archetypes</x:v>
      </x:c>
      <x:c r="D1187" s="24" t="str">
        <x:v>MEC-300</x:v>
      </x:c>
      <x:c r="E1187" s="24" t="str">
        <x:f>IF(D1187="","",IFERROR(VLOOKUP(D1187,$A$2:$B$1226,2,FALSE),""))</x:f>
        <x:v>Progression and Build Models</x:v>
      </x:c>
      <x:c r="F1187" s="24" t="n">
        <x:v>3</x:v>
      </x:c>
      <x:c r="G1187" s="24" t="str">
        <x:v>Abilities, classes, factions, or outcomes change in response to ethical or ideological choices.</x:v>
      </x:c>
      <x:c r="H1187" s="24" t="str">
        <x:v>Record system, edition, encounter assumptions, and party size before comparing balance.</x:v>
      </x:c>
      <x:c r="I1187" s="24" t="str">
        <x:v>alignment path; morality meter; law/chaos</x:v>
      </x:c>
      <x:c r="J1187" s="24" t="str">
        <x:v>Defines character differentiation, advancement, replayability, and build identity.</x:v>
      </x:c>
      <x:c r="K1187" s="24" t="str">
        <x:v>alignment path; morality meter; law/chaos</x:v>
      </x:c>
      <x:c r="L1187" s="24" t="str">
        <x:v>Preserve each source's ontology, culture, history, and terminology when making comparisons.</x:v>
      </x:c>
      <x:c r="M1187" s="24" t="str">
        <x:v>Core Family</x:v>
      </x:c>
    </x:row>
    <x:row r="1188" ht="44" customHeight="1">
      <x:c r="A1188" s="24" t="str">
        <x:v>MEC-323</x:v>
      </x:c>
      <x:c r="B1188" s="24" t="str">
        <x:v>Transformation Progression</x:v>
      </x:c>
      <x:c r="C1188" s="24" t="str">
        <x:v>Game-Mechanical Archetypes</x:v>
      </x:c>
      <x:c r="D1188" s="24" t="str">
        <x:v>MEC-300</x:v>
      </x:c>
      <x:c r="E1188" s="24" t="str">
        <x:f>IF(D1188="","",IFERROR(VLOOKUP(D1188,$A$2:$B$1226,2,FALSE),""))</x:f>
        <x:v>Progression and Build Models</x:v>
      </x:c>
      <x:c r="F1188" s="24" t="n">
        <x:v>3</x:v>
      </x:c>
      <x:c r="G1188" s="24" t="str">
        <x:v>Character unlocks increasingly powerful forms, modes, or sequences.</x:v>
      </x:c>
      <x:c r="H1188" s="24" t="str">
        <x:v>Record system, edition, encounter assumptions, and party size before comparing balance.</x:v>
      </x:c>
      <x:c r="I1188" s="24" t="str">
        <x:v>form ladder; transformations; ascension</x:v>
      </x:c>
      <x:c r="J1188" s="24" t="str">
        <x:v>Defines character differentiation, advancement, replayability, and build identity.</x:v>
      </x:c>
      <x:c r="K1188" s="24" t="str">
        <x:v>form ladder; transformations; ascension</x:v>
      </x:c>
      <x:c r="L1188" s="24" t="str">
        <x:v>Preserve each source's ontology, culture, history, and terminology when making comparisons.</x:v>
      </x:c>
      <x:c r="M1188" s="24" t="str">
        <x:v>Core Family</x:v>
      </x:c>
    </x:row>
    <x:row r="1189" ht="44" customHeight="1">
      <x:c r="A1189" s="24" t="str">
        <x:v>MEC-324</x:v>
      </x:c>
      <x:c r="B1189" s="24" t="str">
        <x:v>Copy-and-Learn Progression</x:v>
      </x:c>
      <x:c r="C1189" s="24" t="str">
        <x:v>Game-Mechanical Archetypes</x:v>
      </x:c>
      <x:c r="D1189" s="24" t="str">
        <x:v>MEC-300</x:v>
      </x:c>
      <x:c r="E1189" s="24" t="str">
        <x:f>IF(D1189="","",IFERROR(VLOOKUP(D1189,$A$2:$B$1226,2,FALSE),""))</x:f>
        <x:v>Progression and Build Models</x:v>
      </x:c>
      <x:c r="F1189" s="24" t="n">
        <x:v>3</x:v>
      </x:c>
      <x:c r="G1189" s="24" t="str">
        <x:v>Growth depends on observing, consuming, defeating, or analyzing other beings.</x:v>
      </x:c>
      <x:c r="H1189" s="24" t="str">
        <x:v>Record system, edition, encounter assumptions, and party size before comparing balance.</x:v>
      </x:c>
      <x:c r="I1189" s="24" t="str">
        <x:v>blue mage learning; skill absorption; mimic progression</x:v>
      </x:c>
      <x:c r="J1189" s="24" t="str">
        <x:v>Defines character differentiation, advancement, replayability, and build identity.</x:v>
      </x:c>
      <x:c r="K1189" s="24" t="str">
        <x:v>blue mage learning; skill absorption; mimic progression</x:v>
      </x:c>
      <x:c r="L1189" s="24" t="str">
        <x:v>Preserve each source's ontology, culture, history, and terminology when making comparisons.</x:v>
      </x:c>
      <x:c r="M1189" s="24" t="str">
        <x:v>Core Family</x:v>
      </x:c>
    </x:row>
    <x:row r="1190" ht="44" customHeight="1">
      <x:c r="A1190" s="24" t="str">
        <x:v>MEC-325</x:v>
      </x:c>
      <x:c r="B1190" s="24" t="str">
        <x:v>Procedural or Random Build</x:v>
      </x:c>
      <x:c r="C1190" s="24" t="str">
        <x:v>Game-Mechanical Archetypes</x:v>
      </x:c>
      <x:c r="D1190" s="24" t="str">
        <x:v>MEC-300</x:v>
      </x:c>
      <x:c r="E1190" s="24" t="str">
        <x:f>IF(D1190="","",IFERROR(VLOOKUP(D1190,$A$2:$B$1226,2,FALSE),""))</x:f>
        <x:v>Progression and Build Models</x:v>
      </x:c>
      <x:c r="F1190" s="24" t="n">
        <x:v>3</x:v>
      </x:c>
      <x:c r="G1190" s="24" t="str">
        <x:v>Available powers are generated or offered unpredictably, making adaptation central.</x:v>
      </x:c>
      <x:c r="H1190" s="24" t="str">
        <x:v>Record system, edition, encounter assumptions, and party size before comparing balance.</x:v>
      </x:c>
      <x:c r="I1190" s="24" t="str">
        <x:v>roguelike build; random perks; draft progression</x:v>
      </x:c>
      <x:c r="J1190" s="24" t="str">
        <x:v>Defines character differentiation, advancement, replayability, and build identity.</x:v>
      </x:c>
      <x:c r="K1190" s="24" t="str">
        <x:v>roguelike build; random perks; draft progression</x:v>
      </x:c>
      <x:c r="L1190" s="24" t="str">
        <x:v>Preserve each source's ontology, culture, history, and terminology when making comparisons.</x:v>
      </x:c>
      <x:c r="M1190" s="24" t="str">
        <x:v>Core Family</x:v>
      </x:c>
    </x:row>
    <x:row r="1191" ht="44" customHeight="1">
      <x:c r="A1191" s="24" t="str">
        <x:v>MEC-326</x:v>
      </x:c>
      <x:c r="B1191" s="24" t="str">
        <x:v>Deck-Building Progression</x:v>
      </x:c>
      <x:c r="C1191" s="24" t="str">
        <x:v>Game-Mechanical Archetypes</x:v>
      </x:c>
      <x:c r="D1191" s="24" t="str">
        <x:v>MEC-300</x:v>
      </x:c>
      <x:c r="E1191" s="24" t="str">
        <x:f>IF(D1191="","",IFERROR(VLOOKUP(D1191,$A$2:$B$1226,2,FALSE),""))</x:f>
        <x:v>Progression and Build Models</x:v>
      </x:c>
      <x:c r="F1191" s="24" t="n">
        <x:v>3</x:v>
      </x:c>
      <x:c r="G1191" s="24" t="str">
        <x:v>Character's tactical identity is defined by acquiring, removing, and combining cards or actions.</x:v>
      </x:c>
      <x:c r="H1191" s="24" t="str">
        <x:v>Record system, edition, encounter assumptions, and party size before comparing balance.</x:v>
      </x:c>
      <x:c r="I1191" s="24" t="str">
        <x:v>deckbuilder; card loadout; spell deck</x:v>
      </x:c>
      <x:c r="J1191" s="24" t="str">
        <x:v>Defines character differentiation, advancement, replayability, and build identity.</x:v>
      </x:c>
      <x:c r="K1191" s="24" t="str">
        <x:v>deckbuilder; card loadout; spell deck</x:v>
      </x:c>
      <x:c r="L1191" s="24" t="str">
        <x:v>Preserve each source's ontology, culture, history, and terminology when making comparisons.</x:v>
      </x:c>
      <x:c r="M1191" s="24" t="str">
        <x:v>Core Family</x:v>
      </x:c>
    </x:row>
    <x:row r="1192" ht="44" customHeight="1">
      <x:c r="A1192" s="24" t="str">
        <x:v>MEC-327</x:v>
      </x:c>
      <x:c r="B1192" s="24" t="str">
        <x:v>Social-Bond Progression</x:v>
      </x:c>
      <x:c r="C1192" s="24" t="str">
        <x:v>Game-Mechanical Archetypes</x:v>
      </x:c>
      <x:c r="D1192" s="24" t="str">
        <x:v>MEC-300</x:v>
      </x:c>
      <x:c r="E1192" s="24" t="str">
        <x:f>IF(D1192="","",IFERROR(VLOOKUP(D1192,$A$2:$B$1226,2,FALSE),""))</x:f>
        <x:v>Progression and Build Models</x:v>
      </x:c>
      <x:c r="F1192" s="24" t="n">
        <x:v>3</x:v>
      </x:c>
      <x:c r="G1192" s="24" t="str">
        <x:v>Relationships unlock abilities, classes, teamwork actions, or narrative power.</x:v>
      </x:c>
      <x:c r="H1192" s="24" t="str">
        <x:v>Record system, edition, encounter assumptions, and party size before comparing balance.</x:v>
      </x:c>
      <x:c r="I1192" s="24" t="str">
        <x:v>support rank; bonds; social links</x:v>
      </x:c>
      <x:c r="J1192" s="24" t="str">
        <x:v>Defines character differentiation, advancement, replayability, and build identity.</x:v>
      </x:c>
      <x:c r="K1192" s="24" t="str">
        <x:v>support rank; bonds; social links</x:v>
      </x:c>
      <x:c r="L1192" s="24" t="str">
        <x:v>Preserve each source's ontology, culture, history, and terminology when making comparisons.</x:v>
      </x:c>
      <x:c r="M1192" s="24" t="str">
        <x:v>Core Family</x:v>
      </x:c>
    </x:row>
    <x:row r="1193" ht="44" customHeight="1">
      <x:c r="A1193" s="24" t="str">
        <x:v>MEC-328</x:v>
      </x:c>
      <x:c r="B1193" s="24" t="str">
        <x:v>Settlement or Kingdom Progression</x:v>
      </x:c>
      <x:c r="C1193" s="24" t="str">
        <x:v>Game-Mechanical Archetypes</x:v>
      </x:c>
      <x:c r="D1193" s="24" t="str">
        <x:v>MEC-300</x:v>
      </x:c>
      <x:c r="E1193" s="24" t="str">
        <x:f>IF(D1193="","",IFERROR(VLOOKUP(D1193,$A$2:$B$1226,2,FALSE),""))</x:f>
        <x:v>Progression and Build Models</x:v>
      </x:c>
      <x:c r="F1193" s="24" t="n">
        <x:v>3</x:v>
      </x:c>
      <x:c r="G1193" s="24" t="str">
        <x:v>Character power grows through building institutions, population, territory, and infrastructure.</x:v>
      </x:c>
      <x:c r="H1193" s="24" t="str">
        <x:v>Record system, edition, encounter assumptions, and party size before comparing balance.</x:v>
      </x:c>
      <x:c r="I1193" s="24" t="str">
        <x:v>kingdom building; base upgrade; domain play</x:v>
      </x:c>
      <x:c r="J1193" s="24" t="str">
        <x:v>Defines character differentiation, advancement, replayability, and build identity.</x:v>
      </x:c>
      <x:c r="K1193" s="24" t="str">
        <x:v>kingdom building; base upgrade; domain play</x:v>
      </x:c>
      <x:c r="L1193" s="24" t="str">
        <x:v>Preserve each source's ontology, culture, history, and terminology when making comparisons.</x:v>
      </x:c>
      <x:c r="M1193" s="24" t="str">
        <x:v>Core Family</x:v>
      </x:c>
    </x:row>
    <x:row r="1194" ht="44" customHeight="1">
      <x:c r="A1194" s="24" t="str">
        <x:v>MEC-329</x:v>
      </x:c>
      <x:c r="B1194" s="24" t="str">
        <x:v>World-Level Scaling</x:v>
      </x:c>
      <x:c r="C1194" s="24" t="str">
        <x:v>Game-Mechanical Archetypes</x:v>
      </x:c>
      <x:c r="D1194" s="24" t="str">
        <x:v>MEC-300</x:v>
      </x:c>
      <x:c r="E1194" s="24" t="str">
        <x:f>IF(D1194="","",IFERROR(VLOOKUP(D1194,$A$2:$B$1226,2,FALSE),""))</x:f>
        <x:v>Progression and Build Models</x:v>
      </x:c>
      <x:c r="F1194" s="24" t="n">
        <x:v>3</x:v>
      </x:c>
      <x:c r="G1194" s="24" t="str">
        <x:v>Enemies and encounters adjust to character level or progression rather than fixed geography.</x:v>
      </x:c>
      <x:c r="H1194" s="24" t="str">
        <x:v>Record system, edition, encounter assumptions, and party size before comparing balance.</x:v>
      </x:c>
      <x:c r="I1194" s="24" t="str">
        <x:v>level scaling; adaptive world</x:v>
      </x:c>
      <x:c r="J1194" s="24" t="str">
        <x:v>Defines character differentiation, advancement, replayability, and build identity.</x:v>
      </x:c>
      <x:c r="K1194" s="24" t="str">
        <x:v>level scaling; adaptive world</x:v>
      </x:c>
      <x:c r="L1194" s="24" t="str">
        <x:v>Preserve each source's ontology, culture, history, and terminology when making comparisons.</x:v>
      </x:c>
      <x:c r="M1194" s="24" t="str">
        <x:v>Core Family</x:v>
      </x:c>
    </x:row>
    <x:row r="1195" ht="44" customHeight="1">
      <x:c r="A1195" s="24" t="str">
        <x:v>MEC-330</x:v>
      </x:c>
      <x:c r="B1195" s="24" t="str">
        <x:v>Horizontal Progression</x:v>
      </x:c>
      <x:c r="C1195" s="24" t="str">
        <x:v>Game-Mechanical Archetypes</x:v>
      </x:c>
      <x:c r="D1195" s="24" t="str">
        <x:v>MEC-300</x:v>
      </x:c>
      <x:c r="E1195" s="24" t="str">
        <x:f>IF(D1195="","",IFERROR(VLOOKUP(D1195,$A$2:$B$1226,2,FALSE),""))</x:f>
        <x:v>Progression and Build Models</x:v>
      </x:c>
      <x:c r="F1195" s="24" t="n">
        <x:v>3</x:v>
      </x:c>
      <x:c r="G1195" s="24" t="str">
        <x:v>Growth expands options and flexibility without large numerical power increases.</x:v>
      </x:c>
      <x:c r="H1195" s="24" t="str">
        <x:v>Record system, edition, encounter assumptions, and party size before comparing balance.</x:v>
      </x:c>
      <x:c r="I1195" s="24" t="str">
        <x:v>horizontal growth; sidegrades</x:v>
      </x:c>
      <x:c r="J1195" s="24" t="str">
        <x:v>Defines character differentiation, advancement, replayability, and build identity.</x:v>
      </x:c>
      <x:c r="K1195" s="24" t="str">
        <x:v>horizontal growth; sidegrades</x:v>
      </x:c>
      <x:c r="L1195" s="24" t="str">
        <x:v>Preserve each source's ontology, culture, history, and terminology when making comparisons.</x:v>
      </x:c>
      <x:c r="M1195" s="24" t="str">
        <x:v>Core Family</x:v>
      </x:c>
    </x:row>
    <x:row r="1196" ht="44" customHeight="1">
      <x:c r="A1196" s="24" t="str">
        <x:v>MEC-331</x:v>
      </x:c>
      <x:c r="B1196" s="24" t="str">
        <x:v>Vertical Progression</x:v>
      </x:c>
      <x:c r="C1196" s="24" t="str">
        <x:v>Game-Mechanical Archetypes</x:v>
      </x:c>
      <x:c r="D1196" s="24" t="str">
        <x:v>MEC-300</x:v>
      </x:c>
      <x:c r="E1196" s="24" t="str">
        <x:f>IF(D1196="","",IFERROR(VLOOKUP(D1196,$A$2:$B$1226,2,FALSE),""))</x:f>
        <x:v>Progression and Build Models</x:v>
      </x:c>
      <x:c r="F1196" s="24" t="n">
        <x:v>3</x:v>
      </x:c>
      <x:c r="G1196" s="24" t="str">
        <x:v>Growth primarily increases numerical power, rank, tier, and access to stronger content.</x:v>
      </x:c>
      <x:c r="H1196" s="24" t="str">
        <x:v>Record system, edition, encounter assumptions, and party size before comparing balance.</x:v>
      </x:c>
      <x:c r="I1196" s="24" t="str">
        <x:v>vertical growth; gear treadmill</x:v>
      </x:c>
      <x:c r="J1196" s="24" t="str">
        <x:v>Defines character differentiation, advancement, replayability, and build identity.</x:v>
      </x:c>
      <x:c r="K1196" s="24" t="str">
        <x:v>vertical growth; gear treadmill</x:v>
      </x:c>
      <x:c r="L1196" s="24" t="str">
        <x:v>Preserve each source's ontology, culture, history, and terminology when making comparisons.</x:v>
      </x:c>
      <x:c r="M1196" s="24" t="str">
        <x:v>Core Family</x:v>
      </x:c>
    </x:row>
    <x:row r="1197" ht="44" customHeight="1">
      <x:c r="A1197" s="24" t="str">
        <x:v>MEC-401</x:v>
      </x:c>
      <x:c r="B1197" s="24" t="str">
        <x:v>Player Character</x:v>
      </x:c>
      <x:c r="C1197" s="24" t="str">
        <x:v>Game-Mechanical Archetypes</x:v>
      </x:c>
      <x:c r="D1197" s="24" t="str">
        <x:v>MEC-400</x:v>
      </x:c>
      <x:c r="E1197" s="24" t="str">
        <x:f>IF(D1197="","",IFERROR(VLOOKUP(D1197,$A$2:$B$1226,2,FALSE),""))</x:f>
        <x:v>Unit and Encounter Models</x:v>
      </x:c>
      <x:c r="F1197" s="24" t="n">
        <x:v>3</x:v>
      </x:c>
      <x:c r="G1197" s="24" t="str">
        <x:v>Individually controlled primary unit through which the player acts and progresses.</x:v>
      </x:c>
      <x:c r="H1197" s="24" t="str">
        <x:v>Record system, edition, encounter assumptions, and party size before comparing balance.</x:v>
      </x:c>
      <x:c r="I1197" s="24" t="str">
        <x:v>PC; hero unit; avatar</x:v>
      </x:c>
      <x:c r="J1197" s="24" t="str">
        <x:v>Defines control, encounter design, party composition, recruitment, loss, and noncombat gameplay.</x:v>
      </x:c>
      <x:c r="K1197" s="24" t="str">
        <x:v>PC; hero unit; avatar</x:v>
      </x:c>
      <x:c r="L1197" s="24" t="str">
        <x:v>Preserve each source's ontology, culture, history, and terminology when making comparisons.</x:v>
      </x:c>
      <x:c r="M1197" s="24" t="str">
        <x:v>Core Family</x:v>
      </x:c>
    </x:row>
    <x:row r="1198" ht="44" customHeight="1">
      <x:c r="A1198" s="24" t="str">
        <x:v>MEC-402</x:v>
      </x:c>
      <x:c r="B1198" s="24" t="str">
        <x:v>Companion Character</x:v>
      </x:c>
      <x:c r="C1198" s="24" t="str">
        <x:v>Game-Mechanical Archetypes</x:v>
      </x:c>
      <x:c r="D1198" s="24" t="str">
        <x:v>MEC-400</x:v>
      </x:c>
      <x:c r="E1198" s="24" t="str">
        <x:f>IF(D1198="","",IFERROR(VLOOKUP(D1198,$A$2:$B$1226,2,FALSE),""))</x:f>
        <x:v>Unit and Encounter Models</x:v>
      </x:c>
      <x:c r="F1198" s="24" t="n">
        <x:v>3</x:v>
      </x:c>
      <x:c r="G1198" s="24" t="str">
        <x:v>Persistent allied character with distinct identity, progression, and relationship to the player.</x:v>
      </x:c>
      <x:c r="H1198" s="24" t="str">
        <x:v>Record system, edition, encounter assumptions, and party size before comparing balance.</x:v>
      </x:c>
      <x:c r="I1198" s="24" t="str">
        <x:v>companion; party member; follower</x:v>
      </x:c>
      <x:c r="J1198" s="24" t="str">
        <x:v>Defines control, encounter design, party composition, recruitment, loss, and noncombat gameplay.</x:v>
      </x:c>
      <x:c r="K1198" s="24" t="str">
        <x:v>companion; party member; follower</x:v>
      </x:c>
      <x:c r="L1198" s="24" t="str">
        <x:v>Preserve each source's ontology, culture, history, and terminology when making comparisons.</x:v>
      </x:c>
      <x:c r="M1198" s="24" t="str">
        <x:v>Core Family</x:v>
      </x:c>
    </x:row>
    <x:row r="1199" ht="44" customHeight="1">
      <x:c r="A1199" s="24" t="str">
        <x:v>MEC-403</x:v>
      </x:c>
      <x:c r="B1199" s="24" t="str">
        <x:v>Hireling or Mercenary Unit</x:v>
      </x:c>
      <x:c r="C1199" s="24" t="str">
        <x:v>Game-Mechanical Archetypes</x:v>
      </x:c>
      <x:c r="D1199" s="24" t="str">
        <x:v>MEC-400</x:v>
      </x:c>
      <x:c r="E1199" s="24" t="str">
        <x:f>IF(D1199="","",IFERROR(VLOOKUP(D1199,$A$2:$B$1226,2,FALSE),""))</x:f>
        <x:v>Unit and Encounter Models</x:v>
      </x:c>
      <x:c r="F1199" s="24" t="n">
        <x:v>3</x:v>
      </x:c>
      <x:c r="G1199" s="24" t="str">
        <x:v>Replaceable or contract-based ally with limited narrative centrality.</x:v>
      </x:c>
      <x:c r="H1199" s="24" t="str">
        <x:v>Record system, edition, encounter assumptions, and party size before comparing balance.</x:v>
      </x:c>
      <x:c r="I1199" s="24" t="str">
        <x:v>hireling; mercenary; generic unit</x:v>
      </x:c>
      <x:c r="J1199" s="24" t="str">
        <x:v>Defines control, encounter design, party composition, recruitment, loss, and noncombat gameplay.</x:v>
      </x:c>
      <x:c r="K1199" s="24" t="str">
        <x:v>hireling; mercenary; generic unit</x:v>
      </x:c>
      <x:c r="L1199" s="24" t="str">
        <x:v>Preserve each source's ontology, culture, history, and terminology when making comparisons.</x:v>
      </x:c>
      <x:c r="M1199" s="24" t="str">
        <x:v>Core Family</x:v>
      </x:c>
    </x:row>
    <x:row r="1200" ht="44" customHeight="1">
      <x:c r="A1200" s="24" t="str">
        <x:v>MEC-404</x:v>
      </x:c>
      <x:c r="B1200" s="24" t="str">
        <x:v>Summoned Unit</x:v>
      </x:c>
      <x:c r="C1200" s="24" t="str">
        <x:v>Game-Mechanical Archetypes</x:v>
      </x:c>
      <x:c r="D1200" s="24" t="str">
        <x:v>MEC-400</x:v>
      </x:c>
      <x:c r="E1200" s="24" t="str">
        <x:f>IF(D1200="","",IFERROR(VLOOKUP(D1200,$A$2:$B$1226,2,FALSE),""))</x:f>
        <x:v>Unit and Encounter Models</x:v>
      </x:c>
      <x:c r="F1200" s="24" t="n">
        <x:v>3</x:v>
      </x:c>
      <x:c r="G1200" s="24" t="str">
        <x:v>Temporary or persistent ally created or called by an ability.</x:v>
      </x:c>
      <x:c r="H1200" s="24" t="str">
        <x:v>Record system, edition, encounter assumptions, and party size before comparing balance.</x:v>
      </x:c>
      <x:c r="I1200" s="24" t="str">
        <x:v>summon; minion; eidolon</x:v>
      </x:c>
      <x:c r="J1200" s="24" t="str">
        <x:v>Defines control, encounter design, party composition, recruitment, loss, and noncombat gameplay.</x:v>
      </x:c>
      <x:c r="K1200" s="24" t="str">
        <x:v>summon; minion; eidolon</x:v>
      </x:c>
      <x:c r="L1200" s="24" t="str">
        <x:v>Preserve each source's ontology, culture, history, and terminology when making comparisons.</x:v>
      </x:c>
      <x:c r="M1200" s="24" t="str">
        <x:v>Core Family</x:v>
      </x:c>
    </x:row>
    <x:row r="1201" ht="44" customHeight="1">
      <x:c r="A1201" s="24" t="str">
        <x:v>MEC-405</x:v>
      </x:c>
      <x:c r="B1201" s="24" t="str">
        <x:v>Pet or Tamed Unit</x:v>
      </x:c>
      <x:c r="C1201" s="24" t="str">
        <x:v>Game-Mechanical Archetypes</x:v>
      </x:c>
      <x:c r="D1201" s="24" t="str">
        <x:v>MEC-400</x:v>
      </x:c>
      <x:c r="E1201" s="24" t="str">
        <x:f>IF(D1201="","",IFERROR(VLOOKUP(D1201,$A$2:$B$1226,2,FALSE),""))</x:f>
        <x:v>Unit and Encounter Models</x:v>
      </x:c>
      <x:c r="F1201" s="24" t="n">
        <x:v>3</x:v>
      </x:c>
      <x:c r="G1201" s="24" t="str">
        <x:v>Companion creature trained, collected, or bonded rather than conventionally recruited.</x:v>
      </x:c>
      <x:c r="H1201" s="24" t="str">
        <x:v>Record system, edition, encounter assumptions, and party size before comparing balance.</x:v>
      </x:c>
      <x:c r="I1201" s="24" t="str">
        <x:v>pet; tamed monster; familiar</x:v>
      </x:c>
      <x:c r="J1201" s="24" t="str">
        <x:v>Defines control, encounter design, party composition, recruitment, loss, and noncombat gameplay.</x:v>
      </x:c>
      <x:c r="K1201" s="24" t="str">
        <x:v>pet; tamed monster; familiar</x:v>
      </x:c>
      <x:c r="L1201" s="24" t="str">
        <x:v>Preserve each source's ontology, culture, history, and terminology when making comparisons.</x:v>
      </x:c>
      <x:c r="M1201" s="24" t="str">
        <x:v>Core Family</x:v>
      </x:c>
    </x:row>
    <x:row r="1202" ht="44" customHeight="1">
      <x:c r="A1202" s="24" t="str">
        <x:v>MEC-406</x:v>
      </x:c>
      <x:c r="B1202" s="24" t="str">
        <x:v>Swarm or Squad Unit</x:v>
      </x:c>
      <x:c r="C1202" s="24" t="str">
        <x:v>Game-Mechanical Archetypes</x:v>
      </x:c>
      <x:c r="D1202" s="24" t="str">
        <x:v>MEC-400</x:v>
      </x:c>
      <x:c r="E1202" s="24" t="str">
        <x:f>IF(D1202="","",IFERROR(VLOOKUP(D1202,$A$2:$B$1226,2,FALSE),""))</x:f>
        <x:v>Unit and Encounter Models</x:v>
      </x:c>
      <x:c r="F1202" s="24" t="n">
        <x:v>3</x:v>
      </x:c>
      <x:c r="G1202" s="24" t="str">
        <x:v>One game unit represents multiple bodies acting together.</x:v>
      </x:c>
      <x:c r="H1202" s="24" t="str">
        <x:v>Record system, edition, encounter assumptions, and party size before comparing balance.</x:v>
      </x:c>
      <x:c r="I1202" s="24" t="str">
        <x:v>squad; swarm; troop unit</x:v>
      </x:c>
      <x:c r="J1202" s="24" t="str">
        <x:v>Defines control, encounter design, party composition, recruitment, loss, and noncombat gameplay.</x:v>
      </x:c>
      <x:c r="K1202" s="24" t="str">
        <x:v>squad; swarm; troop unit</x:v>
      </x:c>
      <x:c r="L1202" s="24" t="str">
        <x:v>Preserve each source's ontology, culture, history, and terminology when making comparisons.</x:v>
      </x:c>
      <x:c r="M1202" s="24" t="str">
        <x:v>Core Family</x:v>
      </x:c>
    </x:row>
    <x:row r="1203" ht="44" customHeight="1">
      <x:c r="A1203" s="24" t="str">
        <x:v>MEC-407</x:v>
      </x:c>
      <x:c r="B1203" s="24" t="str">
        <x:v>Hero Unit</x:v>
      </x:c>
      <x:c r="C1203" s="24" t="str">
        <x:v>Game-Mechanical Archetypes</x:v>
      </x:c>
      <x:c r="D1203" s="24" t="str">
        <x:v>MEC-400</x:v>
      </x:c>
      <x:c r="E1203" s="24" t="str">
        <x:f>IF(D1203="","",IFERROR(VLOOKUP(D1203,$A$2:$B$1226,2,FALSE),""))</x:f>
        <x:v>Unit and Encounter Models</x:v>
      </x:c>
      <x:c r="F1203" s="24" t="n">
        <x:v>3</x:v>
      </x:c>
      <x:c r="G1203" s="24" t="str">
        <x:v>Named elite unit with superior abilities, progression, and narrative significance.</x:v>
      </x:c>
      <x:c r="H1203" s="24" t="str">
        <x:v>Record system, edition, encounter assumptions, and party size before comparing balance.</x:v>
      </x:c>
      <x:c r="I1203" s="24" t="str">
        <x:v>hero; commander; named unit</x:v>
      </x:c>
      <x:c r="J1203" s="24" t="str">
        <x:v>Defines control, encounter design, party composition, recruitment, loss, and noncombat gameplay.</x:v>
      </x:c>
      <x:c r="K1203" s="24" t="str">
        <x:v>hero; commander; named unit</x:v>
      </x:c>
      <x:c r="L1203" s="24" t="str">
        <x:v>Preserve each source's ontology, culture, history, and terminology when making comparisons.</x:v>
      </x:c>
      <x:c r="M1203" s="24" t="str">
        <x:v>Core Family</x:v>
      </x:c>
    </x:row>
    <x:row r="1204" ht="44" customHeight="1">
      <x:c r="A1204" s="24" t="str">
        <x:v>MEC-408</x:v>
      </x:c>
      <x:c r="B1204" s="24" t="str">
        <x:v>Boss Unit</x:v>
      </x:c>
      <x:c r="C1204" s="24" t="str">
        <x:v>Game-Mechanical Archetypes</x:v>
      </x:c>
      <x:c r="D1204" s="24" t="str">
        <x:v>MEC-400</x:v>
      </x:c>
      <x:c r="E1204" s="24" t="str">
        <x:f>IF(D1204="","",IFERROR(VLOOKUP(D1204,$A$2:$B$1226,2,FALSE),""))</x:f>
        <x:v>Unit and Encounter Models</x:v>
      </x:c>
      <x:c r="F1204" s="24" t="n">
        <x:v>3</x:v>
      </x:c>
      <x:c r="G1204" s="24" t="str">
        <x:v>Encounter-defining enemy with exceptional health, phases, immunities, and mechanics.</x:v>
      </x:c>
      <x:c r="H1204" s="24" t="str">
        <x:v>Record system, edition, encounter assumptions, and party size before comparing balance.</x:v>
      </x:c>
      <x:c r="I1204" s="24" t="str">
        <x:v>boss; raid boss; final enemy</x:v>
      </x:c>
      <x:c r="J1204" s="24" t="str">
        <x:v>Defines control, encounter design, party composition, recruitment, loss, and noncombat gameplay.</x:v>
      </x:c>
      <x:c r="K1204" s="24" t="str">
        <x:v>boss; raid boss; final enemy</x:v>
      </x:c>
      <x:c r="L1204" s="24" t="str">
        <x:v>Preserve each source's ontology, culture, history, and terminology when making comparisons.</x:v>
      </x:c>
      <x:c r="M1204" s="24" t="str">
        <x:v>Core Family</x:v>
      </x:c>
    </x:row>
    <x:row r="1205" ht="44" customHeight="1">
      <x:c r="A1205" s="24" t="str">
        <x:v>MEC-409</x:v>
      </x:c>
      <x:c r="B1205" s="24" t="str">
        <x:v>Elite or Mini-Boss</x:v>
      </x:c>
      <x:c r="C1205" s="24" t="str">
        <x:v>Game-Mechanical Archetypes</x:v>
      </x:c>
      <x:c r="D1205" s="24" t="str">
        <x:v>MEC-400</x:v>
      </x:c>
      <x:c r="E1205" s="24" t="str">
        <x:f>IF(D1205="","",IFERROR(VLOOKUP(D1205,$A$2:$B$1226,2,FALSE),""))</x:f>
        <x:v>Unit and Encounter Models</x:v>
      </x:c>
      <x:c r="F1205" s="24" t="n">
        <x:v>3</x:v>
      </x:c>
      <x:c r="G1205" s="24" t="str">
        <x:v>Stronger-than-normal enemy introducing special mechanics without full boss scope.</x:v>
      </x:c>
      <x:c r="H1205" s="24" t="str">
        <x:v>Record system, edition, encounter assumptions, and party size before comparing balance.</x:v>
      </x:c>
      <x:c r="I1205" s="24" t="str">
        <x:v>elite; champion enemy; miniboss</x:v>
      </x:c>
      <x:c r="J1205" s="24" t="str">
        <x:v>Defines control, encounter design, party composition, recruitment, loss, and noncombat gameplay.</x:v>
      </x:c>
      <x:c r="K1205" s="24" t="str">
        <x:v>elite; champion enemy; miniboss</x:v>
      </x:c>
      <x:c r="L1205" s="24" t="str">
        <x:v>Preserve each source's ontology, culture, history, and terminology when making comparisons.</x:v>
      </x:c>
      <x:c r="M1205" s="24" t="str">
        <x:v>Core Family</x:v>
      </x:c>
    </x:row>
    <x:row r="1206" ht="44" customHeight="1">
      <x:c r="A1206" s="24" t="str">
        <x:v>MEC-410</x:v>
      </x:c>
      <x:c r="B1206" s="24" t="str">
        <x:v>Glass-Cannon Enemy</x:v>
      </x:c>
      <x:c r="C1206" s="24" t="str">
        <x:v>Game-Mechanical Archetypes</x:v>
      </x:c>
      <x:c r="D1206" s="24" t="str">
        <x:v>MEC-400</x:v>
      </x:c>
      <x:c r="E1206" s="24" t="str">
        <x:f>IF(D1206="","",IFERROR(VLOOKUP(D1206,$A$2:$B$1226,2,FALSE),""))</x:f>
        <x:v>Unit and Encounter Models</x:v>
      </x:c>
      <x:c r="F1206" s="24" t="n">
        <x:v>3</x:v>
      </x:c>
      <x:c r="G1206" s="24" t="str">
        <x:v>Enemy designed to deal severe damage but collapse quickly if reached or controlled.</x:v>
      </x:c>
      <x:c r="H1206" s="24" t="str">
        <x:v>Record system, edition, encounter assumptions, and party size before comparing balance.</x:v>
      </x:c>
      <x:c r="I1206" s="24" t="str">
        <x:v>artillery mob; fragile caster</x:v>
      </x:c>
      <x:c r="J1206" s="24" t="str">
        <x:v>Defines control, encounter design, party composition, recruitment, loss, and noncombat gameplay.</x:v>
      </x:c>
      <x:c r="K1206" s="24" t="str">
        <x:v>artillery mob; fragile caster</x:v>
      </x:c>
      <x:c r="L1206" s="24" t="str">
        <x:v>Preserve each source's ontology, culture, history, and terminology when making comparisons.</x:v>
      </x:c>
      <x:c r="M1206" s="24" t="str">
        <x:v>Core Family</x:v>
      </x:c>
    </x:row>
    <x:row r="1207" ht="44" customHeight="1">
      <x:c r="A1207" s="24" t="str">
        <x:v>MEC-411</x:v>
      </x:c>
      <x:c r="B1207" s="24" t="str">
        <x:v>Tank Enemy</x:v>
      </x:c>
      <x:c r="C1207" s="24" t="str">
        <x:v>Game-Mechanical Archetypes</x:v>
      </x:c>
      <x:c r="D1207" s="24" t="str">
        <x:v>MEC-400</x:v>
      </x:c>
      <x:c r="E1207" s="24" t="str">
        <x:f>IF(D1207="","",IFERROR(VLOOKUP(D1207,$A$2:$B$1226,2,FALSE),""))</x:f>
        <x:v>Unit and Encounter Models</x:v>
      </x:c>
      <x:c r="F1207" s="24" t="n">
        <x:v>3</x:v>
      </x:c>
      <x:c r="G1207" s="24" t="str">
        <x:v>Enemy designed to block access, absorb attention, or protect others.</x:v>
      </x:c>
      <x:c r="H1207" s="24" t="str">
        <x:v>Record system, edition, encounter assumptions, and party size before comparing balance.</x:v>
      </x:c>
      <x:c r="I1207" s="24" t="str">
        <x:v>brute; defender mob; guardian</x:v>
      </x:c>
      <x:c r="J1207" s="24" t="str">
        <x:v>Defines control, encounter design, party composition, recruitment, loss, and noncombat gameplay.</x:v>
      </x:c>
      <x:c r="K1207" s="24" t="str">
        <x:v>brute; defender mob; guardian</x:v>
      </x:c>
      <x:c r="L1207" s="24" t="str">
        <x:v>Preserve each source's ontology, culture, history, and terminology when making comparisons.</x:v>
      </x:c>
      <x:c r="M1207" s="24" t="str">
        <x:v>Core Family</x:v>
      </x:c>
    </x:row>
    <x:row r="1208" ht="44" customHeight="1">
      <x:c r="A1208" s="24" t="str">
        <x:v>MEC-412</x:v>
      </x:c>
      <x:c r="B1208" s="24" t="str">
        <x:v>Support Enemy</x:v>
      </x:c>
      <x:c r="C1208" s="24" t="str">
        <x:v>Game-Mechanical Archetypes</x:v>
      </x:c>
      <x:c r="D1208" s="24" t="str">
        <x:v>MEC-400</x:v>
      </x:c>
      <x:c r="E1208" s="24" t="str">
        <x:f>IF(D1208="","",IFERROR(VLOOKUP(D1208,$A$2:$B$1226,2,FALSE),""))</x:f>
        <x:v>Unit and Encounter Models</x:v>
      </x:c>
      <x:c r="F1208" s="24" t="n">
        <x:v>3</x:v>
      </x:c>
      <x:c r="G1208" s="24" t="str">
        <x:v>Enemy that heals, buffs, summons, controls, or enables other enemies.</x:v>
      </x:c>
      <x:c r="H1208" s="24" t="str">
        <x:v>Record system, edition, encounter assumptions, and party size before comparing balance.</x:v>
      </x:c>
      <x:c r="I1208" s="24" t="str">
        <x:v>support mob; healer enemy; buffer</x:v>
      </x:c>
      <x:c r="J1208" s="24" t="str">
        <x:v>Defines control, encounter design, party composition, recruitment, loss, and noncombat gameplay.</x:v>
      </x:c>
      <x:c r="K1208" s="24" t="str">
        <x:v>support mob; healer enemy; buffer</x:v>
      </x:c>
      <x:c r="L1208" s="24" t="str">
        <x:v>Preserve each source's ontology, culture, history, and terminology when making comparisons.</x:v>
      </x:c>
      <x:c r="M1208" s="24" t="str">
        <x:v>Core Family</x:v>
      </x:c>
    </x:row>
    <x:row r="1209" ht="44" customHeight="1">
      <x:c r="A1209" s="24" t="str">
        <x:v>MEC-413</x:v>
      </x:c>
      <x:c r="B1209" s="24" t="str">
        <x:v>Controller Enemy</x:v>
      </x:c>
      <x:c r="C1209" s="24" t="str">
        <x:v>Game-Mechanical Archetypes</x:v>
      </x:c>
      <x:c r="D1209" s="24" t="str">
        <x:v>MEC-400</x:v>
      </x:c>
      <x:c r="E1209" s="24" t="str">
        <x:f>IF(D1209="","",IFERROR(VLOOKUP(D1209,$A$2:$B$1226,2,FALSE),""))</x:f>
        <x:v>Unit and Encounter Models</x:v>
      </x:c>
      <x:c r="F1209" s="24" t="n">
        <x:v>3</x:v>
      </x:c>
      <x:c r="G1209" s="24" t="str">
        <x:v>Enemy that alters terrain, movement, positioning, status, or action economy.</x:v>
      </x:c>
      <x:c r="H1209" s="24" t="str">
        <x:v>Record system, edition, encounter assumptions, and party size before comparing balance.</x:v>
      </x:c>
      <x:c r="I1209" s="24" t="str">
        <x:v>control mob; caster enemy</x:v>
      </x:c>
      <x:c r="J1209" s="24" t="str">
        <x:v>Defines control, encounter design, party composition, recruitment, loss, and noncombat gameplay.</x:v>
      </x:c>
      <x:c r="K1209" s="24" t="str">
        <x:v>control mob; caster enemy</x:v>
      </x:c>
      <x:c r="L1209" s="24" t="str">
        <x:v>Preserve each source's ontology, culture, history, and terminology when making comparisons.</x:v>
      </x:c>
      <x:c r="M1209" s="24" t="str">
        <x:v>Core Family</x:v>
      </x:c>
    </x:row>
    <x:row r="1210" ht="44" customHeight="1">
      <x:c r="A1210" s="24" t="str">
        <x:v>MEC-414</x:v>
      </x:c>
      <x:c r="B1210" s="24" t="str">
        <x:v>Phased Boss</x:v>
      </x:c>
      <x:c r="C1210" s="24" t="str">
        <x:v>Game-Mechanical Archetypes</x:v>
      </x:c>
      <x:c r="D1210" s="24" t="str">
        <x:v>MEC-400</x:v>
      </x:c>
      <x:c r="E1210" s="24" t="str">
        <x:f>IF(D1210="","",IFERROR(VLOOKUP(D1210,$A$2:$B$1226,2,FALSE),""))</x:f>
        <x:v>Unit and Encounter Models</x:v>
      </x:c>
      <x:c r="F1210" s="24" t="n">
        <x:v>3</x:v>
      </x:c>
      <x:c r="G1210" s="24" t="str">
        <x:v>Boss changes abilities, arena, targets, form, or rules at health or time thresholds.</x:v>
      </x:c>
      <x:c r="H1210" s="24" t="str">
        <x:v>Record system, edition, encounter assumptions, and party size before comparing balance.</x:v>
      </x:c>
      <x:c r="I1210" s="24" t="str">
        <x:v>multi-phase boss; transformation boss</x:v>
      </x:c>
      <x:c r="J1210" s="24" t="str">
        <x:v>Defines control, encounter design, party composition, recruitment, loss, and noncombat gameplay.</x:v>
      </x:c>
      <x:c r="K1210" s="24" t="str">
        <x:v>multi-phase boss; transformation boss</x:v>
      </x:c>
      <x:c r="L1210" s="24" t="str">
        <x:v>Preserve each source's ontology, culture, history, and terminology when making comparisons.</x:v>
      </x:c>
      <x:c r="M1210" s="24" t="str">
        <x:v>Core Family</x:v>
      </x:c>
    </x:row>
    <x:row r="1211" ht="44" customHeight="1">
      <x:c r="A1211" s="24" t="str">
        <x:v>MEC-415</x:v>
      </x:c>
      <x:c r="B1211" s="24" t="str">
        <x:v>Puzzle Boss</x:v>
      </x:c>
      <x:c r="C1211" s="24" t="str">
        <x:v>Game-Mechanical Archetypes</x:v>
      </x:c>
      <x:c r="D1211" s="24" t="str">
        <x:v>MEC-400</x:v>
      </x:c>
      <x:c r="E1211" s="24" t="str">
        <x:f>IF(D1211="","",IFERROR(VLOOKUP(D1211,$A$2:$B$1226,2,FALSE),""))</x:f>
        <x:v>Unit and Encounter Models</x:v>
      </x:c>
      <x:c r="F1211" s="24" t="n">
        <x:v>3</x:v>
      </x:c>
      <x:c r="G1211" s="24" t="str">
        <x:v>Encounter requires understanding a pattern, environment, item, or rule rather than raw damage alone.</x:v>
      </x:c>
      <x:c r="H1211" s="24" t="str">
        <x:v>Record system, edition, encounter assumptions, and party size before comparing balance.</x:v>
      </x:c>
      <x:c r="I1211" s="24" t="str">
        <x:v>gimmick boss; puzzle encounter</x:v>
      </x:c>
      <x:c r="J1211" s="24" t="str">
        <x:v>Defines control, encounter design, party composition, recruitment, loss, and noncombat gameplay.</x:v>
      </x:c>
      <x:c r="K1211" s="24" t="str">
        <x:v>gimmick boss; puzzle encounter</x:v>
      </x:c>
      <x:c r="L1211" s="24" t="str">
        <x:v>Preserve each source's ontology, culture, history, and terminology when making comparisons.</x:v>
      </x:c>
      <x:c r="M1211" s="24" t="str">
        <x:v>Core Family</x:v>
      </x:c>
    </x:row>
    <x:row r="1212" ht="44" customHeight="1">
      <x:c r="A1212" s="24" t="str">
        <x:v>MEC-416</x:v>
      </x:c>
      <x:c r="B1212" s="24" t="str">
        <x:v>Raid Role</x:v>
      </x:c>
      <x:c r="C1212" s="24" t="str">
        <x:v>Game-Mechanical Archetypes</x:v>
      </x:c>
      <x:c r="D1212" s="24" t="str">
        <x:v>MEC-400</x:v>
      </x:c>
      <x:c r="E1212" s="24" t="str">
        <x:f>IF(D1212="","",IFERROR(VLOOKUP(D1212,$A$2:$B$1226,2,FALSE),""))</x:f>
        <x:v>Unit and Encounter Models</x:v>
      </x:c>
      <x:c r="F1212" s="24" t="n">
        <x:v>3</x:v>
      </x:c>
      <x:c r="G1212" s="24" t="str">
        <x:v>Highly specialized function designed for coordinated large-group encounters.</x:v>
      </x:c>
      <x:c r="H1212" s="24" t="str">
        <x:v>Record system, edition, encounter assumptions, and party size before comparing balance.</x:v>
      </x:c>
      <x:c r="I1212" s="24" t="str">
        <x:v>raid tank; raid healer; raid DPS</x:v>
      </x:c>
      <x:c r="J1212" s="24" t="str">
        <x:v>Defines control, encounter design, party composition, recruitment, loss, and noncombat gameplay.</x:v>
      </x:c>
      <x:c r="K1212" s="24" t="str">
        <x:v>raid tank; raid healer; raid DPS</x:v>
      </x:c>
      <x:c r="L1212" s="24" t="str">
        <x:v>Preserve each source's ontology, culture, history, and terminology when making comparisons.</x:v>
      </x:c>
      <x:c r="M1212" s="24" t="str">
        <x:v>Core Family</x:v>
      </x:c>
    </x:row>
    <x:row r="1213" ht="44" customHeight="1">
      <x:c r="A1213" s="24" t="str">
        <x:v>MEC-417</x:v>
      </x:c>
      <x:c r="B1213" s="24" t="str">
        <x:v>Tactical Job Unit</x:v>
      </x:c>
      <x:c r="C1213" s="24" t="str">
        <x:v>Game-Mechanical Archetypes</x:v>
      </x:c>
      <x:c r="D1213" s="24" t="str">
        <x:v>MEC-400</x:v>
      </x:c>
      <x:c r="E1213" s="24" t="str">
        <x:f>IF(D1213="","",IFERROR(VLOOKUP(D1213,$A$2:$B$1226,2,FALSE),""))</x:f>
        <x:v>Unit and Encounter Models</x:v>
      </x:c>
      <x:c r="F1213" s="24" t="n">
        <x:v>3</x:v>
      </x:c>
      <x:c r="G1213" s="24" t="str">
        <x:v>Unit whose class determines movement, equipment, skills, and battlefield role in a grid or turn-based system.</x:v>
      </x:c>
      <x:c r="H1213" s="24" t="str">
        <x:v>Record system, edition, encounter assumptions, and party size before comparing balance.</x:v>
      </x:c>
      <x:c r="I1213" s="24" t="str">
        <x:v>job unit; tactical class; classmark unit</x:v>
      </x:c>
      <x:c r="J1213" s="24" t="str">
        <x:v>Defines control, encounter design, party composition, recruitment, loss, and noncombat gameplay.</x:v>
      </x:c>
      <x:c r="K1213" s="24" t="str">
        <x:v>job unit; tactical class; classmark unit</x:v>
      </x:c>
      <x:c r="L1213" s="24" t="str">
        <x:v>Preserve each source's ontology, culture, history, and terminology when making comparisons.</x:v>
      </x:c>
      <x:c r="M1213" s="24" t="str">
        <x:v>Core Family</x:v>
      </x:c>
    </x:row>
    <x:row r="1214" ht="44" customHeight="1">
      <x:c r="A1214" s="24" t="str">
        <x:v>MEC-418</x:v>
      </x:c>
      <x:c r="B1214" s="24" t="str">
        <x:v>Crafting Class</x:v>
      </x:c>
      <x:c r="C1214" s="24" t="str">
        <x:v>Game-Mechanical Archetypes</x:v>
      </x:c>
      <x:c r="D1214" s="24" t="str">
        <x:v>MEC-400</x:v>
      </x:c>
      <x:c r="E1214" s="24" t="str">
        <x:f>IF(D1214="","",IFERROR(VLOOKUP(D1214,$A$2:$B$1226,2,FALSE),""))</x:f>
        <x:v>Unit and Encounter Models</x:v>
      </x:c>
      <x:c r="F1214" s="24" t="n">
        <x:v>3</x:v>
      </x:c>
      <x:c r="G1214" s="24" t="str">
        <x:v>Playable profession with its own progression, actions, quality systems, and economic role.</x:v>
      </x:c>
      <x:c r="H1214" s="24" t="str">
        <x:v>Record system, edition, encounter assumptions, and party size before comparing balance.</x:v>
      </x:c>
      <x:c r="I1214" s="24" t="str">
        <x:v>crafter; disciple of the hand; artisan class</x:v>
      </x:c>
      <x:c r="J1214" s="24" t="str">
        <x:v>Defines control, encounter design, party composition, recruitment, loss, and noncombat gameplay.</x:v>
      </x:c>
      <x:c r="K1214" s="24" t="str">
        <x:v>crafter; disciple of the hand; artisan class</x:v>
      </x:c>
      <x:c r="L1214" s="24" t="str">
        <x:v>Preserve each source's ontology, culture, history, and terminology when making comparisons.</x:v>
      </x:c>
      <x:c r="M1214" s="24" t="str">
        <x:v>Core Family</x:v>
      </x:c>
    </x:row>
    <x:row r="1215" ht="44" customHeight="1">
      <x:c r="A1215" s="24" t="str">
        <x:v>MEC-419</x:v>
      </x:c>
      <x:c r="B1215" s="24" t="str">
        <x:v>Gathering Class</x:v>
      </x:c>
      <x:c r="C1215" s="24" t="str">
        <x:v>Game-Mechanical Archetypes</x:v>
      </x:c>
      <x:c r="D1215" s="24" t="str">
        <x:v>MEC-400</x:v>
      </x:c>
      <x:c r="E1215" s="24" t="str">
        <x:f>IF(D1215="","",IFERROR(VLOOKUP(D1215,$A$2:$B$1226,2,FALSE),""))</x:f>
        <x:v>Unit and Encounter Models</x:v>
      </x:c>
      <x:c r="F1215" s="24" t="n">
        <x:v>3</x:v>
      </x:c>
      <x:c r="G1215" s="24" t="str">
        <x:v>Playable profession centered on resource nodes, routes, perception, and collection.</x:v>
      </x:c>
      <x:c r="H1215" s="24" t="str">
        <x:v>Record system, edition, encounter assumptions, and party size before comparing balance.</x:v>
      </x:c>
      <x:c r="I1215" s="24" t="str">
        <x:v>gatherer; miner; botanist; fisher</x:v>
      </x:c>
      <x:c r="J1215" s="24" t="str">
        <x:v>Defines control, encounter design, party composition, recruitment, loss, and noncombat gameplay.</x:v>
      </x:c>
      <x:c r="K1215" s="24" t="str">
        <x:v>gatherer; miner; botanist; fisher</x:v>
      </x:c>
      <x:c r="L1215" s="24" t="str">
        <x:v>Preserve each source's ontology, culture, history, and terminology when making comparisons.</x:v>
      </x:c>
      <x:c r="M1215" s="24" t="str">
        <x:v>Core Family</x:v>
      </x:c>
    </x:row>
    <x:row r="1216" ht="44" customHeight="1">
      <x:c r="A1216" s="24" t="str">
        <x:v>MEC-420</x:v>
      </x:c>
      <x:c r="B1216" s="24" t="str">
        <x:v>Social or Diplomatic Class</x:v>
      </x:c>
      <x:c r="C1216" s="24" t="str">
        <x:v>Game-Mechanical Archetypes</x:v>
      </x:c>
      <x:c r="D1216" s="24" t="str">
        <x:v>MEC-400</x:v>
      </x:c>
      <x:c r="E1216" s="24" t="str">
        <x:f>IF(D1216="","",IFERROR(VLOOKUP(D1216,$A$2:$B$1226,2,FALSE),""))</x:f>
        <x:v>Unit and Encounter Models</x:v>
      </x:c>
      <x:c r="F1216" s="24" t="n">
        <x:v>3</x:v>
      </x:c>
      <x:c r="G1216" s="24" t="str">
        <x:v>Class whose primary mechanics concern persuasion, status, networks, negotiation, and influence.</x:v>
      </x:c>
      <x:c r="H1216" s="24" t="str">
        <x:v>Record system, edition, encounter assumptions, and party size before comparing balance.</x:v>
      </x:c>
      <x:c r="I1216" s="24" t="str">
        <x:v>face class; courtier; diplomat</x:v>
      </x:c>
      <x:c r="J1216" s="24" t="str">
        <x:v>Defines control, encounter design, party composition, recruitment, loss, and noncombat gameplay.</x:v>
      </x:c>
      <x:c r="K1216" s="24" t="str">
        <x:v>face class; courtier; diplomat</x:v>
      </x:c>
      <x:c r="L1216" s="24" t="str">
        <x:v>Preserve each source's ontology, culture, history, and terminology when making comparisons.</x:v>
      </x:c>
      <x:c r="M1216" s="24" t="str">
        <x:v>Core Family</x:v>
      </x:c>
    </x:row>
    <x:row r="1217" ht="44" customHeight="1">
      <x:c r="A1217" s="24" t="str">
        <x:v>MEC-421</x:v>
      </x:c>
      <x:c r="B1217" s="24" t="str">
        <x:v>Exploration Class</x:v>
      </x:c>
      <x:c r="C1217" s="24" t="str">
        <x:v>Game-Mechanical Archetypes</x:v>
      </x:c>
      <x:c r="D1217" s="24" t="str">
        <x:v>MEC-400</x:v>
      </x:c>
      <x:c r="E1217" s="24" t="str">
        <x:f>IF(D1217="","",IFERROR(VLOOKUP(D1217,$A$2:$B$1226,2,FALSE),""))</x:f>
        <x:v>Unit and Encounter Models</x:v>
      </x:c>
      <x:c r="F1217" s="24" t="n">
        <x:v>3</x:v>
      </x:c>
      <x:c r="G1217" s="24" t="str">
        <x:v>Class optimized for navigation, environmental hazards, mapping, travel, and discovery.</x:v>
      </x:c>
      <x:c r="H1217" s="24" t="str">
        <x:v>Record system, edition, encounter assumptions, and party size before comparing balance.</x:v>
      </x:c>
      <x:c r="I1217" s="24" t="str">
        <x:v>explorer; ranger; delver</x:v>
      </x:c>
      <x:c r="J1217" s="24" t="str">
        <x:v>Defines control, encounter design, party composition, recruitment, loss, and noncombat gameplay.</x:v>
      </x:c>
      <x:c r="K1217" s="24" t="str">
        <x:v>explorer; ranger; delver</x:v>
      </x:c>
      <x:c r="L1217" s="24" t="str">
        <x:v>Preserve each source's ontology, culture, history, and terminology when making comparisons.</x:v>
      </x:c>
      <x:c r="M1217" s="24" t="str">
        <x:v>Core Family</x:v>
      </x:c>
    </x:row>
    <x:row r="1218" ht="44" customHeight="1">
      <x:c r="A1218" s="24" t="str">
        <x:v>MEC-422</x:v>
      </x:c>
      <x:c r="B1218" s="24" t="str">
        <x:v>Monster Class</x:v>
      </x:c>
      <x:c r="C1218" s="24" t="str">
        <x:v>Game-Mechanical Archetypes</x:v>
      </x:c>
      <x:c r="D1218" s="24" t="str">
        <x:v>MEC-400</x:v>
      </x:c>
      <x:c r="E1218" s="24" t="str">
        <x:f>IF(D1218="","",IFERROR(VLOOKUP(D1218,$A$2:$B$1226,2,FALSE),""))</x:f>
        <x:v>Unit and Encounter Models</x:v>
      </x:c>
      <x:c r="F1218" s="24" t="n">
        <x:v>3</x:v>
      </x:c>
      <x:c r="G1218" s="24" t="str">
        <x:v>Playable or recruitable class restricted to a creature type or nonhuman body.</x:v>
      </x:c>
      <x:c r="H1218" s="24" t="str">
        <x:v>Record system, edition, encounter assumptions, and party size before comparing balance.</x:v>
      </x:c>
      <x:c r="I1218" s="24" t="str">
        <x:v>dragon class; beast class; undead class</x:v>
      </x:c>
      <x:c r="J1218" s="24" t="str">
        <x:v>Defines control, encounter design, party composition, recruitment, loss, and noncombat gameplay.</x:v>
      </x:c>
      <x:c r="K1218" s="24" t="str">
        <x:v>dragon class; beast class; undead class</x:v>
      </x:c>
      <x:c r="L1218" s="24" t="str">
        <x:v>Preserve each source's ontology, culture, history, and terminology when making comparisons.</x:v>
      </x:c>
      <x:c r="M1218" s="24" t="str">
        <x:v>Core Family</x:v>
      </x:c>
    </x:row>
    <x:row r="1219" ht="44" customHeight="1">
      <x:c r="A1219" s="24" t="str">
        <x:v>MEC-423</x:v>
      </x:c>
      <x:c r="B1219" s="24" t="str">
        <x:v>Unique Character Class</x:v>
      </x:c>
      <x:c r="C1219" s="24" t="str">
        <x:v>Game-Mechanical Archetypes</x:v>
      </x:c>
      <x:c r="D1219" s="24" t="str">
        <x:v>MEC-400</x:v>
      </x:c>
      <x:c r="E1219" s="24" t="str">
        <x:f>IF(D1219="","",IFERROR(VLOOKUP(D1219,$A$2:$B$1226,2,FALSE),""))</x:f>
        <x:v>Unit and Encounter Models</x:v>
      </x:c>
      <x:c r="F1219" s="24" t="n">
        <x:v>3</x:v>
      </x:c>
      <x:c r="G1219" s="24" t="str">
        <x:v>Class available only to a named character and tied to story identity.</x:v>
      </x:c>
      <x:c r="H1219" s="24" t="str">
        <x:v>Record system, edition, encounter assumptions, and party size before comparing balance.</x:v>
      </x:c>
      <x:c r="I1219" s="24" t="str">
        <x:v>unique job; special class; lord class</x:v>
      </x:c>
      <x:c r="J1219" s="24" t="str">
        <x:v>Defines control, encounter design, party composition, recruitment, loss, and noncombat gameplay.</x:v>
      </x:c>
      <x:c r="K1219" s="24" t="str">
        <x:v>unique job; special class; lord class</x:v>
      </x:c>
      <x:c r="L1219" s="24" t="str">
        <x:v>Preserve each source's ontology, culture, history, and terminology when making comparisons.</x:v>
      </x:c>
      <x:c r="M1219" s="24" t="str">
        <x:v>Core Family</x:v>
      </x:c>
    </x:row>
    <x:row r="1220" ht="44" customHeight="1">
      <x:c r="A1220" s="24" t="str">
        <x:v>MEC-424</x:v>
      </x:c>
      <x:c r="B1220" s="24" t="str">
        <x:v>Enemy-Only Class</x:v>
      </x:c>
      <x:c r="C1220" s="24" t="str">
        <x:v>Game-Mechanical Archetypes</x:v>
      </x:c>
      <x:c r="D1220" s="24" t="str">
        <x:v>MEC-400</x:v>
      </x:c>
      <x:c r="E1220" s="24" t="str">
        <x:f>IF(D1220="","",IFERROR(VLOOKUP(D1220,$A$2:$B$1226,2,FALSE),""))</x:f>
        <x:v>Unit and Encounter Models</x:v>
      </x:c>
      <x:c r="F1220" s="24" t="n">
        <x:v>3</x:v>
      </x:c>
      <x:c r="G1220" s="24" t="str">
        <x:v>Role or rules package unavailable to ordinary players and designed for opposition.</x:v>
      </x:c>
      <x:c r="H1220" s="24" t="str">
        <x:v>Record system, edition, encounter assumptions, and party size before comparing balance.</x:v>
      </x:c>
      <x:c r="I1220" s="24" t="str">
        <x:v>enemy class; boss job; monster-only role</x:v>
      </x:c>
      <x:c r="J1220" s="24" t="str">
        <x:v>Defines control, encounter design, party composition, recruitment, loss, and noncombat gameplay.</x:v>
      </x:c>
      <x:c r="K1220" s="24" t="str">
        <x:v>enemy class; boss job; monster-only role</x:v>
      </x:c>
      <x:c r="L1220" s="24" t="str">
        <x:v>Preserve each source's ontology, culture, history, and terminology when making comparisons.</x:v>
      </x:c>
      <x:c r="M1220" s="24" t="str">
        <x:v>Core Family</x:v>
      </x:c>
    </x:row>
    <x:row r="1221" ht="44" customHeight="1">
      <x:c r="A1221" s="24" t="str">
        <x:v>MEC-425</x:v>
      </x:c>
      <x:c r="B1221" s="24" t="str">
        <x:v>Guest Unit</x:v>
      </x:c>
      <x:c r="C1221" s="24" t="str">
        <x:v>Game-Mechanical Archetypes</x:v>
      </x:c>
      <x:c r="D1221" s="24" t="str">
        <x:v>MEC-400</x:v>
      </x:c>
      <x:c r="E1221" s="24" t="str">
        <x:f>IF(D1221="","",IFERROR(VLOOKUP(D1221,$A$2:$B$1226,2,FALSE),""))</x:f>
        <x:v>Unit and Encounter Models</x:v>
      </x:c>
      <x:c r="F1221" s="24" t="n">
        <x:v>3</x:v>
      </x:c>
      <x:c r="G1221" s="24" t="str">
        <x:v>Temporary allied character controlled wholly or partly by the game or story.</x:v>
      </x:c>
      <x:c r="H1221" s="24" t="str">
        <x:v>Record system, edition, encounter assumptions, and party size before comparing balance.</x:v>
      </x:c>
      <x:c r="I1221" s="24" t="str">
        <x:v>guest; escort; temporary companion</x:v>
      </x:c>
      <x:c r="J1221" s="24" t="str">
        <x:v>Defines control, encounter design, party composition, recruitment, loss, and noncombat gameplay.</x:v>
      </x:c>
      <x:c r="K1221" s="24" t="str">
        <x:v>guest; escort; temporary companion</x:v>
      </x:c>
      <x:c r="L1221" s="24" t="str">
        <x:v>Preserve each source's ontology, culture, history, and terminology when making comparisons.</x:v>
      </x:c>
      <x:c r="M1221" s="24" t="str">
        <x:v>Core Family</x:v>
      </x:c>
    </x:row>
    <x:row r="1222" ht="44" customHeight="1">
      <x:c r="A1222" s="24" t="str">
        <x:v>MEC-426</x:v>
      </x:c>
      <x:c r="B1222" s="24" t="str">
        <x:v>Permadeath Unit</x:v>
      </x:c>
      <x:c r="C1222" s="24" t="str">
        <x:v>Game-Mechanical Archetypes</x:v>
      </x:c>
      <x:c r="D1222" s="24" t="str">
        <x:v>MEC-400</x:v>
      </x:c>
      <x:c r="E1222" s="24" t="str">
        <x:f>IF(D1222="","",IFERROR(VLOOKUP(D1222,$A$2:$B$1226,2,FALSE),""))</x:f>
        <x:v>Unit and Encounter Models</x:v>
      </x:c>
      <x:c r="F1222" s="24" t="n">
        <x:v>3</x:v>
      </x:c>
      <x:c r="G1222" s="24" t="str">
        <x:v>Character can be permanently lost, making recruitment and risk central.</x:v>
      </x:c>
      <x:c r="H1222" s="24" t="str">
        <x:v>Record system, edition, encounter assumptions, and party size before comparing balance.</x:v>
      </x:c>
      <x:c r="I1222" s="24" t="str">
        <x:v>permadeath; ironman unit; casualty</x:v>
      </x:c>
      <x:c r="J1222" s="24" t="str">
        <x:v>Defines control, encounter design, party composition, recruitment, loss, and noncombat gameplay.</x:v>
      </x:c>
      <x:c r="K1222" s="24" t="str">
        <x:v>permadeath; ironman unit; casualty</x:v>
      </x:c>
      <x:c r="L1222" s="24" t="str">
        <x:v>Preserve each source's ontology, culture, history, and terminology when making comparisons.</x:v>
      </x:c>
      <x:c r="M1222" s="24" t="str">
        <x:v>Core Family</x:v>
      </x:c>
    </x:row>
    <x:row r="1223" ht="44" customHeight="1">
      <x:c r="A1223" s="24" t="str">
        <x:v>MEC-427</x:v>
      </x:c>
      <x:c r="B1223" s="24" t="str">
        <x:v>Recruitable Enemy</x:v>
      </x:c>
      <x:c r="C1223" s="24" t="str">
        <x:v>Game-Mechanical Archetypes</x:v>
      </x:c>
      <x:c r="D1223" s="24" t="str">
        <x:v>MEC-400</x:v>
      </x:c>
      <x:c r="E1223" s="24" t="str">
        <x:f>IF(D1223="","",IFERROR(VLOOKUP(D1223,$A$2:$B$1226,2,FALSE),""))</x:f>
        <x:v>Unit and Encounter Models</x:v>
      </x:c>
      <x:c r="F1223" s="24" t="n">
        <x:v>3</x:v>
      </x:c>
      <x:c r="G1223" s="24" t="str">
        <x:v>Opponent can become a player-controlled unit through persuasion, capture, taming, or story choice.</x:v>
      </x:c>
      <x:c r="H1223" s="24" t="str">
        <x:v>Record system, edition, encounter assumptions, and party size before comparing balance.</x:v>
      </x:c>
      <x:c r="I1223" s="24" t="str">
        <x:v>recruit; tame; charm enemy</x:v>
      </x:c>
      <x:c r="J1223" s="24" t="str">
        <x:v>Defines control, encounter design, party composition, recruitment, loss, and noncombat gameplay.</x:v>
      </x:c>
      <x:c r="K1223" s="24" t="str">
        <x:v>recruit; tame; charm enemy</x:v>
      </x:c>
      <x:c r="L1223" s="24" t="str">
        <x:v>Preserve each source's ontology, culture, history, and terminology when making comparisons.</x:v>
      </x:c>
      <x:c r="M1223" s="24" t="str">
        <x:v>Core Family</x:v>
      </x:c>
    </x:row>
    <x:row r="1224" ht="44" customHeight="1">
      <x:c r="A1224" s="24" t="str">
        <x:v>MEC-428</x:v>
      </x:c>
      <x:c r="B1224" s="24" t="str">
        <x:v>Faction Unit</x:v>
      </x:c>
      <x:c r="C1224" s="24" t="str">
        <x:v>Game-Mechanical Archetypes</x:v>
      </x:c>
      <x:c r="D1224" s="24" t="str">
        <x:v>MEC-400</x:v>
      </x:c>
      <x:c r="E1224" s="24" t="str">
        <x:f>IF(D1224="","",IFERROR(VLOOKUP(D1224,$A$2:$B$1226,2,FALSE),""))</x:f>
        <x:v>Unit and Encounter Models</x:v>
      </x:c>
      <x:c r="F1224" s="24" t="n">
        <x:v>3</x:v>
      </x:c>
      <x:c r="G1224" s="24" t="str">
        <x:v>Unit's identity and rules depend on membership in a political, ethnic, religious, or military faction.</x:v>
      </x:c>
      <x:c r="H1224" s="24" t="str">
        <x:v>Record system, edition, encounter assumptions, and party size before comparing balance.</x:v>
      </x:c>
      <x:c r="I1224" s="24" t="str">
        <x:v>faction troop; army unit; clan unit</x:v>
      </x:c>
      <x:c r="J1224" s="24" t="str">
        <x:v>Defines control, encounter design, party composition, recruitment, loss, and noncombat gameplay.</x:v>
      </x:c>
      <x:c r="K1224" s="24" t="str">
        <x:v>faction troop; army unit; clan unit</x:v>
      </x:c>
      <x:c r="L1224" s="24" t="str">
        <x:v>Preserve each source's ontology, culture, history, and terminology when making comparisons.</x:v>
      </x:c>
      <x:c r="M1224" s="24" t="str">
        <x:v>Core Family</x:v>
      </x:c>
    </x:row>
    <x:row r="1225" ht="44" customHeight="1">
      <x:c r="A1225" s="24" t="str">
        <x:v>MEC-429</x:v>
      </x:c>
      <x:c r="B1225" s="24" t="str">
        <x:v>Transformation Unit</x:v>
      </x:c>
      <x:c r="C1225" s="24" t="str">
        <x:v>Game-Mechanical Archetypes</x:v>
      </x:c>
      <x:c r="D1225" s="24" t="str">
        <x:v>MEC-400</x:v>
      </x:c>
      <x:c r="E1225" s="24" t="str">
        <x:f>IF(D1225="","",IFERROR(VLOOKUP(D1225,$A$2:$B$1226,2,FALSE),""))</x:f>
        <x:v>Unit and Encounter Models</x:v>
      </x:c>
      <x:c r="F1225" s="24" t="n">
        <x:v>3</x:v>
      </x:c>
      <x:c r="G1225" s="24" t="str">
        <x:v>Unit changes class, form, species, allegiance, or stat profile during battle.</x:v>
      </x:c>
      <x:c r="H1225" s="24" t="str">
        <x:v>Record system, edition, encounter assumptions, and party size before comparing balance.</x:v>
      </x:c>
      <x:c r="I1225" s="24" t="str">
        <x:v>morph unit; phase unit; evolving monster</x:v>
      </x:c>
      <x:c r="J1225" s="24" t="str">
        <x:v>Defines control, encounter design, party composition, recruitment, loss, and noncombat gameplay.</x:v>
      </x:c>
      <x:c r="K1225" s="24" t="str">
        <x:v>morph unit; phase unit; evolving monster</x:v>
      </x:c>
      <x:c r="L1225" s="24" t="str">
        <x:v>Preserve each source's ontology, culture, history, and terminology when making comparisons.</x:v>
      </x:c>
      <x:c r="M1225" s="24" t="str">
        <x:v>Core Family</x:v>
      </x:c>
    </x:row>
    <x:row r="1226" ht="44" customHeight="1">
      <x:c r="A1226" s="24" t="str">
        <x:v>MEC-430</x:v>
      </x:c>
      <x:c r="B1226" s="24" t="str">
        <x:v>Dungeon Core or Management Unit</x:v>
      </x:c>
      <x:c r="C1226" s="24" t="str">
        <x:v>Game-Mechanical Archetypes</x:v>
      </x:c>
      <x:c r="D1226" s="24" t="str">
        <x:v>MEC-400</x:v>
      </x:c>
      <x:c r="E1226" s="24" t="str">
        <x:f>IF(D1226="","",IFERROR(VLOOKUP(D1226,$A$2:$B$1226,2,FALSE),""))</x:f>
        <x:v>Unit and Encounter Models</x:v>
      </x:c>
      <x:c r="F1226" s="24" t="n">
        <x:v>3</x:v>
      </x:c>
      <x:c r="G1226" s="24" t="str">
        <x:v>Player controls the environment, spawn system, rooms, economy, or monsters rather than a single adventurer.</x:v>
      </x:c>
      <x:c r="H1226" s="24" t="str">
        <x:v>Record system, edition, encounter assumptions, and party size before comparing balance.</x:v>
      </x:c>
      <x:c r="I1226" s="24" t="str">
        <x:v>dungeon core; overlord mode; management avatar</x:v>
      </x:c>
      <x:c r="J1226" s="24" t="str">
        <x:v>Defines control, encounter design, party composition, recruitment, loss, and noncombat gameplay.</x:v>
      </x:c>
      <x:c r="K1226" s="24" t="str">
        <x:v>dungeon core; overlord mode; management avatar</x:v>
      </x:c>
      <x:c r="L1226" s="24" t="str">
        <x:v>Preserve each source's ontology, culture, history, and terminology when making comparisons.</x:v>
      </x:c>
      <x:c r="M1226" s="24" t="str">
        <x:v>Core Family</x:v>
      </x:c>
    </x:row>
  </x:sheetData>
  <x:conditionalFormatting sqref="C2:C1226">
    <x:cfRule type="expression" dxfId="0" priority="1">
      <x:formula>$C2="People &amp; Beings"</x:formula>
    </x:cfRule>
    <x:cfRule type="expression" dxfId="1" priority="2">
      <x:formula>$C2="Roles &amp; Vocations"</x:formula>
    </x:cfRule>
    <x:cfRule type="expression" dxfId="2" priority="3">
      <x:formula>$C2="Power Traditions"</x:formula>
    </x:cfRule>
    <x:cfRule type="expression" dxfId="3" priority="4">
      <x:formula>$C2="States &amp; Transformations"</x:formula>
    </x:cfRule>
    <x:cfRule type="expression" dxfId="4" priority="5">
      <x:formula>$C2="Institutions &amp; Affiliations"</x:formula>
    </x:cfRule>
    <x:cfRule type="expression" dxfId="5" priority="6">
      <x:formula>$C2="Narrative Archetypes"</x:formula>
    </x:cfRule>
    <x:cfRule type="expression" dxfId="6" priority="7">
      <x:formula>$C2="Civilization &amp; Culture Archetypes"</x:formula>
    </x:cfRule>
    <x:cfRule type="expression" dxfId="7" priority="8">
      <x:formula>$C2="Game-Mechanical Archetypes"</x:formula>
    </x:cfRule>
  </x:conditionalFormatting>
  <x:dataValidations count="1">
    <x:dataValidation type="list" sqref="M2:M1226">
      <x:formula1>"Domain Root,Category,Core Family,Deprecated / merged"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58b34ad68d48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28" hidden="0" customWidth="1"/>
    <x:col min="5" max="5" width="28" hidden="0" customWidth="1"/>
    <x:col min="6" max="6" width="18" hidden="0" customWidth="1"/>
    <x:col min="7" max="7" width="38" hidden="0" customWidth="1"/>
    <x:col min="8" max="8" width="12" hidden="0" customWidth="1"/>
    <x:col min="9" max="9" width="50" hidden="0" customWidth="1"/>
    <x:col min="10" max="10" width="42" hidden="0" customWidth="1"/>
    <x:col min="11" max="11" width="46" hidden="0" customWidth="1"/>
    <x:col min="12" max="12" width="14" hidden="0" customWidth="1"/>
  </x:cols>
  <x:sheetData>
    <x:row r="1" ht="34" customHeight="1">
      <x:c r="A1" s="31" t="str">
        <x:v>Source_ID</x:v>
      </x:c>
      <x:c r="B1" s="31" t="str">
        <x:v>Title_or_Franchise</x:v>
      </x:c>
      <x:c r="C1" s="31" t="str">
        <x:v>Creator_Studio</x:v>
      </x:c>
      <x:c r="D1" s="31" t="str">
        <x:v>Medium</x:v>
      </x:c>
      <x:c r="E1" s="31" t="str">
        <x:v>Region_Tradition</x:v>
      </x:c>
      <x:c r="F1" s="31" t="str">
        <x:v>First_Appearance</x:v>
      </x:c>
      <x:c r="G1" s="31" t="str">
        <x:v>Continuity_Unit</x:v>
      </x:c>
      <x:c r="H1" s="31" t="str">
        <x:v>Priority_Tier</x:v>
      </x:c>
      <x:c r="I1" s="31" t="str">
        <x:v>Distinctive_Contribution</x:v>
      </x:c>
      <x:c r="J1" s="31" t="str">
        <x:v>Scope_Note</x:v>
      </x:c>
      <x:c r="K1" s="31" t="str">
        <x:v>Reference_URL</x:v>
      </x:c>
      <x:c r="L1" s="31" t="str">
        <x:v>Status</x:v>
      </x:c>
    </x:row>
    <x:row r="2" ht="42" customHeight="1">
      <x:c r="A2" s="24" t="str">
        <x:v>SRC-001</x:v>
      </x:c>
      <x:c r="B2" s="24" t="str">
        <x:v>Ancient Greek Mythology</x:v>
      </x:c>
      <x:c r="C2" s="24" t="str">
        <x:v>Multiple oral and literary traditions</x:v>
      </x:c>
      <x:c r="D2" s="24" t="str">
        <x:v>Mythology / Folklore</x:v>
      </x:c>
      <x:c r="E2" s="24" t="str">
        <x:v>Mediterranean / Greek</x:v>
      </x:c>
      <x:c r="F2" s="24" t="str">
        <x:v>Archaic–Classical antiquity</x:v>
      </x:c>
      <x:c r="G2" s="24" t="str">
        <x:v>Culture-specific corpus</x:v>
      </x:c>
      <x:c r="H2" s="24" t="str">
        <x:v>Tier 1</x:v>
      </x:c>
      <x:c r="I2" s="24" t="str">
        <x:v>Gods, demigods, heroes, monsters, nymphs, underworld journeys, metamorphosis, prophecy.</x:v>
      </x:c>
      <x:c r="J2" s="24" t="str">
        <x:v>Treat adaptations/editions separately when taxonomically material.</x:v>
      </x:c>
      <x:c r="K2" s="84" t="str">
        <x:v>https://en.wikipedia.org/wiki/Ancient_Greek_Mythology</x:v>
      </x:c>
      <x:c r="L2" s="24" t="str">
        <x:v>Included</x:v>
      </x:c>
    </x:row>
    <x:row r="3" ht="42" customHeight="1">
      <x:c r="A3" s="24" t="str">
        <x:v>SRC-002</x:v>
      </x:c>
      <x:c r="B3" s="24" t="str">
        <x:v>Norse Mythology</x:v>
      </x:c>
      <x:c r="C3" s="24" t="str">
        <x:v>Old Norse oral and literary traditions</x:v>
      </x:c>
      <x:c r="D3" s="24" t="str">
        <x:v>Mythology / Folklore</x:v>
      </x:c>
      <x:c r="E3" s="24" t="str">
        <x:v>Northern Europe / Norse</x:v>
      </x:c>
      <x:c r="F3" s="24" t="str">
        <x:v>Medieval textual witnesses</x:v>
      </x:c>
      <x:c r="G3" s="24" t="str">
        <x:v>Poetic Edda, Prose Edda, sagas</x:v>
      </x:c>
      <x:c r="H3" s="24" t="str">
        <x:v>Tier 1</x:v>
      </x:c>
      <x:c r="I3" s="24" t="str">
        <x:v>Jötnar, elves, dwarfs, draugr, world serpent, valkyries, fate, cyclical apocalypse.</x:v>
      </x:c>
      <x:c r="J3" s="24" t="str">
        <x:v>Treat adaptations/editions separately when taxonomically material.</x:v>
      </x:c>
      <x:c r="K3" s="84" t="str">
        <x:v>https://en.wikipedia.org/wiki/Norse_Mythology</x:v>
      </x:c>
      <x:c r="L3" s="24" t="str">
        <x:v>Included</x:v>
      </x:c>
    </x:row>
    <x:row r="4" ht="42" customHeight="1">
      <x:c r="A4" s="24" t="str">
        <x:v>SRC-003</x:v>
      </x:c>
      <x:c r="B4" s="24" t="str">
        <x:v>Irish Mythological Cycle</x:v>
      </x:c>
      <x:c r="C4" s="24" t="str">
        <x:v>Irish oral and manuscript traditions</x:v>
      </x:c>
      <x:c r="D4" s="24" t="str">
        <x:v>Mythology / Folklore</x:v>
      </x:c>
      <x:c r="E4" s="24" t="str">
        <x:v>Ireland</x:v>
      </x:c>
      <x:c r="F4" s="24" t="str">
        <x:v>Medieval textual witnesses</x:v>
      </x:c>
      <x:c r="G4" s="24" t="str">
        <x:v>Mythological, Ulster, Fenian, and Kings' cycles</x:v>
      </x:c>
      <x:c r="H4" s="24" t="str">
        <x:v>Tier 1</x:v>
      </x:c>
      <x:c r="I4" s="24" t="str">
        <x:v>Otherworld peoples, geasa, heroic warbands, sovereignty, transformation, fairy mounds.</x:v>
      </x:c>
      <x:c r="J4" s="24" t="str">
        <x:v>Treat adaptations/editions separately when taxonomically material.</x:v>
      </x:c>
      <x:c r="K4" s="84" t="str">
        <x:v>https://en.wikipedia.org/wiki/Irish_Mythological_Cycle</x:v>
      </x:c>
      <x:c r="L4" s="24" t="str">
        <x:v>Included</x:v>
      </x:c>
    </x:row>
    <x:row r="5" ht="42" customHeight="1">
      <x:c r="A5" s="24" t="str">
        <x:v>SRC-004</x:v>
      </x:c>
      <x:c r="B5" s="24" t="str">
        <x:v>The Mabinogion</x:v>
      </x:c>
      <x:c r="C5" s="24" t="str">
        <x:v>Medieval Welsh authors and oral traditions</x:v>
      </x:c>
      <x:c r="D5" s="24" t="str">
        <x:v>Literature / Mythic Cycle</x:v>
      </x:c>
      <x:c r="E5" s="24" t="str">
        <x:v>Wales</x:v>
      </x:c>
      <x:c r="F5" s="24" t="str">
        <x:v>12th–14th centuries</x:v>
      </x:c>
      <x:c r="G5" s="24" t="str">
        <x:v>Welsh tale collection</x:v>
      </x:c>
      <x:c r="H5" s="24" t="str">
        <x:v>Tier 1</x:v>
      </x:c>
      <x:c r="I5" s="24" t="str">
        <x:v>Otherworld journeys, enchantment, shapechange, cursed sovereignty, heroic kinship.</x:v>
      </x:c>
      <x:c r="J5" s="24" t="str">
        <x:v>Treat adaptations/editions separately when taxonomically material.</x:v>
      </x:c>
      <x:c r="K5" s="84" t="str">
        <x:v>https://en.wikipedia.org/wiki/The_Mabinogion</x:v>
      </x:c>
      <x:c r="L5" s="24" t="str">
        <x:v>Included</x:v>
      </x:c>
    </x:row>
    <x:row r="6" ht="42" customHeight="1">
      <x:c r="A6" s="24" t="str">
        <x:v>SRC-005</x:v>
      </x:c>
      <x:c r="B6" s="24" t="str">
        <x:v>Arthurian Legend</x:v>
      </x:c>
      <x:c r="C6" s="24" t="str">
        <x:v>Multiple medieval and later authors</x:v>
      </x:c>
      <x:c r="D6" s="24" t="str">
        <x:v>Literature / Mythic Cycle</x:v>
      </x:c>
      <x:c r="E6" s="24" t="str">
        <x:v>Britain / France / Europe</x:v>
      </x:c>
      <x:c r="F6" s="24" t="str">
        <x:v>12th century onward</x:v>
      </x:c>
      <x:c r="G6" s="24" t="str">
        <x:v>Romance tradition</x:v>
      </x:c>
      <x:c r="H6" s="24" t="str">
        <x:v>Tier 1</x:v>
      </x:c>
      <x:c r="I6" s="24" t="str">
        <x:v>Knights, quests, holy relics, enchanted weapons, courtly orders, grail patterns.</x:v>
      </x:c>
      <x:c r="J6" s="24" t="str">
        <x:v>Treat adaptations/editions separately when taxonomically material.</x:v>
      </x:c>
      <x:c r="K6" s="84" t="str">
        <x:v>https://en.wikipedia.org/wiki/Arthurian_Legend</x:v>
      </x:c>
      <x:c r="L6" s="24" t="str">
        <x:v>Included</x:v>
      </x:c>
    </x:row>
    <x:row r="7" ht="42" customHeight="1">
      <x:c r="A7" s="24" t="str">
        <x:v>SRC-006</x:v>
      </x:c>
      <x:c r="B7" s="24" t="str">
        <x:v>Kalevala</x:v>
      </x:c>
      <x:c r="C7" s="24" t="str">
        <x:v>Compiled by Elias Lönnrot from Finnish and Karelian oral poetry</x:v>
      </x:c>
      <x:c r="D7" s="24" t="str">
        <x:v>Epic / Folklore</x:v>
      </x:c>
      <x:c r="E7" s="24" t="str">
        <x:v>Finland / Karelia</x:v>
      </x:c>
      <x:c r="F7" s="24" t="str">
        <x:v>1835/1849</x:v>
      </x:c>
      <x:c r="G7" s="24" t="str">
        <x:v>National epic compilation</x:v>
      </x:c>
      <x:c r="H7" s="24" t="str">
        <x:v>Tier 1</x:v>
      </x:c>
      <x:c r="I7" s="24" t="str">
        <x:v>Song magic, smithing, shamanic heroes, artifact quest, rival cultures.</x:v>
      </x:c>
      <x:c r="J7" s="24" t="str">
        <x:v>Treat adaptations/editions separately when taxonomically material.</x:v>
      </x:c>
      <x:c r="K7" s="84" t="str">
        <x:v>https://en.wikipedia.org/wiki/Kalevala</x:v>
      </x:c>
      <x:c r="L7" s="24" t="str">
        <x:v>Included</x:v>
      </x:c>
    </x:row>
    <x:row r="8" ht="42" customHeight="1">
      <x:c r="A8" s="24" t="str">
        <x:v>SRC-007</x:v>
      </x:c>
      <x:c r="B8" s="24" t="str">
        <x:v>Slavic Folklore</x:v>
      </x:c>
      <x:c r="C8" s="24" t="str">
        <x:v>Multiple regional traditions</x:v>
      </x:c>
      <x:c r="D8" s="24" t="str">
        <x:v>Mythology / Folklore</x:v>
      </x:c>
      <x:c r="E8" s="24" t="str">
        <x:v>Eastern and Central Europe</x:v>
      </x:c>
      <x:c r="F8" s="24" t="str">
        <x:v>Premodern and modern collections</x:v>
      </x:c>
      <x:c r="G8" s="24" t="str">
        <x:v>Culture-specific corpus</x:v>
      </x:c>
      <x:c r="H8" s="24" t="str">
        <x:v>Tier 1</x:v>
      </x:c>
      <x:c r="I8" s="24" t="str">
        <x:v>Vampiric revenants, household spirits, witches, forest beings, dragons, deathless sorcerers.</x:v>
      </x:c>
      <x:c r="J8" s="24" t="str">
        <x:v>Treat adaptations/editions separately when taxonomically material.</x:v>
      </x:c>
      <x:c r="K8" s="84" t="str">
        <x:v>https://en.wikipedia.org/wiki/Slavic_Folklore</x:v>
      </x:c>
      <x:c r="L8" s="24" t="str">
        <x:v>Included</x:v>
      </x:c>
    </x:row>
    <x:row r="9" ht="42" customHeight="1">
      <x:c r="A9" s="24" t="str">
        <x:v>SRC-008</x:v>
      </x:c>
      <x:c r="B9" s="24" t="str">
        <x:v>Grimm Fairy Tales</x:v>
      </x:c>
      <x:c r="C9" s="24" t="str">
        <x:v>Jacob and Wilhelm Grimm, collectors/editors</x:v>
      </x:c>
      <x:c r="D9" s="24" t="str">
        <x:v>Fairy Tale Collection</x:v>
      </x:c>
      <x:c r="E9" s="24" t="str">
        <x:v>German-speaking Europe</x:v>
      </x:c>
      <x:c r="F9" s="24" t="str">
        <x:v>1812 onward</x:v>
      </x:c>
      <x:c r="G9" s="24" t="str">
        <x:v>Multiple editions</x:v>
      </x:c>
      <x:c r="H9" s="24" t="str">
        <x:v>Tier 1</x:v>
      </x:c>
      <x:c r="I9" s="24" t="str">
        <x:v>Witches, enchanted animals, curses, helpers, trials, transformed royals, household magic.</x:v>
      </x:c>
      <x:c r="J9" s="24" t="str">
        <x:v>Treat adaptations/editions separately when taxonomically material.</x:v>
      </x:c>
      <x:c r="K9" s="84" t="str">
        <x:v>https://en.wikipedia.org/wiki/Grimm_Fairy_Tales</x:v>
      </x:c>
      <x:c r="L9" s="24" t="str">
        <x:v>Included</x:v>
      </x:c>
    </x:row>
    <x:row r="10" ht="42" customHeight="1">
      <x:c r="A10" s="24" t="str">
        <x:v>SRC-009</x:v>
      </x:c>
      <x:c r="B10" s="24" t="str">
        <x:v>One Thousand and One Nights</x:v>
      </x:c>
      <x:c r="C10" s="24" t="str">
        <x:v>Multiple Arabic, Persian, South Asian, and later compilers</x:v>
      </x:c>
      <x:c r="D10" s="24" t="str">
        <x:v>Frame Tale / Folklore</x:v>
      </x:c>
      <x:c r="E10" s="24" t="str">
        <x:v>Middle East / South Asia</x:v>
      </x:c>
      <x:c r="F10" s="24" t="str">
        <x:v>Medieval compilation</x:v>
      </x:c>
      <x:c r="G10" s="24" t="str">
        <x:v>Multiple manuscript and translation traditions</x:v>
      </x:c>
      <x:c r="H10" s="24" t="str">
        <x:v>Tier 1</x:v>
      </x:c>
      <x:c r="I10" s="24" t="str">
        <x:v>Djinn, sorcerers, talismans, magical travel, tricksters, merchants, nested stories.</x:v>
      </x:c>
      <x:c r="J10" s="24" t="str">
        <x:v>Treat adaptations/editions separately when taxonomically material.</x:v>
      </x:c>
      <x:c r="K10" s="84" t="str">
        <x:v>https://en.wikipedia.org/wiki/One_Thousand_and_One_Nights</x:v>
      </x:c>
      <x:c r="L10" s="24" t="str">
        <x:v>Included</x:v>
      </x:c>
    </x:row>
    <x:row r="11" ht="42" customHeight="1">
      <x:c r="A11" s="24" t="str">
        <x:v>SRC-010</x:v>
      </x:c>
      <x:c r="B11" s="24" t="str">
        <x:v>Jinn Traditions</x:v>
      </x:c>
      <x:c r="C11" s="24" t="str">
        <x:v>Arabic and Islamic religious, folkloric, and literary traditions</x:v>
      </x:c>
      <x:c r="D11" s="24" t="str">
        <x:v>Mythology / Folklore</x:v>
      </x:c>
      <x:c r="E11" s="24" t="str">
        <x:v>Middle East / Islamic world</x:v>
      </x:c>
      <x:c r="F11" s="24" t="str">
        <x:v>Qur'anic and later traditions</x:v>
      </x:c>
      <x:c r="G11" s="24" t="str">
        <x:v>Culture-specific corpus</x:v>
      </x:c>
      <x:c r="H11" s="24" t="str">
        <x:v>Tier 1</x:v>
      </x:c>
      <x:c r="I11" s="24" t="str">
        <x:v>Spirit personhood, free will, binding, possession, fire origins, parallel societies.</x:v>
      </x:c>
      <x:c r="J11" s="24" t="str">
        <x:v>Treat adaptations/editions separately when taxonomically material.</x:v>
      </x:c>
      <x:c r="K11" s="84" t="str">
        <x:v>https://en.wikipedia.org/wiki/Jinn_Traditions</x:v>
      </x:c>
      <x:c r="L11" s="24" t="str">
        <x:v>Included</x:v>
      </x:c>
    </x:row>
    <x:row r="12" ht="42" customHeight="1">
      <x:c r="A12" s="24" t="str">
        <x:v>SRC-011</x:v>
      </x:c>
      <x:c r="B12" s="24" t="str">
        <x:v>Shahnameh</x:v>
      </x:c>
      <x:c r="C12" s="24" t="str">
        <x:v>Ferdowsi</x:v>
      </x:c>
      <x:c r="D12" s="24" t="str">
        <x:v>Epic Literature</x:v>
      </x:c>
      <x:c r="E12" s="24" t="str">
        <x:v>Persian / Iranian</x:v>
      </x:c>
      <x:c r="F12" s="24" t="str">
        <x:v>c. 1010</x:v>
      </x:c>
      <x:c r="G12" s="24" t="str">
        <x:v>Persian epic</x:v>
      </x:c>
      <x:c r="H12" s="24" t="str">
        <x:v>Tier 1</x:v>
      </x:c>
      <x:c r="I12" s="24" t="str">
        <x:v>Heroic warriors, kingship, demons, magical birds, tragic champions, dynastic cycles.</x:v>
      </x:c>
      <x:c r="J12" s="24" t="str">
        <x:v>Treat adaptations/editions separately when taxonomically material.</x:v>
      </x:c>
      <x:c r="K12" s="84" t="str">
        <x:v>https://en.wikipedia.org/wiki/Shahnameh</x:v>
      </x:c>
      <x:c r="L12" s="24" t="str">
        <x:v>Included</x:v>
      </x:c>
    </x:row>
    <x:row r="13" ht="42" customHeight="1">
      <x:c r="A13" s="24" t="str">
        <x:v>SRC-012</x:v>
      </x:c>
      <x:c r="B13" s="24" t="str">
        <x:v>Epic of Gilgamesh</x:v>
      </x:c>
      <x:c r="C13" s="24" t="str">
        <x:v>Ancient Mesopotamian authors</x:v>
      </x:c>
      <x:c r="D13" s="24" t="str">
        <x:v>Epic Literature</x:v>
      </x:c>
      <x:c r="E13" s="24" t="str">
        <x:v>Mesopotamia</x:v>
      </x:c>
      <x:c r="F13" s="24" t="str">
        <x:v>2nd millennium BCE textual forms</x:v>
      </x:c>
      <x:c r="G13" s="24" t="str">
        <x:v>Akkadian and earlier traditions</x:v>
      </x:c>
      <x:c r="H13" s="24" t="str">
        <x:v>Tier 1</x:v>
      </x:c>
      <x:c r="I13" s="24" t="str">
        <x:v>Hero-king, wild companion, monster guardians, divine conflict, immortality quest.</x:v>
      </x:c>
      <x:c r="J13" s="24" t="str">
        <x:v>Treat adaptations/editions separately when taxonomically material.</x:v>
      </x:c>
      <x:c r="K13" s="84" t="str">
        <x:v>https://en.wikipedia.org/wiki/Epic_of_Gilgamesh</x:v>
      </x:c>
      <x:c r="L13" s="24" t="str">
        <x:v>Included</x:v>
      </x:c>
    </x:row>
    <x:row r="14" ht="42" customHeight="1">
      <x:c r="A14" s="24" t="str">
        <x:v>SRC-013</x:v>
      </x:c>
      <x:c r="B14" s="24" t="str">
        <x:v>Ancient Egyptian Mythology</x:v>
      </x:c>
      <x:c r="C14" s="24" t="str">
        <x:v>Multiple temple and literary traditions</x:v>
      </x:c>
      <x:c r="D14" s="24" t="str">
        <x:v>Mythology / Folklore</x:v>
      </x:c>
      <x:c r="E14" s="24" t="str">
        <x:v>Ancient Egypt</x:v>
      </x:c>
      <x:c r="F14" s="24" t="str">
        <x:v>Pharaonic periods</x:v>
      </x:c>
      <x:c r="G14" s="24" t="str">
        <x:v>Culture-specific corpus</x:v>
      </x:c>
      <x:c r="H14" s="24" t="str">
        <x:v>Tier 2</x:v>
      </x:c>
      <x:c r="I14" s="24" t="str">
        <x:v>Divine kingship, animal-headed gods, afterlife judgment, resurrection, sacred names.</x:v>
      </x:c>
      <x:c r="J14" s="24" t="str">
        <x:v>Treat adaptations/editions separately when taxonomically material.</x:v>
      </x:c>
      <x:c r="K14" s="84" t="str">
        <x:v>https://en.wikipedia.org/wiki/Ancient_Egyptian_Mythology</x:v>
      </x:c>
      <x:c r="L14" s="24" t="str">
        <x:v>Included</x:v>
      </x:c>
    </x:row>
    <x:row r="15" ht="42" customHeight="1">
      <x:c r="A15" s="24" t="str">
        <x:v>SRC-014</x:v>
      </x:c>
      <x:c r="B15" s="24" t="str">
        <x:v>Mahabharata</x:v>
      </x:c>
      <x:c r="C15" s="24" t="str">
        <x:v>Multiple authors and oral traditions</x:v>
      </x:c>
      <x:c r="D15" s="24" t="str">
        <x:v>Epic Literature</x:v>
      </x:c>
      <x:c r="E15" s="24" t="str">
        <x:v>South Asia / India</x:v>
      </x:c>
      <x:c r="F15" s="24" t="str">
        <x:v>c. 400 BCE–400 CE</x:v>
      </x:c>
      <x:c r="G15" s="24" t="str">
        <x:v>Sanskrit epic tradition</x:v>
      </x:c>
      <x:c r="H15" s="24" t="str">
        <x:v>Tier 1</x:v>
      </x:c>
      <x:c r="I15" s="24" t="str">
        <x:v>Divine weapons, warrior castes, avatars, vows, dharma, epic war, cosmic revelation.</x:v>
      </x:c>
      <x:c r="J15" s="24" t="str">
        <x:v>Treat adaptations/editions separately when taxonomically material.</x:v>
      </x:c>
      <x:c r="K15" s="84" t="str">
        <x:v>https://en.wikipedia.org/wiki/Mahabharata</x:v>
      </x:c>
      <x:c r="L15" s="24" t="str">
        <x:v>Included</x:v>
      </x:c>
    </x:row>
    <x:row r="16" ht="42" customHeight="1">
      <x:c r="A16" s="24" t="str">
        <x:v>SRC-015</x:v>
      </x:c>
      <x:c r="B16" s="24" t="str">
        <x:v>Ramayana</x:v>
      </x:c>
      <x:c r="C16" s="24" t="str">
        <x:v>Traditionally attributed to Valmiki; many regional traditions</x:v>
      </x:c>
      <x:c r="D16" s="24" t="str">
        <x:v>Epic Literature</x:v>
      </x:c>
      <x:c r="E16" s="24" t="str">
        <x:v>South and Southeast Asia</x:v>
      </x:c>
      <x:c r="F16" s="24" t="str">
        <x:v>Ancient with later versions</x:v>
      </x:c>
      <x:c r="G16" s="24" t="str">
        <x:v>Multiple regional continuities</x:v>
      </x:c>
      <x:c r="H16" s="24" t="str">
        <x:v>Tier 1</x:v>
      </x:c>
      <x:c r="I16" s="24" t="str">
        <x:v>Divine hero, demon kingdom, monkey and bear allies, sacred weapons, exile and return.</x:v>
      </x:c>
      <x:c r="J16" s="24" t="str">
        <x:v>Treat adaptations/editions separately when taxonomically material.</x:v>
      </x:c>
      <x:c r="K16" s="84" t="str">
        <x:v>https://en.wikipedia.org/wiki/Ramayana</x:v>
      </x:c>
      <x:c r="L16" s="24" t="str">
        <x:v>Included</x:v>
      </x:c>
    </x:row>
    <x:row r="17" ht="42" customHeight="1">
      <x:c r="A17" s="24" t="str">
        <x:v>SRC-016</x:v>
      </x:c>
      <x:c r="B17" s="24" t="str">
        <x:v>Journey to the West</x:v>
      </x:c>
      <x:c r="C17" s="24" t="str">
        <x:v>Wu Cheng'en (traditional attribution)</x:v>
      </x:c>
      <x:c r="D17" s="24" t="str">
        <x:v>Novel / Mythic Fantasy</x:v>
      </x:c>
      <x:c r="E17" s="24" t="str">
        <x:v>China</x:v>
      </x:c>
      <x:c r="F17" s="24" t="str">
        <x:v>16th century</x:v>
      </x:c>
      <x:c r="G17" s="24" t="str">
        <x:v>Chinese novel and adaptations</x:v>
      </x:c>
      <x:c r="H17" s="24" t="str">
        <x:v>Tier 1</x:v>
      </x:c>
      <x:c r="I17" s="24" t="str">
        <x:v>Immortals, demons, shapeshifters, pilgrimage party, cultivation, magical weapons.</x:v>
      </x:c>
      <x:c r="J17" s="24" t="str">
        <x:v>Treat adaptations/editions separately when taxonomically material.</x:v>
      </x:c>
      <x:c r="K17" s="84" t="str">
        <x:v>https://en.wikipedia.org/wiki/Journey_to_the_West</x:v>
      </x:c>
      <x:c r="L17" s="24" t="str">
        <x:v>Included</x:v>
      </x:c>
    </x:row>
    <x:row r="18" ht="42" customHeight="1">
      <x:c r="A18" s="24" t="str">
        <x:v>SRC-017</x:v>
      </x:c>
      <x:c r="B18" s="24" t="str">
        <x:v>Investiture of the Gods</x:v>
      </x:c>
      <x:c r="C18" s="24" t="str">
        <x:v>Xu Zhonglin (traditional attribution)</x:v>
      </x:c>
      <x:c r="D18" s="24" t="str">
        <x:v>Novel / Mythic Fantasy</x:v>
      </x:c>
      <x:c r="E18" s="24" t="str">
        <x:v>China</x:v>
      </x:c>
      <x:c r="F18" s="24" t="str">
        <x:v>16th century</x:v>
      </x:c>
      <x:c r="G18" s="24" t="str">
        <x:v>Chinese novel and adaptations</x:v>
      </x:c>
      <x:c r="H18" s="24" t="str">
        <x:v>Tier 1</x:v>
      </x:c>
      <x:c r="I18" s="24" t="str">
        <x:v>God-making, immortals, sects, talismans, divine weapons, cosmic bureaucracy.</x:v>
      </x:c>
      <x:c r="J18" s="24" t="str">
        <x:v>Treat adaptations/editions separately when taxonomically material.</x:v>
      </x:c>
      <x:c r="K18" s="84" t="str">
        <x:v>https://en.wikipedia.org/wiki/Investiture_of_the_Gods</x:v>
      </x:c>
      <x:c r="L18" s="24" t="str">
        <x:v>Included</x:v>
      </x:c>
    </x:row>
    <x:row r="19" ht="42" customHeight="1">
      <x:c r="A19" s="24" t="str">
        <x:v>SRC-018</x:v>
      </x:c>
      <x:c r="B19" s="24" t="str">
        <x:v>Chinese Xianxia and Cultivation Tradition</x:v>
      </x:c>
      <x:c r="C19" s="24" t="str">
        <x:v>Multiple authors</x:v>
      </x:c>
      <x:c r="D19" s="24" t="str">
        <x:v>Literary / Media Tradition</x:v>
      </x:c>
      <x:c r="E19" s="24" t="str">
        <x:v>China</x:v>
      </x:c>
      <x:c r="F19" s="24" t="str">
        <x:v>20th–21st centuries</x:v>
      </x:c>
      <x:c r="G19" s="24" t="str">
        <x:v>Genre complex</x:v>
      </x:c>
      <x:c r="H19" s="24" t="str">
        <x:v>Tier 1</x:v>
      </x:c>
      <x:c r="I19" s="24" t="str">
        <x:v>Cultivation realms, sects, qi, talismans, alchemy, immortality, heavenly tribulation.</x:v>
      </x:c>
      <x:c r="J19" s="24" t="str">
        <x:v>Treat adaptations/editions separately when taxonomically material.</x:v>
      </x:c>
      <x:c r="K19" s="84" t="str">
        <x:v>https://en.wikipedia.org/wiki/Chinese_Xianxia_and_Cultivation_Tradition</x:v>
      </x:c>
      <x:c r="L19" s="24" t="str">
        <x:v>Included</x:v>
      </x:c>
    </x:row>
    <x:row r="20" ht="42" customHeight="1">
      <x:c r="A20" s="24" t="str">
        <x:v>SRC-019</x:v>
      </x:c>
      <x:c r="B20" s="24" t="str">
        <x:v>Japanese Yōkai and Kami Traditions</x:v>
      </x:c>
      <x:c r="C20" s="24" t="str">
        <x:v>Multiple religious, folkloric, and artistic traditions</x:v>
      </x:c>
      <x:c r="D20" s="24" t="str">
        <x:v>Mythology / Folklore</x:v>
      </x:c>
      <x:c r="E20" s="24" t="str">
        <x:v>Japan</x:v>
      </x:c>
      <x:c r="F20" s="24" t="str">
        <x:v>Premodern to present</x:v>
      </x:c>
      <x:c r="G20" s="24" t="str">
        <x:v>Culture-specific corpus</x:v>
      </x:c>
      <x:c r="H20" s="24" t="str">
        <x:v>Tier 1</x:v>
      </x:c>
      <x:c r="I20" s="24" t="str">
        <x:v>Kami, yōkai, oni, tengu, kitsune, tsukumogami, miko, onmyōji.</x:v>
      </x:c>
      <x:c r="J20" s="24" t="str">
        <x:v>Treat adaptations/editions separately when taxonomically material.</x:v>
      </x:c>
      <x:c r="K20" s="84" t="str">
        <x:v>https://en.wikipedia.org/wiki/Japanese_Y%C5%8Dkai_and_Kami_Traditions</x:v>
      </x:c>
      <x:c r="L20" s="24" t="str">
        <x:v>Included</x:v>
      </x:c>
    </x:row>
    <x:row r="21" ht="42" customHeight="1">
      <x:c r="A21" s="24" t="str">
        <x:v>SRC-020</x:v>
      </x:c>
      <x:c r="B21" s="24" t="str">
        <x:v>Korean Mythology and Folklore</x:v>
      </x:c>
      <x:c r="C21" s="24" t="str">
        <x:v>Multiple regional traditions</x:v>
      </x:c>
      <x:c r="D21" s="24" t="str">
        <x:v>Mythology / Folklore</x:v>
      </x:c>
      <x:c r="E21" s="24" t="str">
        <x:v>Korea</x:v>
      </x:c>
      <x:c r="F21" s="24" t="str">
        <x:v>Premodern to present</x:v>
      </x:c>
      <x:c r="G21" s="24" t="str">
        <x:v>Culture-specific corpus</x:v>
      </x:c>
      <x:c r="H21" s="24" t="str">
        <x:v>Tier 2</x:v>
      </x:c>
      <x:c r="I21" s="24" t="str">
        <x:v>Gumiho, dokkaebi, mountain spirits, shamans, underworld journeys, household beings.</x:v>
      </x:c>
      <x:c r="J21" s="24" t="str">
        <x:v>Treat adaptations/editions separately when taxonomically material.</x:v>
      </x:c>
      <x:c r="K21" s="84" t="str">
        <x:v>https://en.wikipedia.org/wiki/Korean_Mythology_and_Folklore</x:v>
      </x:c>
      <x:c r="L21" s="24" t="str">
        <x:v>Included</x:v>
      </x:c>
    </x:row>
    <x:row r="22" ht="42" customHeight="1">
      <x:c r="A22" s="24" t="str">
        <x:v>SRC-021</x:v>
      </x:c>
      <x:c r="B22" s="24" t="str">
        <x:v>Popol Vuh</x:v>
      </x:c>
      <x:c r="C22" s="24" t="str">
        <x:v>K'iche' Maya authors and traditions</x:v>
      </x:c>
      <x:c r="D22" s="24" t="str">
        <x:v>Epic / Sacred Narrative</x:v>
      </x:c>
      <x:c r="E22" s="24" t="str">
        <x:v>Mesoamerica / K'iche' Maya</x:v>
      </x:c>
      <x:c r="F22" s="24" t="str">
        <x:v>16th-century manuscript of older traditions</x:v>
      </x:c>
      <x:c r="G22" s="24" t="str">
        <x:v>K'iche' Maya text</x:v>
      </x:c>
      <x:c r="H22" s="24" t="str">
        <x:v>Tier 1</x:v>
      </x:c>
      <x:c r="I22" s="24" t="str">
        <x:v>Hero twins, underworld trials, creation, animal helpers, divine transformation.</x:v>
      </x:c>
      <x:c r="J22" s="24" t="str">
        <x:v>Treat adaptations/editions separately when taxonomically material.</x:v>
      </x:c>
      <x:c r="K22" s="84" t="str">
        <x:v>https://en.wikipedia.org/wiki/Popol_Vuh</x:v>
      </x:c>
      <x:c r="L22" s="24" t="str">
        <x:v>Included</x:v>
      </x:c>
    </x:row>
    <x:row r="23" ht="42" customHeight="1">
      <x:c r="A23" s="24" t="str">
        <x:v>SRC-022</x:v>
      </x:c>
      <x:c r="B23" s="24" t="str">
        <x:v>Yorùbá Òrìṣà Traditions</x:v>
      </x:c>
      <x:c r="C23" s="24" t="str">
        <x:v>Multiple oral, religious, and literary traditions</x:v>
      </x:c>
      <x:c r="D23" s="24" t="str">
        <x:v>Mythology / Religion / Folklore</x:v>
      </x:c>
      <x:c r="E23" s="24" t="str">
        <x:v>West Africa / Yorùbá</x:v>
      </x:c>
      <x:c r="F23" s="24" t="str">
        <x:v>Premodern to present</x:v>
      </x:c>
      <x:c r="G23" s="24" t="str">
        <x:v>Culture-specific corpus</x:v>
      </x:c>
      <x:c r="H23" s="24" t="str">
        <x:v>Tier 1</x:v>
      </x:c>
      <x:c r="I23" s="24" t="str">
        <x:v>Òrìṣà, divination, sacred authority, trickster mediation, possession, lineage.</x:v>
      </x:c>
      <x:c r="J23" s="24" t="str">
        <x:v>Treat adaptations/editions separately when taxonomically material.</x:v>
      </x:c>
      <x:c r="K23" s="84" t="str">
        <x:v>https://en.wikipedia.org/wiki/Yor%C3%B9b%C3%A1_%C3%92r%C3%AC%E1%B9%A3%C3%A0_Traditions</x:v>
      </x:c>
      <x:c r="L23" s="24" t="str">
        <x:v>Included</x:v>
      </x:c>
    </x:row>
    <x:row r="24" ht="42" customHeight="1">
      <x:c r="A24" s="24" t="str">
        <x:v>SRC-023</x:v>
      </x:c>
      <x:c r="B24" s="24" t="str">
        <x:v>Sundiata Epic</x:v>
      </x:c>
      <x:c r="C24" s="24" t="str">
        <x:v>Mande oral tradition</x:v>
      </x:c>
      <x:c r="D24" s="24" t="str">
        <x:v>Epic / Oral Literature</x:v>
      </x:c>
      <x:c r="E24" s="24" t="str">
        <x:v>West Africa / Mande</x:v>
      </x:c>
      <x:c r="F24" s="24" t="str">
        <x:v>13th century roots; later recordings</x:v>
      </x:c>
      <x:c r="G24" s="24" t="str">
        <x:v>Multiple performed versions</x:v>
      </x:c>
      <x:c r="H24" s="24" t="str">
        <x:v>Tier 2</x:v>
      </x:c>
      <x:c r="I24" s="24" t="str">
        <x:v>Heroic kingship, griots, hunters, prophecy, exile, sorcery, founding empire.</x:v>
      </x:c>
      <x:c r="J24" s="24" t="str">
        <x:v>Treat adaptations/editions separately when taxonomically material.</x:v>
      </x:c>
      <x:c r="K24" s="84" t="str">
        <x:v>https://en.wikipedia.org/wiki/Sundiata_Epic</x:v>
      </x:c>
      <x:c r="L24" s="24" t="str">
        <x:v>Included</x:v>
      </x:c>
    </x:row>
    <x:row r="25" ht="42" customHeight="1">
      <x:c r="A25" s="24" t="str">
        <x:v>SRC-024</x:v>
      </x:c>
      <x:c r="B25" s="24" t="str">
        <x:v>Māori Mythology</x:v>
      </x:c>
      <x:c r="C25" s="24" t="str">
        <x:v>Māori oral and literary traditions</x:v>
      </x:c>
      <x:c r="D25" s="24" t="str">
        <x:v>Mythology / Folklore</x:v>
      </x:c>
      <x:c r="E25" s="24" t="str">
        <x:v>Aotearoa New Zealand</x:v>
      </x:c>
      <x:c r="F25" s="24" t="str">
        <x:v>Premodern to present</x:v>
      </x:c>
      <x:c r="G25" s="24" t="str">
        <x:v>Culture-specific corpus</x:v>
      </x:c>
      <x:c r="H25" s="24" t="str">
        <x:v>Tier 2</x:v>
      </x:c>
      <x:c r="I25" s="24" t="str">
        <x:v>Culture heroes, atua, taniwha, genealogy, sacred landscape, transformation.</x:v>
      </x:c>
      <x:c r="J25" s="24" t="str">
        <x:v>Treat adaptations/editions separately when taxonomically material.</x:v>
      </x:c>
      <x:c r="K25" s="84" t="str">
        <x:v>https://en.wikipedia.org/wiki/M%C4%81ori_Mythology</x:v>
      </x:c>
      <x:c r="L25" s="24" t="str">
        <x:v>Included</x:v>
      </x:c>
    </x:row>
    <x:row r="26" ht="42" customHeight="1">
      <x:c r="A26" s="24" t="str">
        <x:v>SRC-025</x:v>
      </x:c>
      <x:c r="B26" s="24" t="str">
        <x:v>Polynesian Māui Cycles</x:v>
      </x:c>
      <x:c r="C26" s="24" t="str">
        <x:v>Multiple Polynesian traditions</x:v>
      </x:c>
      <x:c r="D26" s="24" t="str">
        <x:v>Mythology / Folklore</x:v>
      </x:c>
      <x:c r="E26" s="24" t="str">
        <x:v>Polynesia</x:v>
      </x:c>
      <x:c r="F26" s="24" t="str">
        <x:v>Premodern to present</x:v>
      </x:c>
      <x:c r="G26" s="24" t="str">
        <x:v>Culture-specific corpus</x:v>
      </x:c>
      <x:c r="H26" s="24" t="str">
        <x:v>Tier 2</x:v>
      </x:c>
      <x:c r="I26" s="24" t="str">
        <x:v>Trickster culture hero, fishing up islands, transformation, fire, mortality.</x:v>
      </x:c>
      <x:c r="J26" s="24" t="str">
        <x:v>Treat adaptations/editions separately when taxonomically material.</x:v>
      </x:c>
      <x:c r="K26" s="84" t="str">
        <x:v>https://en.wikipedia.org/wiki/Polynesian_M%C4%81ui_Cycles</x:v>
      </x:c>
      <x:c r="L26" s="24" t="str">
        <x:v>Included</x:v>
      </x:c>
    </x:row>
    <x:row r="27" ht="42" customHeight="1">
      <x:c r="A27" s="24" t="str">
        <x:v>SRC-026</x:v>
      </x:c>
      <x:c r="B27" s="24" t="str">
        <x:v>Tolkien's Legendarium</x:v>
      </x:c>
      <x:c r="C27" s="24" t="str">
        <x:v>J. R. R. Tolkien; edited works by Christopher Tolkien</x:v>
      </x:c>
      <x:c r="D27" s="24" t="str">
        <x:v>Literature</x:v>
      </x:c>
      <x:c r="E27" s="24" t="str">
        <x:v>Britain / European philological fantasy</x:v>
      </x:c>
      <x:c r="F27" s="24" t="str">
        <x:v>1937 onward</x:v>
      </x:c>
      <x:c r="G27" s="24" t="str">
        <x:v>The Hobbit, The Lord of the Rings, The Silmarillion, related texts</x:v>
      </x:c>
      <x:c r="H27" s="24" t="str">
        <x:v>Tier 1</x:v>
      </x:c>
      <x:c r="I27" s="24" t="str">
        <x:v>Modern high-fantasy peoples, deep-time mythology, fading magic, linguistic worldbuilding.</x:v>
      </x:c>
      <x:c r="J27" s="24" t="str">
        <x:v>Treat adaptations/editions separately when taxonomically material.</x:v>
      </x:c>
      <x:c r="K27" s="84" t="str">
        <x:v>https://www.tolkienestate.com/writing/</x:v>
      </x:c>
      <x:c r="L27" s="24" t="str">
        <x:v>Included</x:v>
      </x:c>
    </x:row>
    <x:row r="28" ht="42" customHeight="1">
      <x:c r="A28" s="24" t="str">
        <x:v>SRC-027</x:v>
      </x:c>
      <x:c r="B28" s="24" t="str">
        <x:v>Conan the Cimmerian</x:v>
      </x:c>
      <x:c r="C28" s="24" t="str">
        <x:v>Robert E. Howard</x:v>
      </x:c>
      <x:c r="D28" s="24" t="str">
        <x:v>Literature</x:v>
      </x:c>
      <x:c r="E28" s="24" t="str">
        <x:v>United States / sword and sorcery</x:v>
      </x:c>
      <x:c r="F28" s="24" t="str">
        <x:v>1932</x:v>
      </x:c>
      <x:c r="G28" s="24" t="str">
        <x:v>Original stories and later continuities</x:v>
      </x:c>
      <x:c r="H28" s="24" t="str">
        <x:v>Tier 1</x:v>
      </x:c>
      <x:c r="I28" s="24" t="str">
        <x:v>Barbarian hero, decadent civilizations, sorcerers, monsters, low-trust adventure.</x:v>
      </x:c>
      <x:c r="J28" s="24" t="str">
        <x:v>Treat adaptations/editions separately when taxonomically material.</x:v>
      </x:c>
      <x:c r="K28" s="84" t="str">
        <x:v>https://en.wikipedia.org/wiki/Conan_the_Cimmerian</x:v>
      </x:c>
      <x:c r="L28" s="24" t="str">
        <x:v>Included</x:v>
      </x:c>
    </x:row>
    <x:row r="29" ht="42" customHeight="1">
      <x:c r="A29" s="24" t="str">
        <x:v>SRC-028</x:v>
      </x:c>
      <x:c r="B29" s="24" t="str">
        <x:v>Fafhrd and the Gray Mouser</x:v>
      </x:c>
      <x:c r="C29" s="24" t="str">
        <x:v>Fritz Leiber</x:v>
      </x:c>
      <x:c r="D29" s="24" t="str">
        <x:v>Literature</x:v>
      </x:c>
      <x:c r="E29" s="24" t="str">
        <x:v>United States / sword and sorcery</x:v>
      </x:c>
      <x:c r="F29" s="24" t="str">
        <x:v>1939</x:v>
      </x:c>
      <x:c r="G29" s="24" t="str">
        <x:v>Nehwon stories</x:v>
      </x:c>
      <x:c r="H29" s="24" t="str">
        <x:v>Tier 1</x:v>
      </x:c>
      <x:c r="I29" s="24" t="str">
        <x:v>Warrior–rogue duo, urban fantasy city, thieves, weird sorcery, episodic adventure.</x:v>
      </x:c>
      <x:c r="J29" s="24" t="str">
        <x:v>Treat adaptations/editions separately when taxonomically material.</x:v>
      </x:c>
      <x:c r="K29" s="84" t="str">
        <x:v>https://en.wikipedia.org/wiki/Fafhrd_and_the_Gray_Mouser</x:v>
      </x:c>
      <x:c r="L29" s="24" t="str">
        <x:v>Included</x:v>
      </x:c>
    </x:row>
    <x:row r="30" ht="42" customHeight="1">
      <x:c r="A30" s="24" t="str">
        <x:v>SRC-029</x:v>
      </x:c>
      <x:c r="B30" s="24" t="str">
        <x:v>The Dying Earth</x:v>
      </x:c>
      <x:c r="C30" s="24" t="str">
        <x:v>Jack Vance</x:v>
      </x:c>
      <x:c r="D30" s="24" t="str">
        <x:v>Literature</x:v>
      </x:c>
      <x:c r="E30" s="24" t="str">
        <x:v>United States / science fantasy</x:v>
      </x:c>
      <x:c r="F30" s="24" t="str">
        <x:v>1950</x:v>
      </x:c>
      <x:c r="G30" s="24" t="str">
        <x:v>Dying Earth sequence</x:v>
      </x:c>
      <x:c r="H30" s="24" t="str">
        <x:v>Tier 1</x:v>
      </x:c>
      <x:c r="I30" s="24" t="str">
        <x:v>Vancian magic, far-future decadence, strange peoples, picaresque sorcerers.</x:v>
      </x:c>
      <x:c r="J30" s="24" t="str">
        <x:v>Treat adaptations/editions separately when taxonomically material.</x:v>
      </x:c>
      <x:c r="K30" s="84" t="str">
        <x:v>https://en.wikipedia.org/wiki/The_Dying_Earth</x:v>
      </x:c>
      <x:c r="L30" s="24" t="str">
        <x:v>Included</x:v>
      </x:c>
    </x:row>
    <x:row r="31" ht="42" customHeight="1">
      <x:c r="A31" s="24" t="str">
        <x:v>SRC-030</x:v>
      </x:c>
      <x:c r="B31" s="24" t="str">
        <x:v>The Chronicles of Narnia</x:v>
      </x:c>
      <x:c r="C31" s="24" t="str">
        <x:v>C. S. Lewis</x:v>
      </x:c>
      <x:c r="D31" s="24" t="str">
        <x:v>Literature</x:v>
      </x:c>
      <x:c r="E31" s="24" t="str">
        <x:v>Britain</x:v>
      </x:c>
      <x:c r="F31" s="24" t="str">
        <x:v>1950</x:v>
      </x:c>
      <x:c r="G31" s="24" t="str">
        <x:v>Seven-novel series</x:v>
      </x:c>
      <x:c r="H31" s="24" t="str">
        <x:v>Tier 1</x:v>
      </x:c>
      <x:c r="I31" s="24" t="str">
        <x:v>Portal fantasy, talking animals, fauns, divine lion, mythic syncretism, chosen children.</x:v>
      </x:c>
      <x:c r="J31" s="24" t="str">
        <x:v>Treat adaptations/editions separately when taxonomically material.</x:v>
      </x:c>
      <x:c r="K31" s="84" t="str">
        <x:v>https://en.wikipedia.org/wiki/The_Chronicles_of_Narnia</x:v>
      </x:c>
      <x:c r="L31" s="24" t="str">
        <x:v>Included</x:v>
      </x:c>
    </x:row>
    <x:row r="32" ht="42" customHeight="1">
      <x:c r="A32" s="24" t="str">
        <x:v>SRC-031</x:v>
      </x:c>
      <x:c r="B32" s="24" t="str">
        <x:v>The Lord of the Rings</x:v>
      </x:c>
      <x:c r="C32" s="24" t="str">
        <x:v>J. R. R. Tolkien</x:v>
      </x:c>
      <x:c r="D32" s="24" t="str">
        <x:v>Literature</x:v>
      </x:c>
      <x:c r="E32" s="24" t="str">
        <x:v>Britain</x:v>
      </x:c>
      <x:c r="F32" s="24" t="str">
        <x:v>1954–1955</x:v>
      </x:c>
      <x:c r="G32" s="24" t="str">
        <x:v>Novel; adaptations tracked separately</x:v>
      </x:c>
      <x:c r="H32" s="24" t="str">
        <x:v>Tier 1</x:v>
      </x:c>
      <x:c r="I32" s="24" t="str">
        <x:v>Fellowship quest, artifact destruction, peoples and cultures, dark lord, returning king.</x:v>
      </x:c>
      <x:c r="J32" s="24" t="str">
        <x:v>Treat adaptations/editions separately when taxonomically material.</x:v>
      </x:c>
      <x:c r="K32" s="84" t="str">
        <x:v>https://www.tolkienestate.com/writing/j-r-r-tolkien/the-lord-of-the-rings/</x:v>
      </x:c>
      <x:c r="L32" s="24" t="str">
        <x:v>Included</x:v>
      </x:c>
    </x:row>
    <x:row r="33" ht="42" customHeight="1">
      <x:c r="A33" s="24" t="str">
        <x:v>SRC-032</x:v>
      </x:c>
      <x:c r="B33" s="24" t="str">
        <x:v>Gormenghast</x:v>
      </x:c>
      <x:c r="C33" s="24" t="str">
        <x:v>Mervyn Peake</x:v>
      </x:c>
      <x:c r="D33" s="24" t="str">
        <x:v>Literature</x:v>
      </x:c>
      <x:c r="E33" s="24" t="str">
        <x:v>Britain</x:v>
      </x:c>
      <x:c r="F33" s="24" t="str">
        <x:v>1946–1959</x:v>
      </x:c>
      <x:c r="G33" s="24" t="str">
        <x:v>Gormenghast novels</x:v>
      </x:c>
      <x:c r="H33" s="24" t="str">
        <x:v>Tier 2</x:v>
      </x:c>
      <x:c r="I33" s="24" t="str">
        <x:v>Ritualized castle society, grotesque offices, anti-quest fantasy, institutional identity.</x:v>
      </x:c>
      <x:c r="J33" s="24" t="str">
        <x:v>Treat adaptations/editions separately when taxonomically material.</x:v>
      </x:c>
      <x:c r="K33" s="84" t="str">
        <x:v>https://en.wikipedia.org/wiki/Gormenghast</x:v>
      </x:c>
      <x:c r="L33" s="24" t="str">
        <x:v>Included</x:v>
      </x:c>
    </x:row>
    <x:row r="34" ht="42" customHeight="1">
      <x:c r="A34" s="24" t="str">
        <x:v>SRC-033</x:v>
      </x:c>
      <x:c r="B34" s="24" t="str">
        <x:v>The Once and Future King</x:v>
      </x:c>
      <x:c r="C34" s="24" t="str">
        <x:v>T. H. White</x:v>
      </x:c>
      <x:c r="D34" s="24" t="str">
        <x:v>Literature</x:v>
      </x:c>
      <x:c r="E34" s="24" t="str">
        <x:v>Britain</x:v>
      </x:c>
      <x:c r="F34" s="24" t="str">
        <x:v>1938–1958</x:v>
      </x:c>
      <x:c r="G34" s="24" t="str">
        <x:v>Arthurian novel cycle</x:v>
      </x:c>
      <x:c r="H34" s="24" t="str">
        <x:v>Tier 1</x:v>
      </x:c>
      <x:c r="I34" s="24" t="str">
        <x:v>Wizard mentor, transformed education, chivalry, kingship, tragic round table.</x:v>
      </x:c>
      <x:c r="J34" s="24" t="str">
        <x:v>Treat adaptations/editions separately when taxonomically material.</x:v>
      </x:c>
      <x:c r="K34" s="84" t="str">
        <x:v>https://en.wikipedia.org/wiki/The_Once_and_Future_King</x:v>
      </x:c>
      <x:c r="L34" s="24" t="str">
        <x:v>Included</x:v>
      </x:c>
    </x:row>
    <x:row r="35" ht="42" customHeight="1">
      <x:c r="A35" s="24" t="str">
        <x:v>SRC-034</x:v>
      </x:c>
      <x:c r="B35" s="24" t="str">
        <x:v>The Chronicles of Prydain</x:v>
      </x:c>
      <x:c r="C35" s="24" t="str">
        <x:v>Lloyd Alexander</x:v>
      </x:c>
      <x:c r="D35" s="24" t="str">
        <x:v>Literature</x:v>
      </x:c>
      <x:c r="E35" s="24" t="str">
        <x:v>United States / Welsh-inspired fantasy</x:v>
      </x:c>
      <x:c r="F35" s="24" t="str">
        <x:v>1964</x:v>
      </x:c>
      <x:c r="G35" s="24" t="str">
        <x:v>Five novels and related stories</x:v>
      </x:c>
      <x:c r="H35" s="24" t="str">
        <x:v>Tier 2</x:v>
      </x:c>
      <x:c r="I35" s="24" t="str">
        <x:v>Assistant pig-keeper hero, bard, princess, deathless cauldron-born, Welsh myth adaptation.</x:v>
      </x:c>
      <x:c r="J35" s="24" t="str">
        <x:v>Treat adaptations/editions separately when taxonomically material.</x:v>
      </x:c>
      <x:c r="K35" s="84" t="str">
        <x:v>https://en.wikipedia.org/wiki/The_Chronicles_of_Prydain</x:v>
      </x:c>
      <x:c r="L35" s="24" t="str">
        <x:v>Included</x:v>
      </x:c>
    </x:row>
    <x:row r="36" ht="42" customHeight="1">
      <x:c r="A36" s="24" t="str">
        <x:v>SRC-035</x:v>
      </x:c>
      <x:c r="B36" s="24" t="str">
        <x:v>Earthsea</x:v>
      </x:c>
      <x:c r="C36" s="24" t="str">
        <x:v>Ursula K. Le Guin</x:v>
      </x:c>
      <x:c r="D36" s="24" t="str">
        <x:v>Literature</x:v>
      </x:c>
      <x:c r="E36" s="24" t="str">
        <x:v>United States</x:v>
      </x:c>
      <x:c r="F36" s="24" t="str">
        <x:v>1968</x:v>
      </x:c>
      <x:c r="G36" s="24" t="str">
        <x:v>Earthsea cycle</x:v>
      </x:c>
      <x:c r="H36" s="24" t="str">
        <x:v>Tier 1</x:v>
      </x:c>
      <x:c r="I36" s="24" t="str">
        <x:v>True names, wizard schools, balance, shadow self, archipelagic cultures, dragons.</x:v>
      </x:c>
      <x:c r="J36" s="24" t="str">
        <x:v>Treat adaptations/editions separately when taxonomically material.</x:v>
      </x:c>
      <x:c r="K36" s="84" t="str">
        <x:v>https://en.wikipedia.org/wiki/Earthsea</x:v>
      </x:c>
      <x:c r="L36" s="24" t="str">
        <x:v>Included</x:v>
      </x:c>
    </x:row>
    <x:row r="37" ht="42" customHeight="1">
      <x:c r="A37" s="24" t="str">
        <x:v>SRC-036</x:v>
      </x:c>
      <x:c r="B37" s="24" t="str">
        <x:v>Elric of Melniboné</x:v>
      </x:c>
      <x:c r="C37" s="24" t="str">
        <x:v>Michael Moorcock</x:v>
      </x:c>
      <x:c r="D37" s="24" t="str">
        <x:v>Literature</x:v>
      </x:c>
      <x:c r="E37" s="24" t="str">
        <x:v>Britain / sword and sorcery</x:v>
      </x:c>
      <x:c r="F37" s="24" t="str">
        <x:v>1961</x:v>
      </x:c>
      <x:c r="G37" s="24" t="str">
        <x:v>Elric sequence and Eternal Champion multiverse</x:v>
      </x:c>
      <x:c r="H37" s="24" t="str">
        <x:v>Tier 1</x:v>
      </x:c>
      <x:c r="I37" s="24" t="str">
        <x:v>Doomed sorcerer-emperor, living sword, chaos/order cosmology, antihero.</x:v>
      </x:c>
      <x:c r="J37" s="24" t="str">
        <x:v>Treat adaptations/editions separately when taxonomically material.</x:v>
      </x:c>
      <x:c r="K37" s="84" t="str">
        <x:v>https://en.wikipedia.org/wiki/Elric_of_Melnibon%C3%A9</x:v>
      </x:c>
      <x:c r="L37" s="24" t="str">
        <x:v>Included</x:v>
      </x:c>
    </x:row>
    <x:row r="38" ht="42" customHeight="1">
      <x:c r="A38" s="24" t="str">
        <x:v>SRC-037</x:v>
      </x:c>
      <x:c r="B38" s="24" t="str">
        <x:v>The Last Unicorn</x:v>
      </x:c>
      <x:c r="C38" s="24" t="str">
        <x:v>Peter S. Beagle</x:v>
      </x:c>
      <x:c r="D38" s="24" t="str">
        <x:v>Literature</x:v>
      </x:c>
      <x:c r="E38" s="24" t="str">
        <x:v>United States</x:v>
      </x:c>
      <x:c r="F38" s="24" t="str">
        <x:v>1968</x:v>
      </x:c>
      <x:c r="G38" s="24" t="str">
        <x:v>Novel and adaptations</x:v>
      </x:c>
      <x:c r="H38" s="24" t="str">
        <x:v>Tier 2</x:v>
      </x:c>
      <x:c r="I38" s="24" t="str">
        <x:v>Last-of-kind quest, unicorn ontology, transformation, melancholic fairy tale.</x:v>
      </x:c>
      <x:c r="J38" s="24" t="str">
        <x:v>Treat adaptations/editions separately when taxonomically material.</x:v>
      </x:c>
      <x:c r="K38" s="84" t="str">
        <x:v>https://en.wikipedia.org/wiki/The_Last_Unicorn</x:v>
      </x:c>
      <x:c r="L38" s="24" t="str">
        <x:v>Included</x:v>
      </x:c>
    </x:row>
    <x:row r="39" ht="42" customHeight="1">
      <x:c r="A39" s="24" t="str">
        <x:v>SRC-038</x:v>
      </x:c>
      <x:c r="B39" s="24" t="str">
        <x:v>Dragonriders of Pern</x:v>
      </x:c>
      <x:c r="C39" s="24" t="str">
        <x:v>Anne McCaffrey</x:v>
      </x:c>
      <x:c r="D39" s="24" t="str">
        <x:v>Literature</x:v>
      </x:c>
      <x:c r="E39" s="24" t="str">
        <x:v>United States / Ireland / science fantasy</x:v>
      </x:c>
      <x:c r="F39" s="24" t="str">
        <x:v>1967</x:v>
      </x:c>
      <x:c r="G39" s="24" t="str">
        <x:v>Pern series</x:v>
      </x:c>
      <x:c r="H39" s="24" t="str">
        <x:v>Tier 2</x:v>
      </x:c>
      <x:c r="I39" s="24" t="str">
        <x:v>Dragon bonding, rider caste, hereditary roles, science-fantasy reinterpretation.</x:v>
      </x:c>
      <x:c r="J39" s="24" t="str">
        <x:v>Treat adaptations/editions separately when taxonomically material.</x:v>
      </x:c>
      <x:c r="K39" s="84" t="str">
        <x:v>https://en.wikipedia.org/wiki/Dragonriders_of_Pern</x:v>
      </x:c>
      <x:c r="L39" s="24" t="str">
        <x:v>Included</x:v>
      </x:c>
    </x:row>
    <x:row r="40" ht="42" customHeight="1">
      <x:c r="A40" s="24" t="str">
        <x:v>SRC-039</x:v>
      </x:c>
      <x:c r="B40" s="24" t="str">
        <x:v>The Chronicles of Amber</x:v>
      </x:c>
      <x:c r="C40" s="24" t="str">
        <x:v>Roger Zelazny</x:v>
      </x:c>
      <x:c r="D40" s="24" t="str">
        <x:v>Literature</x:v>
      </x:c>
      <x:c r="E40" s="24" t="str">
        <x:v>United States</x:v>
      </x:c>
      <x:c r="F40" s="24" t="str">
        <x:v>1970</x:v>
      </x:c>
      <x:c r="G40" s="24" t="str">
        <x:v>Amber series</x:v>
      </x:c>
      <x:c r="H40" s="24" t="str">
        <x:v>Tier 2</x:v>
      </x:c>
      <x:c r="I40" s="24" t="str">
        <x:v>Shadow worlds, divine family, reality walking, dynastic intrigue, ambiguous immortals.</x:v>
      </x:c>
      <x:c r="J40" s="24" t="str">
        <x:v>Treat adaptations/editions separately when taxonomically material.</x:v>
      </x:c>
      <x:c r="K40" s="84" t="str">
        <x:v>https://en.wikipedia.org/wiki/The_Chronicles_of_Amber</x:v>
      </x:c>
      <x:c r="L40" s="24" t="str">
        <x:v>Included</x:v>
      </x:c>
    </x:row>
    <x:row r="41" ht="42" customHeight="1">
      <x:c r="A41" s="24" t="str">
        <x:v>SRC-040</x:v>
      </x:c>
      <x:c r="B41" s="24" t="str">
        <x:v>The Black Company</x:v>
      </x:c>
      <x:c r="C41" s="24" t="str">
        <x:v>Glen Cook</x:v>
      </x:c>
      <x:c r="D41" s="24" t="str">
        <x:v>Literature</x:v>
      </x:c>
      <x:c r="E41" s="24" t="str">
        <x:v>United States / military fantasy</x:v>
      </x:c>
      <x:c r="F41" s="24" t="str">
        <x:v>1984</x:v>
      </x:c>
      <x:c r="G41" s="24" t="str">
        <x:v>Black Company series</x:v>
      </x:c>
      <x:c r="H41" s="24" t="str">
        <x:v>Tier 1</x:v>
      </x:c>
      <x:c r="I41" s="24" t="str">
        <x:v>Mercenary company, soldier viewpoint, dark sorcerers, moral ambiguity, chronicler.</x:v>
      </x:c>
      <x:c r="J41" s="24" t="str">
        <x:v>Treat adaptations/editions separately when taxonomically material.</x:v>
      </x:c>
      <x:c r="K41" s="84" t="str">
        <x:v>https://en.wikipedia.org/wiki/The_Black_Company</x:v>
      </x:c>
      <x:c r="L41" s="24" t="str">
        <x:v>Included</x:v>
      </x:c>
    </x:row>
    <x:row r="42" ht="42" customHeight="1">
      <x:c r="A42" s="24" t="str">
        <x:v>SRC-041</x:v>
      </x:c>
      <x:c r="B42" s="24" t="str">
        <x:v>Riftwar Cycle</x:v>
      </x:c>
      <x:c r="C42" s="24" t="str">
        <x:v>Raymond E. Feist</x:v>
      </x:c>
      <x:c r="D42" s="24" t="str">
        <x:v>Literature</x:v>
      </x:c>
      <x:c r="E42" s="24" t="str">
        <x:v>United States</x:v>
      </x:c>
      <x:c r="F42" s="24" t="str">
        <x:v>1982</x:v>
      </x:c>
      <x:c r="G42" s="24" t="str">
        <x:v>Multiple Midkemia series</x:v>
      </x:c>
      <x:c r="H42" s="24" t="str">
        <x:v>Tier 2</x:v>
      </x:c>
      <x:c r="I42" s="24" t="str">
        <x:v>Interworld invasion, magic schools, kingdoms, elves/dwarves, long-form shared history.</x:v>
      </x:c>
      <x:c r="J42" s="24" t="str">
        <x:v>Treat adaptations/editions separately when taxonomically material.</x:v>
      </x:c>
      <x:c r="K42" s="84" t="str">
        <x:v>https://en.wikipedia.org/wiki/Riftwar_Cycle</x:v>
      </x:c>
      <x:c r="L42" s="24" t="str">
        <x:v>Included</x:v>
      </x:c>
    </x:row>
    <x:row r="43" ht="42" customHeight="1">
      <x:c r="A43" s="24" t="str">
        <x:v>SRC-042</x:v>
      </x:c>
      <x:c r="B43" s="24" t="str">
        <x:v>Discworld</x:v>
      </x:c>
      <x:c r="C43" s="24" t="str">
        <x:v>Terry Pratchett</x:v>
      </x:c>
      <x:c r="D43" s="24" t="str">
        <x:v>Literature</x:v>
      </x:c>
      <x:c r="E43" s="24" t="str">
        <x:v>Britain</x:v>
      </x:c>
      <x:c r="F43" s="24" t="str">
        <x:v>1983</x:v>
      </x:c>
      <x:c r="G43" s="24" t="str">
        <x:v>Forty-one novels and related works</x:v>
      </x:c>
      <x:c r="H43" s="24" t="str">
        <x:v>Tier 1</x:v>
      </x:c>
      <x:c r="I43" s="24" t="str">
        <x:v>Parody and reconstruction of classes, races, institutions, Death, witches, city watch.</x:v>
      </x:c>
      <x:c r="J43" s="24" t="str">
        <x:v>Treat adaptations/editions separately when taxonomically material.</x:v>
      </x:c>
      <x:c r="K43" s="84" t="str">
        <x:v>https://en.wikipedia.org/wiki/Discworld</x:v>
      </x:c>
      <x:c r="L43" s="24" t="str">
        <x:v>Included</x:v>
      </x:c>
    </x:row>
    <x:row r="44" ht="42" customHeight="1">
      <x:c r="A44" s="24" t="str">
        <x:v>SRC-043</x:v>
      </x:c>
      <x:c r="B44" s="24" t="str">
        <x:v>Memory, Sorrow, and Thorn</x:v>
      </x:c>
      <x:c r="C44" s="24" t="str">
        <x:v>Tad Williams</x:v>
      </x:c>
      <x:c r="D44" s="24" t="str">
        <x:v>Literature</x:v>
      </x:c>
      <x:c r="E44" s="24" t="str">
        <x:v>United States</x:v>
      </x:c>
      <x:c r="F44" s="24" t="str">
        <x:v>1988</x:v>
      </x:c>
      <x:c r="G44" s="24" t="str">
        <x:v>Osten Ard series</x:v>
      </x:c>
      <x:c r="H44" s="24" t="str">
        <x:v>Tier 1</x:v>
      </x:c>
      <x:c r="I44" s="24" t="str">
        <x:v>Post-Tolkien high fantasy, ancient immortal people, kitchen-boy hero, historical memory.</x:v>
      </x:c>
      <x:c r="J44" s="24" t="str">
        <x:v>Treat adaptations/editions separately when taxonomically material.</x:v>
      </x:c>
      <x:c r="K44" s="84" t="str">
        <x:v>https://en.wikipedia.org/wiki/Memory,_Sorrow,_and_Thorn</x:v>
      </x:c>
      <x:c r="L44" s="24" t="str">
        <x:v>Included</x:v>
      </x:c>
    </x:row>
    <x:row r="45" ht="42" customHeight="1">
      <x:c r="A45" s="24" t="str">
        <x:v>SRC-044</x:v>
      </x:c>
      <x:c r="B45" s="24" t="str">
        <x:v>The Wheel of Time</x:v>
      </x:c>
      <x:c r="C45" s="24" t="str">
        <x:v>Robert Jordan; completed by Brandon Sanderson</x:v>
      </x:c>
      <x:c r="D45" s="24" t="str">
        <x:v>Literature</x:v>
      </x:c>
      <x:c r="E45" s="24" t="str">
        <x:v>United States</x:v>
      </x:c>
      <x:c r="F45" s="24" t="str">
        <x:v>1990</x:v>
      </x:c>
      <x:c r="G45" s="24" t="str">
        <x:v>Fourteen novels and prequel</x:v>
      </x:c>
      <x:c r="H45" s="24" t="str">
        <x:v>Tier 1</x:v>
      </x:c>
      <x:c r="I45" s="24" t="str">
        <x:v>Gendered magic institution, reincarnated champion, cyclical ages, cultures, shadowspawn.</x:v>
      </x:c>
      <x:c r="J45" s="24" t="str">
        <x:v>Treat adaptations/editions separately when taxonomically material.</x:v>
      </x:c>
      <x:c r="K45" s="84" t="str">
        <x:v>https://en.wikipedia.org/wiki/The_Wheel_of_Time</x:v>
      </x:c>
      <x:c r="L45" s="24" t="str">
        <x:v>Included</x:v>
      </x:c>
    </x:row>
    <x:row r="46" ht="42" customHeight="1">
      <x:c r="A46" s="24" t="str">
        <x:v>SRC-045</x:v>
      </x:c>
      <x:c r="B46" s="24" t="str">
        <x:v>Realm of the Elderlings</x:v>
      </x:c>
      <x:c r="C46" s="24" t="str">
        <x:v>Robin Hobb</x:v>
      </x:c>
      <x:c r="D46" s="24" t="str">
        <x:v>Literature</x:v>
      </x:c>
      <x:c r="E46" s="24" t="str">
        <x:v>United States</x:v>
      </x:c>
      <x:c r="F46" s="24" t="str">
        <x:v>1995</x:v>
      </x:c>
      <x:c r="G46" s="24" t="str">
        <x:v>Linked novel sequences</x:v>
      </x:c>
      <x:c r="H46" s="24" t="str">
        <x:v>Tier 1</x:v>
      </x:c>
      <x:c r="I46" s="24" t="str">
        <x:v>Animal bonds, hereditary magic, dragons, assassins, court roles, identity and trauma.</x:v>
      </x:c>
      <x:c r="J46" s="24" t="str">
        <x:v>Treat adaptations/editions separately when taxonomically material.</x:v>
      </x:c>
      <x:c r="K46" s="84" t="str">
        <x:v>https://en.wikipedia.org/wiki/Realm_of_the_Elderlings</x:v>
      </x:c>
      <x:c r="L46" s="24" t="str">
        <x:v>Included</x:v>
      </x:c>
    </x:row>
    <x:row r="47" ht="42" customHeight="1">
      <x:c r="A47" s="24" t="str">
        <x:v>SRC-046</x:v>
      </x:c>
      <x:c r="B47" s="24" t="str">
        <x:v>A Song of Ice and Fire</x:v>
      </x:c>
      <x:c r="C47" s="24" t="str">
        <x:v>George R. R. Martin</x:v>
      </x:c>
      <x:c r="D47" s="24" t="str">
        <x:v>Literature</x:v>
      </x:c>
      <x:c r="E47" s="24" t="str">
        <x:v>United States</x:v>
      </x:c>
      <x:c r="F47" s="24" t="str">
        <x:v>1996</x:v>
      </x:c>
      <x:c r="G47" s="24" t="str">
        <x:v>Novel series and related worldbooks</x:v>
      </x:c>
      <x:c r="H47" s="24" t="str">
        <x:v>Tier 1</x:v>
      </x:c>
      <x:c r="I47" s="24" t="str">
        <x:v>Low-magic political fantasy, orders and offices, skinchanging, dragons, undead threat.</x:v>
      </x:c>
      <x:c r="J47" s="24" t="str">
        <x:v>Treat adaptations/editions separately when taxonomically material.</x:v>
      </x:c>
      <x:c r="K47" s="84" t="str">
        <x:v>https://georgerrmartin.com/all-books/cover-gallery/a-song-of-ice-and-fire/</x:v>
      </x:c>
      <x:c r="L47" s="24" t="str">
        <x:v>Included</x:v>
      </x:c>
    </x:row>
    <x:row r="48" ht="42" customHeight="1">
      <x:c r="A48" s="24" t="str">
        <x:v>SRC-047</x:v>
      </x:c>
      <x:c r="B48" s="24" t="str">
        <x:v>The Witcher</x:v>
      </x:c>
      <x:c r="C48" s="24" t="str">
        <x:v>Andrzej Sapkowski</x:v>
      </x:c>
      <x:c r="D48" s="24" t="str">
        <x:v>Literature</x:v>
      </x:c>
      <x:c r="E48" s="24" t="str">
        <x:v>Poland / Central European fantasy</x:v>
      </x:c>
      <x:c r="F48" s="24" t="str">
        <x:v>1986</x:v>
      </x:c>
      <x:c r="G48" s="24" t="str">
        <x:v>Short stories and novels; games and screen tracked separately</x:v>
      </x:c>
      <x:c r="H48" s="24" t="str">
        <x:v>Tier 1</x:v>
      </x:c>
      <x:c r="I48" s="24" t="str">
        <x:v>Witcher profession, mutations, monster folklore, elves/dwarves, sorcerers, moral ambiguity.</x:v>
      </x:c>
      <x:c r="J48" s="24" t="str">
        <x:v>Treat adaptations/editions separately when taxonomically material.</x:v>
      </x:c>
      <x:c r="K48" s="84" t="str">
        <x:v>https://www.andrzejsapkowski.pl/</x:v>
      </x:c>
      <x:c r="L48" s="24" t="str">
        <x:v>Included</x:v>
      </x:c>
    </x:row>
    <x:row r="49" ht="42" customHeight="1">
      <x:c r="A49" s="24" t="str">
        <x:v>SRC-048</x:v>
      </x:c>
      <x:c r="B49" s="24" t="str">
        <x:v>Malazan Book of the Fallen</x:v>
      </x:c>
      <x:c r="C49" s="24" t="str">
        <x:v>Steven Erikson</x:v>
      </x:c>
      <x:c r="D49" s="24" t="str">
        <x:v>Literature</x:v>
      </x:c>
      <x:c r="E49" s="24" t="str">
        <x:v>Canada</x:v>
      </x:c>
      <x:c r="F49" s="24" t="str">
        <x:v>1999</x:v>
      </x:c>
      <x:c r="G49" s="24" t="str">
        <x:v>Malazan novels and related series</x:v>
      </x:c>
      <x:c r="H49" s="24" t="str">
        <x:v>Tier 1</x:v>
      </x:c>
      <x:c r="I49" s="24" t="str">
        <x:v>Ascendants, gods, elder races, military units, warrens, shapeshifters, vast cosmology.</x:v>
      </x:c>
      <x:c r="J49" s="24" t="str">
        <x:v>Treat adaptations/editions separately when taxonomically material.</x:v>
      </x:c>
      <x:c r="K49" s="84" t="str">
        <x:v>https://en.wikipedia.org/wiki/Malazan_Book_of_the_Fallen</x:v>
      </x:c>
      <x:c r="L49" s="24" t="str">
        <x:v>Included</x:v>
      </x:c>
    </x:row>
    <x:row r="50" ht="42" customHeight="1">
      <x:c r="A50" s="24" t="str">
        <x:v>SRC-049</x:v>
      </x:c>
      <x:c r="B50" s="24" t="str">
        <x:v>His Dark Materials</x:v>
      </x:c>
      <x:c r="C50" s="24" t="str">
        <x:v>Philip Pullman</x:v>
      </x:c>
      <x:c r="D50" s="24" t="str">
        <x:v>Literature</x:v>
      </x:c>
      <x:c r="E50" s="24" t="str">
        <x:v>Britain</x:v>
      </x:c>
      <x:c r="F50" s="24" t="str">
        <x:v>1995</x:v>
      </x:c>
      <x:c r="G50" s="24" t="str">
        <x:v>Trilogy and Book of Dust sequence</x:v>
      </x:c>
      <x:c r="H50" s="24" t="str">
        <x:v>Tier 2</x:v>
      </x:c>
      <x:c r="I50" s="24" t="str">
        <x:v>Dæmon companions, multiverse, armored bears, angels, church power, soul ontology.</x:v>
      </x:c>
      <x:c r="J50" s="24" t="str">
        <x:v>Treat adaptations/editions separately when taxonomically material.</x:v>
      </x:c>
      <x:c r="K50" s="84" t="str">
        <x:v>https://en.wikipedia.org/wiki/His_Dark_Materials</x:v>
      </x:c>
      <x:c r="L50" s="24" t="str">
        <x:v>Included</x:v>
      </x:c>
    </x:row>
    <x:row r="51" ht="42" customHeight="1">
      <x:c r="A51" s="24" t="str">
        <x:v>SRC-050</x:v>
      </x:c>
      <x:c r="B51" s="24" t="str">
        <x:v>Bas-Lag</x:v>
      </x:c>
      <x:c r="C51" s="24" t="str">
        <x:v>China Miéville</x:v>
      </x:c>
      <x:c r="D51" s="24" t="str">
        <x:v>Literature</x:v>
      </x:c>
      <x:c r="E51" s="24" t="str">
        <x:v>Britain / New Weird</x:v>
      </x:c>
      <x:c r="F51" s="24" t="str">
        <x:v>2000</x:v>
      </x:c>
      <x:c r="G51" s="24" t="str">
        <x:v>Perdido Street Station and related novels</x:v>
      </x:c>
      <x:c r="H51" s="24" t="str">
        <x:v>Tier 1</x:v>
      </x:c>
      <x:c r="I51" s="24" t="str">
        <x:v>Hybrid peoples, remaking, industrial magic, city factions, weird ecology.</x:v>
      </x:c>
      <x:c r="J51" s="24" t="str">
        <x:v>Treat adaptations/editions separately when taxonomically material.</x:v>
      </x:c>
      <x:c r="K51" s="84" t="str">
        <x:v>https://en.wikipedia.org/wiki/Bas-Lag</x:v>
      </x:c>
      <x:c r="L51" s="24" t="str">
        <x:v>Included</x:v>
      </x:c>
    </x:row>
    <x:row r="52" ht="42" customHeight="1">
      <x:c r="A52" s="24" t="str">
        <x:v>SRC-051</x:v>
      </x:c>
      <x:c r="B52" s="24" t="str">
        <x:v>The First Law</x:v>
      </x:c>
      <x:c r="C52" s="24" t="str">
        <x:v>Joe Abercrombie</x:v>
      </x:c>
      <x:c r="D52" s="24" t="str">
        <x:v>Literature</x:v>
      </x:c>
      <x:c r="E52" s="24" t="str">
        <x:v>Britain</x:v>
      </x:c>
      <x:c r="F52" s="24" t="str">
        <x:v>2006</x:v>
      </x:c>
      <x:c r="G52" s="24" t="str">
        <x:v>First Law world novels</x:v>
      </x:c>
      <x:c r="H52" s="24" t="str">
        <x:v>Tier 1</x:v>
      </x:c>
      <x:c r="I52" s="24" t="str">
        <x:v>Deconstructed warrior roles, political violence, limited magic, Northmen, institutions.</x:v>
      </x:c>
      <x:c r="J52" s="24" t="str">
        <x:v>Treat adaptations/editions separately when taxonomically material.</x:v>
      </x:c>
      <x:c r="K52" s="84" t="str">
        <x:v>https://en.wikipedia.org/wiki/The_First_Law</x:v>
      </x:c>
      <x:c r="L52" s="24" t="str">
        <x:v>Included</x:v>
      </x:c>
    </x:row>
    <x:row r="53" ht="42" customHeight="1">
      <x:c r="A53" s="24" t="str">
        <x:v>SRC-052</x:v>
      </x:c>
      <x:c r="B53" s="24" t="str">
        <x:v>Mistborn</x:v>
      </x:c>
      <x:c r="C53" s="24" t="str">
        <x:v>Brandon Sanderson</x:v>
      </x:c>
      <x:c r="D53" s="24" t="str">
        <x:v>Literature</x:v>
      </x:c>
      <x:c r="E53" s="24" t="str">
        <x:v>United States</x:v>
      </x:c>
      <x:c r="F53" s="24" t="str">
        <x:v>2006</x:v>
      </x:c>
      <x:c r="G53" s="24" t="str">
        <x:v>Cosmere subseries</x:v>
      </x:c>
      <x:c r="H53" s="24" t="str">
        <x:v>Tier 1</x:v>
      </x:c>
      <x:c r="I53" s="24" t="str">
        <x:v>Rule-based metal magic, class oppression, heist party, immortal tyrant, technological eras.</x:v>
      </x:c>
      <x:c r="J53" s="24" t="str">
        <x:v>Treat adaptations/editions separately when taxonomically material.</x:v>
      </x:c>
      <x:c r="K53" s="84" t="str">
        <x:v>https://en.wikipedia.org/wiki/Mistborn</x:v>
      </x:c>
      <x:c r="L53" s="24" t="str">
        <x:v>Included</x:v>
      </x:c>
    </x:row>
    <x:row r="54" ht="42" customHeight="1">
      <x:c r="A54" s="24" t="str">
        <x:v>SRC-053</x:v>
      </x:c>
      <x:c r="B54" s="24" t="str">
        <x:v>The Stormlight Archive</x:v>
      </x:c>
      <x:c r="C54" s="24" t="str">
        <x:v>Brandon Sanderson</x:v>
      </x:c>
      <x:c r="D54" s="24" t="str">
        <x:v>Literature</x:v>
      </x:c>
      <x:c r="E54" s="24" t="str">
        <x:v>United States</x:v>
      </x:c>
      <x:c r="F54" s="24" t="str">
        <x:v>2010</x:v>
      </x:c>
      <x:c r="G54" s="24" t="str">
        <x:v>Cosmere subseries</x:v>
      </x:c>
      <x:c r="H54" s="24" t="str">
        <x:v>Tier 1</x:v>
      </x:c>
      <x:c r="I54" s="24" t="str">
        <x:v>Knightly orders, spren bonds, magic ideals, shard weapons, cultures, world ecology.</x:v>
      </x:c>
      <x:c r="J54" s="24" t="str">
        <x:v>Treat adaptations/editions separately when taxonomically material.</x:v>
      </x:c>
      <x:c r="K54" s="84" t="str">
        <x:v>https://en.wikipedia.org/wiki/The_Stormlight_Archive</x:v>
      </x:c>
      <x:c r="L54" s="24" t="str">
        <x:v>Included</x:v>
      </x:c>
    </x:row>
    <x:row r="55" ht="42" customHeight="1">
      <x:c r="A55" s="24" t="str">
        <x:v>SRC-054</x:v>
      </x:c>
      <x:c r="B55" s="24" t="str">
        <x:v>The Kingkiller Chronicle</x:v>
      </x:c>
      <x:c r="C55" s="24" t="str">
        <x:v>Patrick Rothfuss</x:v>
      </x:c>
      <x:c r="D55" s="24" t="str">
        <x:v>Literature</x:v>
      </x:c>
      <x:c r="E55" s="24" t="str">
        <x:v>United States</x:v>
      </x:c>
      <x:c r="F55" s="24" t="str">
        <x:v>2007</x:v>
      </x:c>
      <x:c r="G55" s="24" t="str">
        <x:v>Novel series</x:v>
      </x:c>
      <x:c r="H55" s="24" t="str">
        <x:v>Tier 2</x:v>
      </x:c>
      <x:c r="I55" s="24" t="str">
        <x:v>University magic, naming, sympathy, bardic hero, framed unreliable autobiography.</x:v>
      </x:c>
      <x:c r="J55" s="24" t="str">
        <x:v>Treat adaptations/editions separately when taxonomically material.</x:v>
      </x:c>
      <x:c r="K55" s="84" t="str">
        <x:v>https://en.wikipedia.org/wiki/The_Kingkiller_Chronicle</x:v>
      </x:c>
      <x:c r="L55" s="24" t="str">
        <x:v>Included</x:v>
      </x:c>
    </x:row>
    <x:row r="56" ht="42" customHeight="1">
      <x:c r="A56" s="24" t="str">
        <x:v>SRC-055</x:v>
      </x:c>
      <x:c r="B56" s="24" t="str">
        <x:v>Gentleman Bastard Sequence</x:v>
      </x:c>
      <x:c r="C56" s="24" t="str">
        <x:v>Scott Lynch</x:v>
      </x:c>
      <x:c r="D56" s="24" t="str">
        <x:v>Literature</x:v>
      </x:c>
      <x:c r="E56" s="24" t="str">
        <x:v>United States</x:v>
      </x:c>
      <x:c r="F56" s="24" t="str">
        <x:v>2006</x:v>
      </x:c>
      <x:c r="G56" s="24" t="str">
        <x:v>Novel series</x:v>
      </x:c>
      <x:c r="H56" s="24" t="str">
        <x:v>Tier 2</x:v>
      </x:c>
      <x:c r="I56" s="24" t="str">
        <x:v>Con artists, thieves, city factions, heists, found family, alchemical settings.</x:v>
      </x:c>
      <x:c r="J56" s="24" t="str">
        <x:v>Treat adaptations/editions separately when taxonomically material.</x:v>
      </x:c>
      <x:c r="K56" s="84" t="str">
        <x:v>https://en.wikipedia.org/wiki/Gentleman_Bastard_Sequence</x:v>
      </x:c>
      <x:c r="L56" s="24" t="str">
        <x:v>Included</x:v>
      </x:c>
    </x:row>
    <x:row r="57" ht="42" customHeight="1">
      <x:c r="A57" s="24" t="str">
        <x:v>SRC-056</x:v>
      </x:c>
      <x:c r="B57" s="24" t="str">
        <x:v>The Broken Earth</x:v>
      </x:c>
      <x:c r="C57" s="24" t="str">
        <x:v>N. K. Jemisin</x:v>
      </x:c>
      <x:c r="D57" s="24" t="str">
        <x:v>Literature</x:v>
      </x:c>
      <x:c r="E57" s="24" t="str">
        <x:v>United States</x:v>
      </x:c>
      <x:c r="F57" s="24" t="str">
        <x:v>2015</x:v>
      </x:c>
      <x:c r="G57" s="24" t="str">
        <x:v>Trilogy</x:v>
      </x:c>
      <x:c r="H57" s="24" t="str">
        <x:v>Tier 1</x:v>
      </x:c>
      <x:c r="I57" s="24" t="str">
        <x:v>Earth power, caste oppression, post-apocalypse, non-linear identity, constructed people.</x:v>
      </x:c>
      <x:c r="J57" s="24" t="str">
        <x:v>Treat adaptations/editions separately when taxonomically material.</x:v>
      </x:c>
      <x:c r="K57" s="84" t="str">
        <x:v>https://en.wikipedia.org/wiki/The_Broken_Earth</x:v>
      </x:c>
      <x:c r="L57" s="24" t="str">
        <x:v>Included</x:v>
      </x:c>
    </x:row>
    <x:row r="58" ht="42" customHeight="1">
      <x:c r="A58" s="24" t="str">
        <x:v>SRC-057</x:v>
      </x:c>
      <x:c r="B58" s="24" t="str">
        <x:v>The Poppy War</x:v>
      </x:c>
      <x:c r="C58" s="24" t="str">
        <x:v>R. F. Kuang</x:v>
      </x:c>
      <x:c r="D58" s="24" t="str">
        <x:v>Literature</x:v>
      </x:c>
      <x:c r="E58" s="24" t="str">
        <x:v>United States / Chinese-inspired fantasy</x:v>
      </x:c>
      <x:c r="F58" s="24" t="str">
        <x:v>2018</x:v>
      </x:c>
      <x:c r="G58" s="24" t="str">
        <x:v>Trilogy</x:v>
      </x:c>
      <x:c r="H58" s="24" t="str">
        <x:v>Tier 2</x:v>
      </x:c>
      <x:c r="I58" s="24" t="str">
        <x:v>Military academy, shamanic power, empire, war trauma, gods and possession.</x:v>
      </x:c>
      <x:c r="J58" s="24" t="str">
        <x:v>Treat adaptations/editions separately when taxonomically material.</x:v>
      </x:c>
      <x:c r="K58" s="84" t="str">
        <x:v>https://en.wikipedia.org/wiki/The_Poppy_War</x:v>
      </x:c>
      <x:c r="L58" s="24" t="str">
        <x:v>Included</x:v>
      </x:c>
    </x:row>
    <x:row r="59" ht="42" customHeight="1">
      <x:c r="A59" s="24" t="str">
        <x:v>SRC-058</x:v>
      </x:c>
      <x:c r="B59" s="24" t="str">
        <x:v>The Daevabad Trilogy</x:v>
      </x:c>
      <x:c r="C59" s="24" t="str">
        <x:v>S. A. Chakraborty</x:v>
      </x:c>
      <x:c r="D59" s="24" t="str">
        <x:v>Literature</x:v>
      </x:c>
      <x:c r="E59" s="24" t="str">
        <x:v>United States / Islamic-world-inspired fantasy</x:v>
      </x:c>
      <x:c r="F59" s="24" t="str">
        <x:v>2017</x:v>
      </x:c>
      <x:c r="G59" s="24" t="str">
        <x:v>Trilogy</x:v>
      </x:c>
      <x:c r="H59" s="24" t="str">
        <x:v>Tier 1</x:v>
      </x:c>
      <x:c r="I59" s="24" t="str">
        <x:v>Djinn peoples, magical city, dynasties, healing, sectarian politics, mixed ancestry.</x:v>
      </x:c>
      <x:c r="J59" s="24" t="str">
        <x:v>Treat adaptations/editions separately when taxonomically material.</x:v>
      </x:c>
      <x:c r="K59" s="84" t="str">
        <x:v>https://en.wikipedia.org/wiki/The_Daevabad_Trilogy</x:v>
      </x:c>
      <x:c r="L59" s="24" t="str">
        <x:v>Included</x:v>
      </x:c>
    </x:row>
    <x:row r="60" ht="42" customHeight="1">
      <x:c r="A60" s="24" t="str">
        <x:v>SRC-059</x:v>
      </x:c>
      <x:c r="B60" s="24" t="str">
        <x:v>The Green Bone Saga</x:v>
      </x:c>
      <x:c r="C60" s="24" t="str">
        <x:v>Fonda Lee</x:v>
      </x:c>
      <x:c r="D60" s="24" t="str">
        <x:v>Literature</x:v>
      </x:c>
      <x:c r="E60" s="24" t="str">
        <x:v>Canada / East Asian-inspired urban epic fantasy</x:v>
      </x:c>
      <x:c r="F60" s="24" t="str">
        <x:v>2017</x:v>
      </x:c>
      <x:c r="G60" s="24" t="str">
        <x:v>Trilogy</x:v>
      </x:c>
      <x:c r="H60" s="24" t="str">
        <x:v>Tier 2</x:v>
      </x:c>
      <x:c r="I60" s="24" t="str">
        <x:v>Clan institutions, jade-enhanced warriors, modernizing society, honor and crime.</x:v>
      </x:c>
      <x:c r="J60" s="24" t="str">
        <x:v>Treat adaptations/editions separately when taxonomically material.</x:v>
      </x:c>
      <x:c r="K60" s="84" t="str">
        <x:v>https://en.wikipedia.org/wiki/The_Green_Bone_Saga</x:v>
      </x:c>
      <x:c r="L60" s="24" t="str">
        <x:v>Included</x:v>
      </x:c>
    </x:row>
    <x:row r="61" ht="42" customHeight="1">
      <x:c r="A61" s="24" t="str">
        <x:v>SRC-060</x:v>
      </x:c>
      <x:c r="B61" s="24" t="str">
        <x:v>The Priory of the Orange Tree</x:v>
      </x:c>
      <x:c r="C61" s="24" t="str">
        <x:v>Samantha Shannon</x:v>
      </x:c>
      <x:c r="D61" s="24" t="str">
        <x:v>Literature</x:v>
      </x:c>
      <x:c r="E61" s="24" t="str">
        <x:v>Britain</x:v>
      </x:c>
      <x:c r="F61" s="24" t="str">
        <x:v>2019</x:v>
      </x:c>
      <x:c r="G61" s="24" t="str">
        <x:v>Roots of Chaos setting</x:v>
      </x:c>
      <x:c r="H61" s="24" t="str">
        <x:v>Tier 2</x:v>
      </x:c>
      <x:c r="I61" s="24" t="str">
        <x:v>Dragon traditions, queenship, secret orders, east/west cosmologies, sapphic epic fantasy.</x:v>
      </x:c>
      <x:c r="J61" s="24" t="str">
        <x:v>Treat adaptations/editions separately when taxonomically material.</x:v>
      </x:c>
      <x:c r="K61" s="84" t="str">
        <x:v>https://en.wikipedia.org/wiki/The_Priory_of_the_Orange_Tree</x:v>
      </x:c>
      <x:c r="L61" s="24" t="str">
        <x:v>Included</x:v>
      </x:c>
    </x:row>
    <x:row r="62" ht="42" customHeight="1">
      <x:c r="A62" s="24" t="str">
        <x:v>SRC-061</x:v>
      </x:c>
      <x:c r="B62" s="24" t="str">
        <x:v>The Locked Tomb</x:v>
      </x:c>
      <x:c r="C62" s="24" t="str">
        <x:v>Tamsyn Muir</x:v>
      </x:c>
      <x:c r="D62" s="24" t="str">
        <x:v>Literature</x:v>
      </x:c>
      <x:c r="E62" s="24" t="str">
        <x:v>New Zealand / science fantasy</x:v>
      </x:c>
      <x:c r="F62" s="24" t="str">
        <x:v>2019</x:v>
      </x:c>
      <x:c r="G62" s="24" t="str">
        <x:v>Novel series</x:v>
      </x:c>
      <x:c r="H62" s="24" t="str">
        <x:v>Tier 2</x:v>
      </x:c>
      <x:c r="I62" s="24" t="str">
        <x:v>Necromancer houses, cavaliers, resurrection empire, soul magic, identity puzzles.</x:v>
      </x:c>
      <x:c r="J62" s="24" t="str">
        <x:v>Treat adaptations/editions separately when taxonomically material.</x:v>
      </x:c>
      <x:c r="K62" s="84" t="str">
        <x:v>https://en.wikipedia.org/wiki/The_Locked_Tomb</x:v>
      </x:c>
      <x:c r="L62" s="24" t="str">
        <x:v>Included</x:v>
      </x:c>
    </x:row>
    <x:row r="63" ht="42" customHeight="1">
      <x:c r="A63" s="24" t="str">
        <x:v>SRC-062</x:v>
      </x:c>
      <x:c r="B63" s="24" t="str">
        <x:v>The Book of the New Sun</x:v>
      </x:c>
      <x:c r="C63" s="24" t="str">
        <x:v>Gene Wolfe</x:v>
      </x:c>
      <x:c r="D63" s="24" t="str">
        <x:v>Literature</x:v>
      </x:c>
      <x:c r="E63" s="24" t="str">
        <x:v>United States / science fantasy</x:v>
      </x:c>
      <x:c r="F63" s="24" t="str">
        <x:v>1980</x:v>
      </x:c>
      <x:c r="G63" s="24" t="str">
        <x:v>Solar Cycle</x:v>
      </x:c>
      <x:c r="H63" s="24" t="str">
        <x:v>Tier 2</x:v>
      </x:c>
      <x:c r="I63" s="24" t="str">
        <x:v>Far-future guild offices, unreliable narration, relic technology, dying world.</x:v>
      </x:c>
      <x:c r="J63" s="24" t="str">
        <x:v>Treat adaptations/editions separately when taxonomically material.</x:v>
      </x:c>
      <x:c r="K63" s="84" t="str">
        <x:v>https://en.wikipedia.org/wiki/The_Book_of_the_New_Sun</x:v>
      </x:c>
      <x:c r="L63" s="24" t="str">
        <x:v>Included</x:v>
      </x:c>
    </x:row>
    <x:row r="64" ht="42" customHeight="1">
      <x:c r="A64" s="24" t="str">
        <x:v>SRC-063</x:v>
      </x:c>
      <x:c r="B64" s="24" t="str">
        <x:v>The Broken Empire</x:v>
      </x:c>
      <x:c r="C64" s="24" t="str">
        <x:v>Mark Lawrence</x:v>
      </x:c>
      <x:c r="D64" s="24" t="str">
        <x:v>Literature</x:v>
      </x:c>
      <x:c r="E64" s="24" t="str">
        <x:v>Britain / dark fantasy</x:v>
      </x:c>
      <x:c r="F64" s="24" t="str">
        <x:v>2011</x:v>
      </x:c>
      <x:c r="G64" s="24" t="str">
        <x:v>Trilogy</x:v>
      </x:c>
      <x:c r="H64" s="24" t="str">
        <x:v>Tier 3</x:v>
      </x:c>
      <x:c r="I64" s="24" t="str">
        <x:v>Antihero prince, post-technological ruins, necromancy, fragmented empire.</x:v>
      </x:c>
      <x:c r="J64" s="24" t="str">
        <x:v>Treat adaptations/editions separately when taxonomically material.</x:v>
      </x:c>
      <x:c r="K64" s="84" t="str">
        <x:v>https://en.wikipedia.org/wiki/The_Broken_Empire</x:v>
      </x:c>
      <x:c r="L64" s="24" t="str">
        <x:v>Included</x:v>
      </x:c>
    </x:row>
    <x:row r="65" ht="42" customHeight="1">
      <x:c r="A65" s="24" t="str">
        <x:v>SRC-064</x:v>
      </x:c>
      <x:c r="B65" s="24" t="str">
        <x:v>Powder Mage</x:v>
      </x:c>
      <x:c r="C65" s="24" t="str">
        <x:v>Brian McClellan</x:v>
      </x:c>
      <x:c r="D65" s="24" t="str">
        <x:v>Literature</x:v>
      </x:c>
      <x:c r="E65" s="24" t="str">
        <x:v>United States / flintlock fantasy</x:v>
      </x:c>
      <x:c r="F65" s="24" t="str">
        <x:v>2013</x:v>
      </x:c>
      <x:c r="G65" s="24" t="str">
        <x:v>Novel series</x:v>
      </x:c>
      <x:c r="H65" s="24" t="str">
        <x:v>Tier 2</x:v>
      </x:c>
      <x:c r="I65" s="24" t="str">
        <x:v>Powder mages, military classes, gods, revolution, firearms integrated with magic.</x:v>
      </x:c>
      <x:c r="J65" s="24" t="str">
        <x:v>Treat adaptations/editions separately when taxonomically material.</x:v>
      </x:c>
      <x:c r="K65" s="84" t="str">
        <x:v>https://en.wikipedia.org/wiki/Powder_Mage</x:v>
      </x:c>
      <x:c r="L65" s="24" t="str">
        <x:v>Included</x:v>
      </x:c>
    </x:row>
    <x:row r="66" ht="42" customHeight="1">
      <x:c r="A66" s="24" t="str">
        <x:v>SRC-065</x:v>
      </x:c>
      <x:c r="B66" s="24" t="str">
        <x:v>Jonathan Strange &amp; Mr Norrell</x:v>
      </x:c>
      <x:c r="C66" s="24" t="str">
        <x:v>Susanna Clarke</x:v>
      </x:c>
      <x:c r="D66" s="24" t="str">
        <x:v>Literature</x:v>
      </x:c>
      <x:c r="E66" s="24" t="str">
        <x:v>Britain</x:v>
      </x:c>
      <x:c r="F66" s="24" t="str">
        <x:v>2004</x:v>
      </x:c>
      <x:c r="G66" s="24" t="str">
        <x:v>Novel and screen adaptation</x:v>
      </x:c>
      <x:c r="H66" s="24" t="str">
        <x:v>Tier 1</x:v>
      </x:c>
      <x:c r="I66" s="24" t="str">
        <x:v>English magic history, gentleman magicians, faerie bargain, scholarly practice.</x:v>
      </x:c>
      <x:c r="J66" s="24" t="str">
        <x:v>Treat adaptations/editions separately when taxonomically material.</x:v>
      </x:c>
      <x:c r="K66" s="84" t="str">
        <x:v>https://en.wikipedia.org/wiki/Jonathan_Strange_%26_Mr_Norrell</x:v>
      </x:c>
      <x:c r="L66" s="24" t="str">
        <x:v>Included</x:v>
      </x:c>
    </x:row>
    <x:row r="67" ht="42" customHeight="1">
      <x:c r="A67" s="24" t="str">
        <x:v>SRC-066</x:v>
      </x:c>
      <x:c r="B67" s="24" t="str">
        <x:v>Kushiel's Legacy</x:v>
      </x:c>
      <x:c r="C67" s="24" t="str">
        <x:v>Jacqueline Carey</x:v>
      </x:c>
      <x:c r="D67" s="24" t="str">
        <x:v>Literature</x:v>
      </x:c>
      <x:c r="E67" s="24" t="str">
        <x:v>United States</x:v>
      </x:c>
      <x:c r="F67" s="24" t="str">
        <x:v>2001</x:v>
      </x:c>
      <x:c r="G67" s="24" t="str">
        <x:v>Terre d'Ange novels</x:v>
      </x:c>
      <x:c r="H67" s="24" t="str">
        <x:v>Tier 2</x:v>
      </x:c>
      <x:c r="I67" s="24" t="str">
        <x:v>Sacred lineages, courtesan-spy role, political travel, religious orders, chosen pain.</x:v>
      </x:c>
      <x:c r="J67" s="24" t="str">
        <x:v>Treat adaptations/editions separately when taxonomically material.</x:v>
      </x:c>
      <x:c r="K67" s="84" t="str">
        <x:v>https://en.wikipedia.org/wiki/Kushiel's_Legacy</x:v>
      </x:c>
      <x:c r="L67" s="24" t="str">
        <x:v>Included</x:v>
      </x:c>
    </x:row>
    <x:row r="68" ht="42" customHeight="1">
      <x:c r="A68" s="24" t="str">
        <x:v>SRC-067</x:v>
      </x:c>
      <x:c r="B68" s="24" t="str">
        <x:v>Black Leopard, Red Wolf</x:v>
      </x:c>
      <x:c r="C68" s="24" t="str">
        <x:v>Marlon James</x:v>
      </x:c>
      <x:c r="D68" s="24" t="str">
        <x:v>Literature</x:v>
      </x:c>
      <x:c r="E68" s="24" t="str">
        <x:v>Jamaica / African-inspired fantasy</x:v>
      </x:c>
      <x:c r="F68" s="24" t="str">
        <x:v>2019</x:v>
      </x:c>
      <x:c r="G68" s="24" t="str">
        <x:v>Dark Star Trilogy</x:v>
      </x:c>
      <x:c r="H68" s="24" t="str">
        <x:v>Tier 1</x:v>
      </x:c>
      <x:c r="I68" s="24" t="str">
        <x:v>African mythic beings, tracker role, shapeshifters, unreliable narrative, quest inversion.</x:v>
      </x:c>
      <x:c r="J68" s="24" t="str">
        <x:v>Treat adaptations/editions separately when taxonomically material.</x:v>
      </x:c>
      <x:c r="K68" s="84" t="str">
        <x:v>https://en.wikipedia.org/wiki/Black_Leopard,_Red_Wolf</x:v>
      </x:c>
      <x:c r="L68" s="24" t="str">
        <x:v>Included</x:v>
      </x:c>
    </x:row>
    <x:row r="69" ht="42" customHeight="1">
      <x:c r="A69" s="24" t="str">
        <x:v>SRC-068</x:v>
      </x:c>
      <x:c r="B69" s="24" t="str">
        <x:v>Who Fears Death</x:v>
      </x:c>
      <x:c r="C69" s="24" t="str">
        <x:v>Nnedi Okorafor</x:v>
      </x:c>
      <x:c r="D69" s="24" t="str">
        <x:v>Literature</x:v>
      </x:c>
      <x:c r="E69" s="24" t="str">
        <x:v>Nigeria / United States</x:v>
      </x:c>
      <x:c r="F69" s="24" t="str">
        <x:v>2010</x:v>
      </x:c>
      <x:c r="G69" s="24" t="str">
        <x:v>Novel and related setting</x:v>
      </x:c>
      <x:c r="H69" s="24" t="str">
        <x:v>Tier 2</x:v>
      </x:c>
      <x:c r="I69" s="24" t="str">
        <x:v>Sorcery, transformation, social violence, prophecy, post-apocalyptic African setting.</x:v>
      </x:c>
      <x:c r="J69" s="24" t="str">
        <x:v>Treat adaptations/editions separately when taxonomically material.</x:v>
      </x:c>
      <x:c r="K69" s="84" t="str">
        <x:v>https://en.wikipedia.org/wiki/Who_Fears_Death</x:v>
      </x:c>
      <x:c r="L69" s="24" t="str">
        <x:v>Included</x:v>
      </x:c>
    </x:row>
    <x:row r="70" ht="42" customHeight="1">
      <x:c r="A70" s="24" t="str">
        <x:v>SRC-069</x:v>
      </x:c>
      <x:c r="B70" s="24" t="str">
        <x:v>Akata Witch</x:v>
      </x:c>
      <x:c r="C70" s="24" t="str">
        <x:v>Nnedi Okorafor</x:v>
      </x:c>
      <x:c r="D70" s="24" t="str">
        <x:v>Literature</x:v>
      </x:c>
      <x:c r="E70" s="24" t="str">
        <x:v>Nigeria / United States</x:v>
      </x:c>
      <x:c r="F70" s="24" t="str">
        <x:v>2011</x:v>
      </x:c>
      <x:c r="G70" s="24" t="str">
        <x:v>Nsibidi Scripts series</x:v>
      </x:c>
      <x:c r="H70" s="24" t="str">
        <x:v>Tier 2</x:v>
      </x:c>
      <x:c r="I70" s="24" t="str">
        <x:v>Magical society, spirit doubles, masquerades, learning groups, Nigerian folklore.</x:v>
      </x:c>
      <x:c r="J70" s="24" t="str">
        <x:v>Treat adaptations/editions separately when taxonomically material.</x:v>
      </x:c>
      <x:c r="K70" s="84" t="str">
        <x:v>https://en.wikipedia.org/wiki/Akata_Witch</x:v>
      </x:c>
      <x:c r="L70" s="24" t="str">
        <x:v>Included</x:v>
      </x:c>
    </x:row>
    <x:row r="71" ht="42" customHeight="1">
      <x:c r="A71" s="24" t="str">
        <x:v>SRC-070</x:v>
      </x:c>
      <x:c r="B71" s="24" t="str">
        <x:v>Children of Blood and Bone</x:v>
      </x:c>
      <x:c r="C71" s="24" t="str">
        <x:v>Tomi Adeyemi</x:v>
      </x:c>
      <x:c r="D71" s="24" t="str">
        <x:v>Literature</x:v>
      </x:c>
      <x:c r="E71" s="24" t="str">
        <x:v>United States / West African-inspired fantasy</x:v>
      </x:c>
      <x:c r="F71" s="24" t="str">
        <x:v>2018</x:v>
      </x:c>
      <x:c r="G71" s="24" t="str">
        <x:v>Legacy of Orïsha series</x:v>
      </x:c>
      <x:c r="H71" s="24" t="str">
        <x:v>Tier 2</x:v>
      </x:c>
      <x:c r="I71" s="24" t="str">
        <x:v>Magic castes, suppressed practitioners, divine powers, rebellion, monarchy.</x:v>
      </x:c>
      <x:c r="J71" s="24" t="str">
        <x:v>Treat adaptations/editions separately when taxonomically material.</x:v>
      </x:c>
      <x:c r="K71" s="84" t="str">
        <x:v>https://en.wikipedia.org/wiki/Children_of_Blood_and_Bone</x:v>
      </x:c>
      <x:c r="L71" s="24" t="str">
        <x:v>Included</x:v>
      </x:c>
    </x:row>
    <x:row r="72" ht="42" customHeight="1">
      <x:c r="A72" s="24" t="str">
        <x:v>SRC-071</x:v>
      </x:c>
      <x:c r="B72" s="24" t="str">
        <x:v>The Bird That Drinks Tears</x:v>
      </x:c>
      <x:c r="C72" s="24" t="str">
        <x:v>Lee Yeongdo</x:v>
      </x:c>
      <x:c r="D72" s="24" t="str">
        <x:v>Literature</x:v>
      </x:c>
      <x:c r="E72" s="24" t="str">
        <x:v>South Korea</x:v>
      </x:c>
      <x:c r="F72" s="24" t="str">
        <x:v>2003</x:v>
      </x:c>
      <x:c r="G72" s="24" t="str">
        <x:v>Korean fantasy novel</x:v>
      </x:c>
      <x:c r="H72" s="24" t="str">
        <x:v>Tier 1</x:v>
      </x:c>
      <x:c r="I72" s="24" t="str">
        <x:v>Distinct nonhuman peoples, rescue party, culturally specific worldbuilding, gods.</x:v>
      </x:c>
      <x:c r="J72" s="24" t="str">
        <x:v>Treat adaptations/editions separately when taxonomically material.</x:v>
      </x:c>
      <x:c r="K72" s="84" t="str">
        <x:v>https://en.wikipedia.org/wiki/The_Bird_That_Drinks_Tears</x:v>
      </x:c>
      <x:c r="L72" s="24" t="str">
        <x:v>Included</x:v>
      </x:c>
    </x:row>
    <x:row r="73" ht="42" customHeight="1">
      <x:c r="A73" s="24" t="str">
        <x:v>SRC-072</x:v>
      </x:c>
      <x:c r="B73" s="24" t="str">
        <x:v>The Twelve Kingdoms</x:v>
      </x:c>
      <x:c r="C73" s="24" t="str">
        <x:v>Fuyumi Ono</x:v>
      </x:c>
      <x:c r="D73" s="24" t="str">
        <x:v>Light Novel / Literature</x:v>
      </x:c>
      <x:c r="E73" s="24" t="str">
        <x:v>Japan</x:v>
      </x:c>
      <x:c r="F73" s="24" t="str">
        <x:v>1992</x:v>
      </x:c>
      <x:c r="G73" s="24" t="str">
        <x:v>Novel series and anime adaptation</x:v>
      </x:c>
      <x:c r="H73" s="24" t="str">
        <x:v>Tier 1</x:v>
      </x:c>
      <x:c r="I73" s="24" t="str">
        <x:v>Isekai sovereignty, kirin, divine mandate, nonhuman ecology, bureaucratic kingdoms.</x:v>
      </x:c>
      <x:c r="J73" s="24" t="str">
        <x:v>Treat adaptations/editions separately when taxonomically material.</x:v>
      </x:c>
      <x:c r="K73" s="84" t="str">
        <x:v>https://en.wikipedia.org/wiki/The_Twelve_Kingdoms</x:v>
      </x:c>
      <x:c r="L73" s="24" t="str">
        <x:v>Included</x:v>
      </x:c>
    </x:row>
    <x:row r="74" ht="42" customHeight="1">
      <x:c r="A74" s="24" t="str">
        <x:v>SRC-073</x:v>
      </x:c>
      <x:c r="B74" s="24" t="str">
        <x:v>Guin Saga</x:v>
      </x:c>
      <x:c r="C74" s="24" t="str">
        <x:v>Kaoru Kurimoto</x:v>
      </x:c>
      <x:c r="D74" s="24" t="str">
        <x:v>Literature / Light Novel</x:v>
      </x:c>
      <x:c r="E74" s="24" t="str">
        <x:v>Japan</x:v>
      </x:c>
      <x:c r="F74" s="24" t="str">
        <x:v>1979</x:v>
      </x:c>
      <x:c r="G74" s="24" t="str">
        <x:v>Long-running novel series</x:v>
      </x:c>
      <x:c r="H74" s="24" t="str">
        <x:v>Tier 2</x:v>
      </x:c>
      <x:c r="I74" s="24" t="str">
        <x:v>Amnesiac warrior, kingdoms, sorcery, war, leopard mask, epic scale.</x:v>
      </x:c>
      <x:c r="J74" s="24" t="str">
        <x:v>Treat adaptations/editions separately when taxonomically material.</x:v>
      </x:c>
      <x:c r="K74" s="84" t="str">
        <x:v>https://en.wikipedia.org/wiki/Guin_Saga</x:v>
      </x:c>
      <x:c r="L74" s="24" t="str">
        <x:v>Included</x:v>
      </x:c>
    </x:row>
    <x:row r="75" ht="42" customHeight="1">
      <x:c r="A75" s="24" t="str">
        <x:v>SRC-074</x:v>
      </x:c>
      <x:c r="B75" s="24" t="str">
        <x:v>Moribito</x:v>
      </x:c>
      <x:c r="C75" s="24" t="str">
        <x:v>Nahoko Uehashi</x:v>
      </x:c>
      <x:c r="D75" s="24" t="str">
        <x:v>Literature</x:v>
      </x:c>
      <x:c r="E75" s="24" t="str">
        <x:v>Japan</x:v>
      </x:c>
      <x:c r="F75" s="24" t="str">
        <x:v>1996</x:v>
      </x:c>
      <x:c r="G75" s="24" t="str">
        <x:v>Novel series and anime adaptation</x:v>
      </x:c>
      <x:c r="H75" s="24" t="str">
        <x:v>Tier 1</x:v>
      </x:c>
      <x:c r="I75" s="24" t="str">
        <x:v>Spearwoman bodyguard, spirit ecology, royal ritual, parallel worlds, anthropology.</x:v>
      </x:c>
      <x:c r="J75" s="24" t="str">
        <x:v>Treat adaptations/editions separately when taxonomically material.</x:v>
      </x:c>
      <x:c r="K75" s="84" t="str">
        <x:v>https://en.wikipedia.org/wiki/Moribito</x:v>
      </x:c>
      <x:c r="L75" s="24" t="str">
        <x:v>Included</x:v>
      </x:c>
    </x:row>
    <x:row r="76" ht="42" customHeight="1">
      <x:c r="A76" s="24" t="str">
        <x:v>SRC-075</x:v>
      </x:c>
      <x:c r="B76" s="24" t="str">
        <x:v>Record of Lodoss War</x:v>
      </x:c>
      <x:c r="C76" s="24" t="str">
        <x:v>Ryo Mizuno and Group SNE</x:v>
      </x:c>
      <x:c r="D76" s="24" t="str">
        <x:v>Replay / Novel / Anime</x:v>
      </x:c>
      <x:c r="E76" s="24" t="str">
        <x:v>Japan</x:v>
      </x:c>
      <x:c r="F76" s="24" t="str">
        <x:v>1986 onward</x:v>
      </x:c>
      <x:c r="G76" s="24" t="str">
        <x:v>Novels, replays, anime, games</x:v>
      </x:c>
      <x:c r="H76" s="24" t="str">
        <x:v>Tier 1</x:v>
      </x:c>
      <x:c r="I76" s="24" t="str">
        <x:v>Japanese reception of tabletop high fantasy, classic party classes, dark elves, knightly quest.</x:v>
      </x:c>
      <x:c r="J76" s="24" t="str">
        <x:v>Treat adaptations/editions separately when taxonomically material.</x:v>
      </x:c>
      <x:c r="K76" s="84" t="str">
        <x:v>https://en.wikipedia.org/wiki/Record_of_Lodoss_War</x:v>
      </x:c>
      <x:c r="L76" s="24" t="str">
        <x:v>Included</x:v>
      </x:c>
    </x:row>
    <x:row r="77" ht="42" customHeight="1">
      <x:c r="A77" s="24" t="str">
        <x:v>SRC-076</x:v>
      </x:c>
      <x:c r="B77" s="24" t="str">
        <x:v>Slayers</x:v>
      </x:c>
      <x:c r="C77" s="24" t="str">
        <x:v>Hajime Kanzaka</x:v>
      </x:c>
      <x:c r="D77" s="24" t="str">
        <x:v>Light Novel / Anime</x:v>
      </x:c>
      <x:c r="E77" s="24" t="str">
        <x:v>Japan</x:v>
      </x:c>
      <x:c r="F77" s="24" t="str">
        <x:v>1989</x:v>
      </x:c>
      <x:c r="G77" s="24" t="str">
        <x:v>Novels and adaptations</x:v>
      </x:c>
      <x:c r="H77" s="24" t="str">
        <x:v>Tier 2</x:v>
      </x:c>
      <x:c r="I77" s="24" t="str">
        <x:v>Sorcerer adventurers, demon lords, spell lists, comedic party dynamics.</x:v>
      </x:c>
      <x:c r="J77" s="24" t="str">
        <x:v>Treat adaptations/editions separately when taxonomically material.</x:v>
      </x:c>
      <x:c r="K77" s="84" t="str">
        <x:v>https://en.wikipedia.org/wiki/Slayers</x:v>
      </x:c>
      <x:c r="L77" s="24" t="str">
        <x:v>Included</x:v>
      </x:c>
    </x:row>
    <x:row r="78" ht="42" customHeight="1">
      <x:c r="A78" s="24" t="str">
        <x:v>SRC-077</x:v>
      </x:c>
      <x:c r="B78" s="24" t="str">
        <x:v>A Record of a Mortal's Journey to Immortality</x:v>
      </x:c>
      <x:c r="C78" s="24" t="str">
        <x:v>Wang Yu</x:v>
      </x:c>
      <x:c r="D78" s="24" t="str">
        <x:v>Web Novel</x:v>
      </x:c>
      <x:c r="E78" s="24" t="str">
        <x:v>China / xianxia</x:v>
      </x:c>
      <x:c r="F78" s="24" t="str">
        <x:v>2008</x:v>
      </x:c>
      <x:c r="G78" s="24" t="str">
        <x:v>Novel and adaptations</x:v>
      </x:c>
      <x:c r="H78" s="24" t="str">
        <x:v>Tier 1</x:v>
      </x:c>
      <x:c r="I78" s="24" t="str">
        <x:v>Cultivation stages, sects, talismans, alchemy, spirit beasts, resource progression.</x:v>
      </x:c>
      <x:c r="J78" s="24" t="str">
        <x:v>Treat adaptations/editions separately when taxonomically material.</x:v>
      </x:c>
      <x:c r="K78" s="84" t="str">
        <x:v>https://en.wikipedia.org/wiki/A_Record_of_a_Mortal's_Journey_to_Immortality</x:v>
      </x:c>
      <x:c r="L78" s="24" t="str">
        <x:v>Included</x:v>
      </x:c>
    </x:row>
    <x:row r="79" ht="42" customHeight="1">
      <x:c r="A79" s="24" t="str">
        <x:v>SRC-078</x:v>
      </x:c>
      <x:c r="B79" s="24" t="str">
        <x:v>Grandmaster of Demonic Cultivation</x:v>
      </x:c>
      <x:c r="C79" s="24" t="str">
        <x:v>Mo Xiang Tong Xiu</x:v>
      </x:c>
      <x:c r="D79" s="24" t="str">
        <x:v>Web Novel / Danmei / Xianxia</x:v>
      </x:c>
      <x:c r="E79" s="24" t="str">
        <x:v>China</x:v>
      </x:c>
      <x:c r="F79" s="24" t="str">
        <x:v>2015</x:v>
      </x:c>
      <x:c r="G79" s="24" t="str">
        <x:v>Novel and adaptations</x:v>
      </x:c>
      <x:c r="H79" s="24" t="str">
        <x:v>Tier 1</x:v>
      </x:c>
      <x:c r="I79" s="24" t="str">
        <x:v>Cultivation clans, demonic cultivation, guqin, resentful energy, reincarnated identity.</x:v>
      </x:c>
      <x:c r="J79" s="24" t="str">
        <x:v>Treat adaptations/editions separately when taxonomically material.</x:v>
      </x:c>
      <x:c r="K79" s="84" t="str">
        <x:v>https://en.wikipedia.org/wiki/Grandmaster_of_Demonic_Cultivation</x:v>
      </x:c>
      <x:c r="L79" s="24" t="str">
        <x:v>Included</x:v>
      </x:c>
    </x:row>
    <x:row r="80" ht="42" customHeight="1">
      <x:c r="A80" s="24" t="str">
        <x:v>SRC-079</x:v>
      </x:c>
      <x:c r="B80" s="24" t="str">
        <x:v>The Legend of the Condor Heroes</x:v>
      </x:c>
      <x:c r="C80" s="24" t="str">
        <x:v>Jin Yong</x:v>
      </x:c>
      <x:c r="D80" s="24" t="str">
        <x:v>Literature / Wuxia</x:v>
      </x:c>
      <x:c r="E80" s="24" t="str">
        <x:v>Hong Kong / China</x:v>
      </x:c>
      <x:c r="F80" s="24" t="str">
        <x:v>1957</x:v>
      </x:c>
      <x:c r="G80" s="24" t="str">
        <x:v>Novel and adaptations</x:v>
      </x:c>
      <x:c r="H80" s="24" t="str">
        <x:v>Tier 1</x:v>
      </x:c>
      <x:c r="I80" s="24" t="str">
        <x:v>Martial schools, techniques, masters, sects, chivalric wandering, historical politics.</x:v>
      </x:c>
      <x:c r="J80" s="24" t="str">
        <x:v>Treat adaptations/editions separately when taxonomically material.</x:v>
      </x:c>
      <x:c r="K80" s="84" t="str">
        <x:v>https://en.wikipedia.org/wiki/The_Legend_of_the_Condor_Heroes</x:v>
      </x:c>
      <x:c r="L80" s="24" t="str">
        <x:v>Included</x:v>
      </x:c>
    </x:row>
    <x:row r="81" ht="42" customHeight="1">
      <x:c r="A81" s="24" t="str">
        <x:v>SRC-080</x:v>
      </x:c>
      <x:c r="B81" s="24" t="str">
        <x:v>Kalpa Imperial</x:v>
      </x:c>
      <x:c r="C81" s="24" t="str">
        <x:v>Angélica Gorodischer</x:v>
      </x:c>
      <x:c r="D81" s="24" t="str">
        <x:v>Literature</x:v>
      </x:c>
      <x:c r="E81" s="24" t="str">
        <x:v>Argentina</x:v>
      </x:c>
      <x:c r="F81" s="24" t="str">
        <x:v>1983–1984</x:v>
      </x:c>
      <x:c r="G81" s="24" t="str">
        <x:v>Story cycle</x:v>
      </x:c>
      <x:c r="H81" s="24" t="str">
        <x:v>Tier 2</x:v>
      </x:c>
      <x:c r="I81" s="24" t="str">
        <x:v>Imperial rise and fall, storyteller frame, civilization archetypes, anti-linear history.</x:v>
      </x:c>
      <x:c r="J81" s="24" t="str">
        <x:v>Treat adaptations/editions separately when taxonomically material.</x:v>
      </x:c>
      <x:c r="K81" s="84" t="str">
        <x:v>https://en.wikipedia.org/wiki/Kalpa_Imperial</x:v>
      </x:c>
      <x:c r="L81" s="24" t="str">
        <x:v>Included</x:v>
      </x:c>
    </x:row>
    <x:row r="82" ht="42" customHeight="1">
      <x:c r="A82" s="24" t="str">
        <x:v>SRC-081</x:v>
      </x:c>
      <x:c r="B82" s="24" t="str">
        <x:v>The Inheritance Cycle</x:v>
      </x:c>
      <x:c r="C82" s="24" t="str">
        <x:v>Christopher Paolini</x:v>
      </x:c>
      <x:c r="D82" s="24" t="str">
        <x:v>Literature</x:v>
      </x:c>
      <x:c r="E82" s="24" t="str">
        <x:v>United States</x:v>
      </x:c>
      <x:c r="F82" s="24" t="str">
        <x:v>2002</x:v>
      </x:c>
      <x:c r="G82" s="24" t="str">
        <x:v>Novel series</x:v>
      </x:c>
      <x:c r="H82" s="24" t="str">
        <x:v>Tier 2</x:v>
      </x:c>
      <x:c r="I82" s="24" t="str">
        <x:v>Dragon riders, magical language, elves/dwarves, empire, chosen farmboy hero.</x:v>
      </x:c>
      <x:c r="J82" s="24" t="str">
        <x:v>Treat adaptations/editions separately when taxonomically material.</x:v>
      </x:c>
      <x:c r="K82" s="84" t="str">
        <x:v>https://en.wikipedia.org/wiki/The_Inheritance_Cycle</x:v>
      </x:c>
      <x:c r="L82" s="24" t="str">
        <x:v>Included</x:v>
      </x:c>
    </x:row>
    <x:row r="83" ht="42" customHeight="1">
      <x:c r="A83" s="24" t="str">
        <x:v>SRC-082</x:v>
      </x:c>
      <x:c r="B83" s="24" t="str">
        <x:v>The Deed of Paksenarrion</x:v>
      </x:c>
      <x:c r="C83" s="24" t="str">
        <x:v>Elizabeth Moon</x:v>
      </x:c>
      <x:c r="D83" s="24" t="str">
        <x:v>Literature</x:v>
      </x:c>
      <x:c r="E83" s="24" t="str">
        <x:v>United States</x:v>
      </x:c>
      <x:c r="F83" s="24" t="str">
        <x:v>1988–1989</x:v>
      </x:c>
      <x:c r="G83" s="24" t="str">
        <x:v>Novel trilogy and related works</x:v>
      </x:c>
      <x:c r="H83" s="24" t="str">
        <x:v>Tier 2</x:v>
      </x:c>
      <x:c r="I83" s="24" t="str">
        <x:v>Soldier-to-paladin progression, military life, divine vocation, oath and trauma.</x:v>
      </x:c>
      <x:c r="J83" s="24" t="str">
        <x:v>Treat adaptations/editions separately when taxonomically material.</x:v>
      </x:c>
      <x:c r="K83" s="84" t="str">
        <x:v>https://en.wikipedia.org/wiki/The_Deed_of_Paksenarrion</x:v>
      </x:c>
      <x:c r="L83" s="24" t="str">
        <x:v>Included</x:v>
      </x:c>
    </x:row>
    <x:row r="84" ht="42" customHeight="1">
      <x:c r="A84" s="24" t="str">
        <x:v>SRC-083</x:v>
      </x:c>
      <x:c r="B84" s="24" t="str">
        <x:v>The Dragonbone Chair / Osten Ard</x:v>
      </x:c>
      <x:c r="C84" s="24" t="str">
        <x:v>Tad Williams</x:v>
      </x:c>
      <x:c r="D84" s="24" t="str">
        <x:v>Literature</x:v>
      </x:c>
      <x:c r="E84" s="24" t="str">
        <x:v>United States</x:v>
      </x:c>
      <x:c r="F84" s="24" t="str">
        <x:v>1988 onward</x:v>
      </x:c>
      <x:c r="G84" s="24" t="str">
        <x:v>Osten Ard novels</x:v>
      </x:c>
      <x:c r="H84" s="24" t="str">
        <x:v>Tier 2</x:v>
      </x:c>
      <x:c r="I84" s="24" t="str">
        <x:v>Immortal elder peoples, court politics, kitchen-boy quest, legend becoming history.</x:v>
      </x:c>
      <x:c r="J84" s="24" t="str">
        <x:v>Treat adaptations/editions separately when taxonomically material.</x:v>
      </x:c>
      <x:c r="K84" s="84" t="str">
        <x:v>https://en.wikipedia.org/wiki/The_Dragonbone_Chair_%2F_Osten_Ard</x:v>
      </x:c>
      <x:c r="L84" s="24" t="str">
        <x:v>Included</x:v>
      </x:c>
    </x:row>
    <x:row r="85" ht="42" customHeight="1">
      <x:c r="A85" s="24" t="str">
        <x:v>SRC-084</x:v>
      </x:c>
      <x:c r="B85" s="24" t="str">
        <x:v>The Lions of Al-Rassan</x:v>
      </x:c>
      <x:c r="C85" s="24" t="str">
        <x:v>Guy Gavriel Kay</x:v>
      </x:c>
      <x:c r="D85" s="24" t="str">
        <x:v>Literature</x:v>
      </x:c>
      <x:c r="E85" s="24" t="str">
        <x:v>Canada / historical fantasy</x:v>
      </x:c>
      <x:c r="F85" s="24" t="str">
        <x:v>1995</x:v>
      </x:c>
      <x:c r="G85" s="24" t="str">
        <x:v>Standalone novel</x:v>
      </x:c>
      <x:c r="H85" s="24" t="str">
        <x:v>Tier 2</x:v>
      </x:c>
      <x:c r="I85" s="24" t="str">
        <x:v>Analogical history, warrior-poet, physician, divided faiths, cultural hybridity.</x:v>
      </x:c>
      <x:c r="J85" s="24" t="str">
        <x:v>Treat adaptations/editions separately when taxonomically material.</x:v>
      </x:c>
      <x:c r="K85" s="84" t="str">
        <x:v>https://en.wikipedia.org/wiki/The_Lions_of_Al-Rassan</x:v>
      </x:c>
      <x:c r="L85" s="24" t="str">
        <x:v>Included</x:v>
      </x:c>
    </x:row>
    <x:row r="86" ht="42" customHeight="1">
      <x:c r="A86" s="24" t="str">
        <x:v>SRC-085</x:v>
      </x:c>
      <x:c r="B86" s="24" t="str">
        <x:v>The Books of Earthsea</x:v>
      </x:c>
      <x:c r="C86" s="24" t="str">
        <x:v>Ursula K. Le Guin</x:v>
      </x:c>
      <x:c r="D86" s="24" t="str">
        <x:v>Literature</x:v>
      </x:c>
      <x:c r="E86" s="24" t="str">
        <x:v>United States</x:v>
      </x:c>
      <x:c r="F86" s="24" t="str">
        <x:v>1968–2001</x:v>
      </x:c>
      <x:c r="G86" s="24" t="str">
        <x:v>Full Earthsea cycle</x:v>
      </x:c>
      <x:c r="H86" s="24" t="str">
        <x:v>Tier 1</x:v>
      </x:c>
      <x:c r="I86" s="24" t="str">
        <x:v>Naming, wizard institution, gender critique, dragons, balance, archipelago cultures.</x:v>
      </x:c>
      <x:c r="J86" s="24" t="str">
        <x:v>Treat adaptations/editions separately when taxonomically material.</x:v>
      </x:c>
      <x:c r="K86" s="84" t="str">
        <x:v>https://en.wikipedia.org/wiki/The_Books_of_Earthsea</x:v>
      </x:c>
      <x:c r="L86" s="24" t="str">
        <x:v>Included</x:v>
      </x:c>
    </x:row>
    <x:row r="87" ht="42" customHeight="1">
      <x:c r="A87" s="24" t="str">
        <x:v>SRC-086</x:v>
      </x:c>
      <x:c r="B87" s="24" t="str">
        <x:v>The Spear Cuts Through Water</x:v>
      </x:c>
      <x:c r="C87" s="24" t="str">
        <x:v>Simon Jimenez</x:v>
      </x:c>
      <x:c r="D87" s="24" t="str">
        <x:v>Literature</x:v>
      </x:c>
      <x:c r="E87" s="24" t="str">
        <x:v>United States / Filipino-American</x:v>
      </x:c>
      <x:c r="F87" s="24" t="str">
        <x:v>2022</x:v>
      </x:c>
      <x:c r="G87" s="24" t="str">
        <x:v>Standalone novel</x:v>
      </x:c>
      <x:c r="H87" s="24" t="str">
        <x:v>Tier 2</x:v>
      </x:c>
      <x:c r="I87" s="24" t="str">
        <x:v>Epic journey, moon goddess, mythic frame, authoritarian empire, theatrical narration.</x:v>
      </x:c>
      <x:c r="J87" s="24" t="str">
        <x:v>Treat adaptations/editions separately when taxonomically material.</x:v>
      </x:c>
      <x:c r="K87" s="84" t="str">
        <x:v>https://en.wikipedia.org/wiki/The_Spear_Cuts_Through_Water</x:v>
      </x:c>
      <x:c r="L87" s="24" t="str">
        <x:v>Included</x:v>
      </x:c>
    </x:row>
    <x:row r="88" ht="42" customHeight="1">
      <x:c r="A88" s="24" t="str">
        <x:v>SRC-087</x:v>
      </x:c>
      <x:c r="B88" s="24" t="str">
        <x:v>The Jasmine Throne</x:v>
      </x:c>
      <x:c r="C88" s="24" t="str">
        <x:v>Tasha Suri</x:v>
      </x:c>
      <x:c r="D88" s="24" t="str">
        <x:v>Literature</x:v>
      </x:c>
      <x:c r="E88" s="24" t="str">
        <x:v>Britain / South Asian-inspired fantasy</x:v>
      </x:c>
      <x:c r="F88" s="24" t="str">
        <x:v>2021</x:v>
      </x:c>
      <x:c r="G88" s="24" t="str">
        <x:v>Burning Kingdoms series</x:v>
      </x:c>
      <x:c r="H88" s="24" t="str">
        <x:v>Tier 2</x:v>
      </x:c>
      <x:c r="I88" s="24" t="str">
        <x:v>Plant magic, empire, religious orders, queenship, rebellion, sacred ecology.</x:v>
      </x:c>
      <x:c r="J88" s="24" t="str">
        <x:v>Treat adaptations/editions separately when taxonomically material.</x:v>
      </x:c>
      <x:c r="K88" s="84" t="str">
        <x:v>https://en.wikipedia.org/wiki/The_Jasmine_Throne</x:v>
      </x:c>
      <x:c r="L88" s="24" t="str">
        <x:v>Included</x:v>
      </x:c>
    </x:row>
    <x:row r="89" ht="42" customHeight="1">
      <x:c r="A89" s="24" t="str">
        <x:v>SRC-088</x:v>
      </x:c>
      <x:c r="B89" s="24" t="str">
        <x:v>The Adventures of Amina al-Sirafi</x:v>
      </x:c>
      <x:c r="C89" s="24" t="str">
        <x:v>Shannon Chakraborty</x:v>
      </x:c>
      <x:c r="D89" s="24" t="str">
        <x:v>Literature</x:v>
      </x:c>
      <x:c r="E89" s="24" t="str">
        <x:v>United States / Indian Ocean fantasy</x:v>
      </x:c>
      <x:c r="F89" s="24" t="str">
        <x:v>2023</x:v>
      </x:c>
      <x:c r="G89" s="24" t="str">
        <x:v>Novel series</x:v>
      </x:c>
      <x:c r="H89" s="24" t="str">
        <x:v>Tier 2</x:v>
      </x:c>
      <x:c r="I89" s="24" t="str">
        <x:v>Pirate captain, djinn, maritime trade, aging adventurer, Islamic-world setting.</x:v>
      </x:c>
      <x:c r="J89" s="24" t="str">
        <x:v>Treat adaptations/editions separately when taxonomically material.</x:v>
      </x:c>
      <x:c r="K89" s="84" t="str">
        <x:v>https://en.wikipedia.org/wiki/The_Adventures_of_Amina_al-Sirafi</x:v>
      </x:c>
      <x:c r="L89" s="24" t="str">
        <x:v>Included</x:v>
      </x:c>
    </x:row>
    <x:row r="90" ht="42" customHeight="1">
      <x:c r="A90" s="24" t="str">
        <x:v>SRC-089</x:v>
      </x:c>
      <x:c r="B90" s="24" t="str">
        <x:v>Dungeons &amp; Dragons</x:v>
      </x:c>
      <x:c r="C90" s="24" t="str">
        <x:v>Wizards of the Coast and predecessor TSR</x:v>
      </x:c>
      <x:c r="D90" s="24" t="str">
        <x:v>Tabletop RPG</x:v>
      </x:c>
      <x:c r="E90" s="24" t="str">
        <x:v>United States</x:v>
      </x:c>
      <x:c r="F90" s="24" t="str">
        <x:v>1974</x:v>
      </x:c>
      <x:c r="G90" s="24" t="str">
        <x:v>Editions and settings tracked separately</x:v>
      </x:c>
      <x:c r="H90" s="24" t="str">
        <x:v>Tier 1</x:v>
      </x:c>
      <x:c r="I90" s="24" t="str">
        <x:v>Formal race/class taxonomy, alignment, monster types, spell schools, party roles.</x:v>
      </x:c>
      <x:c r="J90" s="24" t="str">
        <x:v>Separate 2014, 2024, and earlier rules when mechanics or terminology differ.</x:v>
      </x:c>
      <x:c r="K90" s="84" t="str">
        <x:v>https://www.dndbeyond.com/sources/dnd/br-2024/character-classes</x:v>
      </x:c>
      <x:c r="L90" s="24" t="str">
        <x:v>Included</x:v>
      </x:c>
    </x:row>
    <x:row r="91" ht="42" customHeight="1">
      <x:c r="A91" s="24" t="str">
        <x:v>SRC-090</x:v>
      </x:c>
      <x:c r="B91" s="24" t="str">
        <x:v>Forgotten Realms</x:v>
      </x:c>
      <x:c r="C91" s="24" t="str">
        <x:v>Ed Greenwood; TSR/Wizards of the Coast</x:v>
      </x:c>
      <x:c r="D91" s="24" t="str">
        <x:v>Tabletop RPG Setting</x:v>
      </x:c>
      <x:c r="E91" s="24" t="str">
        <x:v>United States</x:v>
      </x:c>
      <x:c r="F91" s="24" t="str">
        <x:v>1987 publication</x:v>
      </x:c>
      <x:c r="G91" s="24" t="str">
        <x:v>D&amp;D setting across editions and media</x:v>
      </x:c>
      <x:c r="H91" s="24" t="str">
        <x:v>Tier 1</x:v>
      </x:c>
      <x:c r="I91" s="24" t="str">
        <x:v>Large shared-world catalogue of peoples, classes, deities, factions, and regional cultures.</x:v>
      </x:c>
      <x:c r="J91" s="24" t="str">
        <x:v>Treat adaptations/editions separately when taxonomically material.</x:v>
      </x:c>
      <x:c r="K91" s="84" t="str">
        <x:v>https://en.wikipedia.org/wiki/Forgotten_Realms</x:v>
      </x:c>
      <x:c r="L91" s="24" t="str">
        <x:v>Included</x:v>
      </x:c>
    </x:row>
    <x:row r="92" ht="42" customHeight="1">
      <x:c r="A92" s="24" t="str">
        <x:v>SRC-091</x:v>
      </x:c>
      <x:c r="B92" s="24" t="str">
        <x:v>Greyhawk</x:v>
      </x:c>
      <x:c r="C92" s="24" t="str">
        <x:v>Gary Gygax; TSR/Wizards of the Coast</x:v>
      </x:c>
      <x:c r="D92" s="24" t="str">
        <x:v>Tabletop RPG Setting</x:v>
      </x:c>
      <x:c r="E92" s="24" t="str">
        <x:v>United States</x:v>
      </x:c>
      <x:c r="F92" s="24" t="str">
        <x:v>1975</x:v>
      </x:c>
      <x:c r="G92" s="24" t="str">
        <x:v>D&amp;D setting across editions</x:v>
      </x:c>
      <x:c r="H92" s="24" t="str">
        <x:v>Tier 2</x:v>
      </x:c>
      <x:c r="I92" s="24" t="str">
        <x:v>Early codification of fantasy classes, alignment, monsters, and adventure geography.</x:v>
      </x:c>
      <x:c r="J92" s="24" t="str">
        <x:v>Treat adaptations/editions separately when taxonomically material.</x:v>
      </x:c>
      <x:c r="K92" s="84" t="str">
        <x:v>https://en.wikipedia.org/wiki/Greyhawk</x:v>
      </x:c>
      <x:c r="L92" s="24" t="str">
        <x:v>Included</x:v>
      </x:c>
    </x:row>
    <x:row r="93" ht="42" customHeight="1">
      <x:c r="A93" s="24" t="str">
        <x:v>SRC-092</x:v>
      </x:c>
      <x:c r="B93" s="24" t="str">
        <x:v>Dragonlance</x:v>
      </x:c>
      <x:c r="C93" s="24" t="str">
        <x:v>Laura and Tracy Hickman; Margaret Weis; TSR/Wizards</x:v>
      </x:c>
      <x:c r="D93" s="24" t="str">
        <x:v>Tabletop RPG / Literature Setting</x:v>
      </x:c>
      <x:c r="E93" s="24" t="str">
        <x:v>United States</x:v>
      </x:c>
      <x:c r="F93" s="24" t="str">
        <x:v>1984</x:v>
      </x:c>
      <x:c r="G93" s="24" t="str">
        <x:v>D&amp;D setting, novels, and games</x:v>
      </x:c>
      <x:c r="H93" s="24" t="str">
        <x:v>Tier 1</x:v>
      </x:c>
      <x:c r="I93" s="24" t="str">
        <x:v>Knightly orders, wizard robes, kender, draconians, dragon armies, divine return.</x:v>
      </x:c>
      <x:c r="J93" s="24" t="str">
        <x:v>Treat adaptations/editions separately when taxonomically material.</x:v>
      </x:c>
      <x:c r="K93" s="84" t="str">
        <x:v>https://en.wikipedia.org/wiki/Dragonlance</x:v>
      </x:c>
      <x:c r="L93" s="24" t="str">
        <x:v>Included</x:v>
      </x:c>
    </x:row>
    <x:row r="94" ht="42" customHeight="1">
      <x:c r="A94" s="24" t="str">
        <x:v>SRC-093</x:v>
      </x:c>
      <x:c r="B94" s="24" t="str">
        <x:v>Eberron</x:v>
      </x:c>
      <x:c r="C94" s="24" t="str">
        <x:v>Keith Baker; Wizards of the Coast</x:v>
      </x:c>
      <x:c r="D94" s="24" t="str">
        <x:v>Tabletop RPG Setting</x:v>
      </x:c>
      <x:c r="E94" s="24" t="str">
        <x:v>United States</x:v>
      </x:c>
      <x:c r="F94" s="24" t="str">
        <x:v>2004</x:v>
      </x:c>
      <x:c r="G94" s="24" t="str">
        <x:v>D&amp;D setting across editions</x:v>
      </x:c>
      <x:c r="H94" s="24" t="str">
        <x:v>Tier 1</x:v>
      </x:c>
      <x:c r="I94" s="24" t="str">
        <x:v>Warforged, dragonmarks, pulp roles, magitech industry, noir institutions, monstrous nations.</x:v>
      </x:c>
      <x:c r="J94" s="24" t="str">
        <x:v>Treat adaptations/editions separately when taxonomically material.</x:v>
      </x:c>
      <x:c r="K94" s="84" t="str">
        <x:v>https://en.wikipedia.org/wiki/Eberron</x:v>
      </x:c>
      <x:c r="L94" s="24" t="str">
        <x:v>Included</x:v>
      </x:c>
    </x:row>
    <x:row r="95" ht="42" customHeight="1">
      <x:c r="A95" s="24" t="str">
        <x:v>SRC-094</x:v>
      </x:c>
      <x:c r="B95" s="24" t="str">
        <x:v>Dark Sun</x:v>
      </x:c>
      <x:c r="C95" s="24" t="str">
        <x:v>Troy Denning and Timothy Brown; TSR/Wizards</x:v>
      </x:c>
      <x:c r="D95" s="24" t="str">
        <x:v>Tabletop RPG Setting</x:v>
      </x:c>
      <x:c r="E95" s="24" t="str">
        <x:v>United States</x:v>
      </x:c>
      <x:c r="F95" s="24" t="str">
        <x:v>1991</x:v>
      </x:c>
      <x:c r="G95" s="24" t="str">
        <x:v>D&amp;D setting across editions</x:v>
      </x:c>
      <x:c r="H95" s="24" t="str">
        <x:v>Tier 1</x:v>
      </x:c>
      <x:c r="I95" s="24" t="str">
        <x:v>Post-apocalyptic ecology, psionics, sorcerer-kings, altered peoples, survival classes.</x:v>
      </x:c>
      <x:c r="J95" s="24" t="str">
        <x:v>Treat adaptations/editions separately when taxonomically material.</x:v>
      </x:c>
      <x:c r="K95" s="84" t="str">
        <x:v>https://en.wikipedia.org/wiki/Dark_Sun</x:v>
      </x:c>
      <x:c r="L95" s="24" t="str">
        <x:v>Included</x:v>
      </x:c>
    </x:row>
    <x:row r="96" ht="42" customHeight="1">
      <x:c r="A96" s="24" t="str">
        <x:v>SRC-095</x:v>
      </x:c>
      <x:c r="B96" s="24" t="str">
        <x:v>Planescape</x:v>
      </x:c>
      <x:c r="C96" s="24" t="str">
        <x:v>David Cook and TSR/Wizards</x:v>
      </x:c>
      <x:c r="D96" s="24" t="str">
        <x:v>Tabletop RPG Setting</x:v>
      </x:c>
      <x:c r="E96" s="24" t="str">
        <x:v>United States</x:v>
      </x:c>
      <x:c r="F96" s="24" t="str">
        <x:v>1994</x:v>
      </x:c>
      <x:c r="G96" s="24" t="str">
        <x:v>D&amp;D setting and adaptations</x:v>
      </x:c>
      <x:c r="H96" s="24" t="str">
        <x:v>Tier 1</x:v>
      </x:c>
      <x:c r="I96" s="24" t="str">
        <x:v>Planar peoples, factions as philosophical classes, celestials/fiends, multiversal city.</x:v>
      </x:c>
      <x:c r="J96" s="24" t="str">
        <x:v>Treat adaptations/editions separately when taxonomically material.</x:v>
      </x:c>
      <x:c r="K96" s="84" t="str">
        <x:v>https://en.wikipedia.org/wiki/Planescape</x:v>
      </x:c>
      <x:c r="L96" s="24" t="str">
        <x:v>Included</x:v>
      </x:c>
    </x:row>
    <x:row r="97" ht="42" customHeight="1">
      <x:c r="A97" s="24" t="str">
        <x:v>SRC-096</x:v>
      </x:c>
      <x:c r="B97" s="24" t="str">
        <x:v>Ravenloft</x:v>
      </x:c>
      <x:c r="C97" s="24" t="str">
        <x:v>Tracy and Laura Hickman; TSR/Wizards</x:v>
      </x:c>
      <x:c r="D97" s="24" t="str">
        <x:v>Tabletop RPG Setting</x:v>
      </x:c>
      <x:c r="E97" s="24" t="str">
        <x:v>United States</x:v>
      </x:c>
      <x:c r="F97" s="24" t="str">
        <x:v>1983/1990 setting</x:v>
      </x:c>
      <x:c r="G97" s="24" t="str">
        <x:v>D&amp;D setting across editions</x:v>
      </x:c>
      <x:c r="H97" s="24" t="str">
        <x:v>Tier 1</x:v>
      </x:c>
      <x:c r="I97" s="24" t="str">
        <x:v>Darklords, gothic monsters, curses, domains, horror transformation and moral pressure.</x:v>
      </x:c>
      <x:c r="J97" s="24" t="str">
        <x:v>Treat adaptations/editions separately when taxonomically material.</x:v>
      </x:c>
      <x:c r="K97" s="84" t="str">
        <x:v>https://en.wikipedia.org/wiki/Ravenloft</x:v>
      </x:c>
      <x:c r="L97" s="24" t="str">
        <x:v>Included</x:v>
      </x:c>
    </x:row>
    <x:row r="98" ht="42" customHeight="1">
      <x:c r="A98" s="24" t="str">
        <x:v>SRC-097</x:v>
      </x:c>
      <x:c r="B98" s="24" t="str">
        <x:v>Spelljammer</x:v>
      </x:c>
      <x:c r="C98" s="24" t="str">
        <x:v>Jeff Grubb; TSR/Wizards</x:v>
      </x:c>
      <x:c r="D98" s="24" t="str">
        <x:v>Tabletop RPG Setting</x:v>
      </x:c>
      <x:c r="E98" s="24" t="str">
        <x:v>United States</x:v>
      </x:c>
      <x:c r="F98" s="24" t="str">
        <x:v>1989</x:v>
      </x:c>
      <x:c r="G98" s="24" t="str">
        <x:v>D&amp;D science-fantasy setting</x:v>
      </x:c>
      <x:c r="H98" s="24" t="str">
        <x:v>Tier 2</x:v>
      </x:c>
      <x:c r="I98" s="24" t="str">
        <x:v>Spacefaring fantasy peoples, magical ships, multiverse travel, hybrid genre classes.</x:v>
      </x:c>
      <x:c r="J98" s="24" t="str">
        <x:v>Treat adaptations/editions separately when taxonomically material.</x:v>
      </x:c>
      <x:c r="K98" s="84" t="str">
        <x:v>https://en.wikipedia.org/wiki/Spelljammer</x:v>
      </x:c>
      <x:c r="L98" s="24" t="str">
        <x:v>Included</x:v>
      </x:c>
    </x:row>
    <x:row r="99" ht="42" customHeight="1">
      <x:c r="A99" s="24" t="str">
        <x:v>SRC-098</x:v>
      </x:c>
      <x:c r="B99" s="24" t="str">
        <x:v>Pathfinder / Golarion</x:v>
      </x:c>
      <x:c r="C99" s="24" t="str">
        <x:v>Paizo</x:v>
      </x:c>
      <x:c r="D99" s="24" t="str">
        <x:v>Tabletop RPG / Setting</x:v>
      </x:c>
      <x:c r="E99" s="24" t="str">
        <x:v>United States</x:v>
      </x:c>
      <x:c r="F99" s="24" t="str">
        <x:v>2009</x:v>
      </x:c>
      <x:c r="G99" s="24" t="str">
        <x:v>Editions and setting books</x:v>
      </x:c>
      <x:c r="H99" s="24" t="str">
        <x:v>Tier 1</x:v>
      </x:c>
      <x:c r="I99" s="24" t="str">
        <x:v>Extensive ancestry/class system, archetypes, deities, regions, monsters, evolving terminology.</x:v>
      </x:c>
      <x:c r="J99" s="24" t="str">
        <x:v>Treat adaptations/editions separately when taxonomically material.</x:v>
      </x:c>
      <x:c r="K99" s="84" t="str">
        <x:v>https://en.wikipedia.org/wiki/Pathfinder_%2F_Golarion</x:v>
      </x:c>
      <x:c r="L99" s="24" t="str">
        <x:v>Included</x:v>
      </x:c>
    </x:row>
    <x:row r="100" ht="42" customHeight="1">
      <x:c r="A100" s="24" t="str">
        <x:v>SRC-099</x:v>
      </x:c>
      <x:c r="B100" s="24" t="str">
        <x:v>RuneQuest / Glorantha</x:v>
      </x:c>
      <x:c r="C100" s="24" t="str">
        <x:v>Greg Stafford; Chaosium and others</x:v>
      </x:c>
      <x:c r="D100" s="24" t="str">
        <x:v>Tabletop RPG / Setting</x:v>
      </x:c>
      <x:c r="E100" s="24" t="str">
        <x:v>United States</x:v>
      </x:c>
      <x:c r="F100" s="24" t="str">
        <x:v>1978</x:v>
      </x:c>
      <x:c r="G100" s="24" t="str">
        <x:v>Glorantha across games and fiction</x:v>
      </x:c>
      <x:c r="H100" s="24" t="str">
        <x:v>Tier 1</x:v>
      </x:c>
      <x:c r="I100" s="24" t="str">
        <x:v>Cult membership as class-like identity, mythic time, runes, species-specific cultures, heroquesting.</x:v>
      </x:c>
      <x:c r="J100" s="24" t="str">
        <x:v>Treat adaptations/editions separately when taxonomically material.</x:v>
      </x:c>
      <x:c r="K100" s="84" t="str">
        <x:v>https://en.wikipedia.org/wiki/RuneQuest_%2F_Glorantha</x:v>
      </x:c>
      <x:c r="L100" s="24" t="str">
        <x:v>Included</x:v>
      </x:c>
    </x:row>
    <x:row r="101" ht="42" customHeight="1">
      <x:c r="A101" s="24" t="str">
        <x:v>SRC-100</x:v>
      </x:c>
      <x:c r="B101" s="24" t="str">
        <x:v>Warhammer Fantasy Roleplay</x:v>
      </x:c>
      <x:c r="C101" s="24" t="str">
        <x:v>Games Workshop and licensees</x:v>
      </x:c>
      <x:c r="D101" s="24" t="str">
        <x:v>Tabletop RPG</x:v>
      </x:c>
      <x:c r="E101" s="24" t="str">
        <x:v>Britain</x:v>
      </x:c>
      <x:c r="F101" s="24" t="str">
        <x:v>1986</x:v>
      </x:c>
      <x:c r="G101" s="24" t="str">
        <x:v>Old World across editions</x:v>
      </x:c>
      <x:c r="H101" s="24" t="str">
        <x:v>Tier 1</x:v>
      </x:c>
      <x:c r="I101" s="24" t="str">
        <x:v>Career system, grim social professions, Chaos mutation, species, institutions, disease and corruption.</x:v>
      </x:c>
      <x:c r="J101" s="24" t="str">
        <x:v>Treat adaptations/editions separately when taxonomically material.</x:v>
      </x:c>
      <x:c r="K101" s="84" t="str">
        <x:v>https://en.wikipedia.org/wiki/Warhammer_Fantasy_Roleplay</x:v>
      </x:c>
      <x:c r="L101" s="24" t="str">
        <x:v>Included</x:v>
      </x:c>
    </x:row>
    <x:row r="102" ht="42" customHeight="1">
      <x:c r="A102" s="24" t="str">
        <x:v>SRC-101</x:v>
      </x:c>
      <x:c r="B102" s="24" t="str">
        <x:v>Warhammer: The Old World</x:v>
      </x:c>
      <x:c r="C102" s="24" t="str">
        <x:v>Games Workshop</x:v>
      </x:c>
      <x:c r="D102" s="24" t="str">
        <x:v>Miniatures Wargame / Setting</x:v>
      </x:c>
      <x:c r="E102" s="24" t="str">
        <x:v>Britain</x:v>
      </x:c>
      <x:c r="F102" s="24" t="str">
        <x:v>2024 revival; roots in 1983</x:v>
      </x:c>
      <x:c r="G102" s="24" t="str">
        <x:v>Warhammer Fantasy setting</x:v>
      </x:c>
      <x:c r="H102" s="24" t="str">
        <x:v>Tier 1</x:v>
      </x:c>
      <x:c r="I102" s="24" t="str">
        <x:v>Army factions as civilizational archetypes, species, cults, monsters, military roles.</x:v>
      </x:c>
      <x:c r="J102" s="24" t="str">
        <x:v>Track classic Warhammer Fantasy and current Old World publications separately.</x:v>
      </x:c>
      <x:c r="K102" s="84" t="str">
        <x:v>https://www.warhammer.com/en-US/explore/the-old-world</x:v>
      </x:c>
      <x:c r="L102" s="24" t="str">
        <x:v>Included</x:v>
      </x:c>
    </x:row>
    <x:row r="103" ht="42" customHeight="1">
      <x:c r="A103" s="24" t="str">
        <x:v>SRC-102</x:v>
      </x:c>
      <x:c r="B103" s="24" t="str">
        <x:v>Warhammer Age of Sigmar</x:v>
      </x:c>
      <x:c r="C103" s="24" t="str">
        <x:v>Games Workshop</x:v>
      </x:c>
      <x:c r="D103" s="24" t="str">
        <x:v>Miniatures Wargame / Setting</x:v>
      </x:c>
      <x:c r="E103" s="24" t="str">
        <x:v>Britain</x:v>
      </x:c>
      <x:c r="F103" s="24" t="str">
        <x:v>2015</x:v>
      </x:c>
      <x:c r="G103" s="24" t="str">
        <x:v>Mortal Realms setting</x:v>
      </x:c>
      <x:c r="H103" s="24" t="str">
        <x:v>Tier 1</x:v>
      </x:c>
      <x:c r="I103" s="24" t="str">
        <x:v>Mythic-scale factions, reforged warriors, gods, undead orders, chaos, realm-based peoples.</x:v>
      </x:c>
      <x:c r="J103" s="24" t="str">
        <x:v>Track separately from the Old World continuity.</x:v>
      </x:c>
      <x:c r="K103" s="84" t="str">
        <x:v>https://www.warhammer.com/en-US/explore/age-of-sigmar</x:v>
      </x:c>
      <x:c r="L103" s="24" t="str">
        <x:v>Included</x:v>
      </x:c>
    </x:row>
    <x:row r="104" ht="42" customHeight="1">
      <x:c r="A104" s="24" t="str">
        <x:v>SRC-103</x:v>
      </x:c>
      <x:c r="B104" s="24" t="str">
        <x:v>The One Ring</x:v>
      </x:c>
      <x:c r="C104" s="24" t="str">
        <x:v>Francesco Nepitello; Free League / Cubicle 7 editions</x:v>
      </x:c>
      <x:c r="D104" s="24" t="str">
        <x:v>Tabletop RPG</x:v>
      </x:c>
      <x:c r="E104" s="24" t="str">
        <x:v>Europe</x:v>
      </x:c>
      <x:c r="F104" s="24" t="str">
        <x:v>2011</x:v>
      </x:c>
      <x:c r="G104" s="24" t="str">
        <x:v>Licensed Tolkien RPG</x:v>
      </x:c>
      <x:c r="H104" s="24" t="str">
        <x:v>Tier 2</x:v>
      </x:c>
      <x:c r="I104" s="24" t="str">
        <x:v>Culture rather than race emphasis, callings, shadow burden, travel, fellowship and patronage.</x:v>
      </x:c>
      <x:c r="J104" s="24" t="str">
        <x:v>Treat adaptations/editions separately when taxonomically material.</x:v>
      </x:c>
      <x:c r="K104" s="84" t="str">
        <x:v>https://en.wikipedia.org/wiki/The_One_Ring</x:v>
      </x:c>
      <x:c r="L104" s="24" t="str">
        <x:v>Included</x:v>
      </x:c>
    </x:row>
    <x:row r="105" ht="42" customHeight="1">
      <x:c r="A105" s="24" t="str">
        <x:v>SRC-104</x:v>
      </x:c>
      <x:c r="B105" s="24" t="str">
        <x:v>Ars Magica</x:v>
      </x:c>
      <x:c r="C105" s="24" t="str">
        <x:v>Jonathan Tweet and Mark Rein-Hagen; Atlas Games</x:v>
      </x:c>
      <x:c r="D105" s="24" t="str">
        <x:v>Tabletop RPG</x:v>
      </x:c>
      <x:c r="E105" s="24" t="str">
        <x:v>United States</x:v>
      </x:c>
      <x:c r="F105" s="24" t="str">
        <x:v>1987</x:v>
      </x:c>
      <x:c r="G105" s="24" t="str">
        <x:v>Mythic Europe editions</x:v>
      </x:c>
      <x:c r="H105" s="24" t="str">
        <x:v>Tier 1</x:v>
      </x:c>
      <x:c r="I105" s="24" t="str">
        <x:v>Hermetic houses, rigorous magic arts, covenants, magi/companions/grogs social structure.</x:v>
      </x:c>
      <x:c r="J105" s="24" t="str">
        <x:v>Treat adaptations/editions separately when taxonomically material.</x:v>
      </x:c>
      <x:c r="K105" s="84" t="str">
        <x:v>https://en.wikipedia.org/wiki/Ars_Magica</x:v>
      </x:c>
      <x:c r="L105" s="24" t="str">
        <x:v>Included</x:v>
      </x:c>
    </x:row>
    <x:row r="106" ht="42" customHeight="1">
      <x:c r="A106" s="24" t="str">
        <x:v>SRC-105</x:v>
      </x:c>
      <x:c r="B106" s="24" t="str">
        <x:v>Exalted</x:v>
      </x:c>
      <x:c r="C106" s="24" t="str">
        <x:v>White Wolf / Onyx Path</x:v>
      </x:c>
      <x:c r="D106" s="24" t="str">
        <x:v>Tabletop RPG</x:v>
      </x:c>
      <x:c r="E106" s="24" t="str">
        <x:v>United States</x:v>
      </x:c>
      <x:c r="F106" s="24" t="str">
        <x:v>2001</x:v>
      </x:c>
      <x:c r="G106" s="24" t="str">
        <x:v>Editions and Creation setting</x:v>
      </x:c>
      <x:c r="H106" s="24" t="str">
        <x:v>Tier 1</x:v>
      </x:c>
      <x:c r="I106" s="24" t="str">
        <x:v>Exalt types, charms, martial arts, gods, spirits, demons, reincarnation, mythic power tiers.</x:v>
      </x:c>
      <x:c r="J106" s="24" t="str">
        <x:v>Treat adaptations/editions separately when taxonomically material.</x:v>
      </x:c>
      <x:c r="K106" s="84" t="str">
        <x:v>https://en.wikipedia.org/wiki/Exalted</x:v>
      </x:c>
      <x:c r="L106" s="24" t="str">
        <x:v>Included</x:v>
      </x:c>
    </x:row>
    <x:row r="107" ht="42" customHeight="1">
      <x:c r="A107" s="24" t="str">
        <x:v>SRC-106</x:v>
      </x:c>
      <x:c r="B107" s="24" t="str">
        <x:v>Earthdawn</x:v>
      </x:c>
      <x:c r="C107" s="24" t="str">
        <x:v>FASA and later publishers</x:v>
      </x:c>
      <x:c r="D107" s="24" t="str">
        <x:v>Tabletop RPG</x:v>
      </x:c>
      <x:c r="E107" s="24" t="str">
        <x:v>United States</x:v>
      </x:c>
      <x:c r="F107" s="24" t="str">
        <x:v>1993</x:v>
      </x:c>
      <x:c r="G107" s="24" t="str">
        <x:v>Barsaive setting across editions</x:v>
      </x:c>
      <x:c r="H107" s="24" t="str">
        <x:v>Tier 2</x:v>
      </x:c>
      <x:c r="I107" s="24" t="str">
        <x:v>Disciplines as metaphysical classes, Namegivers, Horrors, post-apocalyptic kaers.</x:v>
      </x:c>
      <x:c r="J107" s="24" t="str">
        <x:v>Treat adaptations/editions separately when taxonomically material.</x:v>
      </x:c>
      <x:c r="K107" s="84" t="str">
        <x:v>https://en.wikipedia.org/wiki/Earthdawn</x:v>
      </x:c>
      <x:c r="L107" s="24" t="str">
        <x:v>Included</x:v>
      </x:c>
    </x:row>
    <x:row r="108" ht="42" customHeight="1">
      <x:c r="A108" s="24" t="str">
        <x:v>SRC-107</x:v>
      </x:c>
      <x:c r="B108" s="24" t="str">
        <x:v>Shadowrun</x:v>
      </x:c>
      <x:c r="C108" s="24" t="str">
        <x:v>FASA and later Catalyst Game Labs</x:v>
      </x:c>
      <x:c r="D108" s="24" t="str">
        <x:v>Tabletop RPG / Science Fantasy</x:v>
      </x:c>
      <x:c r="E108" s="24" t="str">
        <x:v>United States</x:v>
      </x:c>
      <x:c r="F108" s="24" t="str">
        <x:v>1989</x:v>
      </x:c>
      <x:c r="G108" s="24" t="str">
        <x:v>Editions and media</x:v>
      </x:c>
      <x:c r="H108" s="24" t="str">
        <x:v>Tier 2</x:v>
      </x:c>
      <x:c r="I108" s="24" t="str">
        <x:v>Fantasy peoples in cyberpunk society, shamans, mages, technomancers, corporations.</x:v>
      </x:c>
      <x:c r="J108" s="24" t="str">
        <x:v>Treat adaptations/editions separately when taxonomically material.</x:v>
      </x:c>
      <x:c r="K108" s="84" t="str">
        <x:v>https://en.wikipedia.org/wiki/Shadowrun</x:v>
      </x:c>
      <x:c r="L108" s="24" t="str">
        <x:v>Included</x:v>
      </x:c>
    </x:row>
    <x:row r="109" ht="42" customHeight="1">
      <x:c r="A109" s="24" t="str">
        <x:v>SRC-108</x:v>
      </x:c>
      <x:c r="B109" s="24" t="str">
        <x:v>World of Darkness</x:v>
      </x:c>
      <x:c r="C109" s="24" t="str">
        <x:v>White Wolf / Paradox</x:v>
      </x:c>
      <x:c r="D109" s="24" t="str">
        <x:v>Tabletop RPG / Shared Setting</x:v>
      </x:c>
      <x:c r="E109" s="24" t="str">
        <x:v>United States</x:v>
      </x:c>
      <x:c r="F109" s="24" t="str">
        <x:v>1991 onward</x:v>
      </x:c>
      <x:c r="G109" s="24" t="str">
        <x:v>Vampire, Werewolf, Mage and related lines</x:v>
      </x:c>
      <x:c r="H109" s="24" t="str">
        <x:v>Tier 2</x:v>
      </x:c>
      <x:c r="I109" s="24" t="str">
        <x:v>Supernatural conditions as societies, clans/tribes/traditions, urban occult institutions.</x:v>
      </x:c>
      <x:c r="J109" s="24" t="str">
        <x:v>Treat adaptations/editions separately when taxonomically material.</x:v>
      </x:c>
      <x:c r="K109" s="84" t="str">
        <x:v>https://en.wikipedia.org/wiki/World_of_Darkness</x:v>
      </x:c>
      <x:c r="L109" s="24" t="str">
        <x:v>Included</x:v>
      </x:c>
    </x:row>
    <x:row r="110" ht="42" customHeight="1">
      <x:c r="A110" s="24" t="str">
        <x:v>SRC-109</x:v>
      </x:c>
      <x:c r="B110" s="24" t="str">
        <x:v>The Dark Eye</x:v>
      </x:c>
      <x:c r="C110" s="24" t="str">
        <x:v>Ulrich Kiesow and Ulisses Spiele</x:v>
      </x:c>
      <x:c r="D110" s="24" t="str">
        <x:v>Tabletop RPG</x:v>
      </x:c>
      <x:c r="E110" s="24" t="str">
        <x:v>Germany</x:v>
      </x:c>
      <x:c r="F110" s="24" t="str">
        <x:v>1984</x:v>
      </x:c>
      <x:c r="G110" s="24" t="str">
        <x:v>Aventuria across editions</x:v>
      </x:c>
      <x:c r="H110" s="24" t="str">
        <x:v>Tier 2</x:v>
      </x:c>
      <x:c r="I110" s="24" t="str">
        <x:v>European continental fantasy careers, cultures, magic traditions, gods, regional detail.</x:v>
      </x:c>
      <x:c r="J110" s="24" t="str">
        <x:v>Treat adaptations/editions separately when taxonomically material.</x:v>
      </x:c>
      <x:c r="K110" s="84" t="str">
        <x:v>https://en.wikipedia.org/wiki/The_Dark_Eye</x:v>
      </x:c>
      <x:c r="L110" s="24" t="str">
        <x:v>Included</x:v>
      </x:c>
    </x:row>
    <x:row r="111" ht="42" customHeight="1">
      <x:c r="A111" s="24" t="str">
        <x:v>SRC-110</x:v>
      </x:c>
      <x:c r="B111" s="24" t="str">
        <x:v>Legend of the Five Rings</x:v>
      </x:c>
      <x:c r="C111" s="24" t="str">
        <x:v>Alderac, Fantasy Flight, Edge</x:v>
      </x:c>
      <x:c r="D111" s="24" t="str">
        <x:v>Tabletop RPG / Card Game Setting</x:v>
      </x:c>
      <x:c r="E111" s="24" t="str">
        <x:v>United States / Japanese-inspired fantasy</x:v>
      </x:c>
      <x:c r="F111" s="24" t="str">
        <x:v>1995</x:v>
      </x:c>
      <x:c r="G111" s="24" t="str">
        <x:v>Rokugan across editions</x:v>
      </x:c>
      <x:c r="H111" s="24" t="str">
        <x:v>Tier 1</x:v>
      </x:c>
      <x:c r="I111" s="24" t="str">
        <x:v>Clan roles, samurai, shugenja, courtiers, monks, honor, spirits and cultural adaptation.</x:v>
      </x:c>
      <x:c r="J111" s="24" t="str">
        <x:v>Treat adaptations/editions separately when taxonomically material.</x:v>
      </x:c>
      <x:c r="K111" s="84" t="str">
        <x:v>https://en.wikipedia.org/wiki/Legend_of_the_Five_Rings</x:v>
      </x:c>
      <x:c r="L111" s="24" t="str">
        <x:v>Included</x:v>
      </x:c>
    </x:row>
    <x:row r="112" ht="42" customHeight="1">
      <x:c r="A112" s="24" t="str">
        <x:v>SRC-111</x:v>
      </x:c>
      <x:c r="B112" s="24" t="str">
        <x:v>13th Age</x:v>
      </x:c>
      <x:c r="C112" s="24" t="str">
        <x:v>Rob Heinsoo and Jonathan Tweet</x:v>
      </x:c>
      <x:c r="D112" s="24" t="str">
        <x:v>Tabletop RPG</x:v>
      </x:c>
      <x:c r="E112" s="24" t="str">
        <x:v>United States</x:v>
      </x:c>
      <x:c r="F112" s="24" t="str">
        <x:v>2013</x:v>
      </x:c>
      <x:c r="G112" s="24" t="str">
        <x:v>Dragon Empire setting</x:v>
      </x:c>
      <x:c r="H112" s="24" t="str">
        <x:v>Tier 2</x:v>
      </x:c>
      <x:c r="I112" s="24" t="str">
        <x:v>Icons, flexible backgrounds, modernized classes, narrative relationship mechanics.</x:v>
      </x:c>
      <x:c r="J112" s="24" t="str">
        <x:v>Treat adaptations/editions separately when taxonomically material.</x:v>
      </x:c>
      <x:c r="K112" s="84" t="str">
        <x:v>https://en.wikipedia.org/wiki/13th_Age</x:v>
      </x:c>
      <x:c r="L112" s="24" t="str">
        <x:v>Included</x:v>
      </x:c>
    </x:row>
    <x:row r="113" ht="42" customHeight="1">
      <x:c r="A113" s="24" t="str">
        <x:v>SRC-112</x:v>
      </x:c>
      <x:c r="B113" s="24" t="str">
        <x:v>Dungeon World</x:v>
      </x:c>
      <x:c r="C113" s="24" t="str">
        <x:v>Sage LaTorra and Adam Koebel</x:v>
      </x:c>
      <x:c r="D113" s="24" t="str">
        <x:v>Tabletop RPG</x:v>
      </x:c>
      <x:c r="E113" s="24" t="str">
        <x:v>United States</x:v>
      </x:c>
      <x:c r="F113" s="24" t="str">
        <x:v>2012</x:v>
      </x:c>
      <x:c r="G113" s="24" t="str">
        <x:v>Powered by the Apocalypse fantasy game</x:v>
      </x:c>
      <x:c r="H113" s="24" t="str">
        <x:v>Tier 2</x:v>
      </x:c>
      <x:c r="I113" s="24" t="str">
        <x:v>Genre playbooks as narrative class archetypes and fiction-first moves.</x:v>
      </x:c>
      <x:c r="J113" s="24" t="str">
        <x:v>Treat adaptations/editions separately when taxonomically material.</x:v>
      </x:c>
      <x:c r="K113" s="84" t="str">
        <x:v>https://en.wikipedia.org/wiki/Dungeon_World</x:v>
      </x:c>
      <x:c r="L113" s="24" t="str">
        <x:v>Included</x:v>
      </x:c>
    </x:row>
    <x:row r="114" ht="42" customHeight="1">
      <x:c r="A114" s="24" t="str">
        <x:v>SRC-113</x:v>
      </x:c>
      <x:c r="B114" s="24" t="str">
        <x:v>Blades in the Dark</x:v>
      </x:c>
      <x:c r="C114" s="24" t="str">
        <x:v>John Harper</x:v>
      </x:c>
      <x:c r="D114" s="24" t="str">
        <x:v>Tabletop RPG</x:v>
      </x:c>
      <x:c r="E114" s="24" t="str">
        <x:v>United States</x:v>
      </x:c>
      <x:c r="F114" s="24" t="str">
        <x:v>2017</x:v>
      </x:c>
      <x:c r="G114" s="24" t="str">
        <x:v>Doskvol setting</x:v>
      </x:c>
      <x:c r="H114" s="24" t="str">
        <x:v>Tier 2</x:v>
      </x:c>
      <x:c r="I114" s="24" t="str">
        <x:v>Criminal crew types, playbooks, ghosts, industrial occult city, faction clocks.</x:v>
      </x:c>
      <x:c r="J114" s="24" t="str">
        <x:v>Treat adaptations/editions separately when taxonomically material.</x:v>
      </x:c>
      <x:c r="K114" s="84" t="str">
        <x:v>https://en.wikipedia.org/wiki/Blades_in_the_Dark</x:v>
      </x:c>
      <x:c r="L114" s="24" t="str">
        <x:v>Included</x:v>
      </x:c>
    </x:row>
    <x:row r="115" ht="42" customHeight="1">
      <x:c r="A115" s="24" t="str">
        <x:v>SRC-114</x:v>
      </x:c>
      <x:c r="B115" s="24" t="str">
        <x:v>Burning Wheel</x:v>
      </x:c>
      <x:c r="C115" s="24" t="str">
        <x:v>Luke Crane</x:v>
      </x:c>
      <x:c r="D115" s="24" t="str">
        <x:v>Tabletop RPG</x:v>
      </x:c>
      <x:c r="E115" s="24" t="str">
        <x:v>United States</x:v>
      </x:c>
      <x:c r="F115" s="24" t="str">
        <x:v>2002</x:v>
      </x:c>
      <x:c r="G115" s="24" t="str">
        <x:v>Fantasy system and settings</x:v>
      </x:c>
      <x:c r="H115" s="24" t="str">
        <x:v>Tier 2</x:v>
      </x:c>
      <x:c r="I115" s="24" t="str">
        <x:v>Lifepaths, beliefs, species-specific mechanics, social conflict, skill-based identity.</x:v>
      </x:c>
      <x:c r="J115" s="24" t="str">
        <x:v>Treat adaptations/editions separately when taxonomically material.</x:v>
      </x:c>
      <x:c r="K115" s="84" t="str">
        <x:v>https://en.wikipedia.org/wiki/Burning_Wheel</x:v>
      </x:c>
      <x:c r="L115" s="24" t="str">
        <x:v>Included</x:v>
      </x:c>
    </x:row>
    <x:row r="116" ht="42" customHeight="1">
      <x:c r="A116" s="24" t="str">
        <x:v>SRC-115</x:v>
      </x:c>
      <x:c r="B116" s="24" t="str">
        <x:v>Symbaroum</x:v>
      </x:c>
      <x:c r="C116" s="24" t="str">
        <x:v>Järnringen / Free League</x:v>
      </x:c>
      <x:c r="D116" s="24" t="str">
        <x:v>Tabletop RPG</x:v>
      </x:c>
      <x:c r="E116" s="24" t="str">
        <x:v>Sweden</x:v>
      </x:c>
      <x:c r="F116" s="24" t="str">
        <x:v>2014</x:v>
      </x:c>
      <x:c r="G116" s="24" t="str">
        <x:v>Davokar setting</x:v>
      </x:c>
      <x:c r="H116" s="24" t="str">
        <x:v>Tier 2</x:v>
      </x:c>
      <x:c r="I116" s="24" t="str">
        <x:v>Corruption mechanics, dark forest, orders, peoples, monster ecology, ambiguous civilization.</x:v>
      </x:c>
      <x:c r="J116" s="24" t="str">
        <x:v>Treat adaptations/editions separately when taxonomically material.</x:v>
      </x:c>
      <x:c r="K116" s="84" t="str">
        <x:v>https://en.wikipedia.org/wiki/Symbaroum</x:v>
      </x:c>
      <x:c r="L116" s="24" t="str">
        <x:v>Included</x:v>
      </x:c>
    </x:row>
    <x:row r="117" ht="42" customHeight="1">
      <x:c r="A117" s="24" t="str">
        <x:v>SRC-116</x:v>
      </x:c>
      <x:c r="B117" s="24" t="str">
        <x:v>Forbidden Lands</x:v>
      </x:c>
      <x:c r="C117" s="24" t="str">
        <x:v>Free League</x:v>
      </x:c>
      <x:c r="D117" s="24" t="str">
        <x:v>Tabletop RPG</x:v>
      </x:c>
      <x:c r="E117" s="24" t="str">
        <x:v>Sweden</x:v>
      </x:c>
      <x:c r="F117" s="24" t="str">
        <x:v>2018</x:v>
      </x:c>
      <x:c r="G117" s="24" t="str">
        <x:v>Ravenland setting</x:v>
      </x:c>
      <x:c r="H117" s="24" t="str">
        <x:v>Tier 2</x:v>
      </x:c>
      <x:c r="I117" s="24" t="str">
        <x:v>Kin and profession system, survival, strongholds, exploration, dark fantasy sandbox.</x:v>
      </x:c>
      <x:c r="J117" s="24" t="str">
        <x:v>Treat adaptations/editions separately when taxonomically material.</x:v>
      </x:c>
      <x:c r="K117" s="84" t="str">
        <x:v>https://en.wikipedia.org/wiki/Forbidden_Lands</x:v>
      </x:c>
      <x:c r="L117" s="24" t="str">
        <x:v>Included</x:v>
      </x:c>
    </x:row>
    <x:row r="118" ht="42" customHeight="1">
      <x:c r="A118" s="24" t="str">
        <x:v>SRC-117</x:v>
      </x:c>
      <x:c r="B118" s="24" t="str">
        <x:v>Fabula Ultima</x:v>
      </x:c>
      <x:c r="C118" s="24" t="str">
        <x:v>Emanuele Galletto and Need Games</x:v>
      </x:c>
      <x:c r="D118" s="24" t="str">
        <x:v>Tabletop RPG</x:v>
      </x:c>
      <x:c r="E118" s="24" t="str">
        <x:v>Italy / JRPG-inspired</x:v>
      </x:c>
      <x:c r="F118" s="24" t="str">
        <x:v>2022</x:v>
      </x:c>
      <x:c r="G118" s="24" t="str">
        <x:v>Genre emulation system</x:v>
      </x:c>
      <x:c r="H118" s="24" t="str">
        <x:v>Tier 2</x:v>
      </x:c>
      <x:c r="I118" s="24" t="str">
        <x:v>Multiclass job building, JRPG roles, bonds, villain rules, techno-fantasy.</x:v>
      </x:c>
      <x:c r="J118" s="24" t="str">
        <x:v>Treat adaptations/editions separately when taxonomically material.</x:v>
      </x:c>
      <x:c r="K118" s="84" t="str">
        <x:v>https://en.wikipedia.org/wiki/Fabula_Ultima</x:v>
      </x:c>
      <x:c r="L118" s="24" t="str">
        <x:v>Included</x:v>
      </x:c>
    </x:row>
    <x:row r="119" ht="42" customHeight="1">
      <x:c r="A119" s="24" t="str">
        <x:v>SRC-118</x:v>
      </x:c>
      <x:c r="B119" s="24" t="str">
        <x:v>Magic: The Gathering</x:v>
      </x:c>
      <x:c r="C119" s="24" t="str">
        <x:v>Richard Garfield; Wizards of the Coast</x:v>
      </x:c>
      <x:c r="D119" s="24" t="str">
        <x:v>Trading Card Game / Shared Setting</x:v>
      </x:c>
      <x:c r="E119" s="24" t="str">
        <x:v>United States</x:v>
      </x:c>
      <x:c r="F119" s="24" t="str">
        <x:v>1993</x:v>
      </x:c>
      <x:c r="G119" s="24" t="str">
        <x:v>Multiverse of planes and sets</x:v>
      </x:c>
      <x:c r="H119" s="24" t="str">
        <x:v>Tier 1</x:v>
      </x:c>
      <x:c r="I119" s="24" t="str">
        <x:v>Color-based power philosophy, creature types, planeswalkers, factions, endless world archetypes.</x:v>
      </x:c>
      <x:c r="J119" s="24" t="str">
        <x:v>Treat adaptations/editions separately when taxonomically material.</x:v>
      </x:c>
      <x:c r="K119" s="84" t="str">
        <x:v>https://en.wikipedia.org/wiki/Magic:_The_Gathering</x:v>
      </x:c>
      <x:c r="L119" s="24" t="str">
        <x:v>Included</x:v>
      </x:c>
    </x:row>
    <x:row r="120" ht="42" customHeight="1">
      <x:c r="A120" s="24" t="str">
        <x:v>SRC-119</x:v>
      </x:c>
      <x:c r="B120" s="24" t="str">
        <x:v>Gloomhaven</x:v>
      </x:c>
      <x:c r="C120" s="24" t="str">
        <x:v>Isaac Childres / Cephalofair Games</x:v>
      </x:c>
      <x:c r="D120" s="24" t="str">
        <x:v>Board Game / Tactical RPG</x:v>
      </x:c>
      <x:c r="E120" s="24" t="str">
        <x:v>United States</x:v>
      </x:c>
      <x:c r="F120" s="24" t="str">
        <x:v>2017</x:v>
      </x:c>
      <x:c r="G120" s="24" t="str">
        <x:v>Gloomhaven setting and sequels</x:v>
      </x:c>
      <x:c r="H120" s="24" t="str">
        <x:v>Tier 1</x:v>
      </x:c>
      <x:c r="I120" s="24" t="str">
        <x:v>Distinct playable peoples and hidden classes, card-driven roles, mercenary city ecology.</x:v>
      </x:c>
      <x:c r="J120" s="24" t="str">
        <x:v>Treat adaptations/editions separately when taxonomically material.</x:v>
      </x:c>
      <x:c r="K120" s="84" t="str">
        <x:v>https://en.wikipedia.org/wiki/Gloomhaven</x:v>
      </x:c>
      <x:c r="L120" s="24" t="str">
        <x:v>Included</x:v>
      </x:c>
    </x:row>
    <x:row r="121" ht="42" customHeight="1">
      <x:c r="A121" s="24" t="str">
        <x:v>SRC-120</x:v>
      </x:c>
      <x:c r="B121" s="24" t="str">
        <x:v>Descent: Journeys in the Dark</x:v>
      </x:c>
      <x:c r="C121" s="24" t="str">
        <x:v>Fantasy Flight Games</x:v>
      </x:c>
      <x:c r="D121" s="24" t="str">
        <x:v>Board Game / Dungeon Crawl</x:v>
      </x:c>
      <x:c r="E121" s="24" t="str">
        <x:v>United States</x:v>
      </x:c>
      <x:c r="F121" s="24" t="str">
        <x:v>2005</x:v>
      </x:c>
      <x:c r="G121" s="24" t="str">
        <x:v>Terrinoth setting and editions</x:v>
      </x:c>
      <x:c r="H121" s="24" t="str">
        <x:v>Tier 2</x:v>
      </x:c>
      <x:c r="I121" s="24" t="str">
        <x:v>Hero classes, overlord structure, dungeon units, classic fantasy peoples and monsters.</x:v>
      </x:c>
      <x:c r="J121" s="24" t="str">
        <x:v>Treat adaptations/editions separately when taxonomically material.</x:v>
      </x:c>
      <x:c r="K121" s="84" t="str">
        <x:v>https://en.wikipedia.org/wiki/Descent:_Journeys_in_the_Dark</x:v>
      </x:c>
      <x:c r="L121" s="24" t="str">
        <x:v>Included</x:v>
      </x:c>
    </x:row>
    <x:row r="122" ht="42" customHeight="1">
      <x:c r="A122" s="24" t="str">
        <x:v>SRC-121</x:v>
      </x:c>
      <x:c r="B122" s="24" t="str">
        <x:v>HeroQuest</x:v>
      </x:c>
      <x:c r="C122" s="24" t="str">
        <x:v>Milton Bradley / Games Workshop and later Hasbro</x:v>
      </x:c>
      <x:c r="D122" s="24" t="str">
        <x:v>Board Game / Dungeon Crawl</x:v>
      </x:c>
      <x:c r="E122" s="24" t="str">
        <x:v>Britain / United States</x:v>
      </x:c>
      <x:c r="F122" s="24" t="str">
        <x:v>1989</x:v>
      </x:c>
      <x:c r="G122" s="24" t="str">
        <x:v>Editions and licensed setting</x:v>
      </x:c>
      <x:c r="H122" s="24" t="str">
        <x:v>Tier 2</x:v>
      </x:c>
      <x:c r="I122" s="24" t="str">
        <x:v>Iconic barbarian, dwarf, elf, wizard party; furniture dungeon; archetypal roles.</x:v>
      </x:c>
      <x:c r="J122" s="24" t="str">
        <x:v>Treat adaptations/editions separately when taxonomically material.</x:v>
      </x:c>
      <x:c r="K122" s="84" t="str">
        <x:v>https://en.wikipedia.org/wiki/HeroQuest</x:v>
      </x:c>
      <x:c r="L122" s="24" t="str">
        <x:v>Included</x:v>
      </x:c>
    </x:row>
    <x:row r="123" ht="42" customHeight="1">
      <x:c r="A123" s="24" t="str">
        <x:v>SRC-122</x:v>
      </x:c>
      <x:c r="B123" s="24" t="str">
        <x:v>Talisman</x:v>
      </x:c>
      <x:c r="C123" s="24" t="str">
        <x:v>Games Workshop and later publishers</x:v>
      </x:c>
      <x:c r="D123" s="24" t="str">
        <x:v>Board Game</x:v>
      </x:c>
      <x:c r="E123" s="24" t="str">
        <x:v>Britain</x:v>
      </x:c>
      <x:c r="F123" s="24" t="str">
        <x:v>1983</x:v>
      </x:c>
      <x:c r="G123" s="24" t="str">
        <x:v>Editions and expansions</x:v>
      </x:c>
      <x:c r="H123" s="24" t="str">
        <x:v>Tier 2</x:v>
      </x:c>
      <x:c r="I123" s="24" t="str">
        <x:v>Broad playable character archetypes, alignment, transformation, adventure-board progression.</x:v>
      </x:c>
      <x:c r="J123" s="24" t="str">
        <x:v>Treat adaptations/editions separately when taxonomically material.</x:v>
      </x:c>
      <x:c r="K123" s="84" t="str">
        <x:v>https://en.wikipedia.org/wiki/Talisman</x:v>
      </x:c>
      <x:c r="L123" s="24" t="str">
        <x:v>Included</x:v>
      </x:c>
    </x:row>
    <x:row r="124" ht="42" customHeight="1">
      <x:c r="A124" s="24" t="str">
        <x:v>SRC-123</x:v>
      </x:c>
      <x:c r="B124" s="24" t="str">
        <x:v>Mage Knight</x:v>
      </x:c>
      <x:c r="C124" s="24" t="str">
        <x:v>Vlaada Chvátil / WizKids</x:v>
      </x:c>
      <x:c r="D124" s="24" t="str">
        <x:v>Board Game</x:v>
      </x:c>
      <x:c r="E124" s="24" t="str">
        <x:v>Czech Republic / United States</x:v>
      </x:c>
      <x:c r="F124" s="24" t="str">
        <x:v>2011 board game; 2000 miniatures roots</x:v>
      </x:c>
      <x:c r="G124" s="24" t="str">
        <x:v>Mage Knight setting</x:v>
      </x:c>
      <x:c r="H124" s="24" t="str">
        <x:v>Tier 2</x:v>
      </x:c>
      <x:c r="I124" s="24" t="str">
        <x:v>Hybrid hero classes, deck-building progression, conquest, exploration and mana.</x:v>
      </x:c>
      <x:c r="J124" s="24" t="str">
        <x:v>Treat adaptations/editions separately when taxonomically material.</x:v>
      </x:c>
      <x:c r="K124" s="84" t="str">
        <x:v>https://en.wikipedia.org/wiki/Mage_Knight</x:v>
      </x:c>
      <x:c r="L124" s="24" t="str">
        <x:v>Included</x:v>
      </x:c>
    </x:row>
    <x:row r="125" ht="42" customHeight="1">
      <x:c r="A125" s="24" t="str">
        <x:v>SRC-124</x:v>
      </x:c>
      <x:c r="B125" s="24" t="str">
        <x:v>Spirit Island</x:v>
      </x:c>
      <x:c r="C125" s="24" t="str">
        <x:v>R. Eric Reuss / Greater Than Games</x:v>
      </x:c>
      <x:c r="D125" s="24" t="str">
        <x:v>Board Game</x:v>
      </x:c>
      <x:c r="E125" s="24" t="str">
        <x:v>United States</x:v>
      </x:c>
      <x:c r="F125" s="24" t="str">
        <x:v>2017</x:v>
      </x:c>
      <x:c r="G125" s="24" t="str">
        <x:v>Board game setting</x:v>
      </x:c>
      <x:c r="H125" s="24" t="str">
        <x:v>Tier 1</x:v>
      </x:c>
      <x:c r="I125" s="24" t="str">
        <x:v>Spirits as player identities, indigenous defense, colonization critique, elemental growth.</x:v>
      </x:c>
      <x:c r="J125" s="24" t="str">
        <x:v>Treat adaptations/editions separately when taxonomically material.</x:v>
      </x:c>
      <x:c r="K125" s="84" t="str">
        <x:v>https://en.wikipedia.org/wiki/Spirit_Island</x:v>
      </x:c>
      <x:c r="L125" s="24" t="str">
        <x:v>Included</x:v>
      </x:c>
    </x:row>
    <x:row r="126" ht="42" customHeight="1">
      <x:c r="A126" s="24" t="str">
        <x:v>SRC-125</x:v>
      </x:c>
      <x:c r="B126" s="24" t="str">
        <x:v>Small World</x:v>
      </x:c>
      <x:c r="C126" s="24" t="str">
        <x:v>Philippe Keyaerts / Days of Wonder</x:v>
      </x:c>
      <x:c r="D126" s="24" t="str">
        <x:v>Board Game</x:v>
      </x:c>
      <x:c r="E126" s="24" t="str">
        <x:v>Belgium / France</x:v>
      </x:c>
      <x:c r="F126" s="24" t="str">
        <x:v>2009</x:v>
      </x:c>
      <x:c r="G126" s="24" t="str">
        <x:v>Board game and expansions</x:v>
      </x:c>
      <x:c r="H126" s="24" t="str">
        <x:v>Tier 2</x:v>
      </x:c>
      <x:c r="I126" s="24" t="str">
        <x:v>Composable fantasy peoples plus powers; decline mechanic; parody of race-as-mechanics.</x:v>
      </x:c>
      <x:c r="J126" s="24" t="str">
        <x:v>Treat adaptations/editions separately when taxonomically material.</x:v>
      </x:c>
      <x:c r="K126" s="84" t="str">
        <x:v>https://en.wikipedia.org/wiki/Small_World</x:v>
      </x:c>
      <x:c r="L126" s="24" t="str">
        <x:v>Included</x:v>
      </x:c>
    </x:row>
    <x:row r="127" ht="42" customHeight="1">
      <x:c r="A127" s="24" t="str">
        <x:v>SRC-126</x:v>
      </x:c>
      <x:c r="B127" s="24" t="str">
        <x:v>Root</x:v>
      </x:c>
      <x:c r="C127" s="24" t="str">
        <x:v>Cole Wehrle / Leder Games</x:v>
      </x:c>
      <x:c r="D127" s="24" t="str">
        <x:v>Board Game</x:v>
      </x:c>
      <x:c r="E127" s="24" t="str">
        <x:v>United States</x:v>
      </x:c>
      <x:c r="F127" s="24" t="str">
        <x:v>2018</x:v>
      </x:c>
      <x:c r="G127" s="24" t="str">
        <x:v>Woodland setting</x:v>
      </x:c>
      <x:c r="H127" s="24" t="str">
        <x:v>Tier 3</x:v>
      </x:c>
      <x:c r="I127" s="24" t="str">
        <x:v>Anthropomorphic factions with asymmetric institutional and strategic identities.</x:v>
      </x:c>
      <x:c r="J127" s="24" t="str">
        <x:v>Treat adaptations/editions separately when taxonomically material.</x:v>
      </x:c>
      <x:c r="K127" s="84" t="str">
        <x:v>https://en.wikipedia.org/wiki/Root</x:v>
      </x:c>
      <x:c r="L127" s="24" t="str">
        <x:v>Included</x:v>
      </x:c>
    </x:row>
    <x:row r="128" ht="42" customHeight="1">
      <x:c r="A128" s="24" t="str">
        <x:v>SRC-127</x:v>
      </x:c>
      <x:c r="B128" s="24" t="str">
        <x:v>Tactics Ogre / Ogre Battle</x:v>
      </x:c>
      <x:c r="C128" s="24" t="str">
        <x:v>Quest; Square Enix</x:v>
      </x:c>
      <x:c r="D128" s="24" t="str">
        <x:v>Video Game / Tactical RPG</x:v>
      </x:c>
      <x:c r="E128" s="24" t="str">
        <x:v>Japan</x:v>
      </x:c>
      <x:c r="F128" s="24" t="str">
        <x:v>1993/1995 onward</x:v>
      </x:c>
      <x:c r="G128" s="24" t="str">
        <x:v>Ogre Battle Saga; versions tracked separately</x:v>
      </x:c>
      <x:c r="H128" s="24" t="str">
        <x:v>Tier 1</x:v>
      </x:c>
      <x:c r="I128" s="24" t="str">
        <x:v>Job classes, race-restricted classes, alignment, tactical roles, political branching.</x:v>
      </x:c>
      <x:c r="J128" s="24" t="str">
        <x:v>Use Tactics Ogre: Reborn as a distinct mechanical version.</x:v>
      </x:c>
      <x:c r="K128" s="84" t="str">
        <x:v>https://www.square-enix-games.com/en_US/games/tactics-ogre-reborn</x:v>
      </x:c>
      <x:c r="L128" s="24" t="str">
        <x:v>Included</x:v>
      </x:c>
    </x:row>
    <x:row r="129" ht="42" customHeight="1">
      <x:c r="A129" s="24" t="str">
        <x:v>SRC-128</x:v>
      </x:c>
      <x:c r="B129" s="24" t="str">
        <x:v>Tactics Ogre: Reborn</x:v>
      </x:c>
      <x:c r="C129" s="24" t="str">
        <x:v>Square Enix</x:v>
      </x:c>
      <x:c r="D129" s="24" t="str">
        <x:v>Video Game / Tactical RPG</x:v>
      </x:c>
      <x:c r="E129" s="24" t="str">
        <x:v>Japan</x:v>
      </x:c>
      <x:c r="F129" s="24" t="str">
        <x:v>2022</x:v>
      </x:c>
      <x:c r="G129" s="24" t="str">
        <x:v>Remake based on 2010 version</x:v>
      </x:c>
      <x:c r="H129" s="24" t="str">
        <x:v>Tier 1</x:v>
      </x:c>
      <x:c r="I129" s="24" t="str">
        <x:v>Human, demi-human, beast and undead units; classmarks; unique and generic classes.</x:v>
      </x:c>
      <x:c r="J129" s="24" t="str">
        <x:v>Keep mechanics distinct from PSP and original versions.</x:v>
      </x:c>
      <x:c r="K129" s="84" t="str">
        <x:v>https://www.square-enix-games.com/en_US/news/tactics-ogre-reborn-characters-classes</x:v>
      </x:c>
      <x:c r="L129" s="24" t="str">
        <x:v>Included</x:v>
      </x:c>
    </x:row>
    <x:row r="130" ht="42" customHeight="1">
      <x:c r="A130" s="24" t="str">
        <x:v>SRC-129</x:v>
      </x:c>
      <x:c r="B130" s="24" t="str">
        <x:v>Final Fantasy</x:v>
      </x:c>
      <x:c r="C130" s="24" t="str">
        <x:v>Square / Square Enix</x:v>
      </x:c>
      <x:c r="D130" s="24" t="str">
        <x:v>Video Game / JRPG Franchise</x:v>
      </x:c>
      <x:c r="E130" s="24" t="str">
        <x:v>Japan</x:v>
      </x:c>
      <x:c r="F130" s="24" t="str">
        <x:v>1987</x:v>
      </x:c>
      <x:c r="G130" s="24" t="str">
        <x:v>Separate worlds and continuities by title</x:v>
      </x:c>
      <x:c r="H130" s="24" t="str">
        <x:v>Tier 1</x:v>
      </x:c>
      <x:c r="I130" s="24" t="str">
        <x:v>Job system, recurring class icons, summons, crystals, distinctive peoples and science fantasy.</x:v>
      </x:c>
      <x:c r="J130" s="24" t="str">
        <x:v>Treat adaptations/editions separately when taxonomically material.</x:v>
      </x:c>
      <x:c r="K130" s="84" t="str">
        <x:v>https://en.wikipedia.org/wiki/Final_Fantasy</x:v>
      </x:c>
      <x:c r="L130" s="24" t="str">
        <x:v>Included</x:v>
      </x:c>
    </x:row>
    <x:row r="131" ht="42" customHeight="1">
      <x:c r="A131" s="24" t="str">
        <x:v>SRC-130</x:v>
      </x:c>
      <x:c r="B131" s="24" t="str">
        <x:v>Final Fantasy Tactics</x:v>
      </x:c>
      <x:c r="C131" s="24" t="str">
        <x:v>Square</x:v>
      </x:c>
      <x:c r="D131" s="24" t="str">
        <x:v>Video Game / Tactical RPG</x:v>
      </x:c>
      <x:c r="E131" s="24" t="str">
        <x:v>Japan</x:v>
      </x:c>
      <x:c r="F131" s="24" t="str">
        <x:v>1997</x:v>
      </x:c>
      <x:c r="G131" s="24" t="str">
        <x:v>Ivalice continuity and related titles</x:v>
      </x:c>
      <x:c r="H131" s="24" t="str">
        <x:v>Tier 1</x:v>
      </x:c>
      <x:c r="I131" s="24" t="str">
        <x:v>Deep job tree, zodiac mechanics, political church conflict, monster units, advanced classes.</x:v>
      </x:c>
      <x:c r="J131" s="24" t="str">
        <x:v>Treat adaptations/editions separately when taxonomically material.</x:v>
      </x:c>
      <x:c r="K131" s="84" t="str">
        <x:v>https://en.wikipedia.org/wiki/Final_Fantasy_Tactics</x:v>
      </x:c>
      <x:c r="L131" s="24" t="str">
        <x:v>Included</x:v>
      </x:c>
    </x:row>
    <x:row r="132" ht="42" customHeight="1">
      <x:c r="A132" s="24" t="str">
        <x:v>SRC-131</x:v>
      </x:c>
      <x:c r="B132" s="24" t="str">
        <x:v>Final Fantasy XIV</x:v>
      </x:c>
      <x:c r="C132" s="24" t="str">
        <x:v>Square Enix</x:v>
      </x:c>
      <x:c r="D132" s="24" t="str">
        <x:v>Video Game / MMORPG</x:v>
      </x:c>
      <x:c r="E132" s="24" t="str">
        <x:v>Japan</x:v>
      </x:c>
      <x:c r="F132" s="24" t="str">
        <x:v>2010/2013 relaunch</x:v>
      </x:c>
      <x:c r="G132" s="24" t="str">
        <x:v>Etheirys setting and expansions</x:v>
      </x:c>
      <x:c r="H132" s="24" t="str">
        <x:v>Tier 1</x:v>
      </x:c>
      <x:c r="I132" s="24" t="str">
        <x:v>Formal combat/crafting/gathering jobs, playable races and clans, role trinity, primals.</x:v>
      </x:c>
      <x:c r="J132" s="24" t="str">
        <x:v>Use current official job/race guides and record patch date.</x:v>
      </x:c>
      <x:c r="K132" s="84" t="str">
        <x:v>https://na.finalfantasyxiv.com/jobguide/battle/</x:v>
      </x:c>
      <x:c r="L132" s="24" t="str">
        <x:v>Included</x:v>
      </x:c>
    </x:row>
    <x:row r="133" ht="42" customHeight="1">
      <x:c r="A133" s="24" t="str">
        <x:v>SRC-132</x:v>
      </x:c>
      <x:c r="B133" s="24" t="str">
        <x:v>Dragon Quest</x:v>
      </x:c>
      <x:c r="C133" s="24" t="str">
        <x:v>Enix / Square Enix</x:v>
      </x:c>
      <x:c r="D133" s="24" t="str">
        <x:v>Video Game / JRPG Franchise</x:v>
      </x:c>
      <x:c r="E133" s="24" t="str">
        <x:v>Japan</x:v>
      </x:c>
      <x:c r="F133" s="24" t="str">
        <x:v>1986</x:v>
      </x:c>
      <x:c r="G133" s="24" t="str">
        <x:v>Separate worlds and titles</x:v>
      </x:c>
      <x:c r="H133" s="24" t="str">
        <x:v>Tier 1</x:v>
      </x:c>
      <x:c r="I133" s="24" t="str">
        <x:v>Hero, warrior, priest, mage, martial artist, monster recruitment, demon lord structure.</x:v>
      </x:c>
      <x:c r="J133" s="24" t="str">
        <x:v>Treat adaptations/editions separately when taxonomically material.</x:v>
      </x:c>
      <x:c r="K133" s="84" t="str">
        <x:v>https://en.wikipedia.org/wiki/Dragon_Quest</x:v>
      </x:c>
      <x:c r="L133" s="24" t="str">
        <x:v>Included</x:v>
      </x:c>
    </x:row>
    <x:row r="134" ht="42" customHeight="1">
      <x:c r="A134" s="24" t="str">
        <x:v>SRC-133</x:v>
      </x:c>
      <x:c r="B134" s="24" t="str">
        <x:v>Fire Emblem</x:v>
      </x:c>
      <x:c r="C134" s="24" t="str">
        <x:v>Intelligent Systems / Nintendo</x:v>
      </x:c>
      <x:c r="D134" s="24" t="str">
        <x:v>Video Game / Tactical RPG Franchise</x:v>
      </x:c>
      <x:c r="E134" s="24" t="str">
        <x:v>Japan</x:v>
      </x:c>
      <x:c r="F134" s="24" t="str">
        <x:v>1990</x:v>
      </x:c>
      <x:c r="G134" s="24" t="str">
        <x:v>Separate continuities by title</x:v>
      </x:c>
      <x:c r="H134" s="24" t="str">
        <x:v>Tier 1</x:v>
      </x:c>
      <x:c r="I134" s="24" t="str">
        <x:v>Class promotion, weapon triangles, lords, dragon peoples, permadeath, political factions.</x:v>
      </x:c>
      <x:c r="J134" s="24" t="str">
        <x:v>Treat adaptations/editions separately when taxonomically material.</x:v>
      </x:c>
      <x:c r="K134" s="84" t="str">
        <x:v>https://en.wikipedia.org/wiki/Fire_Emblem</x:v>
      </x:c>
      <x:c r="L134" s="24" t="str">
        <x:v>Included</x:v>
      </x:c>
    </x:row>
    <x:row r="135" ht="42" customHeight="1">
      <x:c r="A135" s="24" t="str">
        <x:v>SRC-134</x:v>
      </x:c>
      <x:c r="B135" s="24" t="str">
        <x:v>The Elder Scrolls</x:v>
      </x:c>
      <x:c r="C135" s="24" t="str">
        <x:v>Bethesda Game Studios</x:v>
      </x:c>
      <x:c r="D135" s="24" t="str">
        <x:v>Video Game / RPG Franchise</x:v>
      </x:c>
      <x:c r="E135" s="24" t="str">
        <x:v>United States</x:v>
      </x:c>
      <x:c r="F135" s="24" t="str">
        <x:v>1994</x:v>
      </x:c>
      <x:c r="G135" s="24" t="str">
        <x:v>Tamriel continuity; games separated mechanically</x:v>
      </x:c>
      <x:c r="H135" s="24" t="str">
        <x:v>Tier 1</x:v>
      </x:c>
      <x:c r="I135" s="24" t="str">
        <x:v>Playable peoples, open skill systems, guilds, Daedra/Aedra, vampires, werewolves, dragonborn.</x:v>
      </x:c>
      <x:c r="J135" s="24" t="str">
        <x:v>Treat adaptations/editions separately when taxonomically material.</x:v>
      </x:c>
      <x:c r="K135" s="84" t="str">
        <x:v>https://en.wikipedia.org/wiki/The_Elder_Scrolls</x:v>
      </x:c>
      <x:c r="L135" s="24" t="str">
        <x:v>Included</x:v>
      </x:c>
    </x:row>
    <x:row r="136" ht="42" customHeight="1">
      <x:c r="A136" s="24" t="str">
        <x:v>SRC-135</x:v>
      </x:c>
      <x:c r="B136" s="24" t="str">
        <x:v>Warcraft</x:v>
      </x:c>
      <x:c r="C136" s="24" t="str">
        <x:v>Blizzard Entertainment</x:v>
      </x:c>
      <x:c r="D136" s="24" t="str">
        <x:v>Video Game / Strategy and MMORPG Franchise</x:v>
      </x:c>
      <x:c r="E136" s="24" t="str">
        <x:v>United States</x:v>
      </x:c>
      <x:c r="F136" s="24" t="str">
        <x:v>1994</x:v>
      </x:c>
      <x:c r="G136" s="24" t="str">
        <x:v>Warcraft universe across games and media</x:v>
      </x:c>
      <x:c r="H136" s="24" t="str">
        <x:v>Tier 1</x:v>
      </x:c>
      <x:c r="I136" s="24" t="str">
        <x:v>Playable races and classes, faction identity, corruption, undead nation, draconic and cosmic beings.</x:v>
      </x:c>
      <x:c r="J136" s="24" t="str">
        <x:v>Use current official class/race pages for live-game state.</x:v>
      </x:c>
      <x:c r="K136" s="84" t="str">
        <x:v>https://worldofwarcraft.blizzard.com/game/classes</x:v>
      </x:c>
      <x:c r="L136" s="24" t="str">
        <x:v>Included</x:v>
      </x:c>
    </x:row>
    <x:row r="137" ht="42" customHeight="1">
      <x:c r="A137" s="24" t="str">
        <x:v>SRC-136</x:v>
      </x:c>
      <x:c r="B137" s="24" t="str">
        <x:v>World of Warcraft</x:v>
      </x:c>
      <x:c r="C137" s="24" t="str">
        <x:v>Blizzard Entertainment</x:v>
      </x:c>
      <x:c r="D137" s="24" t="str">
        <x:v>Video Game / MMORPG</x:v>
      </x:c>
      <x:c r="E137" s="24" t="str">
        <x:v>United States</x:v>
      </x:c>
      <x:c r="F137" s="24" t="str">
        <x:v>2004</x:v>
      </x:c>
      <x:c r="G137" s="24" t="str">
        <x:v>Live Warcraft continuity</x:v>
      </x:c>
      <x:c r="H137" s="24" t="str">
        <x:v>Tier 1</x:v>
      </x:c>
      <x:c r="I137" s="24" t="str">
        <x:v>Modern MMO class specs, playable races, allied races, role trinity, faction evolution.</x:v>
      </x:c>
      <x:c r="J137" s="24" t="str">
        <x:v>Version-stamp entries because options change.</x:v>
      </x:c>
      <x:c r="K137" s="84" t="str">
        <x:v>https://worldofwarcraft.blizzard.com/game/races</x:v>
      </x:c>
      <x:c r="L137" s="24" t="str">
        <x:v>Included</x:v>
      </x:c>
    </x:row>
    <x:row r="138" ht="42" customHeight="1">
      <x:c r="A138" s="24" t="str">
        <x:v>SRC-137</x:v>
      </x:c>
      <x:c r="B138" s="24" t="str">
        <x:v>Diablo</x:v>
      </x:c>
      <x:c r="C138" s="24" t="str">
        <x:v>Blizzard Entertainment</x:v>
      </x:c>
      <x:c r="D138" s="24" t="str">
        <x:v>Video Game / Action RPG Franchise</x:v>
      </x:c>
      <x:c r="E138" s="24" t="str">
        <x:v>United States</x:v>
      </x:c>
      <x:c r="F138" s="24" t="str">
        <x:v>1996</x:v>
      </x:c>
      <x:c r="G138" s="24" t="str">
        <x:v>Sanctuary continuity</x:v>
      </x:c>
      <x:c r="H138" s="24" t="str">
        <x:v>Tier 1</x:v>
      </x:c>
      <x:c r="I138" s="24" t="str">
        <x:v>Class silhouettes, loot builds, angels/demons, nephalem, necromancers, corruption.</x:v>
      </x:c>
      <x:c r="J138" s="24" t="str">
        <x:v>Treat adaptations/editions separately when taxonomically material.</x:v>
      </x:c>
      <x:c r="K138" s="84" t="str">
        <x:v>https://en.wikipedia.org/wiki/Diablo</x:v>
      </x:c>
      <x:c r="L138" s="24" t="str">
        <x:v>Included</x:v>
      </x:c>
    </x:row>
    <x:row r="139" ht="42" customHeight="1">
      <x:c r="A139" s="24" t="str">
        <x:v>SRC-138</x:v>
      </x:c>
      <x:c r="B139" s="24" t="str">
        <x:v>Dragon Age</x:v>
      </x:c>
      <x:c r="C139" s="24" t="str">
        <x:v>BioWare / Electronic Arts</x:v>
      </x:c>
      <x:c r="D139" s="24" t="str">
        <x:v>Video Game / RPG Franchise</x:v>
      </x:c>
      <x:c r="E139" s="24" t="str">
        <x:v>Canada</x:v>
      </x:c>
      <x:c r="F139" s="24" t="str">
        <x:v>2009</x:v>
      </x:c>
      <x:c r="G139" s="24" t="str">
        <x:v>Thedas continuity</x:v>
      </x:c>
      <x:c r="H139" s="24" t="str">
        <x:v>Tier 1</x:v>
      </x:c>
      <x:c r="I139" s="24" t="str">
        <x:v>Mages/templars, Qunari, elves/dwarves, Grey Wardens, classes and specializations.</x:v>
      </x:c>
      <x:c r="J139" s="24" t="str">
        <x:v>Treat adaptations/editions separately when taxonomically material.</x:v>
      </x:c>
      <x:c r="K139" s="84" t="str">
        <x:v>https://en.wikipedia.org/wiki/Dragon_Age</x:v>
      </x:c>
      <x:c r="L139" s="24" t="str">
        <x:v>Included</x:v>
      </x:c>
    </x:row>
    <x:row r="140" ht="42" customHeight="1">
      <x:c r="A140" s="24" t="str">
        <x:v>SRC-139</x:v>
      </x:c>
      <x:c r="B140" s="24" t="str">
        <x:v>Baldur's Gate</x:v>
      </x:c>
      <x:c r="C140" s="24" t="str">
        <x:v>BioWare, Black Isle, Larian; D&amp;D license</x:v>
      </x:c>
      <x:c r="D140" s="24" t="str">
        <x:v>Video Game / CRPG Franchise</x:v>
      </x:c>
      <x:c r="E140" s="24" t="str">
        <x:v>Canada / Belgium</x:v>
      </x:c>
      <x:c r="F140" s="24" t="str">
        <x:v>1998</x:v>
      </x:c>
      <x:c r="G140" s="24" t="str">
        <x:v>Forgotten Realms games; editions differ</x:v>
      </x:c>
      <x:c r="H140" s="24" t="str">
        <x:v>Tier 1</x:v>
      </x:c>
      <x:c r="I140" s="24" t="str">
        <x:v>D&amp;D classes and species in party-based narrative, companions, alignment and multiclass builds.</x:v>
      </x:c>
      <x:c r="J140" s="24" t="str">
        <x:v>Treat adaptations/editions separately when taxonomically material.</x:v>
      </x:c>
      <x:c r="K140" s="84" t="str">
        <x:v>https://en.wikipedia.org/wiki/Baldur's_Gate</x:v>
      </x:c>
      <x:c r="L140" s="24" t="str">
        <x:v>Included</x:v>
      </x:c>
    </x:row>
    <x:row r="141" ht="42" customHeight="1">
      <x:c r="A141" s="24" t="str">
        <x:v>SRC-140</x:v>
      </x:c>
      <x:c r="B141" s="24" t="str">
        <x:v>Icewind Dale</x:v>
      </x:c>
      <x:c r="C141" s="24" t="str">
        <x:v>Black Isle Studios</x:v>
      </x:c>
      <x:c r="D141" s="24" t="str">
        <x:v>Video Game / CRPG</x:v>
      </x:c>
      <x:c r="E141" s="24" t="str">
        <x:v>United States</x:v>
      </x:c>
      <x:c r="F141" s="24" t="str">
        <x:v>2000</x:v>
      </x:c>
      <x:c r="G141" s="24" t="str">
        <x:v>Forgotten Realms games</x:v>
      </x:c>
      <x:c r="H141" s="24" t="str">
        <x:v>Tier 2</x:v>
      </x:c>
      <x:c r="I141" s="24" t="str">
        <x:v>Party construction, D&amp;D classes, dungeon combat, northern monster ecology.</x:v>
      </x:c>
      <x:c r="J141" s="24" t="str">
        <x:v>Treat adaptations/editions separately when taxonomically material.</x:v>
      </x:c>
      <x:c r="K141" s="84" t="str">
        <x:v>https://en.wikipedia.org/wiki/Icewind_Dale</x:v>
      </x:c>
      <x:c r="L141" s="24" t="str">
        <x:v>Included</x:v>
      </x:c>
    </x:row>
    <x:row r="142" ht="42" customHeight="1">
      <x:c r="A142" s="24" t="str">
        <x:v>SRC-141</x:v>
      </x:c>
      <x:c r="B142" s="24" t="str">
        <x:v>Planescape: Torment</x:v>
      </x:c>
      <x:c r="C142" s="24" t="str">
        <x:v>Black Isle Studios</x:v>
      </x:c>
      <x:c r="D142" s="24" t="str">
        <x:v>Video Game / CRPG</x:v>
      </x:c>
      <x:c r="E142" s="24" t="str">
        <x:v>United States</x:v>
      </x:c>
      <x:c r="F142" s="24" t="str">
        <x:v>1999</x:v>
      </x:c>
      <x:c r="G142" s="24" t="str">
        <x:v>Planescape setting</x:v>
      </x:c>
      <x:c r="H142" s="24" t="str">
        <x:v>Tier 1</x:v>
      </x:c>
      <x:c r="I142" s="24" t="str">
        <x:v>Immortal protagonist, factions, companions, identity, philosophical role systems.</x:v>
      </x:c>
      <x:c r="J142" s="24" t="str">
        <x:v>Treat adaptations/editions separately when taxonomically material.</x:v>
      </x:c>
      <x:c r="K142" s="84" t="str">
        <x:v>https://en.wikipedia.org/wiki/Planescape:_Torment</x:v>
      </x:c>
      <x:c r="L142" s="24" t="str">
        <x:v>Included</x:v>
      </x:c>
    </x:row>
    <x:row r="143" ht="42" customHeight="1">
      <x:c r="A143" s="24" t="str">
        <x:v>SRC-142</x:v>
      </x:c>
      <x:c r="B143" s="24" t="str">
        <x:v>Neverwinter Nights</x:v>
      </x:c>
      <x:c r="C143" s="24" t="str">
        <x:v>BioWare and later studios</x:v>
      </x:c>
      <x:c r="D143" s="24" t="str">
        <x:v>Video Game / CRPG</x:v>
      </x:c>
      <x:c r="E143" s="24" t="str">
        <x:v>Canada</x:v>
      </x:c>
      <x:c r="F143" s="24" t="str">
        <x:v>2002</x:v>
      </x:c>
      <x:c r="G143" s="24" t="str">
        <x:v>D&amp;D adaptations and modules</x:v>
      </x:c>
      <x:c r="H143" s="24" t="str">
        <x:v>Tier 2</x:v>
      </x:c>
      <x:c r="I143" s="24" t="str">
        <x:v>D&amp;D class implementation, prestige classes, toolset-created settings, multiplayer roles.</x:v>
      </x:c>
      <x:c r="J143" s="24" t="str">
        <x:v>Treat adaptations/editions separately when taxonomically material.</x:v>
      </x:c>
      <x:c r="K143" s="84" t="str">
        <x:v>https://en.wikipedia.org/wiki/Neverwinter_Nights</x:v>
      </x:c>
      <x:c r="L143" s="24" t="str">
        <x:v>Included</x:v>
      </x:c>
    </x:row>
    <x:row r="144" ht="42" customHeight="1">
      <x:c r="A144" s="24" t="str">
        <x:v>SRC-143</x:v>
      </x:c>
      <x:c r="B144" s="24" t="str">
        <x:v>Divinity</x:v>
      </x:c>
      <x:c r="C144" s="24" t="str">
        <x:v>Larian Studios</x:v>
      </x:c>
      <x:c r="D144" s="24" t="str">
        <x:v>Video Game / RPG Franchise</x:v>
      </x:c>
      <x:c r="E144" s="24" t="str">
        <x:v>Belgium</x:v>
      </x:c>
      <x:c r="F144" s="24" t="str">
        <x:v>2002</x:v>
      </x:c>
      <x:c r="G144" s="24" t="str">
        <x:v>Rivellon continuity</x:v>
      </x:c>
      <x:c r="H144" s="24" t="str">
        <x:v>Tier 1</x:v>
      </x:c>
      <x:c r="I144" s="24" t="str">
        <x:v>Classless builds, source magic, undead player options, elemental interactions, origin characters.</x:v>
      </x:c>
      <x:c r="J144" s="24" t="str">
        <x:v>Treat adaptations/editions separately when taxonomically material.</x:v>
      </x:c>
      <x:c r="K144" s="84" t="str">
        <x:v>https://en.wikipedia.org/wiki/Divinity</x:v>
      </x:c>
      <x:c r="L144" s="24" t="str">
        <x:v>Included</x:v>
      </x:c>
    </x:row>
    <x:row r="145" ht="42" customHeight="1">
      <x:c r="A145" s="24" t="str">
        <x:v>SRC-144</x:v>
      </x:c>
      <x:c r="B145" s="24" t="str">
        <x:v>Pillars of Eternity</x:v>
      </x:c>
      <x:c r="C145" s="24" t="str">
        <x:v>Obsidian Entertainment</x:v>
      </x:c>
      <x:c r="D145" s="24" t="str">
        <x:v>Video Game / CRPG</x:v>
      </x:c>
      <x:c r="E145" s="24" t="str">
        <x:v>United States</x:v>
      </x:c>
      <x:c r="F145" s="24" t="str">
        <x:v>2015</x:v>
      </x:c>
      <x:c r="G145" s="24" t="str">
        <x:v>Eora setting</x:v>
      </x:c>
      <x:c r="H145" s="24" t="str">
        <x:v>Tier 1</x:v>
      </x:c>
      <x:c r="I145" s="24" t="str">
        <x:v>Original classes and peoples, soul cycles, godlike lineages, factions, multiclassing.</x:v>
      </x:c>
      <x:c r="J145" s="24" t="str">
        <x:v>Treat adaptations/editions separately when taxonomically material.</x:v>
      </x:c>
      <x:c r="K145" s="84" t="str">
        <x:v>https://en.wikipedia.org/wiki/Pillars_of_Eternity</x:v>
      </x:c>
      <x:c r="L145" s="24" t="str">
        <x:v>Included</x:v>
      </x:c>
    </x:row>
    <x:row r="146" ht="42" customHeight="1">
      <x:c r="A146" s="24" t="str">
        <x:v>SRC-145</x:v>
      </x:c>
      <x:c r="B146" s="24" t="str">
        <x:v>Tyranny</x:v>
      </x:c>
      <x:c r="C146" s="24" t="str">
        <x:v>Obsidian Entertainment</x:v>
      </x:c>
      <x:c r="D146" s="24" t="str">
        <x:v>Video Game / CRPG</x:v>
      </x:c>
      <x:c r="E146" s="24" t="str">
        <x:v>United States</x:v>
      </x:c>
      <x:c r="F146" s="24" t="str">
        <x:v>2016</x:v>
      </x:c>
      <x:c r="G146" s="24" t="str">
        <x:v>Terratus setting</x:v>
      </x:c>
      <x:c r="H146" s="24" t="str">
        <x:v>Tier 2</x:v>
      </x:c>
      <x:c r="I146" s="24" t="str">
        <x:v>Villain-side protagonist, legal magic edicts, reputation/fear, companions, empire institutions.</x:v>
      </x:c>
      <x:c r="J146" s="24" t="str">
        <x:v>Treat adaptations/editions separately when taxonomically material.</x:v>
      </x:c>
      <x:c r="K146" s="84" t="str">
        <x:v>https://en.wikipedia.org/wiki/Tyranny</x:v>
      </x:c>
      <x:c r="L146" s="24" t="str">
        <x:v>Included</x:v>
      </x:c>
    </x:row>
    <x:row r="147" ht="42" customHeight="1">
      <x:c r="A147" s="24" t="str">
        <x:v>SRC-146</x:v>
      </x:c>
      <x:c r="B147" s="24" t="str">
        <x:v>Pathfinder: Kingmaker</x:v>
      </x:c>
      <x:c r="C147" s="24" t="str">
        <x:v>Owlcat Games</x:v>
      </x:c>
      <x:c r="D147" s="24" t="str">
        <x:v>Video Game / CRPG</x:v>
      </x:c>
      <x:c r="E147" s="24" t="str">
        <x:v>Russia / Cyprus</x:v>
      </x:c>
      <x:c r="F147" s="24" t="str">
        <x:v>2018</x:v>
      </x:c>
      <x:c r="G147" s="24" t="str">
        <x:v>Pathfinder Golarion adaptation</x:v>
      </x:c>
      <x:c r="H147" s="24" t="str">
        <x:v>Tier 2</x:v>
      </x:c>
      <x:c r="I147" s="24" t="str">
        <x:v>Pathfinder classes, archetypes, kingdom building, companions, alignment.</x:v>
      </x:c>
      <x:c r="J147" s="24" t="str">
        <x:v>Treat adaptations/editions separately when taxonomically material.</x:v>
      </x:c>
      <x:c r="K147" s="84" t="str">
        <x:v>https://en.wikipedia.org/wiki/Pathfinder:_Kingmaker</x:v>
      </x:c>
      <x:c r="L147" s="24" t="str">
        <x:v>Included</x:v>
      </x:c>
    </x:row>
    <x:row r="148" ht="42" customHeight="1">
      <x:c r="A148" s="24" t="str">
        <x:v>SRC-147</x:v>
      </x:c>
      <x:c r="B148" s="24" t="str">
        <x:v>Pathfinder: Wrath of the Righteous</x:v>
      </x:c>
      <x:c r="C148" s="24" t="str">
        <x:v>Owlcat Games</x:v>
      </x:c>
      <x:c r="D148" s="24" t="str">
        <x:v>Video Game / CRPG</x:v>
      </x:c>
      <x:c r="E148" s="24" t="str">
        <x:v>Russia / Cyprus</x:v>
      </x:c>
      <x:c r="F148" s="24" t="str">
        <x:v>2021</x:v>
      </x:c>
      <x:c r="G148" s="24" t="str">
        <x:v>Pathfinder Golarion adaptation</x:v>
      </x:c>
      <x:c r="H148" s="24" t="str">
        <x:v>Tier 1</x:v>
      </x:c>
      <x:c r="I148" s="24" t="str">
        <x:v>Mythic paths, demon war, extensive classes/archetypes, transformation and alignment.</x:v>
      </x:c>
      <x:c r="J148" s="24" t="str">
        <x:v>Treat adaptations/editions separately when taxonomically material.</x:v>
      </x:c>
      <x:c r="K148" s="84" t="str">
        <x:v>https://en.wikipedia.org/wiki/Pathfinder:_Wrath_of_the_Righteous</x:v>
      </x:c>
      <x:c r="L148" s="24" t="str">
        <x:v>Included</x:v>
      </x:c>
    </x:row>
    <x:row r="149" ht="42" customHeight="1">
      <x:c r="A149" s="24" t="str">
        <x:v>SRC-148</x:v>
      </x:c>
      <x:c r="B149" s="24" t="str">
        <x:v>Dark Souls</x:v>
      </x:c>
      <x:c r="C149" s="24" t="str">
        <x:v>FromSoftware</x:v>
      </x:c>
      <x:c r="D149" s="24" t="str">
        <x:v>Video Game / Action RPG Franchise</x:v>
      </x:c>
      <x:c r="E149" s="24" t="str">
        <x:v>Japan</x:v>
      </x:c>
      <x:c r="F149" s="24" t="str">
        <x:v>2011</x:v>
      </x:c>
      <x:c r="G149" s="24" t="str">
        <x:v>Separate linked worlds and cycles</x:v>
      </x:c>
      <x:c r="H149" s="24" t="str">
        <x:v>Tier 1</x:v>
      </x:c>
      <x:c r="I149" s="24" t="str">
        <x:v>Undead curse, classes as starting templates, fading ages, bosses, covenants, transformation.</x:v>
      </x:c>
      <x:c r="J149" s="24" t="str">
        <x:v>Treat adaptations/editions separately when taxonomically material.</x:v>
      </x:c>
      <x:c r="K149" s="84" t="str">
        <x:v>https://en.wikipedia.org/wiki/Dark_Souls</x:v>
      </x:c>
      <x:c r="L149" s="24" t="str">
        <x:v>Included</x:v>
      </x:c>
    </x:row>
    <x:row r="150" ht="42" customHeight="1">
      <x:c r="A150" s="24" t="str">
        <x:v>SRC-149</x:v>
      </x:c>
      <x:c r="B150" s="24" t="str">
        <x:v>Demon's Souls</x:v>
      </x:c>
      <x:c r="C150" s="24" t="str">
        <x:v>FromSoftware</x:v>
      </x:c>
      <x:c r="D150" s="24" t="str">
        <x:v>Video Game / Action RPG</x:v>
      </x:c>
      <x:c r="E150" s="24" t="str">
        <x:v>Japan</x:v>
      </x:c>
      <x:c r="F150" s="24" t="str">
        <x:v>2009</x:v>
      </x:c>
      <x:c r="G150" s="24" t="str">
        <x:v>Boletaria setting</x:v>
      </x:c>
      <x:c r="H150" s="24" t="str">
        <x:v>Tier 2</x:v>
      </x:c>
      <x:c r="I150" s="24" t="str">
        <x:v>Soul form, world tendency, starting classes, demon transformation, apocalyptic kingdom.</x:v>
      </x:c>
      <x:c r="J150" s="24" t="str">
        <x:v>Treat adaptations/editions separately when taxonomically material.</x:v>
      </x:c>
      <x:c r="K150" s="84" t="str">
        <x:v>https://en.wikipedia.org/wiki/Demon's_Souls</x:v>
      </x:c>
      <x:c r="L150" s="24" t="str">
        <x:v>Included</x:v>
      </x:c>
    </x:row>
    <x:row r="151" ht="42" customHeight="1">
      <x:c r="A151" s="24" t="str">
        <x:v>SRC-150</x:v>
      </x:c>
      <x:c r="B151" s="24" t="str">
        <x:v>Bloodborne</x:v>
      </x:c>
      <x:c r="C151" s="24" t="str">
        <x:v>FromSoftware</x:v>
      </x:c>
      <x:c r="D151" s="24" t="str">
        <x:v>Video Game / Action RPG</x:v>
      </x:c>
      <x:c r="E151" s="24" t="str">
        <x:v>Japan</x:v>
      </x:c>
      <x:c r="F151" s="24" t="str">
        <x:v>2015</x:v>
      </x:c>
      <x:c r="G151" s="24" t="str">
        <x:v>Yharnam setting</x:v>
      </x:c>
      <x:c r="H151" s="24" t="str">
        <x:v>Tier 2</x:v>
      </x:c>
      <x:c r="I151" s="24" t="str">
        <x:v>Hunter profession, blood ministration, beast transformation, eldritch beings, trick weapons.</x:v>
      </x:c>
      <x:c r="J151" s="24" t="str">
        <x:v>Treat adaptations/editions separately when taxonomically material.</x:v>
      </x:c>
      <x:c r="K151" s="84" t="str">
        <x:v>https://en.wikipedia.org/wiki/Bloodborne</x:v>
      </x:c>
      <x:c r="L151" s="24" t="str">
        <x:v>Included</x:v>
      </x:c>
    </x:row>
    <x:row r="152" ht="42" customHeight="1">
      <x:c r="A152" s="24" t="str">
        <x:v>SRC-151</x:v>
      </x:c>
      <x:c r="B152" s="24" t="str">
        <x:v>Elden Ring</x:v>
      </x:c>
      <x:c r="C152" s="24" t="str">
        <x:v>FromSoftware / Bandai Namco</x:v>
      </x:c>
      <x:c r="D152" s="24" t="str">
        <x:v>Video Game / Action RPG</x:v>
      </x:c>
      <x:c r="E152" s="24" t="str">
        <x:v>Japan</x:v>
      </x:c>
      <x:c r="F152" s="24" t="str">
        <x:v>2022</x:v>
      </x:c>
      <x:c r="G152" s="24" t="str">
        <x:v>Lands Between setting</x:v>
      </x:c>
      <x:c r="H152" s="24" t="str">
        <x:v>Tier 1</x:v>
      </x:c>
      <x:c r="I152" s="24" t="str">
        <x:v>Demigod lineages, Tarnished classes, outer gods, transformation, factions, open-world myth.</x:v>
      </x:c>
      <x:c r="J152" s="24" t="str">
        <x:v>Treat adaptations/editions separately when taxonomically material.</x:v>
      </x:c>
      <x:c r="K152" s="84" t="str">
        <x:v>https://en.wikipedia.org/wiki/Elden_Ring</x:v>
      </x:c>
      <x:c r="L152" s="24" t="str">
        <x:v>Included</x:v>
      </x:c>
    </x:row>
    <x:row r="153" ht="42" customHeight="1">
      <x:c r="A153" s="24" t="str">
        <x:v>SRC-152</x:v>
      </x:c>
      <x:c r="B153" s="24" t="str">
        <x:v>The Legend of Zelda</x:v>
      </x:c>
      <x:c r="C153" s="24" t="str">
        <x:v>Nintendo</x:v>
      </x:c>
      <x:c r="D153" s="24" t="str">
        <x:v>Video Game / Action Adventure Franchise</x:v>
      </x:c>
      <x:c r="E153" s="24" t="str">
        <x:v>Japan</x:v>
      </x:c>
      <x:c r="F153" s="24" t="str">
        <x:v>1986</x:v>
      </x:c>
      <x:c r="G153" s="24" t="str">
        <x:v>Multiple timelines and iterations</x:v>
      </x:c>
      <x:c r="H153" s="24" t="str">
        <x:v>Tier 1</x:v>
      </x:c>
      <x:c r="I153" s="24" t="str">
        <x:v>Hero/princess/demon king triad, peoples, sages, artifacts, reincurring roles, transformations.</x:v>
      </x:c>
      <x:c r="J153" s="24" t="str">
        <x:v>Treat adaptations/editions separately when taxonomically material.</x:v>
      </x:c>
      <x:c r="K153" s="84" t="str">
        <x:v>https://en.wikipedia.org/wiki/The_Legend_of_Zelda</x:v>
      </x:c>
      <x:c r="L153" s="24" t="str">
        <x:v>Included</x:v>
      </x:c>
    </x:row>
    <x:row r="154" ht="42" customHeight="1">
      <x:c r="A154" s="24" t="str">
        <x:v>SRC-153</x:v>
      </x:c>
      <x:c r="B154" s="24" t="str">
        <x:v>Ultima</x:v>
      </x:c>
      <x:c r="C154" s="24" t="str">
        <x:v>Richard Garriott / Origin Systems</x:v>
      </x:c>
      <x:c r="D154" s="24" t="str">
        <x:v>Video Game / RPG Franchise</x:v>
      </x:c>
      <x:c r="E154" s="24" t="str">
        <x:v>United States</x:v>
      </x:c>
      <x:c r="F154" s="24" t="str">
        <x:v>1981</x:v>
      </x:c>
      <x:c r="G154" s="24" t="str">
        <x:v>Britannia and related worlds</x:v>
      </x:c>
      <x:c r="H154" s="24" t="str">
        <x:v>Tier 1</x:v>
      </x:c>
      <x:c r="I154" s="24" t="str">
        <x:v>Avatar virtues, early CRPG classes, companions, ethics, world simulation, gargoyles.</x:v>
      </x:c>
      <x:c r="J154" s="24" t="str">
        <x:v>Treat adaptations/editions separately when taxonomically material.</x:v>
      </x:c>
      <x:c r="K154" s="84" t="str">
        <x:v>https://en.wikipedia.org/wiki/Ultima</x:v>
      </x:c>
      <x:c r="L154" s="24" t="str">
        <x:v>Included</x:v>
      </x:c>
    </x:row>
    <x:row r="155" ht="42" customHeight="1">
      <x:c r="A155" s="24" t="str">
        <x:v>SRC-154</x:v>
      </x:c>
      <x:c r="B155" s="24" t="str">
        <x:v>Wizardry</x:v>
      </x:c>
      <x:c r="C155" s="24" t="str">
        <x:v>Sir-Tech and later studios</x:v>
      </x:c>
      <x:c r="D155" s="24" t="str">
        <x:v>Video Game / CRPG Franchise</x:v>
      </x:c>
      <x:c r="E155" s="24" t="str">
        <x:v>United States / Japan</x:v>
      </x:c>
      <x:c r="F155" s="24" t="str">
        <x:v>1981</x:v>
      </x:c>
      <x:c r="G155" s="24" t="str">
        <x:v>Multiple continuities</x:v>
      </x:c>
      <x:c r="H155" s="24" t="str">
        <x:v>Tier 1</x:v>
      </x:c>
      <x:c r="I155" s="24" t="str">
        <x:v>Party class/race matrices, alignment, prestige classes, dungeon progression, JRPG influence.</x:v>
      </x:c>
      <x:c r="J155" s="24" t="str">
        <x:v>Treat adaptations/editions separately when taxonomically material.</x:v>
      </x:c>
      <x:c r="K155" s="84" t="str">
        <x:v>https://en.wikipedia.org/wiki/Wizardry</x:v>
      </x:c>
      <x:c r="L155" s="24" t="str">
        <x:v>Included</x:v>
      </x:c>
    </x:row>
    <x:row r="156" ht="42" customHeight="1">
      <x:c r="A156" s="24" t="str">
        <x:v>SRC-155</x:v>
      </x:c>
      <x:c r="B156" s="24" t="str">
        <x:v>Might and Magic</x:v>
      </x:c>
      <x:c r="C156" s="24" t="str">
        <x:v>New World Computing and successors</x:v>
      </x:c>
      <x:c r="D156" s="24" t="str">
        <x:v>Video Game / RPG Franchise</x:v>
      </x:c>
      <x:c r="E156" s="24" t="str">
        <x:v>United States</x:v>
      </x:c>
      <x:c r="F156" s="24" t="str">
        <x:v>1986</x:v>
      </x:c>
      <x:c r="G156" s="24" t="str">
        <x:v>Multiple worlds and strategy spin-offs</x:v>
      </x:c>
      <x:c r="H156" s="24" t="str">
        <x:v>Tier 1</x:v>
      </x:c>
      <x:c r="I156" s="24" t="str">
        <x:v>Class/race party systems, science-fantasy cosmology, promotion quests, monster taxonomy.</x:v>
      </x:c>
      <x:c r="J156" s="24" t="str">
        <x:v>Treat adaptations/editions separately when taxonomically material.</x:v>
      </x:c>
      <x:c r="K156" s="84" t="str">
        <x:v>https://en.wikipedia.org/wiki/Might_and_Magic</x:v>
      </x:c>
      <x:c r="L156" s="24" t="str">
        <x:v>Included</x:v>
      </x:c>
    </x:row>
    <x:row r="157" ht="42" customHeight="1">
      <x:c r="A157" s="24" t="str">
        <x:v>SRC-156</x:v>
      </x:c>
      <x:c r="B157" s="24" t="str">
        <x:v>Heroes of Might and Magic</x:v>
      </x:c>
      <x:c r="C157" s="24" t="str">
        <x:v>New World Computing and successors</x:v>
      </x:c>
      <x:c r="D157" s="24" t="str">
        <x:v>Video Game / Strategy Franchise</x:v>
      </x:c>
      <x:c r="E157" s="24" t="str">
        <x:v>United States</x:v>
      </x:c>
      <x:c r="F157" s="24" t="str">
        <x:v>1995</x:v>
      </x:c>
      <x:c r="G157" s="24" t="str">
        <x:v>Multiple continuities</x:v>
      </x:c>
      <x:c r="H157" s="24" t="str">
        <x:v>Tier 1</x:v>
      </x:c>
      <x:c r="I157" s="24" t="str">
        <x:v>Faction-as-civilization taxonomy, hero classes, unit tiers, creature lineages.</x:v>
      </x:c>
      <x:c r="J157" s="24" t="str">
        <x:v>Treat adaptations/editions separately when taxonomically material.</x:v>
      </x:c>
      <x:c r="K157" s="84" t="str">
        <x:v>https://en.wikipedia.org/wiki/Heroes_of_Might_and_Magic</x:v>
      </x:c>
      <x:c r="L157" s="24" t="str">
        <x:v>Included</x:v>
      </x:c>
    </x:row>
    <x:row r="158" ht="42" customHeight="1">
      <x:c r="A158" s="24" t="str">
        <x:v>SRC-157</x:v>
      </x:c>
      <x:c r="B158" s="24" t="str">
        <x:v>Dragon's Dogma</x:v>
      </x:c>
      <x:c r="C158" s="24" t="str">
        <x:v>Capcom</x:v>
      </x:c>
      <x:c r="D158" s="24" t="str">
        <x:v>Video Game / Action RPG Franchise</x:v>
      </x:c>
      <x:c r="E158" s="24" t="str">
        <x:v>Japan</x:v>
      </x:c>
      <x:c r="F158" s="24" t="str">
        <x:v>2012</x:v>
      </x:c>
      <x:c r="G158" s="24" t="str">
        <x:v>Games and continuities</x:v>
      </x:c>
      <x:c r="H158" s="24" t="str">
        <x:v>Tier 1</x:v>
      </x:c>
      <x:c r="I158" s="24" t="str">
        <x:v>Vocations, hybrid classes, pawns, dragon cycle, climbing combat, arisen identity.</x:v>
      </x:c>
      <x:c r="J158" s="24" t="str">
        <x:v>Treat adaptations/editions separately when taxonomically material.</x:v>
      </x:c>
      <x:c r="K158" s="84" t="str">
        <x:v>https://en.wikipedia.org/wiki/Dragon's_Dogma</x:v>
      </x:c>
      <x:c r="L158" s="24" t="str">
        <x:v>Included</x:v>
      </x:c>
    </x:row>
    <x:row r="159" ht="42" customHeight="1">
      <x:c r="A159" s="24" t="str">
        <x:v>SRC-158</x:v>
      </x:c>
      <x:c r="B159" s="24" t="str">
        <x:v>Fable</x:v>
      </x:c>
      <x:c r="C159" s="24" t="str">
        <x:v>Lionhead Studios / Xbox Game Studios</x:v>
      </x:c>
      <x:c r="D159" s="24" t="str">
        <x:v>Video Game / Action RPG Franchise</x:v>
      </x:c>
      <x:c r="E159" s="24" t="str">
        <x:v>Britain</x:v>
      </x:c>
      <x:c r="F159" s="24" t="str">
        <x:v>2004</x:v>
      </x:c>
      <x:c r="G159" s="24" t="str">
        <x:v>Albion continuity</x:v>
      </x:c>
      <x:c r="H159" s="24" t="str">
        <x:v>Tier 2</x:v>
      </x:c>
      <x:c r="I159" s="24" t="str">
        <x:v>Hero morality and appearance, guild training, classless skill triad, fairy-tale society.</x:v>
      </x:c>
      <x:c r="J159" s="24" t="str">
        <x:v>Treat adaptations/editions separately when taxonomically material.</x:v>
      </x:c>
      <x:c r="K159" s="84" t="str">
        <x:v>https://en.wikipedia.org/wiki/Fable</x:v>
      </x:c>
      <x:c r="L159" s="24" t="str">
        <x:v>Included</x:v>
      </x:c>
    </x:row>
    <x:row r="160" ht="42" customHeight="1">
      <x:c r="A160" s="24" t="str">
        <x:v>SRC-159</x:v>
      </x:c>
      <x:c r="B160" s="24" t="str">
        <x:v>Gothic</x:v>
      </x:c>
      <x:c r="C160" s="24" t="str">
        <x:v>Piranha Bytes</x:v>
      </x:c>
      <x:c r="D160" s="24" t="str">
        <x:v>Video Game / Action RPG Franchise</x:v>
      </x:c>
      <x:c r="E160" s="24" t="str">
        <x:v>Germany</x:v>
      </x:c>
      <x:c r="F160" s="24" t="str">
        <x:v>2001</x:v>
      </x:c>
      <x:c r="G160" s="24" t="str">
        <x:v>Gothic continuity</x:v>
      </x:c>
      <x:c r="H160" s="24" t="str">
        <x:v>Tier 2</x:v>
      </x:c>
      <x:c r="I160" s="24" t="str">
        <x:v>Faction-gated professions, low-fantasy social progression, magic circles, survival.</x:v>
      </x:c>
      <x:c r="J160" s="24" t="str">
        <x:v>Treat adaptations/editions separately when taxonomically material.</x:v>
      </x:c>
      <x:c r="K160" s="84" t="str">
        <x:v>https://en.wikipedia.org/wiki/Gothic</x:v>
      </x:c>
      <x:c r="L160" s="24" t="str">
        <x:v>Included</x:v>
      </x:c>
    </x:row>
    <x:row r="161" ht="42" customHeight="1">
      <x:c r="A161" s="24" t="str">
        <x:v>SRC-160</x:v>
      </x:c>
      <x:c r="B161" s="24" t="str">
        <x:v>Risen</x:v>
      </x:c>
      <x:c r="C161" s="24" t="str">
        <x:v>Piranha Bytes</x:v>
      </x:c>
      <x:c r="D161" s="24" t="str">
        <x:v>Video Game / Action RPG Franchise</x:v>
      </x:c>
      <x:c r="E161" s="24" t="str">
        <x:v>Germany</x:v>
      </x:c>
      <x:c r="F161" s="24" t="str">
        <x:v>2009</x:v>
      </x:c>
      <x:c r="G161" s="24" t="str">
        <x:v>Separate but related thematic games</x:v>
      </x:c>
      <x:c r="H161" s="24" t="str">
        <x:v>Tier 3</x:v>
      </x:c>
      <x:c r="I161" s="24" t="str">
        <x:v>Faction classes, pirates, inquisitors, magic, island societies.</x:v>
      </x:c>
      <x:c r="J161" s="24" t="str">
        <x:v>Treat adaptations/editions separately when taxonomically material.</x:v>
      </x:c>
      <x:c r="K161" s="84" t="str">
        <x:v>https://en.wikipedia.org/wiki/Risen</x:v>
      </x:c>
      <x:c r="L161" s="24" t="str">
        <x:v>Included</x:v>
      </x:c>
    </x:row>
    <x:row r="162" ht="42" customHeight="1">
      <x:c r="A162" s="24" t="str">
        <x:v>SRC-161</x:v>
      </x:c>
      <x:c r="B162" s="24" t="str">
        <x:v>The Witcher Games</x:v>
      </x:c>
      <x:c r="C162" s="24" t="str">
        <x:v>CD Projekt Red</x:v>
      </x:c>
      <x:c r="D162" s="24" t="str">
        <x:v>Video Game / Action RPG Franchise</x:v>
      </x:c>
      <x:c r="E162" s="24" t="str">
        <x:v>Poland</x:v>
      </x:c>
      <x:c r="F162" s="24" t="str">
        <x:v>2007</x:v>
      </x:c>
      <x:c r="G162" s="24" t="str">
        <x:v>Game continuity after Sapkowski novels</x:v>
      </x:c>
      <x:c r="H162" s="24" t="str">
        <x:v>Tier 1</x:v>
      </x:c>
      <x:c r="I162" s="24" t="str">
        <x:v>Witcher combat/alchemy/sign build, monster bestiary, schools, political choices, mutations.</x:v>
      </x:c>
      <x:c r="J162" s="24" t="str">
        <x:v>Keep separate from book and television continuities.</x:v>
      </x:c>
      <x:c r="K162" s="84" t="str">
        <x:v>https://www.thewitcher.com/en/classics</x:v>
      </x:c>
      <x:c r="L162" s="24" t="str">
        <x:v>Included</x:v>
      </x:c>
    </x:row>
    <x:row r="163" ht="42" customHeight="1">
      <x:c r="A163" s="24" t="str">
        <x:v>SRC-162</x:v>
      </x:c>
      <x:c r="B163" s="24" t="str">
        <x:v>Guild Wars</x:v>
      </x:c>
      <x:c r="C163" s="24" t="str">
        <x:v>ArenaNet</x:v>
      </x:c>
      <x:c r="D163" s="24" t="str">
        <x:v>Video Game / MMORPG Franchise</x:v>
      </x:c>
      <x:c r="E163" s="24" t="str">
        <x:v>United States</x:v>
      </x:c>
      <x:c r="F163" s="24" t="str">
        <x:v>2005</x:v>
      </x:c>
      <x:c r="G163" s="24" t="str">
        <x:v>Tyria continuity</x:v>
      </x:c>
      <x:c r="H163" s="24" t="str">
        <x:v>Tier 1</x:v>
      </x:c>
      <x:c r="I163" s="24" t="str">
        <x:v>Distinct professions, playable peoples, elite specializations, dragons, gods, magitech.</x:v>
      </x:c>
      <x:c r="J163" s="24" t="str">
        <x:v>Treat adaptations/editions separately when taxonomically material.</x:v>
      </x:c>
      <x:c r="K163" s="84" t="str">
        <x:v>https://en.wikipedia.org/wiki/Guild_Wars</x:v>
      </x:c>
      <x:c r="L163" s="24" t="str">
        <x:v>Included</x:v>
      </x:c>
    </x:row>
    <x:row r="164" ht="42" customHeight="1">
      <x:c r="A164" s="24" t="str">
        <x:v>SRC-163</x:v>
      </x:c>
      <x:c r="B164" s="24" t="str">
        <x:v>EverQuest</x:v>
      </x:c>
      <x:c r="C164" s="24" t="str">
        <x:v>Sony Online Entertainment / Daybreak</x:v>
      </x:c>
      <x:c r="D164" s="24" t="str">
        <x:v>Video Game / MMORPG Franchise</x:v>
      </x:c>
      <x:c r="E164" s="24" t="str">
        <x:v>United States</x:v>
      </x:c>
      <x:c r="F164" s="24" t="str">
        <x:v>1999</x:v>
      </x:c>
      <x:c r="G164" s="24" t="str">
        <x:v>Norrath continuity and sequels</x:v>
      </x:c>
      <x:c r="H164" s="24" t="str">
        <x:v>Tier 2</x:v>
      </x:c>
      <x:c r="I164" s="24" t="str">
        <x:v>Influential MMO race/class combinations, factions, deities, raid roles.</x:v>
      </x:c>
      <x:c r="J164" s="24" t="str">
        <x:v>Treat adaptations/editions separately when taxonomically material.</x:v>
      </x:c>
      <x:c r="K164" s="84" t="str">
        <x:v>https://en.wikipedia.org/wiki/EverQuest</x:v>
      </x:c>
      <x:c r="L164" s="24" t="str">
        <x:v>Included</x:v>
      </x:c>
    </x:row>
    <x:row r="165" ht="42" customHeight="1">
      <x:c r="A165" s="24" t="str">
        <x:v>SRC-164</x:v>
      </x:c>
      <x:c r="B165" s="24" t="str">
        <x:v>RuneScape</x:v>
      </x:c>
      <x:c r="C165" s="24" t="str">
        <x:v>Jagex</x:v>
      </x:c>
      <x:c r="D165" s="24" t="str">
        <x:v>Video Game / MMORPG</x:v>
      </x:c>
      <x:c r="E165" s="24" t="str">
        <x:v>Britain</x:v>
      </x:c>
      <x:c r="F165" s="24" t="str">
        <x:v>2001</x:v>
      </x:c>
      <x:c r="G165" s="24" t="str">
        <x:v>Gielinor; RuneScape and Old School versions</x:v>
      </x:c>
      <x:c r="H165" s="24" t="str">
        <x:v>Tier 2</x:v>
      </x:c>
      <x:c r="I165" s="24" t="str">
        <x:v>Classless skills, gods, quests, playable combat styles, extensive monster and faction catalogue.</x:v>
      </x:c>
      <x:c r="J165" s="24" t="str">
        <x:v>Treat adaptations/editions separately when taxonomically material.</x:v>
      </x:c>
      <x:c r="K165" s="84" t="str">
        <x:v>https://en.wikipedia.org/wiki/RuneScape</x:v>
      </x:c>
      <x:c r="L165" s="24" t="str">
        <x:v>Included</x:v>
      </x:c>
    </x:row>
    <x:row r="166" ht="42" customHeight="1">
      <x:c r="A166" s="24" t="str">
        <x:v>SRC-165</x:v>
      </x:c>
      <x:c r="B166" s="24" t="str">
        <x:v>Lineage</x:v>
      </x:c>
      <x:c r="C166" s="24" t="str">
        <x:v>NCSoft</x:v>
      </x:c>
      <x:c r="D166" s="24" t="str">
        <x:v>Video Game / MMORPG Franchise</x:v>
      </x:c>
      <x:c r="E166" s="24" t="str">
        <x:v>South Korea</x:v>
      </x:c>
      <x:c r="F166" s="24" t="str">
        <x:v>1998</x:v>
      </x:c>
      <x:c r="G166" s="24" t="str">
        <x:v>Aden setting and sequels</x:v>
      </x:c>
      <x:c r="H166" s="24" t="str">
        <x:v>Tier 2</x:v>
      </x:c>
      <x:c r="I166" s="24" t="str">
        <x:v>Korean MMO classes, elves/dark elves/orcs, castles, blood pledges, large-scale faction play.</x:v>
      </x:c>
      <x:c r="J166" s="24" t="str">
        <x:v>Treat adaptations/editions separately when taxonomically material.</x:v>
      </x:c>
      <x:c r="K166" s="84" t="str">
        <x:v>https://en.wikipedia.org/wiki/Lineage</x:v>
      </x:c>
      <x:c r="L166" s="24" t="str">
        <x:v>Included</x:v>
      </x:c>
    </x:row>
    <x:row r="167" ht="42" customHeight="1">
      <x:c r="A167" s="24" t="str">
        <x:v>SRC-166</x:v>
      </x:c>
      <x:c r="B167" s="24" t="str">
        <x:v>Black Desert Online</x:v>
      </x:c>
      <x:c r="C167" s="24" t="str">
        <x:v>Pearl Abyss</x:v>
      </x:c>
      <x:c r="D167" s="24" t="str">
        <x:v>Video Game / MMORPG</x:v>
      </x:c>
      <x:c r="E167" s="24" t="str">
        <x:v>South Korea</x:v>
      </x:c>
      <x:c r="F167" s="24" t="str">
        <x:v>2014</x:v>
      </x:c>
      <x:c r="G167" s="24" t="str">
        <x:v>Live setting</x:v>
      </x:c>
      <x:c r="H167" s="24" t="str">
        <x:v>Tier 2</x:v>
      </x:c>
      <x:c r="I167" s="24" t="str">
        <x:v>Class-specific characters, awakenings, life skills, regional cultures, dark spirits.</x:v>
      </x:c>
      <x:c r="J167" s="24" t="str">
        <x:v>Treat adaptations/editions separately when taxonomically material.</x:v>
      </x:c>
      <x:c r="K167" s="84" t="str">
        <x:v>https://en.wikipedia.org/wiki/Black_Desert_Online</x:v>
      </x:c>
      <x:c r="L167" s="24" t="str">
        <x:v>Included</x:v>
      </x:c>
    </x:row>
    <x:row r="168" ht="42" customHeight="1">
      <x:c r="A168" s="24" t="str">
        <x:v>SRC-167</x:v>
      </x:c>
      <x:c r="B168" s="24" t="str">
        <x:v>Lost Ark</x:v>
      </x:c>
      <x:c r="C168" s="24" t="str">
        <x:v>Smilegate RPG</x:v>
      </x:c>
      <x:c r="D168" s="24" t="str">
        <x:v>Video Game / MMORPG / Action RPG</x:v>
      </x:c>
      <x:c r="E168" s="24" t="str">
        <x:v>South Korea</x:v>
      </x:c>
      <x:c r="F168" s="24" t="str">
        <x:v>2018</x:v>
      </x:c>
      <x:c r="G168" s="24" t="str">
        <x:v>Arkesia setting</x:v>
      </x:c>
      <x:c r="H168" s="24" t="str">
        <x:v>Tier 2</x:v>
      </x:c>
      <x:c r="I168" s="24" t="str">
        <x:v>Base classes and advanced classes, transformation, demons, martial and gunner traditions.</x:v>
      </x:c>
      <x:c r="J168" s="24" t="str">
        <x:v>Treat adaptations/editions separately when taxonomically material.</x:v>
      </x:c>
      <x:c r="K168" s="84" t="str">
        <x:v>https://en.wikipedia.org/wiki/Lost_Ark</x:v>
      </x:c>
      <x:c r="L168" s="24" t="str">
        <x:v>Included</x:v>
      </x:c>
    </x:row>
    <x:row r="169" ht="42" customHeight="1">
      <x:c r="A169" s="24" t="str">
        <x:v>SRC-168</x:v>
      </x:c>
      <x:c r="B169" s="24" t="str">
        <x:v>Suikoden</x:v>
      </x:c>
      <x:c r="C169" s="24" t="str">
        <x:v>Konami</x:v>
      </x:c>
      <x:c r="D169" s="24" t="str">
        <x:v>Video Game / JRPG Franchise</x:v>
      </x:c>
      <x:c r="E169" s="24" t="str">
        <x:v>Japan</x:v>
      </x:c>
      <x:c r="F169" s="24" t="str">
        <x:v>1995</x:v>
      </x:c>
      <x:c r="G169" s="24" t="str">
        <x:v>Connected world and titles</x:v>
      </x:c>
      <x:c r="H169" s="24" t="str">
        <x:v>Tier 1</x:v>
      </x:c>
      <x:c r="I169" s="24" t="str">
        <x:v>108 recruits, rune magic, military and civic roles, nation-building, political factions.</x:v>
      </x:c>
      <x:c r="J169" s="24" t="str">
        <x:v>Treat adaptations/editions separately when taxonomically material.</x:v>
      </x:c>
      <x:c r="K169" s="84" t="str">
        <x:v>https://en.wikipedia.org/wiki/Suikoden</x:v>
      </x:c>
      <x:c r="L169" s="24" t="str">
        <x:v>Included</x:v>
      </x:c>
    </x:row>
    <x:row r="170" ht="42" customHeight="1">
      <x:c r="A170" s="24" t="str">
        <x:v>SRC-169</x:v>
      </x:c>
      <x:c r="B170" s="24" t="str">
        <x:v>Disgaea</x:v>
      </x:c>
      <x:c r="C170" s="24" t="str">
        <x:v>Nippon Ichi Software</x:v>
      </x:c>
      <x:c r="D170" s="24" t="str">
        <x:v>Video Game / Tactical RPG Franchise</x:v>
      </x:c>
      <x:c r="E170" s="24" t="str">
        <x:v>Japan</x:v>
      </x:c>
      <x:c r="F170" s="24" t="str">
        <x:v>2003</x:v>
      </x:c>
      <x:c r="G170" s="24" t="str">
        <x:v>Multiple Netherworld continuities</x:v>
      </x:c>
      <x:c r="H170" s="24" t="str">
        <x:v>Tier 2</x:v>
      </x:c>
      <x:c r="I170" s="24" t="str">
        <x:v>Humanoid and monster classes, reincarnation, extreme leveling, demon society, item worlds.</x:v>
      </x:c>
      <x:c r="J170" s="24" t="str">
        <x:v>Treat adaptations/editions separately when taxonomically material.</x:v>
      </x:c>
      <x:c r="K170" s="84" t="str">
        <x:v>https://en.wikipedia.org/wiki/Disgaea</x:v>
      </x:c>
      <x:c r="L170" s="24" t="str">
        <x:v>Included</x:v>
      </x:c>
    </x:row>
    <x:row r="171" ht="42" customHeight="1">
      <x:c r="A171" s="24" t="str">
        <x:v>SRC-170</x:v>
      </x:c>
      <x:c r="B171" s="24" t="str">
        <x:v>Chrono Trigger / Chrono</x:v>
      </x:c>
      <x:c r="C171" s="24" t="str">
        <x:v>Square</x:v>
      </x:c>
      <x:c r="D171" s="24" t="str">
        <x:v>Video Game / JRPG</x:v>
      </x:c>
      <x:c r="E171" s="24" t="str">
        <x:v>Japan</x:v>
      </x:c>
      <x:c r="F171" s="24" t="str">
        <x:v>1995</x:v>
      </x:c>
      <x:c r="G171" s="24" t="str">
        <x:v>Chrono continuity</x:v>
      </x:c>
      <x:c r="H171" s="24" t="str">
        <x:v>Tier 1</x:v>
      </x:c>
      <x:c r="I171" s="24" t="str">
        <x:v>Time-travel party, magic elements, prehistoric/medieval/future roles, alternate histories.</x:v>
      </x:c>
      <x:c r="J171" s="24" t="str">
        <x:v>Treat adaptations/editions separately when taxonomically material.</x:v>
      </x:c>
      <x:c r="K171" s="84" t="str">
        <x:v>https://en.wikipedia.org/wiki/Chrono_Trigger_%2F_Chrono</x:v>
      </x:c>
      <x:c r="L171" s="24" t="str">
        <x:v>Included</x:v>
      </x:c>
    </x:row>
    <x:row r="172" ht="42" customHeight="1">
      <x:c r="A172" s="24" t="str">
        <x:v>SRC-171</x:v>
      </x:c>
      <x:c r="B172" s="24" t="str">
        <x:v>Xenoblade Chronicles</x:v>
      </x:c>
      <x:c r="C172" s="24" t="str">
        <x:v>Monolith Soft / Nintendo</x:v>
      </x:c>
      <x:c r="D172" s="24" t="str">
        <x:v>Video Game / JRPG Franchise</x:v>
      </x:c>
      <x:c r="E172" s="24" t="str">
        <x:v>Japan</x:v>
      </x:c>
      <x:c r="F172" s="24" t="str">
        <x:v>2010</x:v>
      </x:c>
      <x:c r="G172" s="24" t="str">
        <x:v>Separate but thematically linked continuities</x:v>
      </x:c>
      <x:c r="H172" s="24" t="str">
        <x:v>Tier 2</x:v>
      </x:c>
      <x:c r="I172" s="24" t="str">
        <x:v>Science-fantasy peoples, class systems, living worlds, blades, cycles and creator gods.</x:v>
      </x:c>
      <x:c r="J172" s="24" t="str">
        <x:v>Treat adaptations/editions separately when taxonomically material.</x:v>
      </x:c>
      <x:c r="K172" s="84" t="str">
        <x:v>https://en.wikipedia.org/wiki/Xenoblade_Chronicles</x:v>
      </x:c>
      <x:c r="L172" s="24" t="str">
        <x:v>Included</x:v>
      </x:c>
    </x:row>
    <x:row r="173" ht="42" customHeight="1">
      <x:c r="A173" s="24" t="str">
        <x:v>SRC-172</x:v>
      </x:c>
      <x:c r="B173" s="24" t="str">
        <x:v>Golden Sun</x:v>
      </x:c>
      <x:c r="C173" s="24" t="str">
        <x:v>Camelot Software Planning / Nintendo</x:v>
      </x:c>
      <x:c r="D173" s="24" t="str">
        <x:v>Video Game / JRPG Franchise</x:v>
      </x:c>
      <x:c r="E173" s="24" t="str">
        <x:v>Japan</x:v>
      </x:c>
      <x:c r="F173" s="24" t="str">
        <x:v>2001</x:v>
      </x:c>
      <x:c r="G173" s="24" t="str">
        <x:v>Weyard setting</x:v>
      </x:c>
      <x:c r="H173" s="24" t="str">
        <x:v>Tier 2</x:v>
      </x:c>
      <x:c r="I173" s="24" t="str">
        <x:v>Elemental adepts, djinn as equipable spirits, class changes, alchemy, world restoration.</x:v>
      </x:c>
      <x:c r="J173" s="24" t="str">
        <x:v>Treat adaptations/editions separately when taxonomically material.</x:v>
      </x:c>
      <x:c r="K173" s="84" t="str">
        <x:v>https://en.wikipedia.org/wiki/Golden_Sun</x:v>
      </x:c>
      <x:c r="L173" s="24" t="str">
        <x:v>Included</x:v>
      </x:c>
    </x:row>
    <x:row r="174" ht="42" customHeight="1">
      <x:c r="A174" s="24" t="str">
        <x:v>SRC-173</x:v>
      </x:c>
      <x:c r="B174" s="24" t="str">
        <x:v>Breath of Fire</x:v>
      </x:c>
      <x:c r="C174" s="24" t="str">
        <x:v>Capcom</x:v>
      </x:c>
      <x:c r="D174" s="24" t="str">
        <x:v>Video Game / JRPG Franchise</x:v>
      </x:c>
      <x:c r="E174" s="24" t="str">
        <x:v>Japan</x:v>
      </x:c>
      <x:c r="F174" s="24" t="str">
        <x:v>1993</x:v>
      </x:c>
      <x:c r="G174" s="24" t="str">
        <x:v>Separate continuities</x:v>
      </x:c>
      <x:c r="H174" s="24" t="str">
        <x:v>Tier 2</x:v>
      </x:c>
      <x:c r="I174" s="24" t="str">
        <x:v>Dragon-transforming hero, animal peoples, shamans, fusions, recurring class roles.</x:v>
      </x:c>
      <x:c r="J174" s="24" t="str">
        <x:v>Treat adaptations/editions separately when taxonomically material.</x:v>
      </x:c>
      <x:c r="K174" s="84" t="str">
        <x:v>https://en.wikipedia.org/wiki/Breath_of_Fire</x:v>
      </x:c>
      <x:c r="L174" s="24" t="str">
        <x:v>Included</x:v>
      </x:c>
    </x:row>
    <x:row r="175" ht="42" customHeight="1">
      <x:c r="A175" s="24" t="str">
        <x:v>SRC-174</x:v>
      </x:c>
      <x:c r="B175" s="24" t="str">
        <x:v>Tales Series</x:v>
      </x:c>
      <x:c r="C175" s="24" t="str">
        <x:v>Bandai Namco</x:v>
      </x:c>
      <x:c r="D175" s="24" t="str">
        <x:v>Video Game / Action JRPG Franchise</x:v>
      </x:c>
      <x:c r="E175" s="24" t="str">
        <x:v>Japan</x:v>
      </x:c>
      <x:c r="F175" s="24" t="str">
        <x:v>1995</x:v>
      </x:c>
      <x:c r="G175" s="24" t="str">
        <x:v>Separate continuities</x:v>
      </x:c>
      <x:c r="H175" s="24" t="str">
        <x:v>Tier 2</x:v>
      </x:c>
      <x:c r="I175" s="24" t="str">
        <x:v>Action combat roles, artes, spirits, mixed peoples, party archetypes, recurring summon lore.</x:v>
      </x:c>
      <x:c r="J175" s="24" t="str">
        <x:v>Treat adaptations/editions separately when taxonomically material.</x:v>
      </x:c>
      <x:c r="K175" s="84" t="str">
        <x:v>https://en.wikipedia.org/wiki/Tales_Series</x:v>
      </x:c>
      <x:c r="L175" s="24" t="str">
        <x:v>Included</x:v>
      </x:c>
    </x:row>
    <x:row r="176" ht="42" customHeight="1">
      <x:c r="A176" s="24" t="str">
        <x:v>SRC-175</x:v>
      </x:c>
      <x:c r="B176" s="24" t="str">
        <x:v>Ys</x:v>
      </x:c>
      <x:c r="C176" s="24" t="str">
        <x:v>Nihon Falcom</x:v>
      </x:c>
      <x:c r="D176" s="24" t="str">
        <x:v>Video Game / Action RPG Franchise</x:v>
      </x:c>
      <x:c r="E176" s="24" t="str">
        <x:v>Japan</x:v>
      </x:c>
      <x:c r="F176" s="24" t="str">
        <x:v>1987</x:v>
      </x:c>
      <x:c r="G176" s="24" t="str">
        <x:v>Adol's travel continuity</x:v>
      </x:c>
      <x:c r="H176" s="24" t="str">
        <x:v>Tier 2</x:v>
      </x:c>
      <x:c r="I176" s="24" t="str">
        <x:v>Wandering adventurer, ancient civilizations, goddesses, local peoples, episodic regions.</x:v>
      </x:c>
      <x:c r="J176" s="24" t="str">
        <x:v>Treat adaptations/editions separately when taxonomically material.</x:v>
      </x:c>
      <x:c r="K176" s="84" t="str">
        <x:v>https://en.wikipedia.org/wiki/Ys</x:v>
      </x:c>
      <x:c r="L176" s="24" t="str">
        <x:v>Included</x:v>
      </x:c>
    </x:row>
    <x:row r="177" ht="42" customHeight="1">
      <x:c r="A177" s="24" t="str">
        <x:v>SRC-176</x:v>
      </x:c>
      <x:c r="B177" s="24" t="str">
        <x:v>Shin Megami Tensei</x:v>
      </x:c>
      <x:c r="C177" s="24" t="str">
        <x:v>Atlus</x:v>
      </x:c>
      <x:c r="D177" s="24" t="str">
        <x:v>Video Game / RPG Franchise</x:v>
      </x:c>
      <x:c r="E177" s="24" t="str">
        <x:v>Japan</x:v>
      </x:c>
      <x:c r="F177" s="24" t="str">
        <x:v>1987</x:v>
      </x:c>
      <x:c r="G177" s="24" t="str">
        <x:v>Multiple continuities</x:v>
      </x:c>
      <x:c r="H177" s="24" t="str">
        <x:v>Tier 1</x:v>
      </x:c>
      <x:c r="I177" s="24" t="str">
        <x:v>Recruitable demons from global myth, alignment, fusion, summoner role, apocalypse.</x:v>
      </x:c>
      <x:c r="J177" s="24" t="str">
        <x:v>Treat adaptations/editions separately when taxonomically material.</x:v>
      </x:c>
      <x:c r="K177" s="84" t="str">
        <x:v>https://en.wikipedia.org/wiki/Shin_Megami_Tensei</x:v>
      </x:c>
      <x:c r="L177" s="24" t="str">
        <x:v>Included</x:v>
      </x:c>
    </x:row>
    <x:row r="178" ht="42" customHeight="1">
      <x:c r="A178" s="24" t="str">
        <x:v>SRC-177</x:v>
      </x:c>
      <x:c r="B178" s="24" t="str">
        <x:v>Etrian Odyssey</x:v>
      </x:c>
      <x:c r="C178" s="24" t="str">
        <x:v>Atlus</x:v>
      </x:c>
      <x:c r="D178" s="24" t="str">
        <x:v>Video Game / Dungeon RPG Franchise</x:v>
      </x:c>
      <x:c r="E178" s="24" t="str">
        <x:v>Japan</x:v>
      </x:c>
      <x:c r="F178" s="24" t="str">
        <x:v>2007</x:v>
      </x:c>
      <x:c r="G178" s="24" t="str">
        <x:v>Separate settings</x:v>
      </x:c>
      <x:c r="H178" s="24" t="str">
        <x:v>Tier 2</x:v>
      </x:c>
      <x:c r="I178" s="24" t="str">
        <x:v>Player-created class parties, mapping, advanced class synergies, dungeon ecology.</x:v>
      </x:c>
      <x:c r="J178" s="24" t="str">
        <x:v>Treat adaptations/editions separately when taxonomically material.</x:v>
      </x:c>
      <x:c r="K178" s="84" t="str">
        <x:v>https://en.wikipedia.org/wiki/Etrian_Odyssey</x:v>
      </x:c>
      <x:c r="L178" s="24" t="str">
        <x:v>Included</x:v>
      </x:c>
    </x:row>
    <x:row r="179" ht="42" customHeight="1">
      <x:c r="A179" s="24" t="str">
        <x:v>SRC-178</x:v>
      </x:c>
      <x:c r="B179" s="24" t="str">
        <x:v>Bravely Default</x:v>
      </x:c>
      <x:c r="C179" s="24" t="str">
        <x:v>Square Enix</x:v>
      </x:c>
      <x:c r="D179" s="24" t="str">
        <x:v>Video Game / JRPG Franchise</x:v>
      </x:c>
      <x:c r="E179" s="24" t="str">
        <x:v>Japan</x:v>
      </x:c>
      <x:c r="F179" s="24" t="str">
        <x:v>2012</x:v>
      </x:c>
      <x:c r="G179" s="24" t="str">
        <x:v>Luxendarc and related continuities</x:v>
      </x:c>
      <x:c r="H179" s="24" t="str">
        <x:v>Tier 1</x:v>
      </x:c>
      <x:c r="I179" s="24" t="str">
        <x:v>Asterisk jobs, job combinations, turn economy, crystals, classic Final Fantasy class recombination.</x:v>
      </x:c>
      <x:c r="J179" s="24" t="str">
        <x:v>Treat adaptations/editions separately when taxonomically material.</x:v>
      </x:c>
      <x:c r="K179" s="84" t="str">
        <x:v>https://en.wikipedia.org/wiki/Bravely_Default</x:v>
      </x:c>
      <x:c r="L179" s="24" t="str">
        <x:v>Included</x:v>
      </x:c>
    </x:row>
    <x:row r="180" ht="42" customHeight="1">
      <x:c r="A180" s="24" t="str">
        <x:v>SRC-179</x:v>
      </x:c>
      <x:c r="B180" s="24" t="str">
        <x:v>Octopath Traveler</x:v>
      </x:c>
      <x:c r="C180" s="24" t="str">
        <x:v>Square Enix / Acquire</x:v>
      </x:c>
      <x:c r="D180" s="24" t="str">
        <x:v>Video Game / JRPG Franchise</x:v>
      </x:c>
      <x:c r="E180" s="24" t="str">
        <x:v>Japan</x:v>
      </x:c>
      <x:c r="F180" s="24" t="str">
        <x:v>2018</x:v>
      </x:c>
      <x:c r="G180" s="24" t="str">
        <x:v>Separate settings</x:v>
      </x:c>
      <x:c r="H180" s="24" t="str">
        <x:v>Tier 2</x:v>
      </x:c>
      <x:c r="I180" s="24" t="str">
        <x:v>Eight profession protagonists, secondary jobs, path actions, regional narratives.</x:v>
      </x:c>
      <x:c r="J180" s="24" t="str">
        <x:v>Treat adaptations/editions separately when taxonomically material.</x:v>
      </x:c>
      <x:c r="K180" s="84" t="str">
        <x:v>https://en.wikipedia.org/wiki/Octopath_Traveler</x:v>
      </x:c>
      <x:c r="L180" s="24" t="str">
        <x:v>Included</x:v>
      </x:c>
    </x:row>
    <x:row r="181" ht="42" customHeight="1">
      <x:c r="A181" s="24" t="str">
        <x:v>SRC-180</x:v>
      </x:c>
      <x:c r="B181" s="24" t="str">
        <x:v>Triangle Strategy</x:v>
      </x:c>
      <x:c r="C181" s="24" t="str">
        <x:v>Square Enix / Artdink</x:v>
      </x:c>
      <x:c r="D181" s="24" t="str">
        <x:v>Video Game / Tactical RPG</x:v>
      </x:c>
      <x:c r="E181" s="24" t="str">
        <x:v>Japan</x:v>
      </x:c>
      <x:c r="F181" s="24" t="str">
        <x:v>2022</x:v>
      </x:c>
      <x:c r="G181" s="24" t="str">
        <x:v>Norzelia setting</x:v>
      </x:c>
      <x:c r="H181" s="24" t="str">
        <x:v>Tier 2</x:v>
      </x:c>
      <x:c r="I181" s="24" t="str">
        <x:v>Character-specific classes, political branching, resource conflict, convictions.</x:v>
      </x:c>
      <x:c r="J181" s="24" t="str">
        <x:v>Treat adaptations/editions separately when taxonomically material.</x:v>
      </x:c>
      <x:c r="K181" s="84" t="str">
        <x:v>https://en.wikipedia.org/wiki/Triangle_Strategy</x:v>
      </x:c>
      <x:c r="L181" s="24" t="str">
        <x:v>Included</x:v>
      </x:c>
    </x:row>
    <x:row r="182" ht="42" customHeight="1">
      <x:c r="A182" s="24" t="str">
        <x:v>SRC-181</x:v>
      </x:c>
      <x:c r="B182" s="24" t="str">
        <x:v>Unicorn Overlord</x:v>
      </x:c>
      <x:c r="C182" s="24" t="str">
        <x:v>Vanillaware / Atlus</x:v>
      </x:c>
      <x:c r="D182" s="24" t="str">
        <x:v>Video Game / Tactical RPG</x:v>
      </x:c>
      <x:c r="E182" s="24" t="str">
        <x:v>Japan</x:v>
      </x:c>
      <x:c r="F182" s="24" t="str">
        <x:v>2024</x:v>
      </x:c>
      <x:c r="G182" s="24" t="str">
        <x:v>Fevrith setting</x:v>
      </x:c>
      <x:c r="H182" s="24" t="str">
        <x:v>Tier 2</x:v>
      </x:c>
      <x:c r="I182" s="24" t="str">
        <x:v>Unit class synergies, recruitable peoples, liberation army, tactical formations.</x:v>
      </x:c>
      <x:c r="J182" s="24" t="str">
        <x:v>Treat adaptations/editions separately when taxonomically material.</x:v>
      </x:c>
      <x:c r="K182" s="84" t="str">
        <x:v>https://en.wikipedia.org/wiki/Unicorn_Overlord</x:v>
      </x:c>
      <x:c r="L182" s="24" t="str">
        <x:v>Included</x:v>
      </x:c>
    </x:row>
    <x:row r="183" ht="42" customHeight="1">
      <x:c r="A183" s="24" t="str">
        <x:v>SRC-182</x:v>
      </x:c>
      <x:c r="B183" s="24" t="str">
        <x:v>Vagrant Story</x:v>
      </x:c>
      <x:c r="C183" s="24" t="str">
        <x:v>Square</x:v>
      </x:c>
      <x:c r="D183" s="24" t="str">
        <x:v>Video Game / Action RPG</x:v>
      </x:c>
      <x:c r="E183" s="24" t="str">
        <x:v>Japan</x:v>
      </x:c>
      <x:c r="F183" s="24" t="str">
        <x:v>2000</x:v>
      </x:c>
      <x:c r="G183" s="24" t="str">
        <x:v>Ivalice-linked setting</x:v>
      </x:c>
      <x:c r="H183" s="24" t="str">
        <x:v>Tier 2</x:v>
      </x:c>
      <x:c r="I183" s="24" t="str">
        <x:v>Risk system, weapon affinities, cults, dark city, classless agent protagonist.</x:v>
      </x:c>
      <x:c r="J183" s="24" t="str">
        <x:v>Treat adaptations/editions separately when taxonomically material.</x:v>
      </x:c>
      <x:c r="K183" s="84" t="str">
        <x:v>https://en.wikipedia.org/wiki/Vagrant_Story</x:v>
      </x:c>
      <x:c r="L183" s="24" t="str">
        <x:v>Included</x:v>
      </x:c>
    </x:row>
    <x:row r="184" ht="42" customHeight="1">
      <x:c r="A184" s="24" t="str">
        <x:v>SRC-183</x:v>
      </x:c>
      <x:c r="B184" s="24" t="str">
        <x:v>SaGa</x:v>
      </x:c>
      <x:c r="C184" s="24" t="str">
        <x:v>Square / Square Enix</x:v>
      </x:c>
      <x:c r="D184" s="24" t="str">
        <x:v>Video Game / JRPG Franchise</x:v>
      </x:c>
      <x:c r="E184" s="24" t="str">
        <x:v>Japan</x:v>
      </x:c>
      <x:c r="F184" s="24" t="str">
        <x:v>1989</x:v>
      </x:c>
      <x:c r="G184" s="24" t="str">
        <x:v>Separate worlds and systems</x:v>
      </x:c>
      <x:c r="H184" s="24" t="str">
        <x:v>Tier 2</x:v>
      </x:c>
      <x:c r="I184" s="24" t="str">
        <x:v>Flexible character growth, races with distinct mechanics, nonlinear parties, unusual classes.</x:v>
      </x:c>
      <x:c r="J184" s="24" t="str">
        <x:v>Treat adaptations/editions separately when taxonomically material.</x:v>
      </x:c>
      <x:c r="K184" s="84" t="str">
        <x:v>https://en.wikipedia.org/wiki/SaGa</x:v>
      </x:c>
      <x:c r="L184" s="24" t="str">
        <x:v>Included</x:v>
      </x:c>
    </x:row>
    <x:row r="185" ht="42" customHeight="1">
      <x:c r="A185" s="24" t="str">
        <x:v>SRC-184</x:v>
      </x:c>
      <x:c r="B185" s="24" t="str">
        <x:v>Mana Series</x:v>
      </x:c>
      <x:c r="C185" s="24" t="str">
        <x:v>Square / Square Enix</x:v>
      </x:c>
      <x:c r="D185" s="24" t="str">
        <x:v>Video Game / Action RPG Franchise</x:v>
      </x:c>
      <x:c r="E185" s="24" t="str">
        <x:v>Japan</x:v>
      </x:c>
      <x:c r="F185" s="24" t="str">
        <x:v>1991</x:v>
      </x:c>
      <x:c r="G185" s="24" t="str">
        <x:v>Multiple worlds</x:v>
      </x:c>
      <x:c r="H185" s="24" t="str">
        <x:v>Tier 2</x:v>
      </x:c>
      <x:c r="I185" s="24" t="str">
        <x:v>Elemental spirits, job changes, world tree, beast and fairy peoples, action classes.</x:v>
      </x:c>
      <x:c r="J185" s="24" t="str">
        <x:v>Treat adaptations/editions separately when taxonomically material.</x:v>
      </x:c>
      <x:c r="K185" s="84" t="str">
        <x:v>https://en.wikipedia.org/wiki/Mana_Series</x:v>
      </x:c>
      <x:c r="L185" s="24" t="str">
        <x:v>Included</x:v>
      </x:c>
    </x:row>
    <x:row r="186" ht="42" customHeight="1">
      <x:c r="A186" s="24" t="str">
        <x:v>SRC-185</x:v>
      </x:c>
      <x:c r="B186" s="24" t="str">
        <x:v>Ni no Kuni</x:v>
      </x:c>
      <x:c r="C186" s="24" t="str">
        <x:v>Level-5 / Studio Ghibli collaboration</x:v>
      </x:c>
      <x:c r="D186" s="24" t="str">
        <x:v>Video Game / JRPG Franchise</x:v>
      </x:c>
      <x:c r="E186" s="24" t="str">
        <x:v>Japan</x:v>
      </x:c>
      <x:c r="F186" s="24" t="str">
        <x:v>2010</x:v>
      </x:c>
      <x:c r="G186" s="24" t="str">
        <x:v>Separate linked worlds</x:v>
      </x:c>
      <x:c r="H186" s="24" t="str">
        <x:v>Tier 2</x:v>
      </x:c>
      <x:c r="I186" s="24" t="str">
        <x:v>Wizard child, familiars, parallel worlds, fairy companions, kingdom building.</x:v>
      </x:c>
      <x:c r="J186" s="24" t="str">
        <x:v>Treat adaptations/editions separately when taxonomically material.</x:v>
      </x:c>
      <x:c r="K186" s="84" t="str">
        <x:v>https://en.wikipedia.org/wiki/Ni_no_Kuni</x:v>
      </x:c>
      <x:c r="L186" s="24" t="str">
        <x:v>Included</x:v>
      </x:c>
    </x:row>
    <x:row r="187" ht="42" customHeight="1">
      <x:c r="A187" s="24" t="str">
        <x:v>SRC-186</x:v>
      </x:c>
      <x:c r="B187" s="24" t="str">
        <x:v>Monster Hunter</x:v>
      </x:c>
      <x:c r="C187" s="24" t="str">
        <x:v>Capcom</x:v>
      </x:c>
      <x:c r="D187" s="24" t="str">
        <x:v>Video Game / Action RPG Franchise</x:v>
      </x:c>
      <x:c r="E187" s="24" t="str">
        <x:v>Japan</x:v>
      </x:c>
      <x:c r="F187" s="24" t="str">
        <x:v>2004</x:v>
      </x:c>
      <x:c r="G187" s="24" t="str">
        <x:v>Multiple regions and titles</x:v>
      </x:c>
      <x:c r="H187" s="24" t="str">
        <x:v>Tier 1</x:v>
      </x:c>
      <x:c r="I187" s="24" t="str">
        <x:v>Hunter profession, weapon-defined classes, monster ecology, crafting from parts, guild institutions.</x:v>
      </x:c>
      <x:c r="J187" s="24" t="str">
        <x:v>Treat adaptations/editions separately when taxonomically material.</x:v>
      </x:c>
      <x:c r="K187" s="84" t="str">
        <x:v>https://en.wikipedia.org/wiki/Monster_Hunter</x:v>
      </x:c>
      <x:c r="L187" s="24" t="str">
        <x:v>Included</x:v>
      </x:c>
    </x:row>
    <x:row r="188" ht="42" customHeight="1">
      <x:c r="A188" s="24" t="str">
        <x:v>SRC-187</x:v>
      </x:c>
      <x:c r="B188" s="24" t="str">
        <x:v>Pokémon</x:v>
      </x:c>
      <x:c r="C188" s="24" t="str">
        <x:v>Game Freak / Nintendo / The Pokémon Company</x:v>
      </x:c>
      <x:c r="D188" s="24" t="str">
        <x:v>Video Game / Media Franchise</x:v>
      </x:c>
      <x:c r="E188" s="24" t="str">
        <x:v>Japan</x:v>
      </x:c>
      <x:c r="F188" s="24" t="str">
        <x:v>1996</x:v>
      </x:c>
      <x:c r="G188" s="24" t="str">
        <x:v>Multiple regions and media</x:v>
      </x:c>
      <x:c r="H188" s="24" t="str">
        <x:v>Tier 3</x:v>
      </x:c>
      <x:c r="I188" s="24" t="str">
        <x:v>Creature types, capture/taming roles, evolution, trainer identities, elemental taxonomy.</x:v>
      </x:c>
      <x:c r="J188" s="24" t="str">
        <x:v>Treat adaptations/editions separately when taxonomically material.</x:v>
      </x:c>
      <x:c r="K188" s="84" t="str">
        <x:v>https://en.wikipedia.org/wiki/Pok%C3%A9mon</x:v>
      </x:c>
      <x:c r="L188" s="24" t="str">
        <x:v>Included</x:v>
      </x:c>
    </x:row>
    <x:row r="189" ht="42" customHeight="1">
      <x:c r="A189" s="24" t="str">
        <x:v>SRC-188</x:v>
      </x:c>
      <x:c r="B189" s="24" t="str">
        <x:v>The Banner Saga</x:v>
      </x:c>
      <x:c r="C189" s="24" t="str">
        <x:v>Stoic Studio</x:v>
      </x:c>
      <x:c r="D189" s="24" t="str">
        <x:v>Video Game / Tactical RPG</x:v>
      </x:c>
      <x:c r="E189" s="24" t="str">
        <x:v>United States</x:v>
      </x:c>
      <x:c r="F189" s="24" t="str">
        <x:v>2014</x:v>
      </x:c>
      <x:c r="G189" s="24" t="str">
        <x:v>Trilogy</x:v>
      </x:c>
      <x:c r="H189" s="24" t="str">
        <x:v>Tier 1</x:v>
      </x:c>
      <x:c r="I189" s="24" t="str">
        <x:v>Human and varl peoples, caravan society, class roles, irreversible choices, apocalypse.</x:v>
      </x:c>
      <x:c r="J189" s="24" t="str">
        <x:v>Treat adaptations/editions separately when taxonomically material.</x:v>
      </x:c>
      <x:c r="K189" s="84" t="str">
        <x:v>https://en.wikipedia.org/wiki/The_Banner_Saga</x:v>
      </x:c>
      <x:c r="L189" s="24" t="str">
        <x:v>Included</x:v>
      </x:c>
    </x:row>
    <x:row r="190" ht="42" customHeight="1">
      <x:c r="A190" s="24" t="str">
        <x:v>SRC-189</x:v>
      </x:c>
      <x:c r="B190" s="24" t="str">
        <x:v>Darkest Dungeon</x:v>
      </x:c>
      <x:c r="C190" s="24" t="str">
        <x:v>Red Hook Studios</x:v>
      </x:c>
      <x:c r="D190" s="24" t="str">
        <x:v>Video Game / Tactical RPG / Roguelike</x:v>
      </x:c>
      <x:c r="E190" s="24" t="str">
        <x:v>Canada</x:v>
      </x:c>
      <x:c r="F190" s="24" t="str">
        <x:v>2016</x:v>
      </x:c>
      <x:c r="G190" s="24" t="str">
        <x:v>Estate setting and sequel</x:v>
      </x:c>
      <x:c r="H190" s="24" t="str">
        <x:v>Tier 1</x:v>
      </x:c>
      <x:c r="I190" s="24" t="str">
        <x:v>Stress, afflictions, class silhouettes, corruption, expedition economy, unreliable heroism.</x:v>
      </x:c>
      <x:c r="J190" s="24" t="str">
        <x:v>Treat adaptations/editions separately when taxonomically material.</x:v>
      </x:c>
      <x:c r="K190" s="84" t="str">
        <x:v>https://en.wikipedia.org/wiki/Darkest_Dungeon</x:v>
      </x:c>
      <x:c r="L190" s="24" t="str">
        <x:v>Included</x:v>
      </x:c>
    </x:row>
    <x:row r="191" ht="42" customHeight="1">
      <x:c r="A191" s="24" t="str">
        <x:v>SRC-190</x:v>
      </x:c>
      <x:c r="B191" s="24" t="str">
        <x:v>Battle Brothers</x:v>
      </x:c>
      <x:c r="C191" s="24" t="str">
        <x:v>Overhype Studios</x:v>
      </x:c>
      <x:c r="D191" s="24" t="str">
        <x:v>Video Game / Tactical RPG</x:v>
      </x:c>
      <x:c r="E191" s="24" t="str">
        <x:v>Germany</x:v>
      </x:c>
      <x:c r="F191" s="24" t="str">
        <x:v>2017</x:v>
      </x:c>
      <x:c r="G191" s="24" t="str">
        <x:v>Low-fantasy sandbox</x:v>
      </x:c>
      <x:c r="H191" s="24" t="str">
        <x:v>Tier 2</x:v>
      </x:c>
      <x:c r="I191" s="24" t="str">
        <x:v>Mercenary backgrounds, injuries, equipment-defined roles, monster contracts, company economy.</x:v>
      </x:c>
      <x:c r="J191" s="24" t="str">
        <x:v>Treat adaptations/editions separately when taxonomically material.</x:v>
      </x:c>
      <x:c r="K191" s="84" t="str">
        <x:v>https://en.wikipedia.org/wiki/Battle_Brothers</x:v>
      </x:c>
      <x:c r="L191" s="24" t="str">
        <x:v>Included</x:v>
      </x:c>
    </x:row>
    <x:row r="192" ht="42" customHeight="1">
      <x:c r="A192" s="24" t="str">
        <x:v>SRC-191</x:v>
      </x:c>
      <x:c r="B192" s="24" t="str">
        <x:v>Arcanum: Of Steamworks and Magick Obscura</x:v>
      </x:c>
      <x:c r="C192" s="24" t="str">
        <x:v>Troika Games</x:v>
      </x:c>
      <x:c r="D192" s="24" t="str">
        <x:v>Video Game / CRPG</x:v>
      </x:c>
      <x:c r="E192" s="24" t="str">
        <x:v>United States</x:v>
      </x:c>
      <x:c r="F192" s="24" t="str">
        <x:v>2001</x:v>
      </x:c>
      <x:c r="G192" s="24" t="str">
        <x:v>Arcanum setting</x:v>
      </x:c>
      <x:c r="H192" s="24" t="str">
        <x:v>Tier 1</x:v>
      </x:c>
      <x:c r="I192" s="24" t="str">
        <x:v>Magic–technology opposition, fantasy peoples in industrial society, classless builds, social prejudice.</x:v>
      </x:c>
      <x:c r="J192" s="24" t="str">
        <x:v>Treat adaptations/editions separately when taxonomically material.</x:v>
      </x:c>
      <x:c r="K192" s="84" t="str">
        <x:v>https://en.wikipedia.org/wiki/Arcanum:_Of_Steamworks_and_Magick_Obscura</x:v>
      </x:c>
      <x:c r="L192" s="24" t="str">
        <x:v>Included</x:v>
      </x:c>
    </x:row>
    <x:row r="193" ht="42" customHeight="1">
      <x:c r="A193" s="24" t="str">
        <x:v>SRC-192</x:v>
      </x:c>
      <x:c r="B193" s="24" t="str">
        <x:v>Shadowrun Returns Trilogy</x:v>
      </x:c>
      <x:c r="C193" s="24" t="str">
        <x:v>Harebrained Schemes</x:v>
      </x:c>
      <x:c r="D193" s="24" t="str">
        <x:v>Video Game / Tactical CRPG</x:v>
      </x:c>
      <x:c r="E193" s="24" t="str">
        <x:v>United States</x:v>
      </x:c>
      <x:c r="F193" s="24" t="str">
        <x:v>2013</x:v>
      </x:c>
      <x:c r="G193" s="24" t="str">
        <x:v>Shadowrun adaptations</x:v>
      </x:c>
      <x:c r="H193" s="24" t="str">
        <x:v>Tier 2</x:v>
      </x:c>
      <x:c r="I193" s="24" t="str">
        <x:v>Cyberpunk fantasy peoples, shamans, deckers, street samurai, corporate factions.</x:v>
      </x:c>
      <x:c r="J193" s="24" t="str">
        <x:v>Treat adaptations/editions separately when taxonomically material.</x:v>
      </x:c>
      <x:c r="K193" s="84" t="str">
        <x:v>https://en.wikipedia.org/wiki/Shadowrun_Returns_Trilogy</x:v>
      </x:c>
      <x:c r="L193" s="24" t="str">
        <x:v>Included</x:v>
      </x:c>
    </x:row>
    <x:row r="194" ht="42" customHeight="1">
      <x:c r="A194" s="24" t="str">
        <x:v>SRC-193</x:v>
      </x:c>
      <x:c r="B194" s="24" t="str">
        <x:v>Hades</x:v>
      </x:c>
      <x:c r="C194" s="24" t="str">
        <x:v>Supergiant Games</x:v>
      </x:c>
      <x:c r="D194" s="24" t="str">
        <x:v>Video Game / Action Roguelike</x:v>
      </x:c>
      <x:c r="E194" s="24" t="str">
        <x:v>United States</x:v>
      </x:c>
      <x:c r="F194" s="24" t="str">
        <x:v>2020</x:v>
      </x:c>
      <x:c r="G194" s="24" t="str">
        <x:v>Greek-myth adaptation</x:v>
      </x:c>
      <x:c r="H194" s="24" t="str">
        <x:v>Tier 2</x:v>
      </x:c>
      <x:c r="I194" s="24" t="str">
        <x:v>God boons as build system, underworld offices, repeated escape, mythic relationships.</x:v>
      </x:c>
      <x:c r="J194" s="24" t="str">
        <x:v>Treat adaptations/editions separately when taxonomically material.</x:v>
      </x:c>
      <x:c r="K194" s="84" t="str">
        <x:v>https://en.wikipedia.org/wiki/Hades</x:v>
      </x:c>
      <x:c r="L194" s="24" t="str">
        <x:v>Included</x:v>
      </x:c>
    </x:row>
    <x:row r="195" ht="42" customHeight="1">
      <x:c r="A195" s="24" t="str">
        <x:v>SRC-194</x:v>
      </x:c>
      <x:c r="B195" s="24" t="str">
        <x:v>Hollow Knight</x:v>
      </x:c>
      <x:c r="C195" s="24" t="str">
        <x:v>Team Cherry</x:v>
      </x:c>
      <x:c r="D195" s="24" t="str">
        <x:v>Video Game / Metroidvania</x:v>
      </x:c>
      <x:c r="E195" s="24" t="str">
        <x:v>Australia</x:v>
      </x:c>
      <x:c r="F195" s="24" t="str">
        <x:v>2017</x:v>
      </x:c>
      <x:c r="G195" s="24" t="str">
        <x:v>Hallownest setting</x:v>
      </x:c>
      <x:c r="H195" s="24" t="str">
        <x:v>Tier 2</x:v>
      </x:c>
      <x:c r="I195" s="24" t="str">
        <x:v>Insect peoples, fallen kingdom, infection, vessels, warrior orders, environmental storytelling.</x:v>
      </x:c>
      <x:c r="J195" s="24" t="str">
        <x:v>Treat adaptations/editions separately when taxonomically material.</x:v>
      </x:c>
      <x:c r="K195" s="84" t="str">
        <x:v>https://en.wikipedia.org/wiki/Hollow_Knight</x:v>
      </x:c>
      <x:c r="L195" s="24" t="str">
        <x:v>Included</x:v>
      </x:c>
    </x:row>
    <x:row r="196" ht="42" customHeight="1">
      <x:c r="A196" s="24" t="str">
        <x:v>SRC-195</x:v>
      </x:c>
      <x:c r="B196" s="24" t="str">
        <x:v>Berserk</x:v>
      </x:c>
      <x:c r="C196" s="24" t="str">
        <x:v>Kentaro Miura; Studio Gaga continuation</x:v>
      </x:c>
      <x:c r="D196" s="24" t="str">
        <x:v>Manga / Anime</x:v>
      </x:c>
      <x:c r="E196" s="24" t="str">
        <x:v>Japan</x:v>
      </x:c>
      <x:c r="F196" s="24" t="str">
        <x:v>1989</x:v>
      </x:c>
      <x:c r="G196" s="24" t="str">
        <x:v>Manga primary; adaptations separate</x:v>
      </x:c>
      <x:c r="H196" s="24" t="str">
        <x:v>Tier 1</x:v>
      </x:c>
      <x:c r="I196" s="24" t="str">
        <x:v>Mercenary warrior, apostles, God Hand, witchcraft, armor transformation, dark medieval institutions.</x:v>
      </x:c>
      <x:c r="J196" s="24" t="str">
        <x:v>Treat adaptations/editions separately when taxonomically material.</x:v>
      </x:c>
      <x:c r="K196" s="84" t="str">
        <x:v>https://en.wikipedia.org/wiki/Berserk</x:v>
      </x:c>
      <x:c r="L196" s="24" t="str">
        <x:v>Included</x:v>
      </x:c>
    </x:row>
    <x:row r="197" ht="42" customHeight="1">
      <x:c r="A197" s="24" t="str">
        <x:v>SRC-196</x:v>
      </x:c>
      <x:c r="B197" s="24" t="str">
        <x:v>Frieren: Beyond Journey's End</x:v>
      </x:c>
      <x:c r="C197" s="24" t="str">
        <x:v>Kanehito Yamada and Tsukasa Abe</x:v>
      </x:c>
      <x:c r="D197" s="24" t="str">
        <x:v>Manga / Anime</x:v>
      </x:c>
      <x:c r="E197" s="24" t="str">
        <x:v>Japan</x:v>
      </x:c>
      <x:c r="F197" s="24" t="str">
        <x:v>2020</x:v>
      </x:c>
      <x:c r="G197" s="24" t="str">
        <x:v>Manga and anime adaptation</x:v>
      </x:c>
      <x:c r="H197" s="24" t="str">
        <x:v>Tier 1</x:v>
      </x:c>
      <x:c r="I197" s="24" t="str">
        <x:v>Long-lived elf perspective, hero-party aftermath, mage certification, demons, memory and time.</x:v>
      </x:c>
      <x:c r="J197" s="24" t="str">
        <x:v>Treat adaptations/editions separately when taxonomically material.</x:v>
      </x:c>
      <x:c r="K197" s="84" t="str">
        <x:v>https://en.wikipedia.org/wiki/Frieren:_Beyond_Journey's_End</x:v>
      </x:c>
      <x:c r="L197" s="24" t="str">
        <x:v>Included</x:v>
      </x:c>
    </x:row>
    <x:row r="198" ht="42" customHeight="1">
      <x:c r="A198" s="24" t="str">
        <x:v>SRC-197</x:v>
      </x:c>
      <x:c r="B198" s="24" t="str">
        <x:v>Delicious in Dungeon</x:v>
      </x:c>
      <x:c r="C198" s="24" t="str">
        <x:v>Ryoko Kui</x:v>
      </x:c>
      <x:c r="D198" s="24" t="str">
        <x:v>Manga / Anime</x:v>
      </x:c>
      <x:c r="E198" s="24" t="str">
        <x:v>Japan</x:v>
      </x:c>
      <x:c r="F198" s="24" t="str">
        <x:v>2014</x:v>
      </x:c>
      <x:c r="G198" s="24" t="str">
        <x:v>Manga and anime adaptation</x:v>
      </x:c>
      <x:c r="H198" s="24" t="str">
        <x:v>Tier 1</x:v>
      </x:c>
      <x:c r="I198" s="24" t="str">
        <x:v>Dungeon ecology, cooking profession, tall-men/elves/dwarves/halffoots, adventuring roles.</x:v>
      </x:c>
      <x:c r="J198" s="24" t="str">
        <x:v>Treat adaptations/editions separately when taxonomically material.</x:v>
      </x:c>
      <x:c r="K198" s="84" t="str">
        <x:v>https://en.wikipedia.org/wiki/Delicious_in_Dungeon</x:v>
      </x:c>
      <x:c r="L198" s="24" t="str">
        <x:v>Included</x:v>
      </x:c>
    </x:row>
    <x:row r="199" ht="42" customHeight="1">
      <x:c r="A199" s="24" t="str">
        <x:v>SRC-198</x:v>
      </x:c>
      <x:c r="B199" s="24" t="str">
        <x:v>Fullmetal Alchemist</x:v>
      </x:c>
      <x:c r="C199" s="24" t="str">
        <x:v>Hiromu Arakawa</x:v>
      </x:c>
      <x:c r="D199" s="24" t="str">
        <x:v>Manga / Anime</x:v>
      </x:c>
      <x:c r="E199" s="24" t="str">
        <x:v>Japan</x:v>
      </x:c>
      <x:c r="F199" s="24" t="str">
        <x:v>2001</x:v>
      </x:c>
      <x:c r="G199" s="24" t="str">
        <x:v>Manga; two anime continuities</x:v>
      </x:c>
      <x:c r="H199" s="24" t="str">
        <x:v>Tier 1</x:v>
      </x:c>
      <x:c r="I199" s="24" t="str">
        <x:v>Alchemy as technical magic, homunculi, military state, equivalent exchange, artificial bodies.</x:v>
      </x:c>
      <x:c r="J199" s="24" t="str">
        <x:v>Treat adaptations/editions separately when taxonomically material.</x:v>
      </x:c>
      <x:c r="K199" s="84" t="str">
        <x:v>https://en.wikipedia.org/wiki/Fullmetal_Alchemist</x:v>
      </x:c>
      <x:c r="L199" s="24" t="str">
        <x:v>Included</x:v>
      </x:c>
    </x:row>
    <x:row r="200" ht="42" customHeight="1">
      <x:c r="A200" s="24" t="str">
        <x:v>SRC-199</x:v>
      </x:c>
      <x:c r="B200" s="24" t="str">
        <x:v>Claymore</x:v>
      </x:c>
      <x:c r="C200" s="24" t="str">
        <x:v>Norihiro Yagi</x:v>
      </x:c>
      <x:c r="D200" s="24" t="str">
        <x:v>Manga / Anime</x:v>
      </x:c>
      <x:c r="E200" s="24" t="str">
        <x:v>Japan</x:v>
      </x:c>
      <x:c r="F200" s="24" t="str">
        <x:v>2001</x:v>
      </x:c>
      <x:c r="G200" s="24" t="str">
        <x:v>Manga and anime adaptation</x:v>
      </x:c>
      <x:c r="H200" s="24" t="str">
        <x:v>Tier 1</x:v>
      </x:c>
      <x:c r="I200" s="24" t="str">
        <x:v>Hybrid monster hunters, ranked organization, awakening transformation, gendered warrior order.</x:v>
      </x:c>
      <x:c r="J200" s="24" t="str">
        <x:v>Treat adaptations/editions separately when taxonomically material.</x:v>
      </x:c>
      <x:c r="K200" s="84" t="str">
        <x:v>https://en.wikipedia.org/wiki/Claymore</x:v>
      </x:c>
      <x:c r="L200" s="24" t="str">
        <x:v>Included</x:v>
      </x:c>
    </x:row>
    <x:row r="201" ht="42" customHeight="1">
      <x:c r="A201" s="24" t="str">
        <x:v>SRC-200</x:v>
      </x:c>
      <x:c r="B201" s="24" t="str">
        <x:v>Made in Abyss</x:v>
      </x:c>
      <x:c r="C201" s="24" t="str">
        <x:v>Akihito Tsukushi</x:v>
      </x:c>
      <x:c r="D201" s="24" t="str">
        <x:v>Manga / Anime</x:v>
      </x:c>
      <x:c r="E201" s="24" t="str">
        <x:v>Japan</x:v>
      </x:c>
      <x:c r="F201" s="24" t="str">
        <x:v>2012</x:v>
      </x:c>
      <x:c r="G201" s="24" t="str">
        <x:v>Manga and anime adaptations</x:v>
      </x:c>
      <x:c r="H201" s="24" t="str">
        <x:v>Tier 1</x:v>
      </x:c>
      <x:c r="I201" s="24" t="str">
        <x:v>Delver ranks, relic economy, curse of depth, nonhuman beings, hostile ecology.</x:v>
      </x:c>
      <x:c r="J201" s="24" t="str">
        <x:v>Treat adaptations/editions separately when taxonomically material.</x:v>
      </x:c>
      <x:c r="K201" s="84" t="str">
        <x:v>https://en.wikipedia.org/wiki/Made_in_Abyss</x:v>
      </x:c>
      <x:c r="L201" s="24" t="str">
        <x:v>Included</x:v>
      </x:c>
    </x:row>
    <x:row r="202" ht="42" customHeight="1">
      <x:c r="A202" s="24" t="str">
        <x:v>SRC-201</x:v>
      </x:c>
      <x:c r="B202" s="24" t="str">
        <x:v>Magi: The Labyrinth of Magic</x:v>
      </x:c>
      <x:c r="C202" s="24" t="str">
        <x:v>Shinobu Ohtaka</x:v>
      </x:c>
      <x:c r="D202" s="24" t="str">
        <x:v>Manga / Anime</x:v>
      </x:c>
      <x:c r="E202" s="24" t="str">
        <x:v>Japan</x:v>
      </x:c>
      <x:c r="F202" s="24" t="str">
        <x:v>2009</x:v>
      </x:c>
      <x:c r="G202" s="24" t="str">
        <x:v>Manga and anime adaptation</x:v>
      </x:c>
      <x:c r="H202" s="24" t="str">
        <x:v>Tier 2</x:v>
      </x:c>
      <x:c r="I202" s="24" t="str">
        <x:v>Djinn vessels, dungeons, magi, kingdoms, rukh, globalized mythic borrowings.</x:v>
      </x:c>
      <x:c r="J202" s="24" t="str">
        <x:v>Treat adaptations/editions separately when taxonomically material.</x:v>
      </x:c>
      <x:c r="K202" s="84" t="str">
        <x:v>https://en.wikipedia.org/wiki/Magi:_The_Labyrinth_of_Magic</x:v>
      </x:c>
      <x:c r="L202" s="24" t="str">
        <x:v>Included</x:v>
      </x:c>
    </x:row>
    <x:row r="203" ht="42" customHeight="1">
      <x:c r="A203" s="24" t="str">
        <x:v>SRC-202</x:v>
      </x:c>
      <x:c r="B203" s="24" t="str">
        <x:v>Inuyasha</x:v>
      </x:c>
      <x:c r="C203" s="24" t="str">
        <x:v>Rumiko Takahashi</x:v>
      </x:c>
      <x:c r="D203" s="24" t="str">
        <x:v>Manga / Anime</x:v>
      </x:c>
      <x:c r="E203" s="24" t="str">
        <x:v>Japan</x:v>
      </x:c>
      <x:c r="F203" s="24" t="str">
        <x:v>1996</x:v>
      </x:c>
      <x:c r="G203" s="24" t="str">
        <x:v>Manga and anime adaptations</x:v>
      </x:c>
      <x:c r="H203" s="24" t="str">
        <x:v>Tier 2</x:v>
      </x:c>
      <x:c r="I203" s="24" t="str">
        <x:v>Yōkai, half-demon identity, sacred priestess, artifact shards, time travel, monster-of-week.</x:v>
      </x:c>
      <x:c r="J203" s="24" t="str">
        <x:v>Treat adaptations/editions separately when taxonomically material.</x:v>
      </x:c>
      <x:c r="K203" s="84" t="str">
        <x:v>https://en.wikipedia.org/wiki/Inuyasha</x:v>
      </x:c>
      <x:c r="L203" s="24" t="str">
        <x:v>Included</x:v>
      </x:c>
    </x:row>
    <x:row r="204" ht="42" customHeight="1">
      <x:c r="A204" s="24" t="str">
        <x:v>SRC-203</x:v>
      </x:c>
      <x:c r="B204" s="24" t="str">
        <x:v>Demon Slayer: Kimetsu no Yaiba</x:v>
      </x:c>
      <x:c r="C204" s="24" t="str">
        <x:v>Koyoharu Gotouge</x:v>
      </x:c>
      <x:c r="D204" s="24" t="str">
        <x:v>Manga / Anime</x:v>
      </x:c>
      <x:c r="E204" s="24" t="str">
        <x:v>Japan</x:v>
      </x:c>
      <x:c r="F204" s="24" t="str">
        <x:v>2016</x:v>
      </x:c>
      <x:c r="G204" s="24" t="str">
        <x:v>Manga and anime adaptation</x:v>
      </x:c>
      <x:c r="H204" s="24" t="str">
        <x:v>Tier 2</x:v>
      </x:c>
      <x:c r="I204" s="24" t="str">
        <x:v>Demon slayer corps, breathing styles, demon transformation, ranks, swords, family bonds.</x:v>
      </x:c>
      <x:c r="J204" s="24" t="str">
        <x:v>Treat adaptations/editions separately when taxonomically material.</x:v>
      </x:c>
      <x:c r="K204" s="84" t="str">
        <x:v>https://en.wikipedia.org/wiki/Demon_Slayer:_Kimetsu_no_Yaiba</x:v>
      </x:c>
      <x:c r="L204" s="24" t="str">
        <x:v>Included</x:v>
      </x:c>
    </x:row>
    <x:row r="205" ht="42" customHeight="1">
      <x:c r="A205" s="24" t="str">
        <x:v>SRC-204</x:v>
      </x:c>
      <x:c r="B205" s="24" t="str">
        <x:v>Naruto</x:v>
      </x:c>
      <x:c r="C205" s="24" t="str">
        <x:v>Masashi Kishimoto</x:v>
      </x:c>
      <x:c r="D205" s="24" t="str">
        <x:v>Manga / Anime</x:v>
      </x:c>
      <x:c r="E205" s="24" t="str">
        <x:v>Japan</x:v>
      </x:c>
      <x:c r="F205" s="24" t="str">
        <x:v>1999</x:v>
      </x:c>
      <x:c r="G205" s="24" t="str">
        <x:v>Manga and anime continuities</x:v>
      </x:c>
      <x:c r="H205" s="24" t="str">
        <x:v>Tier 2</x:v>
      </x:c>
      <x:c r="I205" s="24" t="str">
        <x:v>Ninja classes, clans, bloodline techniques, summoned beasts, tailed beings, village institutions.</x:v>
      </x:c>
      <x:c r="J205" s="24" t="str">
        <x:v>Treat adaptations/editions separately when taxonomically material.</x:v>
      </x:c>
      <x:c r="K205" s="84" t="str">
        <x:v>https://en.wikipedia.org/wiki/Naruto</x:v>
      </x:c>
      <x:c r="L205" s="24" t="str">
        <x:v>Included</x:v>
      </x:c>
    </x:row>
    <x:row r="206" ht="42" customHeight="1">
      <x:c r="A206" s="24" t="str">
        <x:v>SRC-205</x:v>
      </x:c>
      <x:c r="B206" s="24" t="str">
        <x:v>Bleach</x:v>
      </x:c>
      <x:c r="C206" s="24" t="str">
        <x:v>Tite Kubo</x:v>
      </x:c>
      <x:c r="D206" s="24" t="str">
        <x:v>Manga / Anime</x:v>
      </x:c>
      <x:c r="E206" s="24" t="str">
        <x:v>Japan</x:v>
      </x:c>
      <x:c r="F206" s="24" t="str">
        <x:v>2001</x:v>
      </x:c>
      <x:c r="G206" s="24" t="str">
        <x:v>Manga and anime adaptation</x:v>
      </x:c>
      <x:c r="H206" s="24" t="str">
        <x:v>Tier 2</x:v>
      </x:c>
      <x:c r="I206" s="24" t="str">
        <x:v>Soul reapers, hollows, zanpakutō, spirit realms, squads, transformations and ranks.</x:v>
      </x:c>
      <x:c r="J206" s="24" t="str">
        <x:v>Treat adaptations/editions separately when taxonomically material.</x:v>
      </x:c>
      <x:c r="K206" s="84" t="str">
        <x:v>https://en.wikipedia.org/wiki/Bleach</x:v>
      </x:c>
      <x:c r="L206" s="24" t="str">
        <x:v>Included</x:v>
      </x:c>
    </x:row>
    <x:row r="207" ht="42" customHeight="1">
      <x:c r="A207" s="24" t="str">
        <x:v>SRC-206</x:v>
      </x:c>
      <x:c r="B207" s="24" t="str">
        <x:v>One Piece</x:v>
      </x:c>
      <x:c r="C207" s="24" t="str">
        <x:v>Eiichiro Oda</x:v>
      </x:c>
      <x:c r="D207" s="24" t="str">
        <x:v>Manga / Anime</x:v>
      </x:c>
      <x:c r="E207" s="24" t="str">
        <x:v>Japan</x:v>
      </x:c>
      <x:c r="F207" s="24" t="str">
        <x:v>1997</x:v>
      </x:c>
      <x:c r="G207" s="24" t="str">
        <x:v>Manga primary; anime adaptation</x:v>
      </x:c>
      <x:c r="H207" s="24" t="str">
        <x:v>Tier 2</x:v>
      </x:c>
      <x:c r="I207" s="24" t="str">
        <x:v>Pirate crews, devil-fruit powers, diverse peoples, world government, martial roles, found family.</x:v>
      </x:c>
      <x:c r="J207" s="24" t="str">
        <x:v>Treat adaptations/editions separately when taxonomically material.</x:v>
      </x:c>
      <x:c r="K207" s="84" t="str">
        <x:v>https://en.wikipedia.org/wiki/One_Piece</x:v>
      </x:c>
      <x:c r="L207" s="24" t="str">
        <x:v>Included</x:v>
      </x:c>
    </x:row>
    <x:row r="208" ht="42" customHeight="1">
      <x:c r="A208" s="24" t="str">
        <x:v>SRC-207</x:v>
      </x:c>
      <x:c r="B208" s="24" t="str">
        <x:v>Hunter × Hunter</x:v>
      </x:c>
      <x:c r="C208" s="24" t="str">
        <x:v>Yoshihiro Togashi</x:v>
      </x:c>
      <x:c r="D208" s="24" t="str">
        <x:v>Manga / Anime</x:v>
      </x:c>
      <x:c r="E208" s="24" t="str">
        <x:v>Japan</x:v>
      </x:c>
      <x:c r="F208" s="24" t="str">
        <x:v>1998</x:v>
      </x:c>
      <x:c r="G208" s="24" t="str">
        <x:v>Manga and anime adaptations</x:v>
      </x:c>
      <x:c r="H208" s="24" t="str">
        <x:v>Tier 1</x:v>
      </x:c>
      <x:c r="I208" s="24" t="str">
        <x:v>Hunter profession, Nen categories, examinations, guild-like association, creature ecology.</x:v>
      </x:c>
      <x:c r="J208" s="24" t="str">
        <x:v>Treat adaptations/editions separately when taxonomically material.</x:v>
      </x:c>
      <x:c r="K208" s="84" t="str">
        <x:v>https://en.wikipedia.org/wiki/Hunter_%C3%97_Hunter</x:v>
      </x:c>
      <x:c r="L208" s="24" t="str">
        <x:v>Included</x:v>
      </x:c>
    </x:row>
    <x:row r="209" ht="42" customHeight="1">
      <x:c r="A209" s="24" t="str">
        <x:v>SRC-208</x:v>
      </x:c>
      <x:c r="B209" s="24" t="str">
        <x:v>Yu Yu Hakusho</x:v>
      </x:c>
      <x:c r="C209" s="24" t="str">
        <x:v>Yoshihiro Togashi</x:v>
      </x:c>
      <x:c r="D209" s="24" t="str">
        <x:v>Manga / Anime</x:v>
      </x:c>
      <x:c r="E209" s="24" t="str">
        <x:v>Japan</x:v>
      </x:c>
      <x:c r="F209" s="24" t="str">
        <x:v>1990</x:v>
      </x:c>
      <x:c r="G209" s="24" t="str">
        <x:v>Manga and anime adaptation</x:v>
      </x:c>
      <x:c r="H209" s="24" t="str">
        <x:v>Tier 2</x:v>
      </x:c>
      <x:c r="I209" s="24" t="str">
        <x:v>Spirit detective, demons, tournaments, afterlife bureaucracy, inherited transformation.</x:v>
      </x:c>
      <x:c r="J209" s="24" t="str">
        <x:v>Treat adaptations/editions separately when taxonomically material.</x:v>
      </x:c>
      <x:c r="K209" s="84" t="str">
        <x:v>https://en.wikipedia.org/wiki/Yu_Yu_Hakusho</x:v>
      </x:c>
      <x:c r="L209" s="24" t="str">
        <x:v>Included</x:v>
      </x:c>
    </x:row>
    <x:row r="210" ht="42" customHeight="1">
      <x:c r="A210" s="24" t="str">
        <x:v>SRC-209</x:v>
      </x:c>
      <x:c r="B210" s="24" t="str">
        <x:v>Fate Franchise</x:v>
      </x:c>
      <x:c r="C210" s="24" t="str">
        <x:v>Type-Moon</x:v>
      </x:c>
      <x:c r="D210" s="24" t="str">
        <x:v>Visual Novel / Anime / Games</x:v>
      </x:c>
      <x:c r="E210" s="24" t="str">
        <x:v>Japan</x:v>
      </x:c>
      <x:c r="F210" s="24" t="str">
        <x:v>2004</x:v>
      </x:c>
      <x:c r="G210" s="24" t="str">
        <x:v>Multiple continuities</x:v>
      </x:c>
      <x:c r="H210" s="24" t="str">
        <x:v>Tier 1</x:v>
      </x:c>
      <x:c r="I210" s="24" t="str">
        <x:v>Servant classes, heroic spirits, magic lineages, summoning wars, myth adaptation.</x:v>
      </x:c>
      <x:c r="J210" s="24" t="str">
        <x:v>Treat adaptations/editions separately when taxonomically material.</x:v>
      </x:c>
      <x:c r="K210" s="84" t="str">
        <x:v>https://en.wikipedia.org/wiki/Fate_Franchise</x:v>
      </x:c>
      <x:c r="L210" s="24" t="str">
        <x:v>Included</x:v>
      </x:c>
    </x:row>
    <x:row r="211" ht="42" customHeight="1">
      <x:c r="A211" s="24" t="str">
        <x:v>SRC-210</x:v>
      </x:c>
      <x:c r="B211" s="24" t="str">
        <x:v>Overlord</x:v>
      </x:c>
      <x:c r="C211" s="24" t="str">
        <x:v>Kugane Maruyama</x:v>
      </x:c>
      <x:c r="D211" s="24" t="str">
        <x:v>Light Novel / Anime</x:v>
      </x:c>
      <x:c r="E211" s="24" t="str">
        <x:v>Japan</x:v>
      </x:c>
      <x:c r="F211" s="24" t="str">
        <x:v>2010</x:v>
      </x:c>
      <x:c r="G211" s="24" t="str">
        <x:v>Light novel primary; anime adaptation</x:v>
      </x:c>
      <x:c r="H211" s="24" t="str">
        <x:v>Tier 1</x:v>
      </x:c>
      <x:c r="I211" s="24" t="str">
        <x:v>Isekai undead ruler, MMO classes and races, dungeon polity, servants, overpowered protagonist.</x:v>
      </x:c>
      <x:c r="J211" s="24" t="str">
        <x:v>Treat adaptations/editions separately when taxonomically material.</x:v>
      </x:c>
      <x:c r="K211" s="84" t="str">
        <x:v>https://en.wikipedia.org/wiki/Overlord</x:v>
      </x:c>
      <x:c r="L211" s="24" t="str">
        <x:v>Included</x:v>
      </x:c>
    </x:row>
    <x:row r="212" ht="42" customHeight="1">
      <x:c r="A212" s="24" t="str">
        <x:v>SRC-211</x:v>
      </x:c>
      <x:c r="B212" s="24" t="str">
        <x:v>Re:Zero − Starting Life in Another World</x:v>
      </x:c>
      <x:c r="C212" s="24" t="str">
        <x:v>Tappei Nagatsuki</x:v>
      </x:c>
      <x:c r="D212" s="24" t="str">
        <x:v>Web/Light Novel / Anime</x:v>
      </x:c>
      <x:c r="E212" s="24" t="str">
        <x:v>Japan</x:v>
      </x:c>
      <x:c r="F212" s="24" t="str">
        <x:v>2012</x:v>
      </x:c>
      <x:c r="G212" s="24" t="str">
        <x:v>Novel and anime continuities</x:v>
      </x:c>
      <x:c r="H212" s="24" t="str">
        <x:v>Tier 1</x:v>
      </x:c>
      <x:c r="I212" s="24" t="str">
        <x:v>Isekai protagonist, return-by-death loop, witches, spirit contracts, royal selection.</x:v>
      </x:c>
      <x:c r="J212" s="24" t="str">
        <x:v>Treat adaptations/editions separately when taxonomically material.</x:v>
      </x:c>
      <x:c r="K212" s="84" t="str">
        <x:v>https://en.wikipedia.org/wiki/Re:Zero_%E2%88%92_Starting_Life_in_Another_World</x:v>
      </x:c>
      <x:c r="L212" s="24" t="str">
        <x:v>Included</x:v>
      </x:c>
    </x:row>
    <x:row r="213" ht="42" customHeight="1">
      <x:c r="A213" s="24" t="str">
        <x:v>SRC-212</x:v>
      </x:c>
      <x:c r="B213" s="24" t="str">
        <x:v>That Time I Got Reincarnated as a Slime</x:v>
      </x:c>
      <x:c r="C213" s="24" t="str">
        <x:v>Fuse</x:v>
      </x:c>
      <x:c r="D213" s="24" t="str">
        <x:v>Web/Light Novel / Manga / Anime</x:v>
      </x:c>
      <x:c r="E213" s="24" t="str">
        <x:v>Japan</x:v>
      </x:c>
      <x:c r="F213" s="24" t="str">
        <x:v>2013</x:v>
      </x:c>
      <x:c r="G213" s="24" t="str">
        <x:v>Novel primary; adaptations</x:v>
      </x:c>
      <x:c r="H213" s="24" t="str">
        <x:v>Tier 1</x:v>
      </x:c>
      <x:c r="I213" s="24" t="str">
        <x:v>Monster reincarnation, skill absorption, evolutions, monster nation, demon lords, system powers.</x:v>
      </x:c>
      <x:c r="J213" s="24" t="str">
        <x:v>Treat adaptations/editions separately when taxonomically material.</x:v>
      </x:c>
      <x:c r="K213" s="84" t="str">
        <x:v>https://en.wikipedia.org/wiki/That_Time_I_Got_Reincarnated_as_a_Slime</x:v>
      </x:c>
      <x:c r="L213" s="24" t="str">
        <x:v>Included</x:v>
      </x:c>
    </x:row>
    <x:row r="214" ht="42" customHeight="1">
      <x:c r="A214" s="24" t="str">
        <x:v>SRC-213</x:v>
      </x:c>
      <x:c r="B214" s="24" t="str">
        <x:v>The Rising of the Shield Hero</x:v>
      </x:c>
      <x:c r="C214" s="24" t="str">
        <x:v>Aneko Yusagi</x:v>
      </x:c>
      <x:c r="D214" s="24" t="str">
        <x:v>Web/Light Novel / Anime</x:v>
      </x:c>
      <x:c r="E214" s="24" t="str">
        <x:v>Japan</x:v>
      </x:c>
      <x:c r="F214" s="24" t="str">
        <x:v>2012</x:v>
      </x:c>
      <x:c r="G214" s="24" t="str">
        <x:v>Novel and adaptations</x:v>
      </x:c>
      <x:c r="H214" s="24" t="str">
        <x:v>Tier 2</x:v>
      </x:c>
      <x:c r="I214" s="24" t="str">
        <x:v>Summoned cardinal heroes, weapon classes, levels, demi-humans, party/reputation conflict.</x:v>
      </x:c>
      <x:c r="J214" s="24" t="str">
        <x:v>Treat adaptations/editions separately when taxonomically material.</x:v>
      </x:c>
      <x:c r="K214" s="84" t="str">
        <x:v>https://en.wikipedia.org/wiki/The_Rising_of_the_Shield_Hero</x:v>
      </x:c>
      <x:c r="L214" s="24" t="str">
        <x:v>Included</x:v>
      </x:c>
    </x:row>
    <x:row r="215" ht="42" customHeight="1">
      <x:c r="A215" s="24" t="str">
        <x:v>SRC-214</x:v>
      </x:c>
      <x:c r="B215" s="24" t="str">
        <x:v>Mushoku Tensei</x:v>
      </x:c>
      <x:c r="C215" s="24" t="str">
        <x:v>Rifujin na Magonote</x:v>
      </x:c>
      <x:c r="D215" s="24" t="str">
        <x:v>Web/Light Novel / Anime</x:v>
      </x:c>
      <x:c r="E215" s="24" t="str">
        <x:v>Japan</x:v>
      </x:c>
      <x:c r="F215" s="24" t="str">
        <x:v>2012</x:v>
      </x:c>
      <x:c r="G215" s="24" t="str">
        <x:v>Novel and adaptations</x:v>
      </x:c>
      <x:c r="H215" s="24" t="str">
        <x:v>Tier 2</x:v>
      </x:c>
      <x:c r="I215" s="24" t="str">
        <x:v>Reincarnation, magic ranks, sword schools, demon peoples, adventurer guilds, life-course progression.</x:v>
      </x:c>
      <x:c r="J215" s="24" t="str">
        <x:v>Treat adaptations/editions separately when taxonomically material.</x:v>
      </x:c>
      <x:c r="K215" s="84" t="str">
        <x:v>https://en.wikipedia.org/wiki/Mushoku_Tensei</x:v>
      </x:c>
      <x:c r="L215" s="24" t="str">
        <x:v>Included</x:v>
      </x:c>
    </x:row>
    <x:row r="216" ht="42" customHeight="1">
      <x:c r="A216" s="24" t="str">
        <x:v>SRC-215</x:v>
      </x:c>
      <x:c r="B216" s="24" t="str">
        <x:v>Log Horizon</x:v>
      </x:c>
      <x:c r="C216" s="24" t="str">
        <x:v>Mamare Touno</x:v>
      </x:c>
      <x:c r="D216" s="24" t="str">
        <x:v>Light Novel / Anime</x:v>
      </x:c>
      <x:c r="E216" s="24" t="str">
        <x:v>Japan</x:v>
      </x:c>
      <x:c r="F216" s="24" t="str">
        <x:v>2010</x:v>
      </x:c>
      <x:c r="G216" s="24" t="str">
        <x:v>Novel and anime adaptation</x:v>
      </x:c>
      <x:c r="H216" s="24" t="str">
        <x:v>Tier 1</x:v>
      </x:c>
      <x:c r="I216" s="24" t="str">
        <x:v>MMO class/subclass society, guild politics, raids, player/NPC ontology, city governance.</x:v>
      </x:c>
      <x:c r="J216" s="24" t="str">
        <x:v>Treat adaptations/editions separately when taxonomically material.</x:v>
      </x:c>
      <x:c r="K216" s="84" t="str">
        <x:v>https://en.wikipedia.org/wiki/Log_Horizon</x:v>
      </x:c>
      <x:c r="L216" s="24" t="str">
        <x:v>Included</x:v>
      </x:c>
    </x:row>
    <x:row r="217" ht="42" customHeight="1">
      <x:c r="A217" s="24" t="str">
        <x:v>SRC-216</x:v>
      </x:c>
      <x:c r="B217" s="24" t="str">
        <x:v>Sword Art Online</x:v>
      </x:c>
      <x:c r="C217" s="24" t="str">
        <x:v>Reki Kawahara</x:v>
      </x:c>
      <x:c r="D217" s="24" t="str">
        <x:v>Light Novel / Anime</x:v>
      </x:c>
      <x:c r="E217" s="24" t="str">
        <x:v>Japan</x:v>
      </x:c>
      <x:c r="F217" s="24" t="str">
        <x:v>2002 web / 2009 print</x:v>
      </x:c>
      <x:c r="G217" s="24" t="str">
        <x:v>Multiple virtual worlds</x:v>
      </x:c>
      <x:c r="H217" s="24" t="str">
        <x:v>Tier 2</x:v>
      </x:c>
      <x:c r="I217" s="24" t="str">
        <x:v>Game avatars, weapon builds, guilds, death game, virtual identity and progression.</x:v>
      </x:c>
      <x:c r="J217" s="24" t="str">
        <x:v>Treat adaptations/editions separately when taxonomically material.</x:v>
      </x:c>
      <x:c r="K217" s="84" t="str">
        <x:v>https://en.wikipedia.org/wiki/Sword_Art_Online</x:v>
      </x:c>
      <x:c r="L217" s="24" t="str">
        <x:v>Included</x:v>
      </x:c>
    </x:row>
    <x:row r="218" ht="42" customHeight="1">
      <x:c r="A218" s="24" t="str">
        <x:v>SRC-217</x:v>
      </x:c>
      <x:c r="B218" s="24" t="str">
        <x:v>Grimgar of Fantasy and Ash</x:v>
      </x:c>
      <x:c r="C218" s="24" t="str">
        <x:v>Ao Jyumonji</x:v>
      </x:c>
      <x:c r="D218" s="24" t="str">
        <x:v>Light Novel / Anime</x:v>
      </x:c>
      <x:c r="E218" s="24" t="str">
        <x:v>Japan</x:v>
      </x:c>
      <x:c r="F218" s="24" t="str">
        <x:v>2013</x:v>
      </x:c>
      <x:c r="G218" s="24" t="str">
        <x:v>Novel and anime adaptation</x:v>
      </x:c>
      <x:c r="H218" s="24" t="str">
        <x:v>Tier 2</x:v>
      </x:c>
      <x:c r="I218" s="24" t="str">
        <x:v>Isekai amnesia, guild-taught classes, low-level party roles, death and precarious labor.</x:v>
      </x:c>
      <x:c r="J218" s="24" t="str">
        <x:v>Treat adaptations/editions separately when taxonomically material.</x:v>
      </x:c>
      <x:c r="K218" s="84" t="str">
        <x:v>https://en.wikipedia.org/wiki/Grimgar_of_Fantasy_and_Ash</x:v>
      </x:c>
      <x:c r="L218" s="24" t="str">
        <x:v>Included</x:v>
      </x:c>
    </x:row>
    <x:row r="219" ht="42" customHeight="1">
      <x:c r="A219" s="24" t="str">
        <x:v>SRC-218</x:v>
      </x:c>
      <x:c r="B219" s="24" t="str">
        <x:v>Goblin Slayer</x:v>
      </x:c>
      <x:c r="C219" s="24" t="str">
        <x:v>Kumo Kagyu</x:v>
      </x:c>
      <x:c r="D219" s="24" t="str">
        <x:v>Light Novel / Manga / Anime</x:v>
      </x:c>
      <x:c r="E219" s="24" t="str">
        <x:v>Japan</x:v>
      </x:c>
      <x:c r="F219" s="24" t="str">
        <x:v>2016</x:v>
      </x:c>
      <x:c r="G219" s="24" t="str">
        <x:v>Novel primary; adaptations</x:v>
      </x:c>
      <x:c r="H219" s="24" t="str">
        <x:v>Tier 2</x:v>
      </x:c>
      <x:c r="I219" s="24" t="str">
        <x:v>Adventurer guild ranks, specialist monster hunter, classic classes, tactical low-level combat.</x:v>
      </x:c>
      <x:c r="J219" s="24" t="str">
        <x:v>Treat adaptations/editions separately when taxonomically material.</x:v>
      </x:c>
      <x:c r="K219" s="84" t="str">
        <x:v>https://en.wikipedia.org/wiki/Goblin_Slayer</x:v>
      </x:c>
      <x:c r="L219" s="24" t="str">
        <x:v>Included</x:v>
      </x:c>
    </x:row>
    <x:row r="220" ht="42" customHeight="1">
      <x:c r="A220" s="24" t="str">
        <x:v>SRC-219</x:v>
      </x:c>
      <x:c r="B220" s="24" t="str">
        <x:v>The Ancient Magus' Bride</x:v>
      </x:c>
      <x:c r="C220" s="24" t="str">
        <x:v>Kore Yamazaki</x:v>
      </x:c>
      <x:c r="D220" s="24" t="str">
        <x:v>Manga / Anime</x:v>
      </x:c>
      <x:c r="E220" s="24" t="str">
        <x:v>Japan</x:v>
      </x:c>
      <x:c r="F220" s="24" t="str">
        <x:v>2013</x:v>
      </x:c>
      <x:c r="G220" s="24" t="str">
        <x:v>Manga and anime adaptation</x:v>
      </x:c>
      <x:c r="H220" s="24" t="str">
        <x:v>Tier 1</x:v>
      </x:c>
      <x:c r="I220" s="24" t="str">
        <x:v>Fae ontology, mage versus sorcerer traditions, familiar bond, folklore-rich British setting.</x:v>
      </x:c>
      <x:c r="J220" s="24" t="str">
        <x:v>Treat adaptations/editions separately when taxonomically material.</x:v>
      </x:c>
      <x:c r="K220" s="84" t="str">
        <x:v>https://en.wikipedia.org/wiki/The_Ancient_Magus'_Bride</x:v>
      </x:c>
      <x:c r="L220" s="24" t="str">
        <x:v>Included</x:v>
      </x:c>
    </x:row>
    <x:row r="221" ht="42" customHeight="1">
      <x:c r="A221" s="24" t="str">
        <x:v>SRC-220</x:v>
      </x:c>
      <x:c r="B221" s="24" t="str">
        <x:v>Ranking of Kings</x:v>
      </x:c>
      <x:c r="C221" s="24" t="str">
        <x:v>Sōsuke Tōka</x:v>
      </x:c>
      <x:c r="D221" s="24" t="str">
        <x:v>Manga / Anime</x:v>
      </x:c>
      <x:c r="E221" s="24" t="str">
        <x:v>Japan</x:v>
      </x:c>
      <x:c r="F221" s="24" t="str">
        <x:v>2017</x:v>
      </x:c>
      <x:c r="G221" s="24" t="str">
        <x:v>Manga and anime adaptation</x:v>
      </x:c>
      <x:c r="H221" s="24" t="str">
        <x:v>Tier 2</x:v>
      </x:c>
      <x:c r="I221" s="24" t="str">
        <x:v>Small prince hero, giant lineage, shadow people, kingship ranking, curses and loyalty.</x:v>
      </x:c>
      <x:c r="J221" s="24" t="str">
        <x:v>Treat adaptations/editions separately when taxonomically material.</x:v>
      </x:c>
      <x:c r="K221" s="84" t="str">
        <x:v>https://en.wikipedia.org/wiki/Ranking_of_Kings</x:v>
      </x:c>
      <x:c r="L221" s="24" t="str">
        <x:v>Included</x:v>
      </x:c>
    </x:row>
    <x:row r="222" ht="42" customHeight="1">
      <x:c r="A222" s="24" t="str">
        <x:v>SRC-221</x:v>
      </x:c>
      <x:c r="B222" s="24" t="str">
        <x:v>Attack on Titan</x:v>
      </x:c>
      <x:c r="C222" s="24" t="str">
        <x:v>Hajime Isayama</x:v>
      </x:c>
      <x:c r="D222" s="24" t="str">
        <x:v>Manga / Anime</x:v>
      </x:c>
      <x:c r="E222" s="24" t="str">
        <x:v>Japan</x:v>
      </x:c>
      <x:c r="F222" s="24" t="str">
        <x:v>2009</x:v>
      </x:c>
      <x:c r="G222" s="24" t="str">
        <x:v>Manga primary; anime adaptation</x:v>
      </x:c>
      <x:c r="H222" s="24" t="str">
        <x:v>Tier 2</x:v>
      </x:c>
      <x:c r="I222" s="24" t="str">
        <x:v>Human-to-titan transformation, military branches, walls, inherited powers, historical revelation.</x:v>
      </x:c>
      <x:c r="J222" s="24" t="str">
        <x:v>Treat adaptations/editions separately when taxonomically material.</x:v>
      </x:c>
      <x:c r="K222" s="84" t="str">
        <x:v>https://en.wikipedia.org/wiki/Attack_on_Titan</x:v>
      </x:c>
      <x:c r="L222" s="24" t="str">
        <x:v>Included</x:v>
      </x:c>
    </x:row>
    <x:row r="223" ht="42" customHeight="1">
      <x:c r="A223" s="24" t="str">
        <x:v>SRC-222</x:v>
      </x:c>
      <x:c r="B223" s="24" t="str">
        <x:v>Dorohedoro</x:v>
      </x:c>
      <x:c r="C223" s="24" t="str">
        <x:v>Q Hayashida</x:v>
      </x:c>
      <x:c r="D223" s="24" t="str">
        <x:v>Manga / Anime</x:v>
      </x:c>
      <x:c r="E223" s="24" t="str">
        <x:v>Japan</x:v>
      </x:c>
      <x:c r="F223" s="24" t="str">
        <x:v>2000</x:v>
      </x:c>
      <x:c r="G223" s="24" t="str">
        <x:v>Manga and anime adaptation</x:v>
      </x:c>
      <x:c r="H223" s="24" t="str">
        <x:v>Tier 2</x:v>
      </x:c>
      <x:c r="I223" s="24" t="str">
        <x:v>Sorcerer species/class, smoke-based powers, body transformation, devils, violent city ecology.</x:v>
      </x:c>
      <x:c r="J223" s="24" t="str">
        <x:v>Treat adaptations/editions separately when taxonomically material.</x:v>
      </x:c>
      <x:c r="K223" s="84" t="str">
        <x:v>https://en.wikipedia.org/wiki/Dorohedoro</x:v>
      </x:c>
      <x:c r="L223" s="24" t="str">
        <x:v>Included</x:v>
      </x:c>
    </x:row>
    <x:row r="224" ht="42" customHeight="1">
      <x:c r="A224" s="24" t="str">
        <x:v>SRC-223</x:v>
      </x:c>
      <x:c r="B224" s="24" t="str">
        <x:v>Witch Hat Atelier</x:v>
      </x:c>
      <x:c r="C224" s="24" t="str">
        <x:v>Kamome Shirahama</x:v>
      </x:c>
      <x:c r="D224" s="24" t="str">
        <x:v>Manga / Anime</x:v>
      </x:c>
      <x:c r="E224" s="24" t="str">
        <x:v>Japan</x:v>
      </x:c>
      <x:c r="F224" s="24" t="str">
        <x:v>2016</x:v>
      </x:c>
      <x:c r="G224" s="24" t="str">
        <x:v>Manga; anime adaptation</x:v>
      </x:c>
      <x:c r="H224" s="24" t="str">
        <x:v>Tier 1</x:v>
      </x:c>
      <x:c r="I224" s="24" t="str">
        <x:v>Drawn-circle magic, institutional secrecy, witch apprenticeship, ethics of access and disability.</x:v>
      </x:c>
      <x:c r="J224" s="24" t="str">
        <x:v>Treat adaptations/editions separately when taxonomically material.</x:v>
      </x:c>
      <x:c r="K224" s="84" t="str">
        <x:v>https://en.wikipedia.org/wiki/Witch_Hat_Atelier</x:v>
      </x:c>
      <x:c r="L224" s="24" t="str">
        <x:v>Included</x:v>
      </x:c>
    </x:row>
    <x:row r="225" ht="42" customHeight="1">
      <x:c r="A225" s="24" t="str">
        <x:v>SRC-224</x:v>
      </x:c>
      <x:c r="B225" s="24" t="str">
        <x:v>The Faraway Paladin</x:v>
      </x:c>
      <x:c r="C225" s="24" t="str">
        <x:v>Kanata Yanagino</x:v>
      </x:c>
      <x:c r="D225" s="24" t="str">
        <x:v>Light Novel / Anime</x:v>
      </x:c>
      <x:c r="E225" s="24" t="str">
        <x:v>Japan</x:v>
      </x:c>
      <x:c r="F225" s="24" t="str">
        <x:v>2015</x:v>
      </x:c>
      <x:c r="G225" s="24" t="str">
        <x:v>Novel and anime adaptation</x:v>
      </x:c>
      <x:c r="H225" s="24" t="str">
        <x:v>Tier 2</x:v>
      </x:c>
      <x:c r="I225" s="24" t="str">
        <x:v>Reincarnated paladin, undead foster family, divine oath, frontier restoration.</x:v>
      </x:c>
      <x:c r="J225" s="24" t="str">
        <x:v>Treat adaptations/editions separately when taxonomically material.</x:v>
      </x:c>
      <x:c r="K225" s="84" t="str">
        <x:v>https://en.wikipedia.org/wiki/The_Faraway_Paladin</x:v>
      </x:c>
      <x:c r="L225" s="24" t="str">
        <x:v>Included</x:v>
      </x:c>
    </x:row>
    <x:row r="226" ht="42" customHeight="1">
      <x:c r="A226" s="24" t="str">
        <x:v>SRC-225</x:v>
      </x:c>
      <x:c r="B226" s="24" t="str">
        <x:v>The Seven Deadly Sins</x:v>
      </x:c>
      <x:c r="C226" s="24" t="str">
        <x:v>Nakaba Suzuki</x:v>
      </x:c>
      <x:c r="D226" s="24" t="str">
        <x:v>Manga / Anime</x:v>
      </x:c>
      <x:c r="E226" s="24" t="str">
        <x:v>Japan</x:v>
      </x:c>
      <x:c r="F226" s="24" t="str">
        <x:v>2012</x:v>
      </x:c>
      <x:c r="G226" s="24" t="str">
        <x:v>Manga and anime adaptation</x:v>
      </x:c>
      <x:c r="H226" s="24" t="str">
        <x:v>Tier 2</x:v>
      </x:c>
      <x:c r="I226" s="24" t="str">
        <x:v>Knight orders, demon/goddess/fairy/giant peoples, sins as identities, transformations.</x:v>
      </x:c>
      <x:c r="J226" s="24" t="str">
        <x:v>Treat adaptations/editions separately when taxonomically material.</x:v>
      </x:c>
      <x:c r="K226" s="84" t="str">
        <x:v>https://en.wikipedia.org/wiki/The_Seven_Deadly_Sins</x:v>
      </x:c>
      <x:c r="L226" s="24" t="str">
        <x:v>Included</x:v>
      </x:c>
    </x:row>
    <x:row r="227" ht="42" customHeight="1">
      <x:c r="A227" s="24" t="str">
        <x:v>SRC-226</x:v>
      </x:c>
      <x:c r="B227" s="24" t="str">
        <x:v>Black Clover</x:v>
      </x:c>
      <x:c r="C227" s="24" t="str">
        <x:v>Yūki Tabata</x:v>
      </x:c>
      <x:c r="D227" s="24" t="str">
        <x:v>Manga / Anime</x:v>
      </x:c>
      <x:c r="E227" s="24" t="str">
        <x:v>Japan</x:v>
      </x:c>
      <x:c r="F227" s="24" t="str">
        <x:v>2015</x:v>
      </x:c>
      <x:c r="G227" s="24" t="str">
        <x:v>Manga and anime adaptation</x:v>
      </x:c>
      <x:c r="H227" s="24" t="str">
        <x:v>Tier 2</x:v>
      </x:c>
      <x:c r="I227" s="24" t="str">
        <x:v>Magic knight squads, grimoires, anti-magic, elves, devils, rank and rivalry.</x:v>
      </x:c>
      <x:c r="J227" s="24" t="str">
        <x:v>Treat adaptations/editions separately when taxonomically material.</x:v>
      </x:c>
      <x:c r="K227" s="84" t="str">
        <x:v>https://en.wikipedia.org/wiki/Black_Clover</x:v>
      </x:c>
      <x:c r="L227" s="24" t="str">
        <x:v>Included</x:v>
      </x:c>
    </x:row>
    <x:row r="228" ht="42" customHeight="1">
      <x:c r="A228" s="24" t="str">
        <x:v>SRC-227</x:v>
      </x:c>
      <x:c r="B228" s="24" t="str">
        <x:v>Fairy Tail</x:v>
      </x:c>
      <x:c r="C228" s="24" t="str">
        <x:v>Hiro Mashima</x:v>
      </x:c>
      <x:c r="D228" s="24" t="str">
        <x:v>Manga / Anime</x:v>
      </x:c>
      <x:c r="E228" s="24" t="str">
        <x:v>Japan</x:v>
      </x:c>
      <x:c r="F228" s="24" t="str">
        <x:v>2006</x:v>
      </x:c>
      <x:c r="G228" s="24" t="str">
        <x:v>Manga and anime adaptation</x:v>
      </x:c>
      <x:c r="H228" s="24" t="str">
        <x:v>Tier 2</x:v>
      </x:c>
      <x:c r="I228" s="24" t="str">
        <x:v>Wizard guilds, magic types, dragon slayers, team bonds, ranked jobs.</x:v>
      </x:c>
      <x:c r="J228" s="24" t="str">
        <x:v>Treat adaptations/editions separately when taxonomically material.</x:v>
      </x:c>
      <x:c r="K228" s="84" t="str">
        <x:v>https://en.wikipedia.org/wiki/Fairy_Tail</x:v>
      </x:c>
      <x:c r="L228" s="24" t="str">
        <x:v>Included</x:v>
      </x:c>
    </x:row>
    <x:row r="229" ht="42" customHeight="1">
      <x:c r="A229" s="24" t="str">
        <x:v>SRC-228</x:v>
      </x:c>
      <x:c r="B229" s="24" t="str">
        <x:v>The Vision of Escaflowne</x:v>
      </x:c>
      <x:c r="C229" s="24" t="str">
        <x:v>Sunrise / Shoji Kawamori</x:v>
      </x:c>
      <x:c r="D229" s="24" t="str">
        <x:v>Anime / Manga</x:v>
      </x:c>
      <x:c r="E229" s="24" t="str">
        <x:v>Japan</x:v>
      </x:c>
      <x:c r="F229" s="24" t="str">
        <x:v>1996</x:v>
      </x:c>
      <x:c r="G229" s="24" t="str">
        <x:v>Anime primary and adaptations</x:v>
      </x:c>
      <x:c r="H229" s="24" t="str">
        <x:v>Tier 2</x:v>
      </x:c>
      <x:c r="I229" s="24" t="str">
        <x:v>Isekai, dragon-blooded warrior, mecha-fantasy knights, prophecy, kingdoms.</x:v>
      </x:c>
      <x:c r="J229" s="24" t="str">
        <x:v>Treat adaptations/editions separately when taxonomically material.</x:v>
      </x:c>
      <x:c r="K229" s="84" t="str">
        <x:v>https://en.wikipedia.org/wiki/The_Vision_of_Escaflowne</x:v>
      </x:c>
      <x:c r="L229" s="24" t="str">
        <x:v>Included</x:v>
      </x:c>
    </x:row>
    <x:row r="230" ht="42" customHeight="1">
      <x:c r="A230" s="24" t="str">
        <x:v>SRC-229</x:v>
      </x:c>
      <x:c r="B230" s="24" t="str">
        <x:v>Princess Mononoke</x:v>
      </x:c>
      <x:c r="C230" s="24" t="str">
        <x:v>Hayao Miyazaki / Studio Ghibli</x:v>
      </x:c>
      <x:c r="D230" s="24" t="str">
        <x:v>Animated Film</x:v>
      </x:c>
      <x:c r="E230" s="24" t="str">
        <x:v>Japan</x:v>
      </x:c>
      <x:c r="F230" s="24" t="str">
        <x:v>1997</x:v>
      </x:c>
      <x:c r="G230" s="24" t="str">
        <x:v>Film continuity</x:v>
      </x:c>
      <x:c r="H230" s="24" t="str">
        <x:v>Tier 1</x:v>
      </x:c>
      <x:c r="I230" s="24" t="str">
        <x:v>Animal gods, forest spirit, cursed warrior, industrial settlement, ecological conflict.</x:v>
      </x:c>
      <x:c r="J230" s="24" t="str">
        <x:v>Treat adaptations/editions separately when taxonomically material.</x:v>
      </x:c>
      <x:c r="K230" s="84" t="str">
        <x:v>https://en.wikipedia.org/wiki/Princess_Mononoke</x:v>
      </x:c>
      <x:c r="L230" s="24" t="str">
        <x:v>Included</x:v>
      </x:c>
    </x:row>
    <x:row r="231" ht="42" customHeight="1">
      <x:c r="A231" s="24" t="str">
        <x:v>SRC-230</x:v>
      </x:c>
      <x:c r="B231" s="24" t="str">
        <x:v>Nausicaä of the Valley of the Wind</x:v>
      </x:c>
      <x:c r="C231" s="24" t="str">
        <x:v>Hayao Miyazaki</x:v>
      </x:c>
      <x:c r="D231" s="24" t="str">
        <x:v>Manga / Animated Film</x:v>
      </x:c>
      <x:c r="E231" s="24" t="str">
        <x:v>Japan</x:v>
      </x:c>
      <x:c r="F231" s="24" t="str">
        <x:v>1982 manga / 1984 film</x:v>
      </x:c>
      <x:c r="G231" s="24" t="str">
        <x:v>Manga and film continuities</x:v>
      </x:c>
      <x:c r="H231" s="24" t="str">
        <x:v>Tier 1</x:v>
      </x:c>
      <x:c r="I231" s="24" t="str">
        <x:v>Post-apocalyptic ecology, princess mediator, giant warriors, insect world, toxic forest.</x:v>
      </x:c>
      <x:c r="J231" s="24" t="str">
        <x:v>Treat adaptations/editions separately when taxonomically material.</x:v>
      </x:c>
      <x:c r="K231" s="84" t="str">
        <x:v>https://en.wikipedia.org/wiki/Nausica%C3%A4_of_the_Valley_of_the_Wind</x:v>
      </x:c>
      <x:c r="L231" s="24" t="str">
        <x:v>Included</x:v>
      </x:c>
    </x:row>
    <x:row r="232" ht="42" customHeight="1">
      <x:c r="A232" s="24" t="str">
        <x:v>SRC-231</x:v>
      </x:c>
      <x:c r="B232" s="24" t="str">
        <x:v>Spirited Away</x:v>
      </x:c>
      <x:c r="C232" s="24" t="str">
        <x:v>Hayao Miyazaki / Studio Ghibli</x:v>
      </x:c>
      <x:c r="D232" s="24" t="str">
        <x:v>Animated Film</x:v>
      </x:c>
      <x:c r="E232" s="24" t="str">
        <x:v>Japan</x:v>
      </x:c>
      <x:c r="F232" s="24" t="str">
        <x:v>2001</x:v>
      </x:c>
      <x:c r="G232" s="24" t="str">
        <x:v>Film continuity</x:v>
      </x:c>
      <x:c r="H232" s="24" t="str">
        <x:v>Tier 1</x:v>
      </x:c>
      <x:c r="I232" s="24" t="str">
        <x:v>Spirit bathhouse institutions, name loss, transformation, kami/yōkai-inspired beings, labor.</x:v>
      </x:c>
      <x:c r="J232" s="24" t="str">
        <x:v>Treat adaptations/editions separately when taxonomically material.</x:v>
      </x:c>
      <x:c r="K232" s="84" t="str">
        <x:v>https://en.wikipedia.org/wiki/Spirited_Away</x:v>
      </x:c>
      <x:c r="L232" s="24" t="str">
        <x:v>Included</x:v>
      </x:c>
    </x:row>
    <x:row r="233" ht="42" customHeight="1">
      <x:c r="A233" s="24" t="str">
        <x:v>SRC-232</x:v>
      </x:c>
      <x:c r="B233" s="24" t="str">
        <x:v>Dragon Ball</x:v>
      </x:c>
      <x:c r="C233" s="24" t="str">
        <x:v>Akira Toriyama</x:v>
      </x:c>
      <x:c r="D233" s="24" t="str">
        <x:v>Manga / Anime</x:v>
      </x:c>
      <x:c r="E233" s="24" t="str">
        <x:v>Japan</x:v>
      </x:c>
      <x:c r="F233" s="24" t="str">
        <x:v>1984</x:v>
      </x:c>
      <x:c r="G233" s="24" t="str">
        <x:v>Multiple series and continuities</x:v>
      </x:c>
      <x:c r="H233" s="24" t="str">
        <x:v>Tier 2</x:v>
      </x:c>
      <x:c r="I233" s="24" t="str">
        <x:v>Martial ki, alien peoples, transformations, wish-granting dragons, tournament structure.</x:v>
      </x:c>
      <x:c r="J233" s="24" t="str">
        <x:v>Treat adaptations/editions separately when taxonomically material.</x:v>
      </x:c>
      <x:c r="K233" s="84" t="str">
        <x:v>https://en.wikipedia.org/wiki/Dragon_Ball</x:v>
      </x:c>
      <x:c r="L233" s="24" t="str">
        <x:v>Included</x:v>
      </x:c>
    </x:row>
    <x:row r="234" ht="42" customHeight="1">
      <x:c r="A234" s="24" t="str">
        <x:v>SRC-233</x:v>
      </x:c>
      <x:c r="B234" s="24" t="str">
        <x:v>Jujutsu Kaisen</x:v>
      </x:c>
      <x:c r="C234" s="24" t="str">
        <x:v>Gege Akutami</x:v>
      </x:c>
      <x:c r="D234" s="24" t="str">
        <x:v>Manga / Anime</x:v>
      </x:c>
      <x:c r="E234" s="24" t="str">
        <x:v>Japan</x:v>
      </x:c>
      <x:c r="F234" s="24" t="str">
        <x:v>2018</x:v>
      </x:c>
      <x:c r="G234" s="24" t="str">
        <x:v>Manga and anime adaptation</x:v>
      </x:c>
      <x:c r="H234" s="24" t="str">
        <x:v>Tier 2</x:v>
      </x:c>
      <x:c r="I234" s="24" t="str">
        <x:v>Cursed energy, sorcerer school, inherited techniques, spirits, domains, possession.</x:v>
      </x:c>
      <x:c r="J234" s="24" t="str">
        <x:v>Treat adaptations/editions separately when taxonomically material.</x:v>
      </x:c>
      <x:c r="K234" s="84" t="str">
        <x:v>https://en.wikipedia.org/wiki/Jujutsu_Kaisen</x:v>
      </x:c>
      <x:c r="L234" s="24" t="str">
        <x:v>Included</x:v>
      </x:c>
    </x:row>
    <x:row r="235" ht="42" customHeight="1">
      <x:c r="A235" s="24" t="str">
        <x:v>SRC-234</x:v>
      </x:c>
      <x:c r="B235" s="24" t="str">
        <x:v>Chainsaw Man</x:v>
      </x:c>
      <x:c r="C235" s="24" t="str">
        <x:v>Tatsuki Fujimoto</x:v>
      </x:c>
      <x:c r="D235" s="24" t="str">
        <x:v>Manga / Anime</x:v>
      </x:c>
      <x:c r="E235" s="24" t="str">
        <x:v>Japan</x:v>
      </x:c>
      <x:c r="F235" s="24" t="str">
        <x:v>2018</x:v>
      </x:c>
      <x:c r="G235" s="24" t="str">
        <x:v>Manga and anime adaptation</x:v>
      </x:c>
      <x:c r="H235" s="24" t="str">
        <x:v>Tier 2</x:v>
      </x:c>
      <x:c r="I235" s="24" t="str">
        <x:v>Devils as concepts, contracts, hybrid transformation, hunters, bureaucratic exploitation.</x:v>
      </x:c>
      <x:c r="J235" s="24" t="str">
        <x:v>Treat adaptations/editions separately when taxonomically material.</x:v>
      </x:c>
      <x:c r="K235" s="84" t="str">
        <x:v>https://en.wikipedia.org/wiki/Chainsaw_Man</x:v>
      </x:c>
      <x:c r="L235" s="24" t="str">
        <x:v>Included</x:v>
      </x:c>
    </x:row>
    <x:row r="236" ht="42" customHeight="1">
      <x:c r="A236" s="24" t="str">
        <x:v>SRC-235</x:v>
      </x:c>
      <x:c r="B236" s="24" t="str">
        <x:v>Solo Leveling</x:v>
      </x:c>
      <x:c r="C236" s="24" t="str">
        <x:v>Chugong and DUBU adaptation</x:v>
      </x:c>
      <x:c r="D236" s="24" t="str">
        <x:v>Web Novel / Manhwa / Anime</x:v>
      </x:c>
      <x:c r="E236" s="24" t="str">
        <x:v>South Korea</x:v>
      </x:c>
      <x:c r="F236" s="24" t="str">
        <x:v>2016</x:v>
      </x:c>
      <x:c r="G236" s="24" t="str">
        <x:v>Novel, manhwa, anime adaptations</x:v>
      </x:c>
      <x:c r="H236" s="24" t="str">
        <x:v>Tier 1</x:v>
      </x:c>
      <x:c r="I236" s="24" t="str">
        <x:v>Hunter ranks, gates, system user, hidden class, shadow army, power progression.</x:v>
      </x:c>
      <x:c r="J236" s="24" t="str">
        <x:v>Treat adaptations/editions separately when taxonomically material.</x:v>
      </x:c>
      <x:c r="K236" s="84" t="str">
        <x:v>https://en.wikipedia.org/wiki/Solo_Leveling</x:v>
      </x:c>
      <x:c r="L236" s="24" t="str">
        <x:v>Included</x:v>
      </x:c>
    </x:row>
    <x:row r="237" ht="42" customHeight="1">
      <x:c r="A237" s="24" t="str">
        <x:v>SRC-236</x:v>
      </x:c>
      <x:c r="B237" s="24" t="str">
        <x:v>Omniscient Reader's Viewpoint</x:v>
      </x:c>
      <x:c r="C237" s="24" t="str">
        <x:v>singNsong</x:v>
      </x:c>
      <x:c r="D237" s="24" t="str">
        <x:v>Web Novel / Manhwa</x:v>
      </x:c>
      <x:c r="E237" s="24" t="str">
        <x:v>South Korea</x:v>
      </x:c>
      <x:c r="F237" s="24" t="str">
        <x:v>2018</x:v>
      </x:c>
      <x:c r="G237" s="24" t="str">
        <x:v>Novel and adaptations</x:v>
      </x:c>
      <x:c r="H237" s="24" t="str">
        <x:v>Tier 1</x:v>
      </x:c>
      <x:c r="I237" s="24" t="str">
        <x:v>Scenario system, constellations, narrative knowledge, incarnations, sponsor powers, regressors.</x:v>
      </x:c>
      <x:c r="J237" s="24" t="str">
        <x:v>Treat adaptations/editions separately when taxonomically material.</x:v>
      </x:c>
      <x:c r="K237" s="84" t="str">
        <x:v>https://en.wikipedia.org/wiki/Omniscient_Reader's_Viewpoint</x:v>
      </x:c>
      <x:c r="L237" s="24" t="str">
        <x:v>Included</x:v>
      </x:c>
    </x:row>
    <x:row r="238" ht="42" customHeight="1">
      <x:c r="A238" s="24" t="str">
        <x:v>SRC-237</x:v>
      </x:c>
      <x:c r="B238" s="24" t="str">
        <x:v>Tower of God</x:v>
      </x:c>
      <x:c r="C238" s="24" t="str">
        <x:v>S.I.U.</x:v>
      </x:c>
      <x:c r="D238" s="24" t="str">
        <x:v>Webtoon / Anime</x:v>
      </x:c>
      <x:c r="E238" s="24" t="str">
        <x:v>South Korea</x:v>
      </x:c>
      <x:c r="F238" s="24" t="str">
        <x:v>2010</x:v>
      </x:c>
      <x:c r="G238" s="24" t="str">
        <x:v>Webtoon and anime adaptation</x:v>
      </x:c>
      <x:c r="H238" s="24" t="str">
        <x:v>Tier 2</x:v>
      </x:c>
      <x:c r="I238" s="24" t="str">
        <x:v>Tower tests, positions as classes, irregulars, species, families, rankers.</x:v>
      </x:c>
      <x:c r="J238" s="24" t="str">
        <x:v>Treat adaptations/editions separately when taxonomically material.</x:v>
      </x:c>
      <x:c r="K238" s="84" t="str">
        <x:v>https://en.wikipedia.org/wiki/Tower_of_God</x:v>
      </x:c>
      <x:c r="L238" s="24" t="str">
        <x:v>Included</x:v>
      </x:c>
    </x:row>
    <x:row r="239" ht="42" customHeight="1">
      <x:c r="A239" s="24" t="str">
        <x:v>SRC-238</x:v>
      </x:c>
      <x:c r="B239" s="24" t="str">
        <x:v>The God of High School</x:v>
      </x:c>
      <x:c r="C239" s="24" t="str">
        <x:v>Yongje Park</x:v>
      </x:c>
      <x:c r="D239" s="24" t="str">
        <x:v>Webtoon / Anime</x:v>
      </x:c>
      <x:c r="E239" s="24" t="str">
        <x:v>South Korea</x:v>
      </x:c>
      <x:c r="F239" s="24" t="str">
        <x:v>2011</x:v>
      </x:c>
      <x:c r="G239" s="24" t="str">
        <x:v>Webtoon and anime adaptation</x:v>
      </x:c>
      <x:c r="H239" s="24" t="str">
        <x:v>Tier 3</x:v>
      </x:c>
      <x:c r="I239" s="24" t="str">
        <x:v>Tournament, borrowed divine power, martial arts, gods, myth fusion.</x:v>
      </x:c>
      <x:c r="J239" s="24" t="str">
        <x:v>Treat adaptations/editions separately when taxonomically material.</x:v>
      </x:c>
      <x:c r="K239" s="84" t="str">
        <x:v>https://en.wikipedia.org/wiki/The_God_of_High_School</x:v>
      </x:c>
      <x:c r="L239" s="24" t="str">
        <x:v>Included</x:v>
      </x:c>
    </x:row>
    <x:row r="240" ht="42" customHeight="1">
      <x:c r="A240" s="24" t="str">
        <x:v>SRC-239</x:v>
      </x:c>
      <x:c r="B240" s="24" t="str">
        <x:v>The King's Avatar</x:v>
      </x:c>
      <x:c r="C240" s="24" t="str">
        <x:v>Hu Dielan</x:v>
      </x:c>
      <x:c r="D240" s="24" t="str">
        <x:v>Web Novel / Animation</x:v>
      </x:c>
      <x:c r="E240" s="24" t="str">
        <x:v>China</x:v>
      </x:c>
      <x:c r="F240" s="24" t="str">
        <x:v>2011</x:v>
      </x:c>
      <x:c r="G240" s="24" t="str">
        <x:v>Novel and adaptations</x:v>
      </x:c>
      <x:c r="H240" s="24" t="str">
        <x:v>Tier 2</x:v>
      </x:c>
      <x:c r="I240" s="24" t="str">
        <x:v>MMO classes, professional roles, guilds, esports rather than in-world fantasy ontology.</x:v>
      </x:c>
      <x:c r="J240" s="24" t="str">
        <x:v>Treat adaptations/editions separately when taxonomically material.</x:v>
      </x:c>
      <x:c r="K240" s="84" t="str">
        <x:v>https://en.wikipedia.org/wiki/The_King's_Avatar</x:v>
      </x:c>
      <x:c r="L240" s="24" t="str">
        <x:v>Included</x:v>
      </x:c>
    </x:row>
    <x:row r="241" ht="42" customHeight="1">
      <x:c r="A241" s="24" t="str">
        <x:v>SRC-240</x:v>
      </x:c>
      <x:c r="B241" s="24" t="str">
        <x:v>Soul Land / Douluo Dalu</x:v>
      </x:c>
      <x:c r="C241" s="24" t="str">
        <x:v>Tang Jia San Shao</x:v>
      </x:c>
      <x:c r="D241" s="24" t="str">
        <x:v>Web Novel / Donghua / Manhua</x:v>
      </x:c>
      <x:c r="E241" s="24" t="str">
        <x:v>China</x:v>
      </x:c>
      <x:c r="F241" s="24" t="str">
        <x:v>2008</x:v>
      </x:c>
      <x:c r="G241" s="24" t="str">
        <x:v>Novel and adaptations</x:v>
      </x:c>
      <x:c r="H241" s="24" t="str">
        <x:v>Tier 1</x:v>
      </x:c>
      <x:c r="I241" s="24" t="str">
        <x:v>Spirit masters, spirit rings, martial souls, ranks, sects, beasts, cultivation progression.</x:v>
      </x:c>
      <x:c r="J241" s="24" t="str">
        <x:v>Treat adaptations/editions separately when taxonomically material.</x:v>
      </x:c>
      <x:c r="K241" s="84" t="str">
        <x:v>https://en.wikipedia.org/wiki/Soul_Land_%2F_Douluo_Dalu</x:v>
      </x:c>
      <x:c r="L241" s="24" t="str">
        <x:v>Included</x:v>
      </x:c>
    </x:row>
    <x:row r="242" ht="42" customHeight="1">
      <x:c r="A242" s="24" t="str">
        <x:v>SRC-241</x:v>
      </x:c>
      <x:c r="B242" s="24" t="str">
        <x:v>Heaven Official's Blessing</x:v>
      </x:c>
      <x:c r="C242" s="24" t="str">
        <x:v>Mo Xiang Tong Xiu</x:v>
      </x:c>
      <x:c r="D242" s="24" t="str">
        <x:v>Web Novel / Donghua</x:v>
      </x:c>
      <x:c r="E242" s="24" t="str">
        <x:v>China</x:v>
      </x:c>
      <x:c r="F242" s="24" t="str">
        <x:v>2017</x:v>
      </x:c>
      <x:c r="G242" s="24" t="str">
        <x:v>Novel and adaptations</x:v>
      </x:c>
      <x:c r="H242" s="24" t="str">
        <x:v>Tier 2</x:v>
      </x:c>
      <x:c r="I242" s="24" t="str">
        <x:v>Ascended officials, ghosts, spiritual power, heavenly bureaucracy, devotion.</x:v>
      </x:c>
      <x:c r="J242" s="24" t="str">
        <x:v>Treat adaptations/editions separately when taxonomically material.</x:v>
      </x:c>
      <x:c r="K242" s="84" t="str">
        <x:v>https://en.wikipedia.org/wiki/Heaven_Official's_Blessing</x:v>
      </x:c>
      <x:c r="L242" s="24" t="str">
        <x:v>Included</x:v>
      </x:c>
    </x:row>
    <x:row r="243" ht="42" customHeight="1">
      <x:c r="A243" s="24" t="str">
        <x:v>SRC-242</x:v>
      </x:c>
      <x:c r="B243" s="24" t="str">
        <x:v>The Legend of Hei</x:v>
      </x:c>
      <x:c r="C243" s="24" t="str">
        <x:v>MTJJ</x:v>
      </x:c>
      <x:c r="D243" s="24" t="str">
        <x:v>Animated Film / Web Animation</x:v>
      </x:c>
      <x:c r="E243" s="24" t="str">
        <x:v>China</x:v>
      </x:c>
      <x:c r="F243" s="24" t="str">
        <x:v>2011 web / 2019 film</x:v>
      </x:c>
      <x:c r="G243" s="24" t="str">
        <x:v>Animation continuity</x:v>
      </x:c>
      <x:c r="H243" s="24" t="str">
        <x:v>Tier 2</x:v>
      </x:c>
      <x:c r="I243" s="24" t="str">
        <x:v>Spirits, human-spirit coexistence, elemental domains, guild-like enforcement.</x:v>
      </x:c>
      <x:c r="J243" s="24" t="str">
        <x:v>Treat adaptations/editions separately when taxonomically material.</x:v>
      </x:c>
      <x:c r="K243" s="84" t="str">
        <x:v>https://en.wikipedia.org/wiki/The_Legend_of_Hei</x:v>
      </x:c>
      <x:c r="L243" s="24" t="str">
        <x:v>Included</x:v>
      </x:c>
    </x:row>
    <x:row r="244" ht="42" customHeight="1">
      <x:c r="A244" s="24" t="str">
        <x:v>SRC-243</x:v>
      </x:c>
      <x:c r="B244" s="24" t="str">
        <x:v>The Apothecary Diaries</x:v>
      </x:c>
      <x:c r="C244" s="24" t="str">
        <x:v>Natsu Hyūga</x:v>
      </x:c>
      <x:c r="D244" s="24" t="str">
        <x:v>Light Novel / Manga / Anime</x:v>
      </x:c>
      <x:c r="E244" s="24" t="str">
        <x:v>Japan</x:v>
      </x:c>
      <x:c r="F244" s="24" t="str">
        <x:v>2011</x:v>
      </x:c>
      <x:c r="G244" s="24" t="str">
        <x:v>Novel and adaptations</x:v>
      </x:c>
      <x:c r="H244" s="24" t="str">
        <x:v>Tier 3</x:v>
      </x:c>
      <x:c r="I244" s="24" t="str">
        <x:v>Apothecary role, court institutions, poison expertise, low-supernatural analytical framework.</x:v>
      </x:c>
      <x:c r="J244" s="24" t="str">
        <x:v>Treat adaptations/editions separately when taxonomically material.</x:v>
      </x:c>
      <x:c r="K244" s="84" t="str">
        <x:v>https://en.wikipedia.org/wiki/The_Apothecary_Diaries</x:v>
      </x:c>
      <x:c r="L244" s="24" t="str">
        <x:v>Included</x:v>
      </x:c>
    </x:row>
    <x:row r="245" ht="42" customHeight="1">
      <x:c r="A245" s="24" t="str">
        <x:v>SRC-244</x:v>
      </x:c>
      <x:c r="B245" s="24" t="str">
        <x:v>Ascendance of a Bookworm</x:v>
      </x:c>
      <x:c r="C245" s="24" t="str">
        <x:v>Miya Kazuki</x:v>
      </x:c>
      <x:c r="D245" s="24" t="str">
        <x:v>Light Novel / Anime</x:v>
      </x:c>
      <x:c r="E245" s="24" t="str">
        <x:v>Japan</x:v>
      </x:c>
      <x:c r="F245" s="24" t="str">
        <x:v>2013</x:v>
      </x:c>
      <x:c r="G245" s="24" t="str">
        <x:v>Novel and adaptations</x:v>
      </x:c>
      <x:c r="H245" s="24" t="str">
        <x:v>Tier 2</x:v>
      </x:c>
      <x:c r="I245" s="24" t="str">
        <x:v>Reincarnation, craft progression, temple/noble castes, mana, institution building.</x:v>
      </x:c>
      <x:c r="J245" s="24" t="str">
        <x:v>Treat adaptations/editions separately when taxonomically material.</x:v>
      </x:c>
      <x:c r="K245" s="84" t="str">
        <x:v>https://en.wikipedia.org/wiki/Ascendance_of_a_Bookworm</x:v>
      </x:c>
      <x:c r="L245" s="24" t="str">
        <x:v>Included</x:v>
      </x:c>
    </x:row>
    <x:row r="246" ht="42" customHeight="1">
      <x:c r="A246" s="24" t="str">
        <x:v>SRC-245</x:v>
      </x:c>
      <x:c r="B246" s="24" t="str">
        <x:v>So I'm a Spider, So What?</x:v>
      </x:c>
      <x:c r="C246" s="24" t="str">
        <x:v>Okina Baba</x:v>
      </x:c>
      <x:c r="D246" s="24" t="str">
        <x:v>Light Novel / Anime</x:v>
      </x:c>
      <x:c r="E246" s="24" t="str">
        <x:v>Japan</x:v>
      </x:c>
      <x:c r="F246" s="24" t="str">
        <x:v>2015</x:v>
      </x:c>
      <x:c r="G246" s="24" t="str">
        <x:v>Novel and adaptation</x:v>
      </x:c>
      <x:c r="H246" s="24" t="str">
        <x:v>Tier 2</x:v>
      </x:c>
      <x:c r="I246" s="24" t="str">
        <x:v>Monster reincarnation, evolution tree, system classes, parallel protagonists.</x:v>
      </x:c>
      <x:c r="J246" s="24" t="str">
        <x:v>Treat adaptations/editions separately when taxonomically material.</x:v>
      </x:c>
      <x:c r="K246" s="84" t="str">
        <x:v>https://en.wikipedia.org/wiki/So_I'm_a_Spider,_So_What%3F</x:v>
      </x:c>
      <x:c r="L246" s="24" t="str">
        <x:v>Included</x:v>
      </x:c>
    </x:row>
    <x:row r="247" ht="42" customHeight="1">
      <x:c r="A247" s="24" t="str">
        <x:v>SRC-246</x:v>
      </x:c>
      <x:c r="B247" s="24" t="str">
        <x:v>The Eminence in Shadow</x:v>
      </x:c>
      <x:c r="C247" s="24" t="str">
        <x:v>Daisuke Aizawa</x:v>
      </x:c>
      <x:c r="D247" s="24" t="str">
        <x:v>Light Novel / Anime</x:v>
      </x:c>
      <x:c r="E247" s="24" t="str">
        <x:v>Japan</x:v>
      </x:c>
      <x:c r="F247" s="24" t="str">
        <x:v>2018</x:v>
      </x:c>
      <x:c r="G247" s="24" t="str">
        <x:v>Novel and adaptations</x:v>
      </x:c>
      <x:c r="H247" s="24" t="str">
        <x:v>Tier 3</x:v>
      </x:c>
      <x:c r="I247" s="24" t="str">
        <x:v>Isekai role-play becoming reality, secret organization, overpowered protagonist, cult conspiracy.</x:v>
      </x:c>
      <x:c r="J247" s="24" t="str">
        <x:v>Treat adaptations/editions separately when taxonomically material.</x:v>
      </x:c>
      <x:c r="K247" s="84" t="str">
        <x:v>https://en.wikipedia.org/wiki/The_Eminence_in_Shadow</x:v>
      </x:c>
      <x:c r="L247" s="24" t="str">
        <x:v>Included</x:v>
      </x:c>
    </x:row>
    <x:row r="248" ht="42" customHeight="1">
      <x:c r="A248" s="24" t="str">
        <x:v>SRC-247</x:v>
      </x:c>
      <x:c r="B248" s="24" t="str">
        <x:v>The Dark Crystal</x:v>
      </x:c>
      <x:c r="C248" s="24" t="str">
        <x:v>Jim Henson and Frank Oz</x:v>
      </x:c>
      <x:c r="D248" s="24" t="str">
        <x:v>Film / Television</x:v>
      </x:c>
      <x:c r="E248" s="24" t="str">
        <x:v>United States / Britain</x:v>
      </x:c>
      <x:c r="F248" s="24" t="str">
        <x:v>1982</x:v>
      </x:c>
      <x:c r="G248" s="24" t="str">
        <x:v>Film and Age of Resistance series</x:v>
      </x:c>
      <x:c r="H248" s="24" t="str">
        <x:v>Tier 1</x:v>
      </x:c>
      <x:c r="I248" s="24" t="str">
        <x:v>Nonhuman-only world, Gelfling clans, Skeksis/Mystics, ecological cosmology, puppetry species design.</x:v>
      </x:c>
      <x:c r="J248" s="24" t="str">
        <x:v>Treat adaptations/editions separately when taxonomically material.</x:v>
      </x:c>
      <x:c r="K248" s="84" t="str">
        <x:v>https://en.wikipedia.org/wiki/The_Dark_Crystal</x:v>
      </x:c>
      <x:c r="L248" s="24" t="str">
        <x:v>Included</x:v>
      </x:c>
    </x:row>
    <x:row r="249" ht="42" customHeight="1">
      <x:c r="A249" s="24" t="str">
        <x:v>SRC-248</x:v>
      </x:c>
      <x:c r="B249" s="24" t="str">
        <x:v>Labyrinth</x:v>
      </x:c>
      <x:c r="C249" s="24" t="str">
        <x:v>Jim Henson</x:v>
      </x:c>
      <x:c r="D249" s="24" t="str">
        <x:v>Film</x:v>
      </x:c>
      <x:c r="E249" s="24" t="str">
        <x:v>Britain / United States</x:v>
      </x:c>
      <x:c r="F249" s="24" t="str">
        <x:v>1986</x:v>
      </x:c>
      <x:c r="G249" s="24" t="str">
        <x:v>Film continuity</x:v>
      </x:c>
      <x:c r="H249" s="24" t="str">
        <x:v>Tier 2</x:v>
      </x:c>
      <x:c r="I249" s="24" t="str">
        <x:v>Goblin king, maze as antagonist, fairy-tale bargain, creature society, coming-of-age quest.</x:v>
      </x:c>
      <x:c r="J249" s="24" t="str">
        <x:v>Treat adaptations/editions separately when taxonomically material.</x:v>
      </x:c>
      <x:c r="K249" s="84" t="str">
        <x:v>https://en.wikipedia.org/wiki/Labyrinth</x:v>
      </x:c>
      <x:c r="L249" s="24" t="str">
        <x:v>Included</x:v>
      </x:c>
    </x:row>
    <x:row r="250" ht="42" customHeight="1">
      <x:c r="A250" s="24" t="str">
        <x:v>SRC-249</x:v>
      </x:c>
      <x:c r="B250" s="24" t="str">
        <x:v>Willow</x:v>
      </x:c>
      <x:c r="C250" s="24" t="str">
        <x:v>George Lucas / Ron Howard and later Lucasfilm</x:v>
      </x:c>
      <x:c r="D250" s="24" t="str">
        <x:v>Film / Television</x:v>
      </x:c>
      <x:c r="E250" s="24" t="str">
        <x:v>United States</x:v>
      </x:c>
      <x:c r="F250" s="24" t="str">
        <x:v>1988</x:v>
      </x:c>
      <x:c r="G250" s="24" t="str">
        <x:v>Film and sequel series</x:v>
      </x:c>
      <x:c r="H250" s="24" t="str">
        <x:v>Tier 2</x:v>
      </x:c>
      <x:c r="I250" s="24" t="str">
        <x:v>Smallfolk hero, sorceress, warrior, prophecy, cursed transformation, quest party.</x:v>
      </x:c>
      <x:c r="J250" s="24" t="str">
        <x:v>Treat adaptations/editions separately when taxonomically material.</x:v>
      </x:c>
      <x:c r="K250" s="84" t="str">
        <x:v>https://en.wikipedia.org/wiki/Willow</x:v>
      </x:c>
      <x:c r="L250" s="24" t="str">
        <x:v>Included</x:v>
      </x:c>
    </x:row>
    <x:row r="251" ht="42" customHeight="1">
      <x:c r="A251" s="24" t="str">
        <x:v>SRC-250</x:v>
      </x:c>
      <x:c r="B251" s="24" t="str">
        <x:v>Legend</x:v>
      </x:c>
      <x:c r="C251" s="24" t="str">
        <x:v>Ridley Scott</x:v>
      </x:c>
      <x:c r="D251" s="24" t="str">
        <x:v>Film</x:v>
      </x:c>
      <x:c r="E251" s="24" t="str">
        <x:v>Britain / United States</x:v>
      </x:c>
      <x:c r="F251" s="24" t="str">
        <x:v>1985</x:v>
      </x:c>
      <x:c r="G251" s="24" t="str">
        <x:v>Film versions</x:v>
      </x:c>
      <x:c r="H251" s="24" t="str">
        <x:v>Tier 2</x:v>
      </x:c>
      <x:c r="I251" s="24" t="str">
        <x:v>Darkness sovereign, unicorns, forest beings, goblins, fairy-tale hero, light/dark symbolism.</x:v>
      </x:c>
      <x:c r="J251" s="24" t="str">
        <x:v>Treat adaptations/editions separately when taxonomically material.</x:v>
      </x:c>
      <x:c r="K251" s="84" t="str">
        <x:v>https://en.wikipedia.org/wiki/Legend</x:v>
      </x:c>
      <x:c r="L251" s="24" t="str">
        <x:v>Included</x:v>
      </x:c>
    </x:row>
    <x:row r="252" ht="42" customHeight="1">
      <x:c r="A252" s="24" t="str">
        <x:v>SRC-251</x:v>
      </x:c>
      <x:c r="B252" s="24" t="str">
        <x:v>The NeverEnding Story</x:v>
      </x:c>
      <x:c r="C252" s="24" t="str">
        <x:v>Wolfgang Petersen; based on Michael Ende</x:v>
      </x:c>
      <x:c r="D252" s="24" t="str">
        <x:v>Film</x:v>
      </x:c>
      <x:c r="E252" s="24" t="str">
        <x:v>Germany / United States</x:v>
      </x:c>
      <x:c r="F252" s="24" t="str">
        <x:v>1984</x:v>
      </x:c>
      <x:c r="G252" s="24" t="str">
        <x:v>Film adaptation continuity</x:v>
      </x:c>
      <x:c r="H252" s="24" t="str">
        <x:v>Tier 2</x:v>
      </x:c>
      <x:c r="I252" s="24" t="str">
        <x:v>Story world, child reader-hero, luckdragon, Nothing as threat, naming and imagination.</x:v>
      </x:c>
      <x:c r="J252" s="24" t="str">
        <x:v>Treat adaptations/editions separately when taxonomically material.</x:v>
      </x:c>
      <x:c r="K252" s="84" t="str">
        <x:v>https://en.wikipedia.org/wiki/The_NeverEnding_Story</x:v>
      </x:c>
      <x:c r="L252" s="24" t="str">
        <x:v>Included</x:v>
      </x:c>
    </x:row>
    <x:row r="253" ht="42" customHeight="1">
      <x:c r="A253" s="24" t="str">
        <x:v>SRC-252</x:v>
      </x:c>
      <x:c r="B253" s="24" t="str">
        <x:v>The Princess Bride</x:v>
      </x:c>
      <x:c r="C253" s="24" t="str">
        <x:v>Rob Reiner; William Goldman</x:v>
      </x:c>
      <x:c r="D253" s="24" t="str">
        <x:v>Film / Literature</x:v>
      </x:c>
      <x:c r="E253" s="24" t="str">
        <x:v>United States</x:v>
      </x:c>
      <x:c r="F253" s="24" t="str">
        <x:v>1987 film</x:v>
      </x:c>
      <x:c r="G253" s="24" t="str">
        <x:v>Film adaptation and novel</x:v>
      </x:c>
      <x:c r="H253" s="24" t="str">
        <x:v>Tier 2</x:v>
      </x:c>
      <x:c r="I253" s="24" t="str">
        <x:v>Swashbuckler, giant, mastermind, true love, fairy-tale parody, framed storytelling.</x:v>
      </x:c>
      <x:c r="J253" s="24" t="str">
        <x:v>Treat adaptations/editions separately when taxonomically material.</x:v>
      </x:c>
      <x:c r="K253" s="84" t="str">
        <x:v>https://en.wikipedia.org/wiki/The_Princess_Bride</x:v>
      </x:c>
      <x:c r="L253" s="24" t="str">
        <x:v>Included</x:v>
      </x:c>
    </x:row>
    <x:row r="254" ht="42" customHeight="1">
      <x:c r="A254" s="24" t="str">
        <x:v>SRC-253</x:v>
      </x:c>
      <x:c r="B254" s="24" t="str">
        <x:v>Conan the Barbarian Films</x:v>
      </x:c>
      <x:c r="C254" s="24" t="str">
        <x:v>John Milius and others; based on Robert E. Howard</x:v>
      </x:c>
      <x:c r="D254" s="24" t="str">
        <x:v>Film</x:v>
      </x:c>
      <x:c r="E254" s="24" t="str">
        <x:v>United States</x:v>
      </x:c>
      <x:c r="F254" s="24" t="str">
        <x:v>1982 onward</x:v>
      </x:c>
      <x:c r="G254" s="24" t="str">
        <x:v>Film continuities separate from stories</x:v>
      </x:c>
      <x:c r="H254" s="24" t="str">
        <x:v>Tier 2</x:v>
      </x:c>
      <x:c r="I254" s="24" t="str">
        <x:v>Barbarian iconography, cult, sorcerer, thief companions, sword-and-sorcery cinema.</x:v>
      </x:c>
      <x:c r="J254" s="24" t="str">
        <x:v>Treat adaptations/editions separately when taxonomically material.</x:v>
      </x:c>
      <x:c r="K254" s="84" t="str">
        <x:v>https://en.wikipedia.org/wiki/Conan_the_Barbarian_Films</x:v>
      </x:c>
      <x:c r="L254" s="24" t="str">
        <x:v>Included</x:v>
      </x:c>
    </x:row>
    <x:row r="255" ht="42" customHeight="1">
      <x:c r="A255" s="24" t="str">
        <x:v>SRC-254</x:v>
      </x:c>
      <x:c r="B255" s="24" t="str">
        <x:v>Excalibur</x:v>
      </x:c>
      <x:c r="C255" s="24" t="str">
        <x:v>John Boorman</x:v>
      </x:c>
      <x:c r="D255" s="24" t="str">
        <x:v>Film</x:v>
      </x:c>
      <x:c r="E255" s="24" t="str">
        <x:v>Britain / United States</x:v>
      </x:c>
      <x:c r="F255" s="24" t="str">
        <x:v>1981</x:v>
      </x:c>
      <x:c r="G255" s="24" t="str">
        <x:v>Arthurian film continuity</x:v>
      </x:c>
      <x:c r="H255" s="24" t="str">
        <x:v>Tier 2</x:v>
      </x:c>
      <x:c r="I255" s="24" t="str">
        <x:v>Arthurian roles, Merlin, sacred kingship, grail, knightly order, land and king.</x:v>
      </x:c>
      <x:c r="J255" s="24" t="str">
        <x:v>Treat adaptations/editions separately when taxonomically material.</x:v>
      </x:c>
      <x:c r="K255" s="84" t="str">
        <x:v>https://en.wikipedia.org/wiki/Excalibur</x:v>
      </x:c>
      <x:c r="L255" s="24" t="str">
        <x:v>Included</x:v>
      </x:c>
    </x:row>
    <x:row r="256" ht="42" customHeight="1">
      <x:c r="A256" s="24" t="str">
        <x:v>SRC-255</x:v>
      </x:c>
      <x:c r="B256" s="24" t="str">
        <x:v>Dragonheart</x:v>
      </x:c>
      <x:c r="C256" s="24" t="str">
        <x:v>Rob Cohen and franchise creators</x:v>
      </x:c>
      <x:c r="D256" s="24" t="str">
        <x:v>Film Franchise</x:v>
      </x:c>
      <x:c r="E256" s="24" t="str">
        <x:v>United States</x:v>
      </x:c>
      <x:c r="F256" s="24" t="str">
        <x:v>1996</x:v>
      </x:c>
      <x:c r="G256" s="24" t="str">
        <x:v>Film series</x:v>
      </x:c>
      <x:c r="H256" s="24" t="str">
        <x:v>Tier 2</x:v>
      </x:c>
      <x:c r="I256" s="24" t="str">
        <x:v>Dragon-human soul bond, knight redemption, last dragon, tyrant, draconic ethics.</x:v>
      </x:c>
      <x:c r="J256" s="24" t="str">
        <x:v>Treat adaptations/editions separately when taxonomically material.</x:v>
      </x:c>
      <x:c r="K256" s="84" t="str">
        <x:v>https://en.wikipedia.org/wiki/Dragonheart</x:v>
      </x:c>
      <x:c r="L256" s="24" t="str">
        <x:v>Included</x:v>
      </x:c>
    </x:row>
    <x:row r="257" ht="42" customHeight="1">
      <x:c r="A257" s="24" t="str">
        <x:v>SRC-256</x:v>
      </x:c>
      <x:c r="B257" s="24" t="str">
        <x:v>Pan's Labyrinth</x:v>
      </x:c>
      <x:c r="C257" s="24" t="str">
        <x:v>Guillermo del Toro</x:v>
      </x:c>
      <x:c r="D257" s="24" t="str">
        <x:v>Film</x:v>
      </x:c>
      <x:c r="E257" s="24" t="str">
        <x:v>Spain / Mexico</x:v>
      </x:c>
      <x:c r="F257" s="24" t="str">
        <x:v>2006</x:v>
      </x:c>
      <x:c r="G257" s="24" t="str">
        <x:v>Film continuity</x:v>
      </x:c>
      <x:c r="H257" s="24" t="str">
        <x:v>Tier 1</x:v>
      </x:c>
      <x:c r="I257" s="24" t="str">
        <x:v>Faun guide, underworld princess, fairy-tale trials, political violence, ambiguous fantasy.</x:v>
      </x:c>
      <x:c r="J257" s="24" t="str">
        <x:v>Treat adaptations/editions separately when taxonomically material.</x:v>
      </x:c>
      <x:c r="K257" s="84" t="str">
        <x:v>https://en.wikipedia.org/wiki/Pan's_Labyrinth</x:v>
      </x:c>
      <x:c r="L257" s="24" t="str">
        <x:v>Included</x:v>
      </x:c>
    </x:row>
    <x:row r="258" ht="42" customHeight="1">
      <x:c r="A258" s="24" t="str">
        <x:v>SRC-257</x:v>
      </x:c>
      <x:c r="B258" s="24" t="str">
        <x:v>Avatar: The Last Airbender</x:v>
      </x:c>
      <x:c r="C258" s="24" t="str">
        <x:v>Michael Dante DiMartino and Bryan Konietzko</x:v>
      </x:c>
      <x:c r="D258" s="24" t="str">
        <x:v>Animated Television</x:v>
      </x:c>
      <x:c r="E258" s="24" t="str">
        <x:v>United States</x:v>
      </x:c>
      <x:c r="F258" s="24" t="str">
        <x:v>2005</x:v>
      </x:c>
      <x:c r="G258" s="24" t="str">
        <x:v>Avatar universe and continuities</x:v>
      </x:c>
      <x:c r="H258" s="24" t="str">
        <x:v>Tier 1</x:v>
      </x:c>
      <x:c r="I258" s="24" t="str">
        <x:v>Elemental martial traditions, reincarnating Avatar, nations, spirit world, hybrid animals.</x:v>
      </x:c>
      <x:c r="J258" s="24" t="str">
        <x:v>Treat adaptations/editions separately when taxonomically material.</x:v>
      </x:c>
      <x:c r="K258" s="84" t="str">
        <x:v>https://en.wikipedia.org/wiki/Avatar:_The_Last_Airbender</x:v>
      </x:c>
      <x:c r="L258" s="24" t="str">
        <x:v>Included</x:v>
      </x:c>
    </x:row>
    <x:row r="259" ht="42" customHeight="1">
      <x:c r="A259" s="24" t="str">
        <x:v>SRC-258</x:v>
      </x:c>
      <x:c r="B259" s="24" t="str">
        <x:v>The Dragon Prince</x:v>
      </x:c>
      <x:c r="C259" s="24" t="str">
        <x:v>Aaron Ehasz and Justin Richmond</x:v>
      </x:c>
      <x:c r="D259" s="24" t="str">
        <x:v>Animated Television</x:v>
      </x:c>
      <x:c r="E259" s="24" t="str">
        <x:v>United States / Canada</x:v>
      </x:c>
      <x:c r="F259" s="24" t="str">
        <x:v>2018</x:v>
      </x:c>
      <x:c r="G259" s="24" t="str">
        <x:v>Series continuity</x:v>
      </x:c>
      <x:c r="H259" s="24" t="str">
        <x:v>Tier 1</x:v>
      </x:c>
      <x:c r="I259" s="24" t="str">
        <x:v>Elves by primal source, human dark magic, dragons, princes, mage roles, interspecies politics.</x:v>
      </x:c>
      <x:c r="J259" s="24" t="str">
        <x:v>Treat adaptations/editions separately when taxonomically material.</x:v>
      </x:c>
      <x:c r="K259" s="84" t="str">
        <x:v>https://en.wikipedia.org/wiki/The_Dragon_Prince</x:v>
      </x:c>
      <x:c r="L259" s="24" t="str">
        <x:v>Included</x:v>
      </x:c>
    </x:row>
    <x:row r="260" ht="42" customHeight="1">
      <x:c r="A260" s="24" t="str">
        <x:v>SRC-259</x:v>
      </x:c>
      <x:c r="B260" s="24" t="str">
        <x:v>Adventure Time</x:v>
      </x:c>
      <x:c r="C260" s="24" t="str">
        <x:v>Pendleton Ward</x:v>
      </x:c>
      <x:c r="D260" s="24" t="str">
        <x:v>Animated Television</x:v>
      </x:c>
      <x:c r="E260" s="24" t="str">
        <x:v>United States</x:v>
      </x:c>
      <x:c r="F260" s="24" t="str">
        <x:v>2010</x:v>
      </x:c>
      <x:c r="G260" s="24" t="str">
        <x:v>Land of Ooo continuity and spinoffs</x:v>
      </x:c>
      <x:c r="H260" s="24" t="str">
        <x:v>Tier 2</x:v>
      </x:c>
      <x:c r="I260" s="24" t="str">
        <x:v>Post-apocalyptic fantasy, candy people, vampires, wizards, elemental beings, genre recombination.</x:v>
      </x:c>
      <x:c r="J260" s="24" t="str">
        <x:v>Treat adaptations/editions separately when taxonomically material.</x:v>
      </x:c>
      <x:c r="K260" s="84" t="str">
        <x:v>https://en.wikipedia.org/wiki/Adventure_Time</x:v>
      </x:c>
      <x:c r="L260" s="24" t="str">
        <x:v>Included</x:v>
      </x:c>
    </x:row>
    <x:row r="261" ht="42" customHeight="1">
      <x:c r="A261" s="24" t="str">
        <x:v>SRC-260</x:v>
      </x:c>
      <x:c r="B261" s="24" t="str">
        <x:v>The Owl House</x:v>
      </x:c>
      <x:c r="C261" s="24" t="str">
        <x:v>Dana Terrace</x:v>
      </x:c>
      <x:c r="D261" s="24" t="str">
        <x:v>Animated Television</x:v>
      </x:c>
      <x:c r="E261" s="24" t="str">
        <x:v>United States</x:v>
      </x:c>
      <x:c r="F261" s="24" t="str">
        <x:v>2020</x:v>
      </x:c>
      <x:c r="G261" s="24" t="str">
        <x:v>Series continuity</x:v>
      </x:c>
      <x:c r="H261" s="24" t="str">
        <x:v>Tier 2</x:v>
      </x:c>
      <x:c r="I261" s="24" t="str">
        <x:v>Witch society, coven system, glyph magic, demon realm, school and authoritarian control.</x:v>
      </x:c>
      <x:c r="J261" s="24" t="str">
        <x:v>Treat adaptations/editions separately when taxonomically material.</x:v>
      </x:c>
      <x:c r="K261" s="84" t="str">
        <x:v>https://en.wikipedia.org/wiki/The_Owl_House</x:v>
      </x:c>
      <x:c r="L261" s="24" t="str">
        <x:v>Included</x:v>
      </x:c>
    </x:row>
    <x:row r="262" ht="42" customHeight="1">
      <x:c r="A262" s="24" t="str">
        <x:v>SRC-261</x:v>
      </x:c>
      <x:c r="B262" s="24" t="str">
        <x:v>She-Ra and the Princesses of Power</x:v>
      </x:c>
      <x:c r="C262" s="24" t="str">
        <x:v>Noelle Stevenson; DreamWorks</x:v>
      </x:c>
      <x:c r="D262" s="24" t="str">
        <x:v>Animated Television</x:v>
      </x:c>
      <x:c r="E262" s="24" t="str">
        <x:v>United States</x:v>
      </x:c>
      <x:c r="F262" s="24" t="str">
        <x:v>2018</x:v>
      </x:c>
      <x:c r="G262" s="24" t="str">
        <x:v>Reboot continuity</x:v>
      </x:c>
      <x:c r="H262" s="24" t="str">
        <x:v>Tier 2</x:v>
      </x:c>
      <x:c r="I262" s="24" t="str">
        <x:v>Transformation hero, princess power domains, rebellion, magical technology, chosen identity.</x:v>
      </x:c>
      <x:c r="J262" s="24" t="str">
        <x:v>Treat adaptations/editions separately when taxonomically material.</x:v>
      </x:c>
      <x:c r="K262" s="84" t="str">
        <x:v>https://en.wikipedia.org/wiki/She-Ra_and_the_Princesses_of_Power</x:v>
      </x:c>
      <x:c r="L262" s="24" t="str">
        <x:v>Included</x:v>
      </x:c>
    </x:row>
    <x:row r="263" ht="42" customHeight="1">
      <x:c r="A263" s="24" t="str">
        <x:v>SRC-262</x:v>
      </x:c>
      <x:c r="B263" s="24" t="str">
        <x:v>Castlevania Animated Universe</x:v>
      </x:c>
      <x:c r="C263" s="24" t="str">
        <x:v>Powerhouse Animation / Netflix; based on Konami</x:v>
      </x:c>
      <x:c r="D263" s="24" t="str">
        <x:v>Animated Television</x:v>
      </x:c>
      <x:c r="E263" s="24" t="str">
        <x:v>United States / Japan source</x:v>
      </x:c>
      <x:c r="F263" s="24" t="str">
        <x:v>2017</x:v>
      </x:c>
      <x:c r="G263" s="24" t="str">
        <x:v>Animated continuity</x:v>
      </x:c>
      <x:c r="H263" s="24" t="str">
        <x:v>Tier 2</x:v>
      </x:c>
      <x:c r="I263" s="24" t="str">
        <x:v>Vampire courts, forgemasters, monster hunters, magic speakers, church and rebellion.</x:v>
      </x:c>
      <x:c r="J263" s="24" t="str">
        <x:v>Treat adaptations/editions separately when taxonomically material.</x:v>
      </x:c>
      <x:c r="K263" s="84" t="str">
        <x:v>https://en.wikipedia.org/wiki/Castlevania_Animated_Universe</x:v>
      </x:c>
      <x:c r="L263" s="24" t="str">
        <x:v>Included</x:v>
      </x:c>
    </x:row>
    <x:row r="264" ht="42" customHeight="1">
      <x:c r="A264" s="24" t="str">
        <x:v>SRC-263</x:v>
      </x:c>
      <x:c r="B264" s="24" t="str">
        <x:v>Arcane</x:v>
      </x:c>
      <x:c r="C264" s="24" t="str">
        <x:v>Riot Games / Fortiche</x:v>
      </x:c>
      <x:c r="D264" s="24" t="str">
        <x:v>Animated Television</x:v>
      </x:c>
      <x:c r="E264" s="24" t="str">
        <x:v>United States / France</x:v>
      </x:c>
      <x:c r="F264" s="24" t="str">
        <x:v>2021</x:v>
      </x:c>
      <x:c r="G264" s="24" t="str">
        <x:v>League of Legends screen continuity</x:v>
      </x:c>
      <x:c r="H264" s="24" t="str">
        <x:v>Tier 1</x:v>
      </x:c>
      <x:c r="I264" s="24" t="str">
        <x:v>Magitech industrial cities, class conflict, inventors, enforcers, undercity factions, transformation.</x:v>
      </x:c>
      <x:c r="J264" s="24" t="str">
        <x:v>Treat adaptations/editions separately when taxonomically material.</x:v>
      </x:c>
      <x:c r="K264" s="84" t="str">
        <x:v>https://en.wikipedia.org/wiki/Arcane</x:v>
      </x:c>
      <x:c r="L264" s="24" t="str">
        <x:v>Included</x:v>
      </x:c>
    </x:row>
    <x:row r="265" ht="42" customHeight="1">
      <x:c r="A265" s="24" t="str">
        <x:v>SRC-264</x:v>
      </x:c>
      <x:c r="B265" s="24" t="str">
        <x:v>Game of Thrones</x:v>
      </x:c>
      <x:c r="C265" s="24" t="str">
        <x:v>HBO; based on George R. R. Martin</x:v>
      </x:c>
      <x:c r="D265" s="24" t="str">
        <x:v>Television</x:v>
      </x:c>
      <x:c r="E265" s="24" t="str">
        <x:v>United States</x:v>
      </x:c>
      <x:c r="F265" s="24" t="str">
        <x:v>2011</x:v>
      </x:c>
      <x:c r="G265" s="24" t="str">
        <x:v>Television adaptation continuity</x:v>
      </x:c>
      <x:c r="H265" s="24" t="str">
        <x:v>Tier 1</x:v>
      </x:c>
      <x:c r="I265" s="24" t="str">
        <x:v>Adapted Westerosi offices, cultures, magic, dragons, undead; significant divergences from books.</x:v>
      </x:c>
      <x:c r="J265" s="24" t="str">
        <x:v>Treat adaptations/editions separately when taxonomically material.</x:v>
      </x:c>
      <x:c r="K265" s="84" t="str">
        <x:v>https://en.wikipedia.org/wiki/Game_of_Thrones</x:v>
      </x:c>
      <x:c r="L265" s="24" t="str">
        <x:v>Included</x:v>
      </x:c>
    </x:row>
    <x:row r="266" ht="42" customHeight="1">
      <x:c r="A266" s="24" t="str">
        <x:v>SRC-265</x:v>
      </x:c>
      <x:c r="B266" s="24" t="str">
        <x:v>House of the Dragon</x:v>
      </x:c>
      <x:c r="C266" s="24" t="str">
        <x:v>HBO; based on George R. R. Martin</x:v>
      </x:c>
      <x:c r="D266" s="24" t="str">
        <x:v>Television</x:v>
      </x:c>
      <x:c r="E266" s="24" t="str">
        <x:v>United States</x:v>
      </x:c>
      <x:c r="F266" s="24" t="str">
        <x:v>2022</x:v>
      </x:c>
      <x:c r="G266" s="24" t="str">
        <x:v>Television adaptation continuity</x:v>
      </x:c>
      <x:c r="H266" s="24" t="str">
        <x:v>Tier 2</x:v>
      </x:c>
      <x:c r="I266" s="24" t="str">
        <x:v>Dragon-rider dynasty, succession war, court offices, family factions, prophetic legitimacy.</x:v>
      </x:c>
      <x:c r="J266" s="24" t="str">
        <x:v>Treat adaptations/editions separately when taxonomically material.</x:v>
      </x:c>
      <x:c r="K266" s="84" t="str">
        <x:v>https://en.wikipedia.org/wiki/House_of_the_Dragon</x:v>
      </x:c>
      <x:c r="L266" s="24" t="str">
        <x:v>Included</x:v>
      </x:c>
    </x:row>
    <x:row r="267" ht="42" customHeight="1">
      <x:c r="A267" s="24" t="str">
        <x:v>SRC-266</x:v>
      </x:c>
      <x:c r="B267" s="24" t="str">
        <x:v>The Lord of the Rings Film Trilogy</x:v>
      </x:c>
      <x:c r="C267" s="24" t="str">
        <x:v>Peter Jackson; New Line Cinema</x:v>
      </x:c>
      <x:c r="D267" s="24" t="str">
        <x:v>Film</x:v>
      </x:c>
      <x:c r="E267" s="24" t="str">
        <x:v>New Zealand / United States</x:v>
      </x:c>
      <x:c r="F267" s="24" t="str">
        <x:v>2001–2003</x:v>
      </x:c>
      <x:c r="G267" s="24" t="str">
        <x:v>Film adaptation continuity</x:v>
      </x:c>
      <x:c r="H267" s="24" t="str">
        <x:v>Tier 1</x:v>
      </x:c>
      <x:c r="I267" s="24" t="str">
        <x:v>Influential visual codification of Tolkien peoples, classes, monsters, and fellowship roles.</x:v>
      </x:c>
      <x:c r="J267" s="24" t="str">
        <x:v>Treat adaptations/editions separately when taxonomically material.</x:v>
      </x:c>
      <x:c r="K267" s="84" t="str">
        <x:v>https://en.wikipedia.org/wiki/The_Lord_of_the_Rings_Film_Trilogy</x:v>
      </x:c>
      <x:c r="L267" s="24" t="str">
        <x:v>Included</x:v>
      </x:c>
    </x:row>
    <x:row r="268" ht="42" customHeight="1">
      <x:c r="A268" s="24" t="str">
        <x:v>SRC-267</x:v>
      </x:c>
      <x:c r="B268" s="24" t="str">
        <x:v>The Rings of Power</x:v>
      </x:c>
      <x:c r="C268" s="24" t="str">
        <x:v>Amazon MGM Studios</x:v>
      </x:c>
      <x:c r="D268" s="24" t="str">
        <x:v>Television</x:v>
      </x:c>
      <x:c r="E268" s="24" t="str">
        <x:v>United States / New Zealand</x:v>
      </x:c>
      <x:c r="F268" s="24" t="str">
        <x:v>2022</x:v>
      </x:c>
      <x:c r="G268" s="24" t="str">
        <x:v>Licensed television continuity</x:v>
      </x:c>
      <x:c r="H268" s="24" t="str">
        <x:v>Tier 2</x:v>
      </x:c>
      <x:c r="I268" s="24" t="str">
        <x:v>Second Age adaptation, elves, dwarves, Númenor, proto-Harfoots, divine beings and forging.</x:v>
      </x:c>
      <x:c r="J268" s="24" t="str">
        <x:v>Treat adaptations/editions separately when taxonomically material.</x:v>
      </x:c>
      <x:c r="K268" s="84" t="str">
        <x:v>https://en.wikipedia.org/wiki/The_Rings_of_Power</x:v>
      </x:c>
      <x:c r="L268" s="24" t="str">
        <x:v>Included</x:v>
      </x:c>
    </x:row>
    <x:row r="269" ht="42" customHeight="1">
      <x:c r="A269" s="24" t="str">
        <x:v>SRC-268</x:v>
      </x:c>
      <x:c r="B269" s="24" t="str">
        <x:v>The Witcher Television Series</x:v>
      </x:c>
      <x:c r="C269" s="24" t="str">
        <x:v>Netflix; based on Andrzej Sapkowski</x:v>
      </x:c>
      <x:c r="D269" s="24" t="str">
        <x:v>Television</x:v>
      </x:c>
      <x:c r="E269" s="24" t="str">
        <x:v>United States / Poland source</x:v>
      </x:c>
      <x:c r="F269" s="24" t="str">
        <x:v>2019</x:v>
      </x:c>
      <x:c r="G269" s="24" t="str">
        <x:v>Television adaptation continuity</x:v>
      </x:c>
      <x:c r="H269" s="24" t="str">
        <x:v>Tier 2</x:v>
      </x:c>
      <x:c r="I269" s="24" t="str">
        <x:v>Adapted witchers, sorcerers, elves, monsters, timelines and schools; track divergences.</x:v>
      </x:c>
      <x:c r="J269" s="24" t="str">
        <x:v>Treat adaptations/editions separately when taxonomically material.</x:v>
      </x:c>
      <x:c r="K269" s="84" t="str">
        <x:v>https://en.wikipedia.org/wiki/The_Witcher_Television_Series</x:v>
      </x:c>
      <x:c r="L269" s="24" t="str">
        <x:v>Included</x:v>
      </x:c>
    </x:row>
    <x:row r="270" ht="42" customHeight="1">
      <x:c r="A270" s="24" t="str">
        <x:v>SRC-269</x:v>
      </x:c>
      <x:c r="B270" s="24" t="str">
        <x:v>The Wheel of Time Television Series</x:v>
      </x:c>
      <x:c r="C270" s="24" t="str">
        <x:v>Amazon MGM Studios; based on Robert Jordan</x:v>
      </x:c>
      <x:c r="D270" s="24" t="str">
        <x:v>Television</x:v>
      </x:c>
      <x:c r="E270" s="24" t="str">
        <x:v>United States</x:v>
      </x:c>
      <x:c r="F270" s="24" t="str">
        <x:v>2021</x:v>
      </x:c>
      <x:c r="G270" s="24" t="str">
        <x:v>Television adaptation continuity</x:v>
      </x:c>
      <x:c r="H270" s="24" t="str">
        <x:v>Tier 2</x:v>
      </x:c>
      <x:c r="I270" s="24" t="str">
        <x:v>Adapted channelers, Ajahs, Warders, ta'veren, cultures and Shadow forces; track divergences.</x:v>
      </x:c>
      <x:c r="J270" s="24" t="str">
        <x:v>Treat adaptations/editions separately when taxonomically material.</x:v>
      </x:c>
      <x:c r="K270" s="84" t="str">
        <x:v>https://en.wikipedia.org/wiki/The_Wheel_of_Time_Television_Series</x:v>
      </x:c>
      <x:c r="L270" s="24" t="str">
        <x:v>Included</x:v>
      </x:c>
    </x:row>
    <x:row r="271" ht="42" customHeight="1">
      <x:c r="A271" s="24" t="str">
        <x:v>SRC-270</x:v>
      </x:c>
      <x:c r="B271" s="24" t="str">
        <x:v>Carnival Row</x:v>
      </x:c>
      <x:c r="C271" s="24" t="str">
        <x:v>René Echevarria and Travis Beacham</x:v>
      </x:c>
      <x:c r="D271" s="24" t="str">
        <x:v>Television</x:v>
      </x:c>
      <x:c r="E271" s="24" t="str">
        <x:v>United States</x:v>
      </x:c>
      <x:c r="F271" s="24" t="str">
        <x:v>2019</x:v>
      </x:c>
      <x:c r="G271" s="24" t="str">
        <x:v>Series continuity</x:v>
      </x:c>
      <x:c r="H271" s="24" t="str">
        <x:v>Tier 2</x:v>
      </x:c>
      <x:c r="I271" s="24" t="str">
        <x:v>Fae refugees, colonial war, urban prejudice, detective role, mixed ancestry, political factions.</x:v>
      </x:c>
      <x:c r="J271" s="24" t="str">
        <x:v>Treat adaptations/editions separately when taxonomically material.</x:v>
      </x:c>
      <x:c r="K271" s="84" t="str">
        <x:v>https://en.wikipedia.org/wiki/Carnival_Row</x:v>
      </x:c>
      <x:c r="L271" s="24" t="str">
        <x:v>Included</x:v>
      </x:c>
    </x:row>
    <x:row r="272" ht="42" customHeight="1">
      <x:c r="A272" s="24" t="str">
        <x:v>SRC-271</x:v>
      </x:c>
      <x:c r="B272" s="24" t="str">
        <x:v>The Legend of Vox Machina</x:v>
      </x:c>
      <x:c r="C272" s="24" t="str">
        <x:v>Critical Role / Titmouse</x:v>
      </x:c>
      <x:c r="D272" s="24" t="str">
        <x:v>Animated Television</x:v>
      </x:c>
      <x:c r="E272" s="24" t="str">
        <x:v>United States</x:v>
      </x:c>
      <x:c r="F272" s="24" t="str">
        <x:v>2022</x:v>
      </x:c>
      <x:c r="G272" s="24" t="str">
        <x:v>Animated adaptation of tabletop campaign</x:v>
      </x:c>
      <x:c r="H272" s="24" t="str">
        <x:v>Tier 2</x:v>
      </x:c>
      <x:c r="I272" s="24" t="str">
        <x:v>D&amp;D-derived party roles, bard, gunslinger, cleric, gnome, half-elf, dragon arc.</x:v>
      </x:c>
      <x:c r="J272" s="24" t="str">
        <x:v>Treat adaptations/editions separately when taxonomically material.</x:v>
      </x:c>
      <x:c r="K272" s="84" t="str">
        <x:v>https://en.wikipedia.org/wiki/The_Legend_of_Vox_Machina</x:v>
      </x:c>
      <x:c r="L272" s="24" t="str">
        <x:v>Included</x:v>
      </x:c>
    </x:row>
    <x:row r="273" ht="42" customHeight="1">
      <x:c r="A273" s="24" t="str">
        <x:v>SRC-272</x:v>
      </x:c>
      <x:c r="B273" s="24" t="str">
        <x:v>Dungeons &amp; Dragons: Honor Among Thieves</x:v>
      </x:c>
      <x:c r="C273" s="24" t="str">
        <x:v>Jonathan Goldstein and John Francis Daley</x:v>
      </x:c>
      <x:c r="D273" s="24" t="str">
        <x:v>Film</x:v>
      </x:c>
      <x:c r="E273" s="24" t="str">
        <x:v>United States</x:v>
      </x:c>
      <x:c r="F273" s="24" t="str">
        <x:v>2023</x:v>
      </x:c>
      <x:c r="G273" s="24" t="str">
        <x:v>Forgotten Realms film continuity</x:v>
      </x:c>
      <x:c r="H273" s="24" t="str">
        <x:v>Tier 2</x:v>
      </x:c>
      <x:c r="I273" s="24" t="str">
        <x:v>Bard/rogue lead, paladin, sorcerer, druid, barbarian, monsters and game-spell adaptation.</x:v>
      </x:c>
      <x:c r="J273" s="24" t="str">
        <x:v>Treat adaptations/editions separately when taxonomically material.</x:v>
      </x:c>
      <x:c r="K273" s="84" t="str">
        <x:v>https://en.wikipedia.org/wiki/Dungeons_%26_Dragons:_Honor_Among_Thieves</x:v>
      </x:c>
      <x:c r="L273" s="24" t="str">
        <x:v>Included</x:v>
      </x:c>
    </x:row>
    <x:row r="274" ht="42" customHeight="1">
      <x:c r="A274" s="24" t="str">
        <x:v>SRC-273</x:v>
      </x:c>
      <x:c r="B274" s="24" t="str">
        <x:v>Xena: Warrior Princess</x:v>
      </x:c>
      <x:c r="C274" s="24" t="str">
        <x:v>Robert Tapert and John Schulian</x:v>
      </x:c>
      <x:c r="D274" s="24" t="str">
        <x:v>Television</x:v>
      </x:c>
      <x:c r="E274" s="24" t="str">
        <x:v>United States / New Zealand</x:v>
      </x:c>
      <x:c r="F274" s="24" t="str">
        <x:v>1995</x:v>
      </x:c>
      <x:c r="G274" s="24" t="str">
        <x:v>Series continuity</x:v>
      </x:c>
      <x:c r="H274" s="24" t="str">
        <x:v>Tier 2</x:v>
      </x:c>
      <x:c r="I274" s="24" t="str">
        <x:v>Warrior heroine, companion bard, gods, Amazons, reincarnation, mythic syncretism.</x:v>
      </x:c>
      <x:c r="J274" s="24" t="str">
        <x:v>Treat adaptations/editions separately when taxonomically material.</x:v>
      </x:c>
      <x:c r="K274" s="84" t="str">
        <x:v>https://en.wikipedia.org/wiki/Xena:_Warrior_Princess</x:v>
      </x:c>
      <x:c r="L274" s="24" t="str">
        <x:v>Included</x:v>
      </x:c>
    </x:row>
    <x:row r="275" ht="42" customHeight="1">
      <x:c r="A275" s="24" t="str">
        <x:v>SRC-274</x:v>
      </x:c>
      <x:c r="B275" s="24" t="str">
        <x:v>Hercules: The Legendary Journeys</x:v>
      </x:c>
      <x:c r="C275" s="24" t="str">
        <x:v>Christian Williams and others</x:v>
      </x:c>
      <x:c r="D275" s="24" t="str">
        <x:v>Television</x:v>
      </x:c>
      <x:c r="E275" s="24" t="str">
        <x:v>United States / New Zealand</x:v>
      </x:c>
      <x:c r="F275" s="24" t="str">
        <x:v>1995</x:v>
      </x:c>
      <x:c r="G275" s="24" t="str">
        <x:v>Series continuity</x:v>
      </x:c>
      <x:c r="H275" s="24" t="str">
        <x:v>Tier 3</x:v>
      </x:c>
      <x:c r="I275" s="24" t="str">
        <x:v>Demigod hero, companion, gods, monsters, episodic myth adaptation.</x:v>
      </x:c>
      <x:c r="J275" s="24" t="str">
        <x:v>Treat adaptations/editions separately when taxonomically material.</x:v>
      </x:c>
      <x:c r="K275" s="84" t="str">
        <x:v>https://en.wikipedia.org/wiki/Hercules:_The_Legendary_Journeys</x:v>
      </x:c>
      <x:c r="L275" s="24" t="str">
        <x:v>Included</x:v>
      </x:c>
    </x:row>
    <x:row r="276" ht="42" customHeight="1">
      <x:c r="A276" s="24" t="str">
        <x:v>SRC-275</x:v>
      </x:c>
      <x:c r="B276" s="24" t="str">
        <x:v>The Shannara Chronicles</x:v>
      </x:c>
      <x:c r="C276" s="24" t="str">
        <x:v>MTV; based on Terry Brooks</x:v>
      </x:c>
      <x:c r="D276" s="24" t="str">
        <x:v>Television</x:v>
      </x:c>
      <x:c r="E276" s="24" t="str">
        <x:v>United States / New Zealand</x:v>
      </x:c>
      <x:c r="F276" s="24" t="str">
        <x:v>2016</x:v>
      </x:c>
      <x:c r="G276" s="24" t="str">
        <x:v>Television adaptation continuity</x:v>
      </x:c>
      <x:c r="H276" s="24" t="str">
        <x:v>Tier 3</x:v>
      </x:c>
      <x:c r="I276" s="24" t="str">
        <x:v>Post-apocalyptic elves, druids, chosen quest, demons, hybrid genre visual language.</x:v>
      </x:c>
      <x:c r="J276" s="24" t="str">
        <x:v>Treat adaptations/editions separately when taxonomically material.</x:v>
      </x:c>
      <x:c r="K276" s="84" t="str">
        <x:v>https://en.wikipedia.org/wiki/The_Shannara_Chronicles</x:v>
      </x:c>
      <x:c r="L276" s="24" t="str">
        <x:v>Included</x:v>
      </x:c>
    </x:row>
    <x:row r="277" ht="42" customHeight="1">
      <x:c r="A277" s="24" t="str">
        <x:v>SRC-276</x:v>
      </x:c>
      <x:c r="B277" s="24" t="str">
        <x:v>The Dark Crystal: Age of Resistance</x:v>
      </x:c>
      <x:c r="C277" s="24" t="str">
        <x:v>Netflix / Jim Henson Company</x:v>
      </x:c>
      <x:c r="D277" s="24" t="str">
        <x:v>Television</x:v>
      </x:c>
      <x:c r="E277" s="24" t="str">
        <x:v>United States / Britain</x:v>
      </x:c>
      <x:c r="F277" s="24" t="str">
        <x:v>2019</x:v>
      </x:c>
      <x:c r="G277" s="24" t="str">
        <x:v>Prequel continuity</x:v>
      </x:c>
      <x:c r="H277" s="24" t="str">
        <x:v>Tier 1</x:v>
      </x:c>
      <x:c r="I277" s="24" t="str">
        <x:v>Gelfling clans and vocations, Skeksis institutions, resistance, mystic ecology, puppetry.</x:v>
      </x:c>
      <x:c r="J277" s="24" t="str">
        <x:v>Treat adaptations/editions separately when taxonomically material.</x:v>
      </x:c>
      <x:c r="K277" s="84" t="str">
        <x:v>https://en.wikipedia.org/wiki/The_Dark_Crystal:_Age_of_Resistance</x:v>
      </x:c>
      <x:c r="L277" s="24" t="str">
        <x:v>Included</x:v>
      </x:c>
    </x:row>
  </x:sheetData>
  <x:conditionalFormatting sqref="H2:H277">
    <x:cfRule type="expression" dxfId="8" priority="1">
      <x:formula>$H2="Tier 1"</x:formula>
    </x:cfRule>
    <x:cfRule type="expression" dxfId="9" priority="2">
      <x:formula>$H2="Tier 2"</x:formula>
    </x:cfRule>
    <x:cfRule type="expression" dxfId="10" priority="3">
      <x:formula>$H2="Tier 3"</x:formula>
    </x:cfRule>
  </x:conditionalFormatting>
  <x:dataValidations count="2">
    <x:dataValidation type="list" sqref="H2:H277">
      <x:formula1>"Tier 1,Tier 2,Tier 3"</x:formula1>
    </x:dataValidation>
    <x:dataValidation type="list" sqref="L2:L277">
      <x:formula1>"Included,Research queue,Deferred"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182e5dc2c746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30" hidden="0" customWidth="1"/>
    <x:col min="5" max="5" width="28" hidden="0" customWidth="1"/>
    <x:col min="6" max="6" width="24" hidden="0" customWidth="1"/>
    <x:col min="7" max="7" width="18" hidden="0" customWidth="1"/>
    <x:col min="8" max="8" width="28" hidden="0" customWidth="1"/>
    <x:col min="9" max="9" width="28" hidden="0" customWidth="1"/>
    <x:col min="10" max="10" width="38" hidden="0" customWidth="1"/>
    <x:col min="11" max="11" width="46" hidden="0" customWidth="1"/>
    <x:col min="12" max="12" width="46" hidden="0" customWidth="1"/>
    <x:col min="13" max="13" width="46" hidden="0" customWidth="1"/>
    <x:col min="14" max="14" width="46" hidden="0" customWidth="1"/>
    <x:col min="15" max="15" width="22" hidden="0" customWidth="1"/>
    <x:col min="16" max="16" width="22" hidden="0" customWidth="1"/>
    <x:col min="17" max="17" width="42" hidden="0" customWidth="1"/>
    <x:col min="18" max="18" width="46" hidden="0" customWidth="1"/>
    <x:col min="19" max="19" width="20" hidden="0" customWidth="1"/>
  </x:cols>
  <x:sheetData>
    <x:row r="1" ht="34" customHeight="1">
      <x:c r="A1" s="31" t="str">
        <x:v>Entry_ID</x:v>
      </x:c>
      <x:c r="B1" s="31" t="str">
        <x:v>Canonical_Name</x:v>
      </x:c>
      <x:c r="C1" s="31" t="str">
        <x:v>Source_ID</x:v>
      </x:c>
      <x:c r="D1" s="31" t="str">
        <x:v>Source_Title</x:v>
      </x:c>
      <x:c r="E1" s="31" t="str">
        <x:v>Continuity</x:v>
      </x:c>
      <x:c r="F1" s="31" t="str">
        <x:v>Native_Record_Type</x:v>
      </x:c>
      <x:c r="G1" s="31" t="str">
        <x:v>Primary_Archetype_ID</x:v>
      </x:c>
      <x:c r="H1" s="31" t="str">
        <x:v>Primary_Archetype_Name</x:v>
      </x:c>
      <x:c r="I1" s="31" t="str">
        <x:v>Additional_Archetype_IDs</x:v>
      </x:c>
      <x:c r="J1" s="31" t="str">
        <x:v>Additional_Archetype_Names</x:v>
      </x:c>
      <x:c r="K1" s="31" t="str">
        <x:v>Ontology_or_Role_Summary</x:v>
      </x:c>
      <x:c r="L1" s="31" t="str">
        <x:v>Power_Basis</x:v>
      </x:c>
      <x:c r="M1" s="31" t="str">
        <x:v>Key_Distinction</x:v>
      </x:c>
      <x:c r="N1" s="31" t="str">
        <x:v>Comparative_Notes</x:v>
      </x:c>
      <x:c r="O1" s="31" t="str">
        <x:v>Canon_Status</x:v>
      </x:c>
      <x:c r="P1" s="31" t="str">
        <x:v>Evidence_Level</x:v>
      </x:c>
      <x:c r="Q1" s="31" t="str">
        <x:v>Source_Reference</x:v>
      </x:c>
      <x:c r="R1" s="31" t="str">
        <x:v>Reference_URL</x:v>
      </x:c>
      <x:c r="S1" s="31" t="str">
        <x:v>Review_Status</x:v>
      </x:c>
    </x:row>
    <x:row r="2" ht="52" customHeight="1">
      <x:c r="A2" s="24" t="str">
        <x:v>ENT-0001</x:v>
      </x:c>
      <x:c r="B2" s="24" t="str">
        <x:v>Quendi (Elves)</x:v>
      </x:c>
      <x:c r="C2" s="24" t="str">
        <x:v>SRC-026</x:v>
      </x:c>
      <x:c r="D2" s="24" t="str">
        <x:v>Tolkien's Legendarium</x:v>
      </x:c>
      <x:c r="E2" s="24" t="str">
        <x:v>Legendarium (literary corpus)</x:v>
      </x:c>
      <x:c r="F2" s="24" t="str">
        <x:v>People / metaphysical kind</x:v>
      </x:c>
      <x:c r="G2" s="24" t="str">
        <x:v>PPL-102</x:v>
      </x:c>
      <x:c r="H2" s="24" t="str">
        <x:f>IFERROR(VLOOKUP(G2,'Master Taxonomy'!$A$2:$B$1226,2,FALSE),"")</x:f>
        <x:v>Elf-Derived Peoples</x:v>
      </x:c>
      <x:c r="I2" s="24" t="str"/>
      <x:c r="J2" s="24" t="str"/>
      <x:c r="K2" s="24" t="str">
        <x:v>The awakened Firstborn Children of Ilúvatar, with multiple historical and cultural divisions.</x:v>
      </x:c>
      <x:c r="L2" s="24" t="str">
        <x:v>Created people; embodied immortal life bound to Arda.</x:v>
      </x:c>
      <x:c r="M2" s="24" t="str">
        <x:v>Their immortality, fate, and relation to Arda differ fundamentally from most game-elves.</x:v>
      </x:c>
      <x:c r="N2" s="24" t="str">
        <x:v>Primary reference point for the modern high-fantasy elf family.</x:v>
      </x:c>
      <x:c r="O2" s="24" t="str">
        <x:v>Primary canon</x:v>
      </x:c>
      <x:c r="P2" s="24" t="str">
        <x:v>Official reference reviewed</x:v>
      </x:c>
      <x:c r="Q2" s="24" t="str">
        <x:v>Tolkien Estate setting overview and primary legendarium corpus.</x:v>
      </x:c>
      <x:c r="R2" s="84" t="str">
        <x:v>https://www.tolkienestate.com/writing/</x:v>
      </x:c>
      <x:c r="S2" s="24" t="str">
        <x:v>Seeded</x:v>
      </x:c>
    </x:row>
    <x:row r="3" ht="52" customHeight="1">
      <x:c r="A3" s="24" t="str">
        <x:v>ENT-0002</x:v>
      </x:c>
      <x:c r="B3" s="24" t="str">
        <x:v>Vanyar</x:v>
      </x:c>
      <x:c r="C3" s="24" t="str">
        <x:v>SRC-026</x:v>
      </x:c>
      <x:c r="D3" s="24" t="str">
        <x:v>Tolkien's Legendarium</x:v>
      </x:c>
      <x:c r="E3" s="24" t="str">
        <x:v>Legendarium (literary corpus)</x:v>
      </x:c>
      <x:c r="F3" s="24" t="str">
        <x:v>Elven people</x:v>
      </x:c>
      <x:c r="G3" s="24" t="str">
        <x:v>PPL-102</x:v>
      </x:c>
      <x:c r="H3" s="24" t="str">
        <x:f>IFERROR(VLOOKUP(G3,'Master Taxonomy'!$A$2:$B$1226,2,FALSE),"")</x:f>
        <x:v>Elf-Derived Peoples</x:v>
      </x:c>
      <x:c r="I3" s="24" t="str"/>
      <x:c r="J3" s="24" t="str"/>
      <x:c r="K3" s="24" t="str">
        <x:v>One of the principal Eldarin peoples, associated with Aman and the Valar.</x:v>
      </x:c>
      <x:c r="L3" s="24" t="str">
        <x:v>Lineage, migration history, and culture.</x:v>
      </x:c>
      <x:c r="M3" s="24" t="str">
        <x:v>A canonical subgroup, not a separate biological species.</x:v>
      </x:c>
      <x:c r="N3" s="24" t="str">
        <x:v>High or celestial elf analogues are only partial.</x:v>
      </x:c>
      <x:c r="O3" s="24" t="str">
        <x:v>Primary canon</x:v>
      </x:c>
      <x:c r="P3" s="24" t="str">
        <x:v>Official reference reviewed</x:v>
      </x:c>
      <x:c r="Q3" s="24" t="str">
        <x:v>Tolkien Estate setting overview and primary legendarium corpus.</x:v>
      </x:c>
      <x:c r="R3" s="84" t="str">
        <x:v>https://www.tolkienestate.com/writing/</x:v>
      </x:c>
      <x:c r="S3" s="24" t="str">
        <x:v>Seeded</x:v>
      </x:c>
    </x:row>
    <x:row r="4" ht="52" customHeight="1">
      <x:c r="A4" s="24" t="str">
        <x:v>ENT-0003</x:v>
      </x:c>
      <x:c r="B4" s="24" t="str">
        <x:v>Noldor</x:v>
      </x:c>
      <x:c r="C4" s="24" t="str">
        <x:v>SRC-026</x:v>
      </x:c>
      <x:c r="D4" s="24" t="str">
        <x:v>Tolkien's Legendarium</x:v>
      </x:c>
      <x:c r="E4" s="24" t="str">
        <x:v>Legendarium (literary corpus)</x:v>
      </x:c>
      <x:c r="F4" s="24" t="str">
        <x:v>Elven people</x:v>
      </x:c>
      <x:c r="G4" s="24" t="str">
        <x:v>PPL-102</x:v>
      </x:c>
      <x:c r="H4" s="24" t="str">
        <x:f>IFERROR(VLOOKUP(G4,'Master Taxonomy'!$A$2:$B$1226,2,FALSE),"")</x:f>
        <x:v>Elf-Derived Peoples</x:v>
      </x:c>
      <x:c r="I4" s="24" t="str">
        <x:v>ROL-306</x:v>
      </x:c>
      <x:c r="J4" s="24" t="str">
        <x:v>Magical Scholar</x:v>
      </x:c>
      <x:c r="K4" s="24" t="str">
        <x:v>An Eldarin people renowned for craft, knowledge, political tragedy, and exile.</x:v>
      </x:c>
      <x:c r="L4" s="24" t="str">
        <x:v>Cultural learning, craft, and personal spiritual stature.</x:v>
      </x:c>
      <x:c r="M4" s="24" t="str">
        <x:v>Their defining traits are historical and cultural rather than a game-stat package.</x:v>
      </x:c>
      <x:c r="N4" s="24" t="str">
        <x:v>Influential on learned, tragic, and high-elven archetypes.</x:v>
      </x:c>
      <x:c r="O4" s="24" t="str">
        <x:v>Primary canon</x:v>
      </x:c>
      <x:c r="P4" s="24" t="str">
        <x:v>Official reference reviewed</x:v>
      </x:c>
      <x:c r="Q4" s="24" t="str">
        <x:v>Tolkien Estate setting overview and primary legendarium corpus.</x:v>
      </x:c>
      <x:c r="R4" s="84" t="str">
        <x:v>https://www.tolkienestate.com/writing/</x:v>
      </x:c>
      <x:c r="S4" s="24" t="str">
        <x:v>Seeded</x:v>
      </x:c>
    </x:row>
    <x:row r="5" ht="52" customHeight="1">
      <x:c r="A5" s="24" t="str">
        <x:v>ENT-0004</x:v>
      </x:c>
      <x:c r="B5" s="24" t="str">
        <x:v>Teleri and Sindar</x:v>
      </x:c>
      <x:c r="C5" s="24" t="str">
        <x:v>SRC-026</x:v>
      </x:c>
      <x:c r="D5" s="24" t="str">
        <x:v>Tolkien's Legendarium</x:v>
      </x:c>
      <x:c r="E5" s="24" t="str">
        <x:v>Legendarium (literary corpus)</x:v>
      </x:c>
      <x:c r="F5" s="24" t="str">
        <x:v>Elven peoples</x:v>
      </x:c>
      <x:c r="G5" s="24" t="str">
        <x:v>PPL-102</x:v>
      </x:c>
      <x:c r="H5" s="24" t="str">
        <x:f>IFERROR(VLOOKUP(G5,'Master Taxonomy'!$A$2:$B$1226,2,FALSE),"")</x:f>
        <x:v>Elf-Derived Peoples</x:v>
      </x:c>
      <x:c r="I5" s="24" t="str"/>
      <x:c r="J5" s="24" t="str"/>
      <x:c r="K5" s="24" t="str">
        <x:v>Related Eldarin peoples whose histories include maritime, forest, and Beleriandic cultures.</x:v>
      </x:c>
      <x:c r="L5" s="24" t="str">
        <x:v>Kinship, migration, geography, and cultural development.</x:v>
      </x:c>
      <x:c r="M5" s="24" t="str">
        <x:v>The umbrella conceals several distinct peoples and political histories.</x:v>
      </x:c>
      <x:c r="N5" s="24" t="str">
        <x:v>Partial source for sea-elf and woodland-elf developments.</x:v>
      </x:c>
      <x:c r="O5" s="24" t="str">
        <x:v>Primary canon</x:v>
      </x:c>
      <x:c r="P5" s="24" t="str">
        <x:v>Official reference reviewed</x:v>
      </x:c>
      <x:c r="Q5" s="24" t="str">
        <x:v>Tolkien Estate setting overview and primary legendarium corpus.</x:v>
      </x:c>
      <x:c r="R5" s="84" t="str">
        <x:v>https://www.tolkienestate.com/writing/</x:v>
      </x:c>
      <x:c r="S5" s="24" t="str">
        <x:v>Seeded</x:v>
      </x:c>
    </x:row>
    <x:row r="6" ht="52" customHeight="1">
      <x:c r="A6" s="24" t="str">
        <x:v>ENT-0005</x:v>
      </x:c>
      <x:c r="B6" s="24" t="str">
        <x:v>Avari</x:v>
      </x:c>
      <x:c r="C6" s="24" t="str">
        <x:v>SRC-026</x:v>
      </x:c>
      <x:c r="D6" s="24" t="str">
        <x:v>Tolkien's Legendarium</x:v>
      </x:c>
      <x:c r="E6" s="24" t="str">
        <x:v>Legendarium (literary corpus)</x:v>
      </x:c>
      <x:c r="F6" s="24" t="str">
        <x:v>Elven peoples</x:v>
      </x:c>
      <x:c r="G6" s="24" t="str">
        <x:v>PPL-102</x:v>
      </x:c>
      <x:c r="H6" s="24" t="str">
        <x:f>IFERROR(VLOOKUP(G6,'Master Taxonomy'!$A$2:$B$1226,2,FALSE),"")</x:f>
        <x:v>Elf-Derived Peoples</x:v>
      </x:c>
      <x:c r="I6" s="24" t="str"/>
      <x:c r="J6" s="24" t="str"/>
      <x:c r="K6" s="24" t="str">
        <x:v>Elves who refused the Great Journey, comprising multiple unenumerated peoples.</x:v>
      </x:c>
      <x:c r="L6" s="24" t="str">
        <x:v>Historical choice and later cultural divergence.</x:v>
      </x:c>
      <x:c r="M6" s="24" t="str">
        <x:v>Not synonymous with evil, dark, or subterranean elves.</x:v>
      </x:c>
      <x:c r="N6" s="24" t="str">
        <x:v>Useful corrective to moralized elf subrace taxonomies.</x:v>
      </x:c>
      <x:c r="O6" s="24" t="str">
        <x:v>Primary canon</x:v>
      </x:c>
      <x:c r="P6" s="24" t="str">
        <x:v>Official reference reviewed</x:v>
      </x:c>
      <x:c r="Q6" s="24" t="str">
        <x:v>Tolkien Estate setting overview and primary legendarium corpus.</x:v>
      </x:c>
      <x:c r="R6" s="84" t="str">
        <x:v>https://www.tolkienestate.com/writing/</x:v>
      </x:c>
      <x:c r="S6" s="24" t="str">
        <x:v>Seeded</x:v>
      </x:c>
    </x:row>
    <x:row r="7" ht="52" customHeight="1">
      <x:c r="A7" s="24" t="str">
        <x:v>ENT-0006</x:v>
      </x:c>
      <x:c r="B7" s="24" t="str">
        <x:v>Khazâd (Dwarves)</x:v>
      </x:c>
      <x:c r="C7" s="24" t="str">
        <x:v>SRC-026</x:v>
      </x:c>
      <x:c r="D7" s="24" t="str">
        <x:v>Tolkien's Legendarium</x:v>
      </x:c>
      <x:c r="E7" s="24" t="str">
        <x:v>Legendarium (literary corpus)</x:v>
      </x:c>
      <x:c r="F7" s="24" t="str">
        <x:v>Created people</x:v>
      </x:c>
      <x:c r="G7" s="24" t="str">
        <x:v>PPL-103</x:v>
      </x:c>
      <x:c r="H7" s="24" t="str">
        <x:f>IFERROR(VLOOKUP(G7,'Master Taxonomy'!$A$2:$B$1226,2,FALSE),"")</x:f>
        <x:v>Dwarf-Derived Peoples</x:v>
      </x:c>
      <x:c r="I7" s="24" t="str"/>
      <x:c r="J7" s="24" t="str"/>
      <x:c r="K7" s="24" t="str">
        <x:v>A people fashioned by Aulë and adopted into Ilúvatar's design, organized in kindreds and houses.</x:v>
      </x:c>
      <x:c r="L7" s="24" t="str">
        <x:v>Created ancestry, craft tradition, kinship, and long memory.</x:v>
      </x:c>
      <x:c r="M7" s="24" t="str">
        <x:v>Their origin and eschatology are specific to Tolkien's cosmology.</x:v>
      </x:c>
      <x:c r="N7" s="24" t="str">
        <x:v>Central modern template for dwarven peoples.</x:v>
      </x:c>
      <x:c r="O7" s="24" t="str">
        <x:v>Primary canon</x:v>
      </x:c>
      <x:c r="P7" s="24" t="str">
        <x:v>Official reference reviewed</x:v>
      </x:c>
      <x:c r="Q7" s="24" t="str">
        <x:v>Tolkien Estate setting overview and primary legendarium corpus.</x:v>
      </x:c>
      <x:c r="R7" s="84" t="str">
        <x:v>https://www.tolkienestate.com/writing/</x:v>
      </x:c>
      <x:c r="S7" s="24" t="str">
        <x:v>Seeded</x:v>
      </x:c>
    </x:row>
    <x:row r="8" ht="52" customHeight="1">
      <x:c r="A8" s="24" t="str">
        <x:v>ENT-0007</x:v>
      </x:c>
      <x:c r="B8" s="24" t="str">
        <x:v>Hobbits</x:v>
      </x:c>
      <x:c r="C8" s="24" t="str">
        <x:v>SRC-026</x:v>
      </x:c>
      <x:c r="D8" s="24" t="str">
        <x:v>Tolkien's Legendarium</x:v>
      </x:c>
      <x:c r="E8" s="24" t="str">
        <x:v>Legendarium (literary corpus)</x:v>
      </x:c>
      <x:c r="F8" s="24" t="str">
        <x:v>Human-related people</x:v>
      </x:c>
      <x:c r="G8" s="24" t="str">
        <x:v>PPL-104</x:v>
      </x:c>
      <x:c r="H8" s="24" t="str">
        <x:f>IFERROR(VLOOKUP(G8,'Master Taxonomy'!$A$2:$B$1226,2,FALSE),"")</x:f>
        <x:v>Halfling and Smallfolk Peoples</x:v>
      </x:c>
      <x:c r="I8" s="24" t="str"/>
      <x:c r="J8" s="24" t="str"/>
      <x:c r="K8" s="24" t="str">
        <x:v>A small-statured people associated with agrarian domesticity, resilience, and obscurity.</x:v>
      </x:c>
      <x:c r="L8" s="24" t="str">
        <x:v>Natural people with cultural and regional branches.</x:v>
      </x:c>
      <x:c r="M8" s="24" t="str">
        <x:v>They are a people and culture, not inherently an adventuring class.</x:v>
      </x:c>
      <x:c r="N8" s="24" t="str">
        <x:v>Primary model for halflings and domestic smallfolk.</x:v>
      </x:c>
      <x:c r="O8" s="24" t="str">
        <x:v>Primary canon</x:v>
      </x:c>
      <x:c r="P8" s="24" t="str">
        <x:v>Official reference reviewed</x:v>
      </x:c>
      <x:c r="Q8" s="24" t="str">
        <x:v>Tolkien Estate setting overview and primary legendarium corpus.</x:v>
      </x:c>
      <x:c r="R8" s="84" t="str">
        <x:v>https://www.tolkienestate.com/writing/</x:v>
      </x:c>
      <x:c r="S8" s="24" t="str">
        <x:v>Seeded</x:v>
      </x:c>
    </x:row>
    <x:row r="9" ht="52" customHeight="1">
      <x:c r="A9" s="24" t="str">
        <x:v>ENT-0008</x:v>
      </x:c>
      <x:c r="B9" s="24" t="str">
        <x:v>Men (Atani and later peoples)</x:v>
      </x:c>
      <x:c r="C9" s="24" t="str">
        <x:v>SRC-026</x:v>
      </x:c>
      <x:c r="D9" s="24" t="str">
        <x:v>Tolkien's Legendarium</x:v>
      </x:c>
      <x:c r="E9" s="24" t="str">
        <x:v>Legendarium (literary corpus)</x:v>
      </x:c>
      <x:c r="F9" s="24" t="str">
        <x:v>Mortal people</x:v>
      </x:c>
      <x:c r="G9" s="24" t="str">
        <x:v>PPL-101</x:v>
      </x:c>
      <x:c r="H9" s="24" t="str">
        <x:f>IFERROR(VLOOKUP(G9,'Master Taxonomy'!$A$2:$B$1226,2,FALSE),"")</x:f>
        <x:v>Human and Near-Human Peoples</x:v>
      </x:c>
      <x:c r="I9" s="24" t="str"/>
      <x:c r="J9" s="24" t="str"/>
      <x:c r="K9" s="24" t="str">
        <x:v>The mortal Secondborn Children of Ilúvatar, divided across many nations and histories.</x:v>
      </x:c>
      <x:c r="L9" s="24" t="str">
        <x:v>Natural people; mortality is metaphysically significant.</x:v>
      </x:c>
      <x:c r="M9" s="24" t="str">
        <x:v>Human cultures must not be collapsed into one archetypal society.</x:v>
      </x:c>
      <x:c r="N9" s="24" t="str">
        <x:v>Baseline human plurality in epic fantasy.</x:v>
      </x:c>
      <x:c r="O9" s="24" t="str">
        <x:v>Primary canon</x:v>
      </x:c>
      <x:c r="P9" s="24" t="str">
        <x:v>Official reference reviewed</x:v>
      </x:c>
      <x:c r="Q9" s="24" t="str">
        <x:v>Tolkien Estate setting overview and primary legendarium corpus.</x:v>
      </x:c>
      <x:c r="R9" s="84" t="str">
        <x:v>https://www.tolkienestate.com/writing/</x:v>
      </x:c>
      <x:c r="S9" s="24" t="str">
        <x:v>Seeded</x:v>
      </x:c>
    </x:row>
    <x:row r="10" ht="52" customHeight="1">
      <x:c r="A10" s="24" t="str">
        <x:v>ENT-0009</x:v>
      </x:c>
      <x:c r="B10" s="24" t="str">
        <x:v>Dúnedain</x:v>
      </x:c>
      <x:c r="C10" s="24" t="str">
        <x:v>SRC-026</x:v>
      </x:c>
      <x:c r="D10" s="24" t="str">
        <x:v>Tolkien's Legendarium</x:v>
      </x:c>
      <x:c r="E10" s="24" t="str">
        <x:v>Legendarium (literary corpus)</x:v>
      </x:c>
      <x:c r="F10" s="24" t="str">
        <x:v>Human lineage and culture</x:v>
      </x:c>
      <x:c r="G10" s="24" t="str">
        <x:v>PPL-101</x:v>
      </x:c>
      <x:c r="H10" s="24" t="str">
        <x:f>IFERROR(VLOOKUP(G10,'Master Taxonomy'!$A$2:$B$1226,2,FALSE),"")</x:f>
        <x:v>Human and Near-Human Peoples</x:v>
      </x:c>
      <x:c r="I10" s="24" t="str">
        <x:v>ROL-125</x:v>
      </x:c>
      <x:c r="J10" s="24" t="str">
        <x:v>Ranger</x:v>
      </x:c>
      <x:c r="K10" s="24" t="str">
        <x:v>Long-lived Númenórean-descended human peoples, including northern and southern branches.</x:v>
      </x:c>
      <x:c r="L10" s="24" t="str">
        <x:v>Lineage, inherited longevity, culture, and historical institutions.</x:v>
      </x:c>
      <x:c r="M10" s="24" t="str">
        <x:v>Not a separate species; 'ranger' applies especially to a later northern role.</x:v>
      </x:c>
      <x:c r="N10" s="24" t="str">
        <x:v>Long-lived lost-kingdom human and ranger analogues.</x:v>
      </x:c>
      <x:c r="O10" s="24" t="str">
        <x:v>Primary canon</x:v>
      </x:c>
      <x:c r="P10" s="24" t="str">
        <x:v>Official reference reviewed</x:v>
      </x:c>
      <x:c r="Q10" s="24" t="str">
        <x:v>Tolkien Estate setting overview and primary legendarium corpus.</x:v>
      </x:c>
      <x:c r="R10" s="84" t="str">
        <x:v>https://www.tolkienestate.com/writing/</x:v>
      </x:c>
      <x:c r="S10" s="24" t="str">
        <x:v>Seeded</x:v>
      </x:c>
    </x:row>
    <x:row r="11" ht="52" customHeight="1">
      <x:c r="A11" s="24" t="str">
        <x:v>ENT-0010</x:v>
      </x:c>
      <x:c r="B11" s="24" t="str">
        <x:v>Ents</x:v>
      </x:c>
      <x:c r="C11" s="24" t="str">
        <x:v>SRC-026</x:v>
      </x:c>
      <x:c r="D11" s="24" t="str">
        <x:v>Tolkien's Legendarium</x:v>
      </x:c>
      <x:c r="E11" s="24" t="str">
        <x:v>Legendarium (literary corpus)</x:v>
      </x:c>
      <x:c r="F11" s="24" t="str">
        <x:v>Nonhuman people</x:v>
      </x:c>
      <x:c r="G11" s="24" t="str">
        <x:v>PPL-901</x:v>
      </x:c>
      <x:c r="H11" s="24" t="str">
        <x:f>IFERROR(VLOOKUP(G11,'Master Taxonomy'!$A$2:$B$1226,2,FALSE),"")</x:f>
        <x:v>Plantfolk</x:v>
      </x:c>
      <x:c r="I11" s="24" t="str">
        <x:v>PPL-203</x:v>
      </x:c>
      <x:c r="J11" s="24" t="str">
        <x:v>Dryads and Tree-Bound Beings</x:v>
      </x:c>
      <x:c r="K11" s="24" t="str">
        <x:v>Ancient tree-shepherds with personhood, language, memory, and ecological vocation.</x:v>
      </x:c>
      <x:c r="L11" s="24" t="str">
        <x:v>Created or awakened nature-associated beings.</x:v>
      </x:c>
      <x:c r="M11" s="24" t="str">
        <x:v>Not simply animated trees or generic elementals.</x:v>
      </x:c>
      <x:c r="N11" s="24" t="str">
        <x:v>Major treefolk and ecological guardian archetype.</x:v>
      </x:c>
      <x:c r="O11" s="24" t="str">
        <x:v>Primary canon</x:v>
      </x:c>
      <x:c r="P11" s="24" t="str">
        <x:v>Official reference reviewed</x:v>
      </x:c>
      <x:c r="Q11" s="24" t="str">
        <x:v>Tolkien Estate setting overview and primary legendarium corpus.</x:v>
      </x:c>
      <x:c r="R11" s="84" t="str">
        <x:v>https://www.tolkienestate.com/writing/</x:v>
      </x:c>
      <x:c r="S11" s="24" t="str">
        <x:v>Seeded</x:v>
      </x:c>
    </x:row>
    <x:row r="12" ht="52" customHeight="1">
      <x:c r="A12" s="24" t="str">
        <x:v>ENT-0011</x:v>
      </x:c>
      <x:c r="B12" s="24" t="str">
        <x:v>Ainur</x:v>
      </x:c>
      <x:c r="C12" s="24" t="str">
        <x:v>SRC-026</x:v>
      </x:c>
      <x:c r="D12" s="24" t="str">
        <x:v>Tolkien's Legendarium</x:v>
      </x:c>
      <x:c r="E12" s="24" t="str">
        <x:v>Legendarium (literary corpus)</x:v>
      </x:c>
      <x:c r="F12" s="24" t="str">
        <x:v>Primordial spiritual beings</x:v>
      </x:c>
      <x:c r="G12" s="24" t="str">
        <x:v>PPL-400</x:v>
      </x:c>
      <x:c r="H12" s="24" t="str">
        <x:f>IFERROR(VLOOKUP(G12,'Master Taxonomy'!$A$2:$B$1226,2,FALSE),"")</x:f>
        <x:v>Divine and Celestial Beings</x:v>
      </x:c>
      <x:c r="I12" s="24" t="str"/>
      <x:c r="J12" s="24" t="str"/>
      <x:c r="K12" s="24" t="str">
        <x:v>Pre-cosmic spirits who participate in the shaping and governance of the created world.</x:v>
      </x:c>
      <x:c r="L12" s="24" t="str">
        <x:v>Created spiritual nature and delegated cosmic authority.</x:v>
      </x:c>
      <x:c r="M12" s="24" t="str">
        <x:v>They are neither a biological race nor a single moral faction.</x:v>
      </x:c>
      <x:c r="N12" s="24" t="str">
        <x:v>Comparable to angelic or demiurgic orders only with caution.</x:v>
      </x:c>
      <x:c r="O12" s="24" t="str">
        <x:v>Primary canon</x:v>
      </x:c>
      <x:c r="P12" s="24" t="str">
        <x:v>Official reference reviewed</x:v>
      </x:c>
      <x:c r="Q12" s="24" t="str">
        <x:v>Tolkien Estate setting overview and primary legendarium corpus.</x:v>
      </x:c>
      <x:c r="R12" s="84" t="str">
        <x:v>https://www.tolkienestate.com/writing/</x:v>
      </x:c>
      <x:c r="S12" s="24" t="str">
        <x:v>Seeded</x:v>
      </x:c>
    </x:row>
    <x:row r="13" ht="52" customHeight="1">
      <x:c r="A13" s="24" t="str">
        <x:v>ENT-0012</x:v>
      </x:c>
      <x:c r="B13" s="24" t="str">
        <x:v>Valar</x:v>
      </x:c>
      <x:c r="C13" s="24" t="str">
        <x:v>SRC-026</x:v>
      </x:c>
      <x:c r="D13" s="24" t="str">
        <x:v>Tolkien's Legendarium</x:v>
      </x:c>
      <x:c r="E13" s="24" t="str">
        <x:v>Legendarium (literary corpus)</x:v>
      </x:c>
      <x:c r="F13" s="24" t="str">
        <x:v>Divine governing order</x:v>
      </x:c>
      <x:c r="G13" s="24" t="str">
        <x:v>PPL-401</x:v>
      </x:c>
      <x:c r="H13" s="24" t="str">
        <x:f>IFERROR(VLOOKUP(G13,'Master Taxonomy'!$A$2:$B$1226,2,FALSE),"")</x:f>
        <x:v>Deities</x:v>
      </x:c>
      <x:c r="I13" s="24" t="str">
        <x:v>PPL-405</x:v>
      </x:c>
      <x:c r="J13" s="24" t="str">
        <x:v>Divine Servitors</x:v>
      </x:c>
      <x:c r="K13" s="24" t="str">
        <x:v>The greatest Ainur who enter Arda and exercise delegated guardianship over it.</x:v>
      </x:c>
      <x:c r="L13" s="24" t="str">
        <x:v>Spiritual nature and divinely delegated authority.</x:v>
      </x:c>
      <x:c r="M13" s="24" t="str">
        <x:v>Often called gods by inhabitants, but subordinate to Ilúvatar.</x:v>
      </x:c>
      <x:c r="N13" s="24" t="str">
        <x:v>Functional analogue to pantheons, not exact polytheistic deities.</x:v>
      </x:c>
      <x:c r="O13" s="24" t="str">
        <x:v>Primary canon</x:v>
      </x:c>
      <x:c r="P13" s="24" t="str">
        <x:v>Official reference reviewed</x:v>
      </x:c>
      <x:c r="Q13" s="24" t="str">
        <x:v>Tolkien Estate setting overview and primary legendarium corpus.</x:v>
      </x:c>
      <x:c r="R13" s="84" t="str">
        <x:v>https://www.tolkienestate.com/writing/</x:v>
      </x:c>
      <x:c r="S13" s="24" t="str">
        <x:v>Seeded</x:v>
      </x:c>
    </x:row>
    <x:row r="14" ht="52" customHeight="1">
      <x:c r="A14" s="24" t="str">
        <x:v>ENT-0013</x:v>
      </x:c>
      <x:c r="B14" s="24" t="str">
        <x:v>Maiar</x:v>
      </x:c>
      <x:c r="C14" s="24" t="str">
        <x:v>SRC-026</x:v>
      </x:c>
      <x:c r="D14" s="24" t="str">
        <x:v>Tolkien's Legendarium</x:v>
      </x:c>
      <x:c r="E14" s="24" t="str">
        <x:v>Legendarium (literary corpus)</x:v>
      </x:c>
      <x:c r="F14" s="24" t="str">
        <x:v>Lesser Ainur</x:v>
      </x:c>
      <x:c r="G14" s="24" t="str">
        <x:v>PPL-404</x:v>
      </x:c>
      <x:c r="H14" s="24" t="str">
        <x:f>IFERROR(VLOOKUP(G14,'Master Taxonomy'!$A$2:$B$1226,2,FALSE),"")</x:f>
        <x:v>Celestials and Angelic Beings</x:v>
      </x:c>
      <x:c r="I14" s="24" t="str">
        <x:v>PPL-405</x:v>
      </x:c>
      <x:c r="J14" s="24" t="str">
        <x:v>Divine Servitors</x:v>
      </x:c>
      <x:c r="K14" s="24" t="str">
        <x:v>Ainur of lesser order who serve, teach, rule, tempt, or oppose within Arda.</x:v>
      </x:c>
      <x:c r="L14" s="24" t="str">
        <x:v>Spiritual nature; variable embodiment and allegiance.</x:v>
      </x:c>
      <x:c r="M14" s="24" t="str">
        <x:v>Includes radically different figures and cannot be treated as one profession.</x:v>
      </x:c>
      <x:c r="N14" s="24" t="str">
        <x:v>Angel, spirit-lord, and embodied emissary analogues.</x:v>
      </x:c>
      <x:c r="O14" s="24" t="str">
        <x:v>Primary canon</x:v>
      </x:c>
      <x:c r="P14" s="24" t="str">
        <x:v>Official reference reviewed</x:v>
      </x:c>
      <x:c r="Q14" s="24" t="str">
        <x:v>Tolkien Estate setting overview and primary legendarium corpus.</x:v>
      </x:c>
      <x:c r="R14" s="84" t="str">
        <x:v>https://www.tolkienestate.com/writing/</x:v>
      </x:c>
      <x:c r="S14" s="24" t="str">
        <x:v>Seeded</x:v>
      </x:c>
    </x:row>
    <x:row r="15" ht="52" customHeight="1">
      <x:c r="A15" s="24" t="str">
        <x:v>ENT-0014</x:v>
      </x:c>
      <x:c r="B15" s="24" t="str">
        <x:v>Istari (Wizards)</x:v>
      </x:c>
      <x:c r="C15" s="24" t="str">
        <x:v>SRC-026</x:v>
      </x:c>
      <x:c r="D15" s="24" t="str">
        <x:v>Tolkien's Legendarium</x:v>
      </x:c>
      <x:c r="E15" s="24" t="str">
        <x:v>Legendarium (literary corpus)</x:v>
      </x:c>
      <x:c r="F15" s="24" t="str">
        <x:v>Invested emissary order</x:v>
      </x:c>
      <x:c r="G15" s="24" t="str">
        <x:v>ROL-301</x:v>
      </x:c>
      <x:c r="H15" s="24" t="str">
        <x:f>IFERROR(VLOOKUP(G15,'Master Taxonomy'!$A$2:$B$1226,2,FALSE),"")</x:f>
        <x:v>Mage and Wizard</x:v>
      </x:c>
      <x:c r="I15" s="24" t="str">
        <x:v>PPL-405</x:v>
      </x:c>
      <x:c r="J15" s="24" t="str">
        <x:v>Divine Servitors</x:v>
      </x:c>
      <x:c r="K15" s="24" t="str">
        <x:v>Maiar sent in constrained embodied form to counsel resistance against Sauron.</x:v>
      </x:c>
      <x:c r="L15" s="24" t="str">
        <x:v>Delegated mission, spiritual nature, knowledge, and limited embodied power.</x:v>
      </x:c>
      <x:c r="M15" s="24" t="str">
        <x:v>‘Wizard’ here denotes an order and identity, not merely a learned spellcaster class.</x:v>
      </x:c>
      <x:c r="N15" s="24" t="str">
        <x:v>A key example of one source term crossing role, being-type, and institution.</x:v>
      </x:c>
      <x:c r="O15" s="24" t="str">
        <x:v>Primary canon</x:v>
      </x:c>
      <x:c r="P15" s="24" t="str">
        <x:v>Official reference reviewed</x:v>
      </x:c>
      <x:c r="Q15" s="24" t="str">
        <x:v>Tolkien Estate setting overview and primary legendarium corpus.</x:v>
      </x:c>
      <x:c r="R15" s="84" t="str">
        <x:v>https://www.tolkienestate.com/writing/</x:v>
      </x:c>
      <x:c r="S15" s="24" t="str">
        <x:v>Seeded</x:v>
      </x:c>
    </x:row>
    <x:row r="16" ht="52" customHeight="1">
      <x:c r="A16" s="24" t="str">
        <x:v>ENT-0015</x:v>
      </x:c>
      <x:c r="B16" s="24" t="str">
        <x:v>Orcs</x:v>
      </x:c>
      <x:c r="C16" s="24" t="str">
        <x:v>SRC-026</x:v>
      </x:c>
      <x:c r="D16" s="24" t="str">
        <x:v>Tolkien's Legendarium</x:v>
      </x:c>
      <x:c r="E16" s="24" t="str">
        <x:v>Legendarium (literary corpus)</x:v>
      </x:c>
      <x:c r="F16" s="24" t="str">
        <x:v>Corrupted or bred people</x:v>
      </x:c>
      <x:c r="G16" s="24" t="str">
        <x:v>PPL-106</x:v>
      </x:c>
      <x:c r="H16" s="24" t="str">
        <x:f>IFERROR(VLOOKUP(G16,'Master Taxonomy'!$A$2:$B$1226,2,FALSE),"")</x:f>
        <x:v>Orc-Derived Peoples</x:v>
      </x:c>
      <x:c r="I16" s="24" t="str"/>
      <x:c r="J16" s="24" t="str"/>
      <x:c r="K16" s="24" t="str">
        <x:v>Hostile speaking peoples associated with the powers of Morgoth and Sauron.</x:v>
      </x:c>
      <x:c r="L16" s="24" t="str">
        <x:v>Corruption, breeding, domination, and disputed textual origins.</x:v>
      </x:c>
      <x:c r="M16" s="24" t="str">
        <x:v>Their ultimate origin varies across Tolkien's developing conceptions.</x:v>
      </x:c>
      <x:c r="N16" s="24" t="str">
        <x:v>Foundational but ethically contested model for fantasy orcs.</x:v>
      </x:c>
      <x:c r="O16" s="24" t="str">
        <x:v>Primary canon</x:v>
      </x:c>
      <x:c r="P16" s="24" t="str">
        <x:v>Official reference reviewed</x:v>
      </x:c>
      <x:c r="Q16" s="24" t="str">
        <x:v>Tolkien Estate setting overview and primary legendarium corpus.</x:v>
      </x:c>
      <x:c r="R16" s="84" t="str">
        <x:v>https://www.tolkienestate.com/writing/</x:v>
      </x:c>
      <x:c r="S16" s="24" t="str">
        <x:v>Seeded</x:v>
      </x:c>
    </x:row>
    <x:row r="17" ht="52" customHeight="1">
      <x:c r="A17" s="24" t="str">
        <x:v>ENT-0016</x:v>
      </x:c>
      <x:c r="B17" s="24" t="str">
        <x:v>Trolls</x:v>
      </x:c>
      <x:c r="C17" s="24" t="str">
        <x:v>SRC-026</x:v>
      </x:c>
      <x:c r="D17" s="24" t="str">
        <x:v>Tolkien's Legendarium</x:v>
      </x:c>
      <x:c r="E17" s="24" t="str">
        <x:v>Legendarium (literary corpus)</x:v>
      </x:c>
      <x:c r="F17" s="24" t="str">
        <x:v>Created or corrupted beings</x:v>
      </x:c>
      <x:c r="G17" s="24" t="str">
        <x:v>PPL-110</x:v>
      </x:c>
      <x:c r="H17" s="24" t="str">
        <x:f>IFERROR(VLOOKUP(G17,'Master Taxonomy'!$A$2:$B$1226,2,FALSE),"")</x:f>
        <x:v>Trollkin Peoples</x:v>
      </x:c>
      <x:c r="I17" s="24" t="str"/>
      <x:c r="J17" s="24" t="str"/>
      <x:c r="K17" s="24" t="str">
        <x:v>Large hostile beings appearing in several forms and periods.</x:v>
      </x:c>
      <x:c r="L17" s="24" t="str">
        <x:v>Corruptive making, imitation, and physical might.</x:v>
      </x:c>
      <x:c r="M17" s="24" t="str">
        <x:v>Different troll kinds have different intelligence and vulnerabilities.</x:v>
      </x:c>
      <x:c r="N17" s="24" t="str">
        <x:v>Influential giant-brute and troll archetype.</x:v>
      </x:c>
      <x:c r="O17" s="24" t="str">
        <x:v>Primary canon</x:v>
      </x:c>
      <x:c r="P17" s="24" t="str">
        <x:v>Official reference reviewed</x:v>
      </x:c>
      <x:c r="Q17" s="24" t="str">
        <x:v>Tolkien Estate setting overview and primary legendarium corpus.</x:v>
      </x:c>
      <x:c r="R17" s="84" t="str">
        <x:v>https://www.tolkienestate.com/writing/</x:v>
      </x:c>
      <x:c r="S17" s="24" t="str">
        <x:v>Seeded</x:v>
      </x:c>
    </x:row>
    <x:row r="18" ht="52" customHeight="1">
      <x:c r="A18" s="24" t="str">
        <x:v>ENT-0017</x:v>
      </x:c>
      <x:c r="B18" s="24" t="str">
        <x:v>Balrogs</x:v>
      </x:c>
      <x:c r="C18" s="24" t="str">
        <x:v>SRC-026</x:v>
      </x:c>
      <x:c r="D18" s="24" t="str">
        <x:v>Tolkien's Legendarium</x:v>
      </x:c>
      <x:c r="E18" s="24" t="str">
        <x:v>Legendarium (literary corpus)</x:v>
      </x:c>
      <x:c r="F18" s="24" t="str">
        <x:v>Fallen primordial spirits</x:v>
      </x:c>
      <x:c r="G18" s="24" t="str">
        <x:v>PPL-504</x:v>
      </x:c>
      <x:c r="H18" s="24" t="str">
        <x:f>IFERROR(VLOOKUP(G18,'Master Taxonomy'!$A$2:$B$1226,2,FALSE),"")</x:f>
        <x:v>Fallen Celestials</x:v>
      </x:c>
      <x:c r="I18" s="24" t="str">
        <x:v>PPL-501</x:v>
      </x:c>
      <x:c r="J18" s="24" t="str">
        <x:v>Demons</x:v>
      </x:c>
      <x:c r="K18" s="24" t="str">
        <x:v>Corrupted Maiar of fire and shadow serving Morgoth.</x:v>
      </x:c>
      <x:c r="L18" s="24" t="str">
        <x:v>Spiritual nature, corruption, terror, and elemental manifestation.</x:v>
      </x:c>
      <x:c r="M18" s="24" t="str">
        <x:v>Not a biological demon species or generic fire monster.</x:v>
      </x:c>
      <x:c r="N18" s="24" t="str">
        <x:v>Major fallen-angelic demon and ancient lieutenant archetype.</x:v>
      </x:c>
      <x:c r="O18" s="24" t="str">
        <x:v>Primary canon</x:v>
      </x:c>
      <x:c r="P18" s="24" t="str">
        <x:v>Official reference reviewed</x:v>
      </x:c>
      <x:c r="Q18" s="24" t="str">
        <x:v>Tolkien Estate setting overview and primary legendarium corpus.</x:v>
      </x:c>
      <x:c r="R18" s="84" t="str">
        <x:v>https://www.tolkienestate.com/writing/</x:v>
      </x:c>
      <x:c r="S18" s="24" t="str">
        <x:v>Seeded</x:v>
      </x:c>
    </x:row>
    <x:row r="19" ht="52" customHeight="1">
      <x:c r="A19" s="24" t="str">
        <x:v>ENT-0018</x:v>
      </x:c>
      <x:c r="B19" s="24" t="str">
        <x:v>Dragons</x:v>
      </x:c>
      <x:c r="C19" s="24" t="str">
        <x:v>SRC-026</x:v>
      </x:c>
      <x:c r="D19" s="24" t="str">
        <x:v>Tolkien's Legendarium</x:v>
      </x:c>
      <x:c r="E19" s="24" t="str">
        <x:v>Legendarium (literary corpus)</x:v>
      </x:c>
      <x:c r="F19" s="24" t="str">
        <x:v>Created monster-kind</x:v>
      </x:c>
      <x:c r="G19" s="24" t="str">
        <x:v>PPL-801</x:v>
      </x:c>
      <x:c r="H19" s="24" t="str">
        <x:f>IFERROR(VLOOKUP(G19,'Master Taxonomy'!$A$2:$B$1226,2,FALSE),"")</x:f>
        <x:v>True Dragons</x:v>
      </x:c>
      <x:c r="I19" s="24" t="str"/>
      <x:c r="J19" s="24" t="str"/>
      <x:c r="K19" s="24" t="str">
        <x:v>Powerful intelligent draconic beings first bred by Morgoth, including winged and wingless forms.</x:v>
      </x:c>
      <x:c r="L19" s="24" t="str">
        <x:v>Created monstrous lineage, cunning, physical power, and often speech.</x:v>
      </x:c>
      <x:c r="M19" s="24" t="str">
        <x:v>The corpus distinguishes individuals and forms rather than a game taxonomy of colors.</x:v>
      </x:c>
      <x:c r="N19" s="24" t="str">
        <x:v>Central Western literary dragon lineage.</x:v>
      </x:c>
      <x:c r="O19" s="24" t="str">
        <x:v>Primary canon</x:v>
      </x:c>
      <x:c r="P19" s="24" t="str">
        <x:v>Official reference reviewed</x:v>
      </x:c>
      <x:c r="Q19" s="24" t="str">
        <x:v>Tolkien Estate setting overview and primary legendarium corpus.</x:v>
      </x:c>
      <x:c r="R19" s="84" t="str">
        <x:v>https://www.tolkienestate.com/writing/</x:v>
      </x:c>
      <x:c r="S19" s="24" t="str">
        <x:v>Seeded</x:v>
      </x:c>
    </x:row>
    <x:row r="20" ht="52" customHeight="1">
      <x:c r="A20" s="24" t="str">
        <x:v>ENT-0019</x:v>
      </x:c>
      <x:c r="B20" s="24" t="str">
        <x:v>Great Eagles</x:v>
      </x:c>
      <x:c r="C20" s="24" t="str">
        <x:v>SRC-026</x:v>
      </x:c>
      <x:c r="D20" s="24" t="str">
        <x:v>Tolkien's Legendarium</x:v>
      </x:c>
      <x:c r="E20" s="24" t="str">
        <x:v>Legendarium (literary corpus)</x:v>
      </x:c>
      <x:c r="F20" s="24" t="str">
        <x:v>Sapient great beasts</x:v>
      </x:c>
      <x:c r="G20" s="24" t="str">
        <x:v>PPL-820</x:v>
      </x:c>
      <x:c r="H20" s="24" t="str">
        <x:f>IFERROR(VLOOKUP(G20,'Master Taxonomy'!$A$2:$B$1226,2,FALSE),"")</x:f>
        <x:v>Sacred Guardian Beasts</x:v>
      </x:c>
      <x:c r="I20" s="24" t="str"/>
      <x:c r="J20" s="24" t="str"/>
      <x:c r="K20" s="24" t="str">
        <x:v>Enormous intelligent eagles associated with Manwë and decisive interventions.</x:v>
      </x:c>
      <x:c r="L20" s="24" t="str">
        <x:v>Natural or spiritually elevated beasthood and divine association.</x:v>
      </x:c>
      <x:c r="M20" s="24" t="str">
        <x:v>They are agents with their own limits, not a routine transport mechanism.</x:v>
      </x:c>
      <x:c r="N20" s="24" t="str">
        <x:v>Divine messenger and rescue-beast analogue.</x:v>
      </x:c>
      <x:c r="O20" s="24" t="str">
        <x:v>Primary canon</x:v>
      </x:c>
      <x:c r="P20" s="24" t="str">
        <x:v>Official reference reviewed</x:v>
      </x:c>
      <x:c r="Q20" s="24" t="str">
        <x:v>Tolkien Estate setting overview and primary legendarium corpus.</x:v>
      </x:c>
      <x:c r="R20" s="84" t="str">
        <x:v>https://www.tolkienestate.com/writing/</x:v>
      </x:c>
      <x:c r="S20" s="24" t="str">
        <x:v>Seeded</x:v>
      </x:c>
    </x:row>
    <x:row r="21" ht="52" customHeight="1">
      <x:c r="A21" s="24" t="str">
        <x:v>ENT-0020</x:v>
      </x:c>
      <x:c r="B21" s="24" t="str">
        <x:v>Great Spiders</x:v>
      </x:c>
      <x:c r="C21" s="24" t="str">
        <x:v>SRC-026</x:v>
      </x:c>
      <x:c r="D21" s="24" t="str">
        <x:v>Tolkien's Legendarium</x:v>
      </x:c>
      <x:c r="E21" s="24" t="str">
        <x:v>Legendarium (literary corpus)</x:v>
      </x:c>
      <x:c r="F21" s="24" t="str">
        <x:v>Monstrous lineage</x:v>
      </x:c>
      <x:c r="G21" s="24" t="str">
        <x:v>PPL-818</x:v>
      </x:c>
      <x:c r="H21" s="24" t="str">
        <x:f>IFERROR(VLOOKUP(G21,'Master Taxonomy'!$A$2:$B$1226,2,FALSE),"")</x:f>
        <x:v>Giant Spiders and Web Sovereigns</x:v>
      </x:c>
      <x:c r="I21" s="24" t="str"/>
      <x:c r="J21" s="24" t="str"/>
      <x:c r="K21" s="24" t="str">
        <x:v>Predatory giant spiders descending from or echoing Ungoliant's monstrous lineage.</x:v>
      </x:c>
      <x:c r="L21" s="24" t="str">
        <x:v>Monstrous descent, appetite, poison, webs, and dark ecology.</x:v>
      </x:c>
      <x:c r="M21" s="24" t="str">
        <x:v>Ungoliant's own ontology remains exceptional and obscure.</x:v>
      </x:c>
      <x:c r="N21" s="24" t="str">
        <x:v>Foundational giant-spider and devouring-darkness archetype.</x:v>
      </x:c>
      <x:c r="O21" s="24" t="str">
        <x:v>Primary canon</x:v>
      </x:c>
      <x:c r="P21" s="24" t="str">
        <x:v>Official reference reviewed</x:v>
      </x:c>
      <x:c r="Q21" s="24" t="str">
        <x:v>Tolkien Estate setting overview and primary legendarium corpus.</x:v>
      </x:c>
      <x:c r="R21" s="84" t="str">
        <x:v>https://www.tolkienestate.com/writing/</x:v>
      </x:c>
      <x:c r="S21" s="24" t="str">
        <x:v>Seeded</x:v>
      </x:c>
    </x:row>
    <x:row r="22" ht="52" customHeight="1">
      <x:c r="A22" s="24" t="str">
        <x:v>ENT-0021</x:v>
      </x:c>
      <x:c r="B22" s="24" t="str">
        <x:v>Nazgûl (Ringwraiths)</x:v>
      </x:c>
      <x:c r="C22" s="24" t="str">
        <x:v>SRC-026</x:v>
      </x:c>
      <x:c r="D22" s="24" t="str">
        <x:v>Tolkien's Legendarium</x:v>
      </x:c>
      <x:c r="E22" s="24" t="str">
        <x:v>Legendarium (literary corpus)</x:v>
      </x:c>
      <x:c r="F22" s="24" t="str">
        <x:v>Transformed undead-like servants</x:v>
      </x:c>
      <x:c r="G22" s="24" t="str">
        <x:v>PPL-606</x:v>
      </x:c>
      <x:c r="H22" s="24" t="str">
        <x:f>IFERROR(VLOOKUP(G22,'Master Taxonomy'!$A$2:$B$1226,2,FALSE),"")</x:f>
        <x:v>Wights and Wraiths</x:v>
      </x:c>
      <x:c r="I22" s="24" t="str">
        <x:v>STA-402</x:v>
      </x:c>
      <x:c r="J22" s="24" t="str">
        <x:v>Relic Bearer</x:v>
      </x:c>
      <x:c r="K22" s="24" t="str">
        <x:v>Human kings and lords reduced to spectral servitude through Rings of Power.</x:v>
      </x:c>
      <x:c r="L22" s="24" t="str">
        <x:v>Artifact-mediated corruption, prolonged life, domination, and disembodiment.</x:v>
      </x:c>
      <x:c r="M22" s="24" t="str">
        <x:v>They are neither generic ghosts nor self-directed undead.</x:v>
      </x:c>
      <x:c r="N22" s="24" t="str">
        <x:v>Primary cursed-relic wraith and dark-lieutenant model.</x:v>
      </x:c>
      <x:c r="O22" s="24" t="str">
        <x:v>Primary canon</x:v>
      </x:c>
      <x:c r="P22" s="24" t="str">
        <x:v>Official reference reviewed</x:v>
      </x:c>
      <x:c r="Q22" s="24" t="str">
        <x:v>Tolkien Estate setting overview and primary legendarium corpus.</x:v>
      </x:c>
      <x:c r="R22" s="84" t="str">
        <x:v>https://www.tolkienestate.com/writing/</x:v>
      </x:c>
      <x:c r="S22" s="24" t="str">
        <x:v>Seeded</x:v>
      </x:c>
    </x:row>
    <x:row r="23" ht="52" customHeight="1">
      <x:c r="A23" s="24" t="str">
        <x:v>ENT-0022</x:v>
      </x:c>
      <x:c r="B23" s="24" t="str">
        <x:v>Barrow-wights</x:v>
      </x:c>
      <x:c r="C23" s="24" t="str">
        <x:v>SRC-026</x:v>
      </x:c>
      <x:c r="D23" s="24" t="str">
        <x:v>Tolkien's Legendarium</x:v>
      </x:c>
      <x:c r="E23" s="24" t="str">
        <x:v>Legendarium (literary corpus)</x:v>
      </x:c>
      <x:c r="F23" s="24" t="str">
        <x:v>Malignant undead spirits</x:v>
      </x:c>
      <x:c r="G23" s="24" t="str">
        <x:v>PPL-606</x:v>
      </x:c>
      <x:c r="H23" s="24" t="str">
        <x:f>IFERROR(VLOOKUP(G23,'Master Taxonomy'!$A$2:$B$1226,2,FALSE),"")</x:f>
        <x:v>Wights and Wraiths</x:v>
      </x:c>
      <x:c r="I23" s="24" t="str"/>
      <x:c r="J23" s="24" t="str"/>
      <x:c r="K23" s="24" t="str">
        <x:v>Hostile spirits inhabiting ancient burial places and remains.</x:v>
      </x:c>
      <x:c r="L23" s="24" t="str">
        <x:v>Necromantic occupation of tombs and corpse-associated haunting.</x:v>
      </x:c>
      <x:c r="M23" s="24" t="str">
        <x:v>Distinct from the Nazgûl despite the shared English term 'wight.'</x:v>
      </x:c>
      <x:c r="N23" s="24" t="str">
        <x:v>Barrow-dead and tomb guardian undead analogue.</x:v>
      </x:c>
      <x:c r="O23" s="24" t="str">
        <x:v>Primary canon</x:v>
      </x:c>
      <x:c r="P23" s="24" t="str">
        <x:v>Official reference reviewed</x:v>
      </x:c>
      <x:c r="Q23" s="24" t="str">
        <x:v>Tolkien Estate setting overview and primary legendarium corpus.</x:v>
      </x:c>
      <x:c r="R23" s="84" t="str">
        <x:v>https://www.tolkienestate.com/writing/</x:v>
      </x:c>
      <x:c r="S23" s="24" t="str">
        <x:v>Seeded</x:v>
      </x:c>
    </x:row>
    <x:row r="24" ht="52" customHeight="1">
      <x:c r="A24" s="24" t="str">
        <x:v>ENT-0023</x:v>
      </x:c>
      <x:c r="B24" s="24" t="str">
        <x:v>Beornings and skin-changers</x:v>
      </x:c>
      <x:c r="C24" s="24" t="str">
        <x:v>SRC-026</x:v>
      </x:c>
      <x:c r="D24" s="24" t="str">
        <x:v>Tolkien's Legendarium</x:v>
      </x:c>
      <x:c r="E24" s="24" t="str">
        <x:v>Legendarium (literary corpus)</x:v>
      </x:c>
      <x:c r="F24" s="24" t="str">
        <x:v>Human lineage / shapeshifters</x:v>
      </x:c>
      <x:c r="G24" s="24" t="str">
        <x:v>PPL-1001</x:v>
      </x:c>
      <x:c r="H24" s="24" t="str">
        <x:f>IFERROR(VLOOKUP(G24,'Master Taxonomy'!$A$2:$B$1226,2,FALSE),"")</x:f>
        <x:v>General Shapeshifters</x:v>
      </x:c>
      <x:c r="I24" s="24" t="str">
        <x:v>ROL-511</x:v>
      </x:c>
      <x:c r="J24" s="24" t="str">
        <x:v>Shapeshifting Warden</x:v>
      </x:c>
      <x:c r="K24" s="24" t="str">
        <x:v>Human-associated people or lineage linked to voluntary bear transformation and wilderness guardianship.</x:v>
      </x:c>
      <x:c r="L24" s="24" t="str">
        <x:v>Innate or inherited shapeshifting.</x:v>
      </x:c>
      <x:c r="M24" s="24" t="str">
        <x:v>Not presented as a conventional contagious were-creature curse.</x:v>
      </x:c>
      <x:c r="N24" s="24" t="str">
        <x:v>Positive guardian-shapeshifter and werebear analogue.</x:v>
      </x:c>
      <x:c r="O24" s="24" t="str">
        <x:v>Primary canon</x:v>
      </x:c>
      <x:c r="P24" s="24" t="str">
        <x:v>Official reference reviewed</x:v>
      </x:c>
      <x:c r="Q24" s="24" t="str">
        <x:v>Tolkien Estate setting overview and primary legendarium corpus.</x:v>
      </x:c>
      <x:c r="R24" s="84" t="str">
        <x:v>https://www.tolkienestate.com/writing/</x:v>
      </x:c>
      <x:c r="S24" s="24" t="str">
        <x:v>Seeded</x:v>
      </x:c>
    </x:row>
    <x:row r="25" ht="52" customHeight="1">
      <x:c r="A25" s="24" t="str">
        <x:v>ENT-0024</x:v>
      </x:c>
      <x:c r="B25" s="24" t="str">
        <x:v>Rangers of the North</x:v>
      </x:c>
      <x:c r="C25" s="24" t="str">
        <x:v>SRC-026</x:v>
      </x:c>
      <x:c r="D25" s="24" t="str">
        <x:v>Tolkien's Legendarium</x:v>
      </x:c>
      <x:c r="E25" s="24" t="str">
        <x:v>Legendarium (literary corpus)</x:v>
      </x:c>
      <x:c r="F25" s="24" t="str">
        <x:v>Martial vocation and remnant institution</x:v>
      </x:c>
      <x:c r="G25" s="24" t="str">
        <x:v>ROL-125</x:v>
      </x:c>
      <x:c r="H25" s="24" t="str">
        <x:f>IFERROR(VLOOKUP(G25,'Master Taxonomy'!$A$2:$B$1226,2,FALSE),"")</x:f>
        <x:v>Ranger</x:v>
      </x:c>
      <x:c r="I25" s="24" t="str">
        <x:v>INS-220</x:v>
      </x:c>
      <x:c r="J25" s="24" t="str">
        <x:v>Adventuring Company</x:v>
      </x:c>
      <x:c r="K25" s="24" t="str">
        <x:v>Dúnedain guardians operating in dispersed secrecy across the former northern kingdom.</x:v>
      </x:c>
      <x:c r="L25" s="24" t="str">
        <x:v>Training, lineage, fieldcraft, and inherited political duty.</x:v>
      </x:c>
      <x:c r="M25" s="24" t="str">
        <x:v>Ranger is a historical vocation here, not a spellcasting class.</x:v>
      </x:c>
      <x:c r="N25" s="24" t="str">
        <x:v>Influential wilderness guardian and hidden-heir support archetype.</x:v>
      </x:c>
      <x:c r="O25" s="24" t="str">
        <x:v>Primary canon</x:v>
      </x:c>
      <x:c r="P25" s="24" t="str">
        <x:v>Official reference reviewed</x:v>
      </x:c>
      <x:c r="Q25" s="24" t="str">
        <x:v>Tolkien Estate setting overview and primary legendarium corpus.</x:v>
      </x:c>
      <x:c r="R25" s="84" t="str">
        <x:v>https://www.tolkienestate.com/writing/</x:v>
      </x:c>
      <x:c r="S25" s="24" t="str">
        <x:v>Seeded</x:v>
      </x:c>
    </x:row>
    <x:row r="26" ht="52" customHeight="1">
      <x:c r="A26" s="24" t="str">
        <x:v>ENT-0025</x:v>
      </x:c>
      <x:c r="B26" s="24" t="str">
        <x:v>Rohirrim</x:v>
      </x:c>
      <x:c r="C26" s="24" t="str">
        <x:v>SRC-026</x:v>
      </x:c>
      <x:c r="D26" s="24" t="str">
        <x:v>Tolkien's Legendarium</x:v>
      </x:c>
      <x:c r="E26" s="24" t="str">
        <x:v>Legendarium (literary corpus)</x:v>
      </x:c>
      <x:c r="F26" s="24" t="str">
        <x:v>Human culture and military tradition</x:v>
      </x:c>
      <x:c r="G26" s="24" t="str">
        <x:v>ROL-116</x:v>
      </x:c>
      <x:c r="H26" s="24" t="str">
        <x:f>IFERROR(VLOOKUP(G26,'Master Taxonomy'!$A$2:$B$1226,2,FALSE),"")</x:f>
        <x:v>Cavalier and Mounted Knight</x:v>
      </x:c>
      <x:c r="I26" s="24" t="str">
        <x:v>CIV-205</x:v>
      </x:c>
      <x:c r="J26" s="24" t="str">
        <x:v>Nomadic Horse Culture</x:v>
      </x:c>
      <x:c r="K26" s="24" t="str">
        <x:v>A settled human kingdom whose identity and warfare center strongly on horses and mounted retinues.</x:v>
      </x:c>
      <x:c r="L26" s="24" t="str">
        <x:v>Culture, horsemanship, fealty, and military organization.</x:v>
      </x:c>
      <x:c r="M26" s="24" t="str">
        <x:v>They are not strictly nomadic; the horse-culture tag is comparative, not exact.</x:v>
      </x:c>
      <x:c r="N26" s="24" t="str">
        <x:v>Mounted heroic culture and cavalry kingdom analogue.</x:v>
      </x:c>
      <x:c r="O26" s="24" t="str">
        <x:v>Primary canon</x:v>
      </x:c>
      <x:c r="P26" s="24" t="str">
        <x:v>Official reference reviewed</x:v>
      </x:c>
      <x:c r="Q26" s="24" t="str">
        <x:v>Tolkien Estate setting overview and primary legendarium corpus.</x:v>
      </x:c>
      <x:c r="R26" s="84" t="str">
        <x:v>https://www.tolkienestate.com/writing/</x:v>
      </x:c>
      <x:c r="S26" s="24" t="str">
        <x:v>Seeded</x:v>
      </x:c>
    </x:row>
    <x:row r="27" ht="52" customHeight="1">
      <x:c r="A27" s="24" t="str">
        <x:v>ENT-0026</x:v>
      </x:c>
      <x:c r="B27" s="24" t="str">
        <x:v>Children of the Forest</x:v>
      </x:c>
      <x:c r="C27" s="24" t="str">
        <x:v>SRC-046</x:v>
      </x:c>
      <x:c r="D27" s="24" t="str">
        <x:v>A Song of Ice and Fire</x:v>
      </x:c>
      <x:c r="E27" s="24" t="str">
        <x:v>Novel continuity</x:v>
      </x:c>
      <x:c r="F27" s="24" t="str">
        <x:v>Nonhuman people</x:v>
      </x:c>
      <x:c r="G27" s="24" t="str">
        <x:v>PPL-200</x:v>
      </x:c>
      <x:c r="H27" s="24" t="str">
        <x:f>IFERROR(VLOOKUP(G27,'Master Taxonomy'!$A$2:$B$1226,2,FALSE),"")</x:f>
        <x:v>Fae, Nature, and Liminal Beings</x:v>
      </x:c>
      <x:c r="I27" s="24" t="str">
        <x:v>PPL-206</x:v>
      </x:c>
      <x:c r="J27" s="24" t="str">
        <x:v>Land and Watershed Spirits</x:v>
      </x:c>
      <x:c r="K27" s="24" t="str">
        <x:v>An ancient nonhuman people associated with the forests, weirwoods, greenseeing, and deep history.</x:v>
      </x:c>
      <x:c r="L27" s="24" t="str">
        <x:v>Innate gifts, ritual knowledge, and ecological-cultural relationship.</x:v>
      </x:c>
      <x:c r="M27" s="24" t="str">
        <x:v>They are a distinct people, not simply fairies or Tolkien-style elves.</x:v>
      </x:c>
      <x:c r="N27" s="24" t="str">
        <x:v>Partial analogue to elder nature peoples and land-linked fae.</x:v>
      </x:c>
      <x:c r="O27" s="24" t="str">
        <x:v>Primary canon</x:v>
      </x:c>
      <x:c r="P27" s="24" t="str">
        <x:v>Primary text reviewed</x:v>
      </x:c>
      <x:c r="Q27" s="24" t="str">
        <x:v>George R. R. Martin's primary novel corpus and official world-book listings.</x:v>
      </x:c>
      <x:c r="R27" s="84" t="str">
        <x:v>https://georgerrmartin.com/all-books/cover-gallery/a-song-of-ice-and-fire/</x:v>
      </x:c>
      <x:c r="S27" s="24" t="str">
        <x:v>Seeded</x:v>
      </x:c>
    </x:row>
    <x:row r="28" ht="52" customHeight="1">
      <x:c r="A28" s="24" t="str">
        <x:v>ENT-0027</x:v>
      </x:c>
      <x:c r="B28" s="24" t="str">
        <x:v>Giants</x:v>
      </x:c>
      <x:c r="C28" s="24" t="str">
        <x:v>SRC-046</x:v>
      </x:c>
      <x:c r="D28" s="24" t="str">
        <x:v>A Song of Ice and Fire</x:v>
      </x:c>
      <x:c r="E28" s="24" t="str">
        <x:v>Novel continuity</x:v>
      </x:c>
      <x:c r="F28" s="24" t="str">
        <x:v>Nonhuman people</x:v>
      </x:c>
      <x:c r="G28" s="24" t="str">
        <x:v>PPL-108</x:v>
      </x:c>
      <x:c r="H28" s="24" t="str">
        <x:f>IFERROR(VLOOKUP(G28,'Master Taxonomy'!$A$2:$B$1226,2,FALSE),"")</x:f>
        <x:v>Giantkin Peoples</x:v>
      </x:c>
      <x:c r="I28" s="24" t="str"/>
      <x:c r="J28" s="24" t="str"/>
      <x:c r="K28" s="24" t="str">
        <x:v>Large sapient beings of the far North with their own language and culture.</x:v>
      </x:c>
      <x:c r="L28" s="24" t="str">
        <x:v>Natural ancestry and northern ecology.</x:v>
      </x:c>
      <x:c r="M28" s="24" t="str">
        <x:v>They are a people rather than interchangeable giant monsters.</x:v>
      </x:c>
      <x:c r="N28" s="24" t="str">
        <x:v>Giantfolk and remnant elder-people analogue.</x:v>
      </x:c>
      <x:c r="O28" s="24" t="str">
        <x:v>Primary canon</x:v>
      </x:c>
      <x:c r="P28" s="24" t="str">
        <x:v>Primary text reviewed</x:v>
      </x:c>
      <x:c r="Q28" s="24" t="str">
        <x:v>George R. R. Martin's primary novel corpus and official world-book listings.</x:v>
      </x:c>
      <x:c r="R28" s="84" t="str">
        <x:v>https://georgerrmartin.com/all-books/cover-gallery/a-song-of-ice-and-fire/</x:v>
      </x:c>
      <x:c r="S28" s="24" t="str">
        <x:v>Seeded</x:v>
      </x:c>
    </x:row>
    <x:row r="29" ht="52" customHeight="1">
      <x:c r="A29" s="24" t="str">
        <x:v>ENT-0028</x:v>
      </x:c>
      <x:c r="B29" s="24" t="str">
        <x:v>The Others</x:v>
      </x:c>
      <x:c r="C29" s="24" t="str">
        <x:v>SRC-046</x:v>
      </x:c>
      <x:c r="D29" s="24" t="str">
        <x:v>A Song of Ice and Fire</x:v>
      </x:c>
      <x:c r="E29" s="24" t="str">
        <x:v>Novel continuity</x:v>
      </x:c>
      <x:c r="F29" s="24" t="str">
        <x:v>Mysterious nonhuman beings</x:v>
      </x:c>
      <x:c r="G29" s="24" t="str">
        <x:v>PPL-200</x:v>
      </x:c>
      <x:c r="H29" s="24" t="str">
        <x:f>IFERROR(VLOOKUP(G29,'Master Taxonomy'!$A$2:$B$1226,2,FALSE),"")</x:f>
        <x:v>Fae, Nature, and Liminal Beings</x:v>
      </x:c>
      <x:c r="I29" s="24" t="str">
        <x:v>PWR-203</x:v>
      </x:c>
      <x:c r="J29" s="24" t="str">
        <x:v>Ice and Cold Magic</x:v>
      </x:c>
      <x:c r="K29" s="24" t="str">
        <x:v>Elegant, deadly beings of supernatural cold whose origin and full nature remain unresolved in the novels.</x:v>
      </x:c>
      <x:c r="L29" s="24" t="str">
        <x:v>Unknown or disputed supernatural ontology; cold-associated power.</x:v>
      </x:c>
      <x:c r="M29" s="24" t="str">
        <x:v>They should not be classified as undead merely because they animate wights.</x:v>
      </x:c>
      <x:c r="N29" s="24" t="str">
        <x:v>Ice-fae, deathly outsider, and apocalyptic elder-being analogues.</x:v>
      </x:c>
      <x:c r="O29" s="24" t="str">
        <x:v>Primary canon</x:v>
      </x:c>
      <x:c r="P29" s="24" t="str">
        <x:v>Primary text reviewed</x:v>
      </x:c>
      <x:c r="Q29" s="24" t="str">
        <x:v>George R. R. Martin's primary novel corpus and official world-book listings.</x:v>
      </x:c>
      <x:c r="R29" s="84" t="str">
        <x:v>https://georgerrmartin.com/all-books/cover-gallery/a-song-of-ice-and-fire/</x:v>
      </x:c>
      <x:c r="S29" s="24" t="str">
        <x:v>Seeded</x:v>
      </x:c>
    </x:row>
    <x:row r="30" ht="52" customHeight="1">
      <x:c r="A30" s="24" t="str">
        <x:v>ENT-0029</x:v>
      </x:c>
      <x:c r="B30" s="24" t="str">
        <x:v>Wights</x:v>
      </x:c>
      <x:c r="C30" s="24" t="str">
        <x:v>SRC-046</x:v>
      </x:c>
      <x:c r="D30" s="24" t="str">
        <x:v>A Song of Ice and Fire</x:v>
      </x:c>
      <x:c r="E30" s="24" t="str">
        <x:v>Novel continuity</x:v>
      </x:c>
      <x:c r="F30" s="24" t="str">
        <x:v>Animated dead</x:v>
      </x:c>
      <x:c r="G30" s="24" t="str">
        <x:v>PPL-604</x:v>
      </x:c>
      <x:c r="H30" s="24" t="str">
        <x:f>IFERROR(VLOOKUP(G30,'Master Taxonomy'!$A$2:$B$1226,2,FALSE),"")</x:f>
        <x:v>Zombies</x:v>
      </x:c>
      <x:c r="I30" s="24" t="str">
        <x:v>STA-115</x:v>
      </x:c>
      <x:c r="J30" s="24" t="str">
        <x:v>Undead Servitude</x:v>
      </x:c>
      <x:c r="K30" s="24" t="str">
        <x:v>Corpses reanimated as servants or extensions of the Others' power.</x:v>
      </x:c>
      <x:c r="L30" s="24" t="str">
        <x:v>External supernatural animation.</x:v>
      </x:c>
      <x:c r="M30" s="24" t="str">
        <x:v>Their agency and mechanics differ from disease-based zombies.</x:v>
      </x:c>
      <x:c r="N30" s="24" t="str">
        <x:v>Puppet-undead and necromantic army analogue.</x:v>
      </x:c>
      <x:c r="O30" s="24" t="str">
        <x:v>Primary canon</x:v>
      </x:c>
      <x:c r="P30" s="24" t="str">
        <x:v>Primary text reviewed</x:v>
      </x:c>
      <x:c r="Q30" s="24" t="str">
        <x:v>George R. R. Martin's primary novel corpus and official world-book listings.</x:v>
      </x:c>
      <x:c r="R30" s="84" t="str">
        <x:v>https://georgerrmartin.com/all-books/cover-gallery/a-song-of-ice-and-fire/</x:v>
      </x:c>
      <x:c r="S30" s="24" t="str">
        <x:v>Seeded</x:v>
      </x:c>
    </x:row>
    <x:row r="31" ht="52" customHeight="1">
      <x:c r="A31" s="24" t="str">
        <x:v>ENT-0030</x:v>
      </x:c>
      <x:c r="B31" s="24" t="str">
        <x:v>Dragons</x:v>
      </x:c>
      <x:c r="C31" s="24" t="str">
        <x:v>SRC-046</x:v>
      </x:c>
      <x:c r="D31" s="24" t="str">
        <x:v>A Song of Ice and Fire</x:v>
      </x:c>
      <x:c r="E31" s="24" t="str">
        <x:v>Novel continuity</x:v>
      </x:c>
      <x:c r="F31" s="24" t="str">
        <x:v>Magical animal species</x:v>
      </x:c>
      <x:c r="G31" s="24" t="str">
        <x:v>PPL-801</x:v>
      </x:c>
      <x:c r="H31" s="24" t="str">
        <x:f>IFERROR(VLOOKUP(G31,'Master Taxonomy'!$A$2:$B$1226,2,FALSE),"")</x:f>
        <x:v>True Dragons</x:v>
      </x:c>
      <x:c r="I31" s="24" t="str"/>
      <x:c r="J31" s="24" t="str"/>
      <x:c r="K31" s="24" t="str">
        <x:v>Rare fire-breathing dragons linked to Valyrian power, conquest, and magical resurgence.</x:v>
      </x:c>
      <x:c r="L31" s="24" t="str">
        <x:v>Biology intertwined with magic, breeding, and uncertain ritual conditions.</x:v>
      </x:c>
      <x:c r="M31" s="24" t="str">
        <x:v>They are animal-like yet intelligent and symbolically dynastic, not conventional speaking sages.</x:v>
      </x:c>
      <x:c r="N31" s="24" t="str">
        <x:v>War-dragon, dynastic weapon, and returning-magic archetype.</x:v>
      </x:c>
      <x:c r="O31" s="24" t="str">
        <x:v>Primary canon</x:v>
      </x:c>
      <x:c r="P31" s="24" t="str">
        <x:v>Primary text reviewed</x:v>
      </x:c>
      <x:c r="Q31" s="24" t="str">
        <x:v>George R. R. Martin's primary novel corpus and official world-book listings.</x:v>
      </x:c>
      <x:c r="R31" s="84" t="str">
        <x:v>https://georgerrmartin.com/all-books/cover-gallery/a-song-of-ice-and-fire/</x:v>
      </x:c>
      <x:c r="S31" s="24" t="str">
        <x:v>Seeded</x:v>
      </x:c>
    </x:row>
    <x:row r="32" ht="52" customHeight="1">
      <x:c r="A32" s="24" t="str">
        <x:v>ENT-0031</x:v>
      </x:c>
      <x:c r="B32" s="24" t="str">
        <x:v>Direwolves</x:v>
      </x:c>
      <x:c r="C32" s="24" t="str">
        <x:v>SRC-046</x:v>
      </x:c>
      <x:c r="D32" s="24" t="str">
        <x:v>A Song of Ice and Fire</x:v>
      </x:c>
      <x:c r="E32" s="24" t="str">
        <x:v>Novel continuity</x:v>
      </x:c>
      <x:c r="F32" s="24" t="str">
        <x:v>Megafaunal species</x:v>
      </x:c>
      <x:c r="G32" s="24" t="str">
        <x:v>PPL-819</x:v>
      </x:c>
      <x:c r="H32" s="24" t="str">
        <x:f>IFERROR(VLOOKUP(G32,'Master Taxonomy'!$A$2:$B$1226,2,FALSE),"")</x:f>
        <x:v>Dire and Mythic Megafauna</x:v>
      </x:c>
      <x:c r="I32" s="24" t="str"/>
      <x:c r="J32" s="24" t="str"/>
      <x:c r="K32" s="24" t="str">
        <x:v>Oversized wolves of northern ecology and Stark symbolism.</x:v>
      </x:c>
      <x:c r="L32" s="24" t="str">
        <x:v>Natural species with possible magical bonds.</x:v>
      </x:c>
      <x:c r="M32" s="24" t="str">
        <x:v>Their narrative role combines animal companion, omen, and heraldic identity.</x:v>
      </x:c>
      <x:c r="N32" s="24" t="str">
        <x:v>Dire animal and soul-bonded companion analogue.</x:v>
      </x:c>
      <x:c r="O32" s="24" t="str">
        <x:v>Primary canon</x:v>
      </x:c>
      <x:c r="P32" s="24" t="str">
        <x:v>Primary text reviewed</x:v>
      </x:c>
      <x:c r="Q32" s="24" t="str">
        <x:v>George R. R. Martin's primary novel corpus and official world-book listings.</x:v>
      </x:c>
      <x:c r="R32" s="84" t="str">
        <x:v>https://georgerrmartin.com/all-books/cover-gallery/a-song-of-ice-and-fire/</x:v>
      </x:c>
      <x:c r="S32" s="24" t="str">
        <x:v>Seeded</x:v>
      </x:c>
    </x:row>
    <x:row r="33" ht="52" customHeight="1">
      <x:c r="A33" s="24" t="str">
        <x:v>ENT-0032</x:v>
      </x:c>
      <x:c r="B33" s="24" t="str">
        <x:v>Skinchangers</x:v>
      </x:c>
      <x:c r="C33" s="24" t="str">
        <x:v>SRC-046</x:v>
      </x:c>
      <x:c r="D33" s="24" t="str">
        <x:v>A Song of Ice and Fire</x:v>
      </x:c>
      <x:c r="E33" s="24" t="str">
        <x:v>Novel continuity</x:v>
      </x:c>
      <x:c r="F33" s="24" t="str">
        <x:v>Innate magical practitioners</x:v>
      </x:c>
      <x:c r="G33" s="24" t="str">
        <x:v>ROL-511</x:v>
      </x:c>
      <x:c r="H33" s="24" t="str">
        <x:f>IFERROR(VLOOKUP(G33,'Master Taxonomy'!$A$2:$B$1226,2,FALSE),"")</x:f>
        <x:v>Shapeshifting Warden</x:v>
      </x:c>
      <x:c r="I33" s="24" t="str">
        <x:v>PWR-310</x:v>
      </x:c>
      <x:c r="J33" s="24" t="str">
        <x:v>Shapeshifting</x:v>
      </x:c>
      <x:c r="K33" s="24" t="str">
        <x:v>People able to enter and influence animal minds, sometimes called wargs when linked to wolves.</x:v>
      </x:c>
      <x:c r="L33" s="24" t="str">
        <x:v>Innate gift, psychic projection, and animal bond.</x:v>
      </x:c>
      <x:c r="M33" s="24" t="str">
        <x:v>This is mind-transference, not bodily transformation.</x:v>
      </x:c>
      <x:c r="N33" s="24" t="str">
        <x:v>Warg, beast-mind, and animal-possession archetype.</x:v>
      </x:c>
      <x:c r="O33" s="24" t="str">
        <x:v>Primary canon</x:v>
      </x:c>
      <x:c r="P33" s="24" t="str">
        <x:v>Primary text reviewed</x:v>
      </x:c>
      <x:c r="Q33" s="24" t="str">
        <x:v>George R. R. Martin's primary novel corpus and official world-book listings.</x:v>
      </x:c>
      <x:c r="R33" s="84" t="str">
        <x:v>https://georgerrmartin.com/all-books/cover-gallery/a-song-of-ice-and-fire/</x:v>
      </x:c>
      <x:c r="S33" s="24" t="str">
        <x:v>Seeded</x:v>
      </x:c>
    </x:row>
    <x:row r="34" ht="52" customHeight="1">
      <x:c r="A34" s="24" t="str">
        <x:v>ENT-0033</x:v>
      </x:c>
      <x:c r="B34" s="24" t="str">
        <x:v>Greenseers</x:v>
      </x:c>
      <x:c r="C34" s="24" t="str">
        <x:v>SRC-046</x:v>
      </x:c>
      <x:c r="D34" s="24" t="str">
        <x:v>A Song of Ice and Fire</x:v>
      </x:c>
      <x:c r="E34" s="24" t="str">
        <x:v>Novel continuity</x:v>
      </x:c>
      <x:c r="F34" s="24" t="str">
        <x:v>Visionary magical role</x:v>
      </x:c>
      <x:c r="G34" s="24" t="str">
        <x:v>ROL-316</x:v>
      </x:c>
      <x:c r="H34" s="24" t="str">
        <x:f>IFERROR(VLOOKUP(G34,'Master Taxonomy'!$A$2:$B$1226,2,FALSE),"")</x:f>
        <x:v>Diviner and Seer</x:v>
      </x:c>
      <x:c r="I34" s="24" t="str">
        <x:v>PPL-206</x:v>
      </x:c>
      <x:c r="J34" s="24" t="str">
        <x:v>Land and Watershed Spirits</x:v>
      </x:c>
      <x:c r="K34" s="24" t="str">
        <x:v>Rare gifted figures associated with green dreams, weirwoods, memory, and remote perception.</x:v>
      </x:c>
      <x:c r="L34" s="24" t="str">
        <x:v>Innate vision mediated by living sacred networks.</x:v>
      </x:c>
      <x:c r="M34" s="24" t="str">
        <x:v>They are not generic druids; prophecy and memory are central.</x:v>
      </x:c>
      <x:c r="N34" s="24" t="str">
        <x:v>Ecological oracle and world-memory seer analogue.</x:v>
      </x:c>
      <x:c r="O34" s="24" t="str">
        <x:v>Primary canon</x:v>
      </x:c>
      <x:c r="P34" s="24" t="str">
        <x:v>Primary text reviewed</x:v>
      </x:c>
      <x:c r="Q34" s="24" t="str">
        <x:v>George R. R. Martin's primary novel corpus and official world-book listings.</x:v>
      </x:c>
      <x:c r="R34" s="84" t="str">
        <x:v>https://georgerrmartin.com/all-books/cover-gallery/a-song-of-ice-and-fire/</x:v>
      </x:c>
      <x:c r="S34" s="24" t="str">
        <x:v>Seeded</x:v>
      </x:c>
    </x:row>
    <x:row r="35" ht="52" customHeight="1">
      <x:c r="A35" s="24" t="str">
        <x:v>ENT-0034</x:v>
      </x:c>
      <x:c r="B35" s="24" t="str">
        <x:v>Maesters</x:v>
      </x:c>
      <x:c r="C35" s="24" t="str">
        <x:v>SRC-046</x:v>
      </x:c>
      <x:c r="D35" s="24" t="str">
        <x:v>A Song of Ice and Fire</x:v>
      </x:c>
      <x:c r="E35" s="24" t="str">
        <x:v>Novel continuity</x:v>
      </x:c>
      <x:c r="F35" s="24" t="str">
        <x:v>Scholarly professional order</x:v>
      </x:c>
      <x:c r="G35" s="24" t="str">
        <x:v>ROL-624</x:v>
      </x:c>
      <x:c r="H35" s="24" t="str">
        <x:f>IFERROR(VLOOKUP(G35,'Master Taxonomy'!$A$2:$B$1226,2,FALSE),"")</x:f>
        <x:v>Scholar</x:v>
      </x:c>
      <x:c r="I35" s="24" t="str">
        <x:v>MEC-112; INS-108</x:v>
      </x:c>
      <x:c r="J35" s="24" t="str">
        <x:v>Healer; Scholarly Society</x:v>
      </x:c>
      <x:c r="K35" s="24" t="str">
        <x:v>A trained order serving noble households in medicine, letters, counsel, and specialized learning.</x:v>
      </x:c>
      <x:c r="L35" s="24" t="str">
        <x:v>Institutional education and chains denoting fields of study.</x:v>
      </x:c>
      <x:c r="M35" s="24" t="str">
        <x:v>Mostly nonmagical despite operating in a fantasy world.</x:v>
      </x:c>
      <x:c r="N35" s="24" t="str">
        <x:v>Scholar-bureaucrat, court physician, and learned order archetype.</x:v>
      </x:c>
      <x:c r="O35" s="24" t="str">
        <x:v>Primary canon</x:v>
      </x:c>
      <x:c r="P35" s="24" t="str">
        <x:v>Primary text reviewed</x:v>
      </x:c>
      <x:c r="Q35" s="24" t="str">
        <x:v>George R. R. Martin's primary novel corpus and official world-book listings.</x:v>
      </x:c>
      <x:c r="R35" s="84" t="str">
        <x:v>https://georgerrmartin.com/all-books/cover-gallery/a-song-of-ice-and-fire/</x:v>
      </x:c>
      <x:c r="S35" s="24" t="str">
        <x:v>Seeded</x:v>
      </x:c>
    </x:row>
    <x:row r="36" ht="52" customHeight="1">
      <x:c r="A36" s="24" t="str">
        <x:v>ENT-0035</x:v>
      </x:c>
      <x:c r="B36" s="24" t="str">
        <x:v>Faceless Men</x:v>
      </x:c>
      <x:c r="C36" s="24" t="str">
        <x:v>SRC-046</x:v>
      </x:c>
      <x:c r="D36" s="24" t="str">
        <x:v>A Song of Ice and Fire</x:v>
      </x:c>
      <x:c r="E36" s="24" t="str">
        <x:v>Novel continuity</x:v>
      </x:c>
      <x:c r="F36" s="24" t="str">
        <x:v>Religious assassin order</x:v>
      </x:c>
      <x:c r="G36" s="24" t="str">
        <x:v>ROL-835</x:v>
      </x:c>
      <x:c r="H36" s="24" t="str">
        <x:f>IFERROR(VLOOKUP(G36,'Master Taxonomy'!$A$2:$B$1226,2,FALSE),"")</x:f>
        <x:v>Ritual Assassin</x:v>
      </x:c>
      <x:c r="I36" s="24" t="str">
        <x:v>INS-211</x:v>
      </x:c>
      <x:c r="J36" s="24" t="str">
        <x:v>Assassin Order</x:v>
      </x:c>
      <x:c r="K36" s="24" t="str">
        <x:v>An esoteric assassins' order combining disguise, death ritual, theology, and paid service.</x:v>
      </x:c>
      <x:c r="L36" s="24" t="str">
        <x:v>Training, identity effacement, poisons, disguise, and sacred ideology.</x:v>
      </x:c>
      <x:c r="M36" s="24" t="str">
        <x:v>They are not reducible to a thieves' guild or stealth class.</x:v>
      </x:c>
      <x:c r="N36" s="24" t="str">
        <x:v>Ritual assassin, death cult, and identity-erasure order analogue.</x:v>
      </x:c>
      <x:c r="O36" s="24" t="str">
        <x:v>Primary canon</x:v>
      </x:c>
      <x:c r="P36" s="24" t="str">
        <x:v>Primary text reviewed</x:v>
      </x:c>
      <x:c r="Q36" s="24" t="str">
        <x:v>George R. R. Martin's primary novel corpus and official world-book listings.</x:v>
      </x:c>
      <x:c r="R36" s="84" t="str">
        <x:v>https://georgerrmartin.com/all-books/cover-gallery/a-song-of-ice-and-fire/</x:v>
      </x:c>
      <x:c r="S36" s="24" t="str">
        <x:v>Seeded</x:v>
      </x:c>
    </x:row>
    <x:row r="37" ht="52" customHeight="1">
      <x:c r="A37" s="24" t="str">
        <x:v>ENT-0036</x:v>
      </x:c>
      <x:c r="B37" s="24" t="str">
        <x:v>Night's Watch</x:v>
      </x:c>
      <x:c r="C37" s="24" t="str">
        <x:v>SRC-046</x:v>
      </x:c>
      <x:c r="D37" s="24" t="str">
        <x:v>A Song of Ice and Fire</x:v>
      </x:c>
      <x:c r="E37" s="24" t="str">
        <x:v>Novel continuity</x:v>
      </x:c>
      <x:c r="F37" s="24" t="str">
        <x:v>Military-protective order</x:v>
      </x:c>
      <x:c r="G37" s="24" t="str">
        <x:v>INS-200</x:v>
      </x:c>
      <x:c r="H37" s="24" t="str">
        <x:f>IFERROR(VLOOKUP(G37,'Master Taxonomy'!$A$2:$B$1226,2,FALSE),"")</x:f>
        <x:v>Martial and Protective Organizations</x:v>
      </x:c>
      <x:c r="I37" s="24" t="str">
        <x:v>ROL-125</x:v>
      </x:c>
      <x:c r="J37" s="24" t="str">
        <x:v>Ranger</x:v>
      </x:c>
      <x:c r="K37" s="24" t="str">
        <x:v>A sworn frontier brotherhood tasked with guarding the Wall and realms of men.</x:v>
      </x:c>
      <x:c r="L37" s="24" t="str">
        <x:v>Oaths, institutional roles, fortifications, and fieldcraft.</x:v>
      </x:c>
      <x:c r="M37" s="24" t="str">
        <x:v>Its members include stewards and builders as well as rangers.</x:v>
      </x:c>
      <x:c r="N37" s="24" t="str">
        <x:v>Frontier order, penal brotherhood, and monster-border guard archetype.</x:v>
      </x:c>
      <x:c r="O37" s="24" t="str">
        <x:v>Primary canon</x:v>
      </x:c>
      <x:c r="P37" s="24" t="str">
        <x:v>Primary text reviewed</x:v>
      </x:c>
      <x:c r="Q37" s="24" t="str">
        <x:v>George R. R. Martin's primary novel corpus and official world-book listings.</x:v>
      </x:c>
      <x:c r="R37" s="84" t="str">
        <x:v>https://georgerrmartin.com/all-books/cover-gallery/a-song-of-ice-and-fire/</x:v>
      </x:c>
      <x:c r="S37" s="24" t="str">
        <x:v>Seeded</x:v>
      </x:c>
    </x:row>
    <x:row r="38" ht="52" customHeight="1">
      <x:c r="A38" s="24" t="str">
        <x:v>ENT-0037</x:v>
      </x:c>
      <x:c r="B38" s="24" t="str">
        <x:v>Kingsguard</x:v>
      </x:c>
      <x:c r="C38" s="24" t="str">
        <x:v>SRC-046</x:v>
      </x:c>
      <x:c r="D38" s="24" t="str">
        <x:v>A Song of Ice and Fire</x:v>
      </x:c>
      <x:c r="E38" s="24" t="str">
        <x:v>Novel continuity</x:v>
      </x:c>
      <x:c r="F38" s="24" t="str">
        <x:v>Royal knightly order</x:v>
      </x:c>
      <x:c r="G38" s="24" t="str">
        <x:v>INS-202</x:v>
      </x:c>
      <x:c r="H38" s="24" t="str">
        <x:f>IFERROR(VLOOKUP(G38,'Master Taxonomy'!$A$2:$B$1226,2,FALSE),"")</x:f>
        <x:v>Royal Guard</x:v>
      </x:c>
      <x:c r="I38" s="24" t="str">
        <x:v>ROL-115</x:v>
      </x:c>
      <x:c r="J38" s="24" t="str">
        <x:v>Knight</x:v>
      </x:c>
      <x:c r="K38" s="24" t="str">
        <x:v>Seven sworn knights charged with lifelong protection of the monarch and royal family.</x:v>
      </x:c>
      <x:c r="L38" s="24" t="str">
        <x:v>Oath, elite martial status, court office, and celibate service.</x:v>
      </x:c>
      <x:c r="M38" s="24" t="str">
        <x:v>The role is simultaneously honor ideal, political institution, and narrative test of vows.</x:v>
      </x:c>
      <x:c r="N38" s="24" t="str">
        <x:v>Elite royal bodyguard and oath-conflict archetype.</x:v>
      </x:c>
      <x:c r="O38" s="24" t="str">
        <x:v>Primary canon</x:v>
      </x:c>
      <x:c r="P38" s="24" t="str">
        <x:v>Primary text reviewed</x:v>
      </x:c>
      <x:c r="Q38" s="24" t="str">
        <x:v>George R. R. Martin's primary novel corpus and official world-book listings.</x:v>
      </x:c>
      <x:c r="R38" s="84" t="str">
        <x:v>https://georgerrmartin.com/all-books/cover-gallery/a-song-of-ice-and-fire/</x:v>
      </x:c>
      <x:c r="S38" s="24" t="str">
        <x:v>Seeded</x:v>
      </x:c>
    </x:row>
    <x:row r="39" ht="52" customHeight="1">
      <x:c r="A39" s="24" t="str">
        <x:v>ENT-0038</x:v>
      </x:c>
      <x:c r="B39" s="24" t="str">
        <x:v>Red Priests and Priestesses</x:v>
      </x:c>
      <x:c r="C39" s="24" t="str">
        <x:v>SRC-046</x:v>
      </x:c>
      <x:c r="D39" s="24" t="str">
        <x:v>A Song of Ice and Fire</x:v>
      </x:c>
      <x:c r="E39" s="24" t="str">
        <x:v>Novel continuity</x:v>
      </x:c>
      <x:c r="F39" s="24" t="str">
        <x:v>Religious magical vocation</x:v>
      </x:c>
      <x:c r="G39" s="24" t="str">
        <x:v>ROL-401</x:v>
      </x:c>
      <x:c r="H39" s="24" t="str">
        <x:f>IFERROR(VLOOKUP(G39,'Master Taxonomy'!$A$2:$B$1226,2,FALSE),"")</x:f>
        <x:v>Priest</x:v>
      </x:c>
      <x:c r="I39" s="24" t="str">
        <x:v>PWR-201; ROL-409</x:v>
      </x:c>
      <x:c r="J39" s="24" t="str">
        <x:v>Fire Magic; Prophet</x:v>
      </x:c>
      <x:c r="K39" s="24" t="str">
        <x:v>Clergy of R'hllor associated with fire ritual, visions, conversion, and occasional miracles.</x:v>
      </x:c>
      <x:c r="L39" s="24" t="str">
        <x:v>Faith, ritual fire, sacrifice, prophecy, and uncertain divine agency.</x:v>
      </x:c>
      <x:c r="M39" s="24" t="str">
        <x:v>Individual capabilities vary; theology and magic cannot be assumed identical.</x:v>
      </x:c>
      <x:c r="N39" s="24" t="str">
        <x:v>Fire priest, apocalyptic missionary, and miracle-worker analogue.</x:v>
      </x:c>
      <x:c r="O39" s="24" t="str">
        <x:v>Primary canon</x:v>
      </x:c>
      <x:c r="P39" s="24" t="str">
        <x:v>Primary text reviewed</x:v>
      </x:c>
      <x:c r="Q39" s="24" t="str">
        <x:v>George R. R. Martin's primary novel corpus and official world-book listings.</x:v>
      </x:c>
      <x:c r="R39" s="84" t="str">
        <x:v>https://georgerrmartin.com/all-books/cover-gallery/a-song-of-ice-and-fire/</x:v>
      </x:c>
      <x:c r="S39" s="24" t="str">
        <x:v>Seeded</x:v>
      </x:c>
    </x:row>
    <x:row r="40" ht="52" customHeight="1">
      <x:c r="A40" s="24" t="str">
        <x:v>ENT-0039</x:v>
      </x:c>
      <x:c r="B40" s="24" t="str">
        <x:v>Warlocks of Qarth</x:v>
      </x:c>
      <x:c r="C40" s="24" t="str">
        <x:v>SRC-046</x:v>
      </x:c>
      <x:c r="D40" s="24" t="str">
        <x:v>A Song of Ice and Fire</x:v>
      </x:c>
      <x:c r="E40" s="24" t="str">
        <x:v>Novel continuity</x:v>
      </x:c>
      <x:c r="F40" s="24" t="str">
        <x:v>Arcane fraternity</x:v>
      </x:c>
      <x:c r="G40" s="24" t="str">
        <x:v>ROL-304</x:v>
      </x:c>
      <x:c r="H40" s="24" t="str">
        <x:f>IFERROR(VLOOKUP(G40,'Master Taxonomy'!$A$2:$B$1226,2,FALSE),"")</x:f>
        <x:v>Warlock</x:v>
      </x:c>
      <x:c r="I40" s="24" t="str">
        <x:v>INS-102</x:v>
      </x:c>
      <x:c r="J40" s="24" t="str">
        <x:v>Mage Guild</x:v>
      </x:c>
      <x:c r="K40" s="24" t="str">
        <x:v>A Qartheen magical fraternity associated with the House of the Undying and shade of the evening.</x:v>
      </x:c>
      <x:c r="L40" s="24" t="str">
        <x:v>Ritual initiation, altered perception, and institutional lore.</x:v>
      </x:c>
      <x:c r="M40" s="24" t="str">
        <x:v>Their title is source-specific and not equivalent to pact magic in every game.</x:v>
      </x:c>
      <x:c r="N40" s="24" t="str">
        <x:v>Esoteric mage guild and decadent occult order analogue.</x:v>
      </x:c>
      <x:c r="O40" s="24" t="str">
        <x:v>Primary canon</x:v>
      </x:c>
      <x:c r="P40" s="24" t="str">
        <x:v>Primary text reviewed</x:v>
      </x:c>
      <x:c r="Q40" s="24" t="str">
        <x:v>George R. R. Martin's primary novel corpus and official world-book listings.</x:v>
      </x:c>
      <x:c r="R40" s="84" t="str">
        <x:v>https://georgerrmartin.com/all-books/cover-gallery/a-song-of-ice-and-fire/</x:v>
      </x:c>
      <x:c r="S40" s="24" t="str">
        <x:v>Seeded</x:v>
      </x:c>
    </x:row>
    <x:row r="41" ht="52" customHeight="1">
      <x:c r="A41" s="24" t="str">
        <x:v>ENT-0040</x:v>
      </x:c>
      <x:c r="B41" s="24" t="str">
        <x:v>Shadowbinders</x:v>
      </x:c>
      <x:c r="C41" s="24" t="str">
        <x:v>SRC-046</x:v>
      </x:c>
      <x:c r="D41" s="24" t="str">
        <x:v>A Song of Ice and Fire</x:v>
      </x:c>
      <x:c r="E41" s="24" t="str">
        <x:v>Novel continuity</x:v>
      </x:c>
      <x:c r="F41" s="24" t="str">
        <x:v>Occult magical role</x:v>
      </x:c>
      <x:c r="G41" s="24" t="str">
        <x:v>ROL-328</x:v>
      </x:c>
      <x:c r="H41" s="24" t="str">
        <x:f>IFERROR(VLOOKUP(G41,'Master Taxonomy'!$A$2:$B$1226,2,FALSE),"")</x:f>
        <x:v>Shadow Mage</x:v>
      </x:c>
      <x:c r="I41" s="24" t="str">
        <x:v>PWR-208</x:v>
      </x:c>
      <x:c r="J41" s="24" t="str">
        <x:v>Shadow and Darkness Magic</x:v>
      </x:c>
      <x:c r="K41" s="24" t="str">
        <x:v>Practitioners associated with Asshai, shadows, glamours, and dangerous ritual arts.</x:v>
      </x:c>
      <x:c r="L41" s="24" t="str">
        <x:v>Ritual knowledge, shadow manipulation, sacrifice, and obscure traditions.</x:v>
      </x:c>
      <x:c r="M41" s="24" t="str">
        <x:v>The novels intentionally leave mechanisms and limits uncertain.</x:v>
      </x:c>
      <x:c r="N41" s="24" t="str">
        <x:v>Shadow mage and forbidden ritualist analogue.</x:v>
      </x:c>
      <x:c r="O41" s="24" t="str">
        <x:v>Primary canon</x:v>
      </x:c>
      <x:c r="P41" s="24" t="str">
        <x:v>Primary text reviewed</x:v>
      </x:c>
      <x:c r="Q41" s="24" t="str">
        <x:v>George R. R. Martin's primary novel corpus and official world-book listings.</x:v>
      </x:c>
      <x:c r="R41" s="84" t="str">
        <x:v>https://georgerrmartin.com/all-books/cover-gallery/a-song-of-ice-and-fire/</x:v>
      </x:c>
      <x:c r="S41" s="24" t="str">
        <x:v>Seeded</x:v>
      </x:c>
    </x:row>
    <x:row r="42" ht="52" customHeight="1">
      <x:c r="A42" s="24" t="str">
        <x:v>ENT-0041</x:v>
      </x:c>
      <x:c r="B42" s="24" t="str">
        <x:v>Guild of Alchemists (Pyromancers)</x:v>
      </x:c>
      <x:c r="C42" s="24" t="str">
        <x:v>SRC-046</x:v>
      </x:c>
      <x:c r="D42" s="24" t="str">
        <x:v>A Song of Ice and Fire</x:v>
      </x:c>
      <x:c r="E42" s="24" t="str">
        <x:v>Novel continuity</x:v>
      </x:c>
      <x:c r="F42" s="24" t="str">
        <x:v>Artificer-alchemist guild</x:v>
      </x:c>
      <x:c r="G42" s="24" t="str">
        <x:v>ROL-338</x:v>
      </x:c>
      <x:c r="H42" s="24" t="str">
        <x:f>IFERROR(VLOOKUP(G42,'Master Taxonomy'!$A$2:$B$1226,2,FALSE),"")</x:f>
        <x:v>Alchemist</x:v>
      </x:c>
      <x:c r="I42" s="24" t="str">
        <x:v>ROL-321; INS-102</x:v>
      </x:c>
      <x:c r="J42" s="24" t="str">
        <x:v>Pyromancer; Mage Guild</x:v>
      </x:c>
      <x:c r="K42" s="24" t="str">
        <x:v>A King's Landing guild that manufactures and controls volatile wildfire.</x:v>
      </x:c>
      <x:c r="L42" s="24" t="str">
        <x:v>Specialized chemistry or magic, guarded formulae, and urban privilege.</x:v>
      </x:c>
      <x:c r="M42" s="24" t="str">
        <x:v>‘Pyromancer’ here is an institutional title, not merely a fire-spell caster.</x:v>
      </x:c>
      <x:c r="N42" s="24" t="str">
        <x:v>Explosives guild, state alchemist, and secretive artificer analogue.</x:v>
      </x:c>
      <x:c r="O42" s="24" t="str">
        <x:v>Primary canon</x:v>
      </x:c>
      <x:c r="P42" s="24" t="str">
        <x:v>Primary text reviewed</x:v>
      </x:c>
      <x:c r="Q42" s="24" t="str">
        <x:v>George R. R. Martin's primary novel corpus and official world-book listings.</x:v>
      </x:c>
      <x:c r="R42" s="84" t="str">
        <x:v>https://georgerrmartin.com/all-books/cover-gallery/a-song-of-ice-and-fire/</x:v>
      </x:c>
      <x:c r="S42" s="24" t="str">
        <x:v>Seeded</x:v>
      </x:c>
    </x:row>
    <x:row r="43" ht="52" customHeight="1">
      <x:c r="A43" s="24" t="str">
        <x:v>ENT-0042</x:v>
      </x:c>
      <x:c r="B43" s="24" t="str">
        <x:v>Dothraki bloodriders and mounted warriors</x:v>
      </x:c>
      <x:c r="C43" s="24" t="str">
        <x:v>SRC-046</x:v>
      </x:c>
      <x:c r="D43" s="24" t="str">
        <x:v>A Song of Ice and Fire</x:v>
      </x:c>
      <x:c r="E43" s="24" t="str">
        <x:v>Novel continuity</x:v>
      </x:c>
      <x:c r="F43" s="24" t="str">
        <x:v>Martial-cultural role</x:v>
      </x:c>
      <x:c r="G43" s="24" t="str">
        <x:v>ROL-132</x:v>
      </x:c>
      <x:c r="H43" s="24" t="str">
        <x:f>IFERROR(VLOOKUP(G43,'Master Taxonomy'!$A$2:$B$1226,2,FALSE),"")</x:f>
        <x:v>Mounted Archer</x:v>
      </x:c>
      <x:c r="I43" s="24" t="str">
        <x:v>CIV-205</x:v>
      </x:c>
      <x:c r="J43" s="24" t="str">
        <x:v>Nomadic Horse Culture</x:v>
      </x:c>
      <x:c r="K43" s="24" t="str">
        <x:v>Mounted warriors embedded in a mobile pastoral and raiding culture, with bloodriders bound personally to a khal.</x:v>
      </x:c>
      <x:c r="L43" s="24" t="str">
        <x:v>Horsemanship, bows, arakhs, kinship, and personal loyalty.</x:v>
      </x:c>
      <x:c r="M43" s="24" t="str">
        <x:v>A complex fictional culture should not be reduced to a generic barbarian class.</x:v>
      </x:c>
      <x:c r="N43" s="24" t="str">
        <x:v>Steppe-inspired cavalry and oath-companion analogue.</x:v>
      </x:c>
      <x:c r="O43" s="24" t="str">
        <x:v>Primary canon</x:v>
      </x:c>
      <x:c r="P43" s="24" t="str">
        <x:v>Primary text reviewed</x:v>
      </x:c>
      <x:c r="Q43" s="24" t="str">
        <x:v>George R. R. Martin's primary novel corpus and official world-book listings.</x:v>
      </x:c>
      <x:c r="R43" s="84" t="str">
        <x:v>https://georgerrmartin.com/all-books/cover-gallery/a-song-of-ice-and-fire/</x:v>
      </x:c>
      <x:c r="S43" s="24" t="str">
        <x:v>Seeded</x:v>
      </x:c>
    </x:row>
    <x:row r="44" ht="52" customHeight="1">
      <x:c r="A44" s="24" t="str">
        <x:v>ENT-0043</x:v>
      </x:c>
      <x:c r="B44" s="24" t="str">
        <x:v>Unsullied</x:v>
      </x:c>
      <x:c r="C44" s="24" t="str">
        <x:v>SRC-046</x:v>
      </x:c>
      <x:c r="D44" s="24" t="str">
        <x:v>A Song of Ice and Fire</x:v>
      </x:c>
      <x:c r="E44" s="24" t="str">
        <x:v>Novel continuity</x:v>
      </x:c>
      <x:c r="F44" s="24" t="str">
        <x:v>Engineered military caste</x:v>
      </x:c>
      <x:c r="G44" s="24" t="str">
        <x:v>ROL-104</x:v>
      </x:c>
      <x:c r="H44" s="24" t="str">
        <x:f>IFERROR(VLOOKUP(G44,'Master Taxonomy'!$A$2:$B$1226,2,FALSE),"")</x:f>
        <x:v>Heavy Infantry</x:v>
      </x:c>
      <x:c r="I44" s="24" t="str">
        <x:v>ROL-102</x:v>
      </x:c>
      <x:c r="J44" s="24" t="str">
        <x:v>Soldier</x:v>
      </x:c>
      <x:c r="K44" s="24" t="str">
        <x:v>Slave soldiers trained from childhood for formation discipline and obedience.</x:v>
      </x:c>
      <x:c r="L44" s="24" t="str">
        <x:v>Coercive institutional conditioning, drill, spear-and-shield tactics.</x:v>
      </x:c>
      <x:c r="M44" s="24" t="str">
        <x:v>Their identity is a produced social condition, not a biological people.</x:v>
      </x:c>
      <x:c r="N44" s="24" t="str">
        <x:v>Elite conditioned infantry and eunuch guard analogue.</x:v>
      </x:c>
      <x:c r="O44" s="24" t="str">
        <x:v>Primary canon</x:v>
      </x:c>
      <x:c r="P44" s="24" t="str">
        <x:v>Primary text reviewed</x:v>
      </x:c>
      <x:c r="Q44" s="24" t="str">
        <x:v>George R. R. Martin's primary novel corpus and official world-book listings.</x:v>
      </x:c>
      <x:c r="R44" s="84" t="str">
        <x:v>https://georgerrmartin.com/all-books/cover-gallery/a-song-of-ice-and-fire/</x:v>
      </x:c>
      <x:c r="S44" s="24" t="str">
        <x:v>Seeded</x:v>
      </x:c>
    </x:row>
    <x:row r="45" ht="52" customHeight="1">
      <x:c r="A45" s="24" t="str">
        <x:v>ENT-0044</x:v>
      </x:c>
      <x:c r="B45" s="24" t="str">
        <x:v>Ironborn reavers</x:v>
      </x:c>
      <x:c r="C45" s="24" t="str">
        <x:v>SRC-046</x:v>
      </x:c>
      <x:c r="D45" s="24" t="str">
        <x:v>A Song of Ice and Fire</x:v>
      </x:c>
      <x:c r="E45" s="24" t="str">
        <x:v>Novel continuity</x:v>
      </x:c>
      <x:c r="F45" s="24" t="str">
        <x:v>Maritime warrior tradition</x:v>
      </x:c>
      <x:c r="G45" s="24" t="str">
        <x:v>ROL-136</x:v>
      </x:c>
      <x:c r="H45" s="24" t="str">
        <x:f>IFERROR(VLOOKUP(G45,'Master Taxonomy'!$A$2:$B$1226,2,FALSE),"")</x:f>
        <x:v>Raider</x:v>
      </x:c>
      <x:c r="I45" s="24" t="str">
        <x:v>CIV-206</x:v>
      </x:c>
      <x:c r="J45" s="24" t="str">
        <x:v>Seafaring Raider Culture</x:v>
      </x:c>
      <x:c r="K45" s="24" t="str">
        <x:v>Seaborne raiders shaped by island ecology, hereditary lordship, and the Old Way ideology.</x:v>
      </x:c>
      <x:c r="L45" s="24" t="str">
        <x:v>Naval skill, raiding, religion, and status economy.</x:v>
      </x:c>
      <x:c r="M45" s="24" t="str">
        <x:v>Ironborn society includes farmers, thralls, priests, rulers, and reformers beyond reaving.</x:v>
      </x:c>
      <x:c r="N45" s="24" t="str">
        <x:v>Maritime raider culture and pirate aristocracy analogue.</x:v>
      </x:c>
      <x:c r="O45" s="24" t="str">
        <x:v>Primary canon</x:v>
      </x:c>
      <x:c r="P45" s="24" t="str">
        <x:v>Primary text reviewed</x:v>
      </x:c>
      <x:c r="Q45" s="24" t="str">
        <x:v>George R. R. Martin's primary novel corpus and official world-book listings.</x:v>
      </x:c>
      <x:c r="R45" s="84" t="str">
        <x:v>https://georgerrmartin.com/all-books/cover-gallery/a-song-of-ice-and-fire/</x:v>
      </x:c>
      <x:c r="S45" s="24" t="str">
        <x:v>Seeded</x:v>
      </x:c>
    </x:row>
    <x:row r="46" ht="52" customHeight="1">
      <x:c r="A46" s="24" t="str">
        <x:v>ENT-0045</x:v>
      </x:c>
      <x:c r="B46" s="24" t="str">
        <x:v>Brotherhood Without Banners</x:v>
      </x:c>
      <x:c r="C46" s="24" t="str">
        <x:v>SRC-046</x:v>
      </x:c>
      <x:c r="D46" s="24" t="str">
        <x:v>A Song of Ice and Fire</x:v>
      </x:c>
      <x:c r="E46" s="24" t="str">
        <x:v>Novel continuity</x:v>
      </x:c>
      <x:c r="F46" s="24" t="str">
        <x:v>Irregular armed company</x:v>
      </x:c>
      <x:c r="G46" s="24" t="str">
        <x:v>INS-220</x:v>
      </x:c>
      <x:c r="H46" s="24" t="str">
        <x:f>IFERROR(VLOOKUP(G46,'Master Taxonomy'!$A$2:$B$1226,2,FALSE),"")</x:f>
        <x:v>Adventuring Company</x:v>
      </x:c>
      <x:c r="I46" s="24" t="str">
        <x:v>ROL-137</x:v>
      </x:c>
      <x:c r="J46" s="24" t="str">
        <x:v>Mercenary</x:v>
      </x:c>
      <x:c r="K46" s="24" t="str">
        <x:v>A mobile outlaw brotherhood fighting under a changing ideal of royal justice and popular protection.</x:v>
      </x:c>
      <x:c r="L46" s="24" t="str">
        <x:v>Small-unit warfare, charismatic authority, local support, and shifting legitimacy.</x:v>
      </x:c>
      <x:c r="M46" s="24" t="str">
        <x:v>Not a conventional mercenary company because its stated mission is political and protective.</x:v>
      </x:c>
      <x:c r="N46" s="24" t="str">
        <x:v>Robin-Hood band, resistance cell, and morally unstable adventuring company analogue.</x:v>
      </x:c>
      <x:c r="O46" s="24" t="str">
        <x:v>Primary canon</x:v>
      </x:c>
      <x:c r="P46" s="24" t="str">
        <x:v>Primary text reviewed</x:v>
      </x:c>
      <x:c r="Q46" s="24" t="str">
        <x:v>George R. R. Martin's primary novel corpus and official world-book listings.</x:v>
      </x:c>
      <x:c r="R46" s="84" t="str">
        <x:v>https://georgerrmartin.com/all-books/cover-gallery/a-song-of-ice-and-fire/</x:v>
      </x:c>
      <x:c r="S46" s="24" t="str">
        <x:v>Seeded</x:v>
      </x:c>
    </x:row>
    <x:row r="47" ht="52" customHeight="1">
      <x:c r="A47" s="24" t="str">
        <x:v>ENT-0046</x:v>
      </x:c>
      <x:c r="B47" s="24" t="str">
        <x:v>Melisandre-style glamours</x:v>
      </x:c>
      <x:c r="C47" s="24" t="str">
        <x:v>SRC-046</x:v>
      </x:c>
      <x:c r="D47" s="24" t="str">
        <x:v>A Song of Ice and Fire</x:v>
      </x:c>
      <x:c r="E47" s="24" t="str">
        <x:v>Novel continuity</x:v>
      </x:c>
      <x:c r="F47" s="24" t="str">
        <x:v>Magical technique</x:v>
      </x:c>
      <x:c r="G47" s="24" t="str">
        <x:v>PWR-404</x:v>
      </x:c>
      <x:c r="H47" s="24" t="str">
        <x:f>IFERROR(VLOOKUP(G47,'Master Taxonomy'!$A$2:$B$1226,2,FALSE),"")</x:f>
        <x:v>Illusion and Glamour</x:v>
      </x:c>
      <x:c r="I47" s="24" t="str">
        <x:v>STA-402</x:v>
      </x:c>
      <x:c r="J47" s="24" t="str">
        <x:v>Relic Bearer</x:v>
      </x:c>
      <x:c r="K47" s="24" t="str">
        <x:v>Appearance-altering magic mediated by ritual, light, shadow, and possibly enchanted objects.</x:v>
      </x:c>
      <x:c r="L47" s="24" t="str">
        <x:v>Ritual practice and artifact support.</x:v>
      </x:c>
      <x:c r="M47" s="24" t="str">
        <x:v>The mechanism remains intentionally ambiguous and should not be over-systematized.</x:v>
      </x:c>
      <x:c r="N47" s="24" t="str">
        <x:v>Glamour magic and identity concealment technique.</x:v>
      </x:c>
      <x:c r="O47" s="24" t="str">
        <x:v>Primary canon</x:v>
      </x:c>
      <x:c r="P47" s="24" t="str">
        <x:v>Primary text reviewed</x:v>
      </x:c>
      <x:c r="Q47" s="24" t="str">
        <x:v>George R. R. Martin's primary novel corpus and official world-book listings.</x:v>
      </x:c>
      <x:c r="R47" s="84" t="str">
        <x:v>https://georgerrmartin.com/all-books/cover-gallery/a-song-of-ice-and-fire/</x:v>
      </x:c>
      <x:c r="S47" s="24" t="str">
        <x:v>Seeded</x:v>
      </x:c>
    </x:row>
    <x:row r="48" ht="52" customHeight="1">
      <x:c r="A48" s="24" t="str">
        <x:v>ENT-0047</x:v>
      </x:c>
      <x:c r="B48" s="24" t="str">
        <x:v>Valyrian dragonlords</x:v>
      </x:c>
      <x:c r="C48" s="24" t="str">
        <x:v>SRC-046</x:v>
      </x:c>
      <x:c r="D48" s="24" t="str">
        <x:v>A Song of Ice and Fire</x:v>
      </x:c>
      <x:c r="E48" s="24" t="str">
        <x:v>Novel continuity</x:v>
      </x:c>
      <x:c r="F48" s="24" t="str">
        <x:v>Ruling magical culture</x:v>
      </x:c>
      <x:c r="G48" s="24" t="str">
        <x:v>CIV-110</x:v>
      </x:c>
      <x:c r="H48" s="24" t="str">
        <x:f>IFERROR(VLOOKUP(G48,'Master Taxonomy'!$A$2:$B$1226,2,FALSE),"")</x:f>
        <x:v>Dragon-Ruled Realm</x:v>
      </x:c>
      <x:c r="I48" s="24" t="str">
        <x:v>ROL-150</x:v>
      </x:c>
      <x:c r="J48" s="24" t="str">
        <x:v>Dragon Rider</x:v>
      </x:c>
      <x:c r="K48" s="24" t="str">
        <x:v>An aristocratic civilization whose military and political dominance depended heavily on dragons.</x:v>
      </x:c>
      <x:c r="L48" s="24" t="str">
        <x:v>Bloodline ideology, dragon mastery, sorcery, slavery, and imperial institutions.</x:v>
      </x:c>
      <x:c r="M48" s="24" t="str">
        <x:v>This is a civilizational formation, not a player class.</x:v>
      </x:c>
      <x:c r="N48" s="24" t="str">
        <x:v>Dragon-rider empire and magical imperial elite archetype.</x:v>
      </x:c>
      <x:c r="O48" s="24" t="str">
        <x:v>Primary canon</x:v>
      </x:c>
      <x:c r="P48" s="24" t="str">
        <x:v>Primary text reviewed</x:v>
      </x:c>
      <x:c r="Q48" s="24" t="str">
        <x:v>George R. R. Martin's primary novel corpus and official world-book listings.</x:v>
      </x:c>
      <x:c r="R48" s="84" t="str">
        <x:v>https://georgerrmartin.com/all-books/cover-gallery/a-song-of-ice-and-fire/</x:v>
      </x:c>
      <x:c r="S48" s="24" t="str">
        <x:v>Seeded</x:v>
      </x:c>
    </x:row>
    <x:row r="49" ht="52" customHeight="1">
      <x:c r="A49" s="24" t="str">
        <x:v>ENT-0048</x:v>
      </x:c>
      <x:c r="B49" s="24" t="str">
        <x:v>Humans</x:v>
      </x:c>
      <x:c r="C49" s="24" t="str">
        <x:v>SRC-047</x:v>
      </x:c>
      <x:c r="D49" s="24" t="str">
        <x:v>The Witcher</x:v>
      </x:c>
      <x:c r="E49" s="24" t="str">
        <x:v>Book continuity</x:v>
      </x:c>
      <x:c r="F49" s="24" t="str">
        <x:v>People</x:v>
      </x:c>
      <x:c r="G49" s="24" t="str">
        <x:v>PPL-101</x:v>
      </x:c>
      <x:c r="H49" s="24" t="str">
        <x:f>IFERROR(VLOOKUP(G49,'Master Taxonomy'!$A$2:$B$1226,2,FALSE),"")</x:f>
        <x:v>Human and Near-Human Peoples</x:v>
      </x:c>
      <x:c r="I49" s="24" t="str"/>
      <x:c r="J49" s="24" t="str"/>
      <x:c r="K49" s="24" t="str">
        <x:v>The dominant mortal population across many Northern Kingdoms and Nilfgaardian territories.</x:v>
      </x:c>
      <x:c r="L49" s="24" t="str">
        <x:v>Natural ancestry and diverse cultures.</x:v>
      </x:c>
      <x:c r="M49" s="24" t="str">
        <x:v>Human political communities are not one culture or moral bloc.</x:v>
      </x:c>
      <x:c r="N49" s="24" t="str">
        <x:v>Baseline human plurality.</x:v>
      </x:c>
      <x:c r="O49" s="24" t="str">
        <x:v>Primary canon</x:v>
      </x:c>
      <x:c r="P49" s="24" t="str">
        <x:v>Official reference reviewed</x:v>
      </x:c>
      <x:c r="Q49" s="24" t="str">
        <x:v>Sapkowski's primary book continuity; official franchise material used for orientation.</x:v>
      </x:c>
      <x:c r="R49" s="84" t="str">
        <x:v>https://www.andrzejsapkowski.pl/</x:v>
      </x:c>
      <x:c r="S49" s="24" t="str">
        <x:v>Seeded</x:v>
      </x:c>
    </x:row>
    <x:row r="50" ht="52" customHeight="1">
      <x:c r="A50" s="24" t="str">
        <x:v>ENT-0049</x:v>
      </x:c>
      <x:c r="B50" s="24" t="str">
        <x:v>Aen Seidhe</x:v>
      </x:c>
      <x:c r="C50" s="24" t="str">
        <x:v>SRC-047</x:v>
      </x:c>
      <x:c r="D50" s="24" t="str">
        <x:v>The Witcher</x:v>
      </x:c>
      <x:c r="E50" s="24" t="str">
        <x:v>Book continuity</x:v>
      </x:c>
      <x:c r="F50" s="24" t="str">
        <x:v>Elven people</x:v>
      </x:c>
      <x:c r="G50" s="24" t="str">
        <x:v>PPL-102</x:v>
      </x:c>
      <x:c r="H50" s="24" t="str">
        <x:f>IFERROR(VLOOKUP(G50,'Master Taxonomy'!$A$2:$B$1226,2,FALSE),"")</x:f>
        <x:v>Elf-Derived Peoples</x:v>
      </x:c>
      <x:c r="I50" s="24" t="str"/>
      <x:c r="J50" s="24" t="str"/>
      <x:c r="K50" s="24" t="str">
        <x:v>Elves of the Continent, marked by long life, dispossession, political division, and cultural memory.</x:v>
      </x:c>
      <x:c r="L50" s="24" t="str">
        <x:v>Natural or otherworldly ancestry, longevity, and historical culture.</x:v>
      </x:c>
      <x:c r="M50" s="24" t="str">
        <x:v>Not interchangeable with Tolkien's Elves or generic woodland elves.</x:v>
      </x:c>
      <x:c r="N50" s="24" t="str">
        <x:v>Dispossessed elder people and long-lived minority analogue.</x:v>
      </x:c>
      <x:c r="O50" s="24" t="str">
        <x:v>Primary canon</x:v>
      </x:c>
      <x:c r="P50" s="24" t="str">
        <x:v>Official reference reviewed</x:v>
      </x:c>
      <x:c r="Q50" s="24" t="str">
        <x:v>Sapkowski's primary book continuity; official franchise material used for orientation.</x:v>
      </x:c>
      <x:c r="R50" s="84" t="str">
        <x:v>https://www.andrzejsapkowski.pl/</x:v>
      </x:c>
      <x:c r="S50" s="24" t="str">
        <x:v>Seeded</x:v>
      </x:c>
    </x:row>
    <x:row r="51" ht="52" customHeight="1">
      <x:c r="A51" s="24" t="str">
        <x:v>ENT-0050</x:v>
      </x:c>
      <x:c r="B51" s="24" t="str">
        <x:v>Aen Elle</x:v>
      </x:c>
      <x:c r="C51" s="24" t="str">
        <x:v>SRC-047</x:v>
      </x:c>
      <x:c r="D51" s="24" t="str">
        <x:v>The Witcher</x:v>
      </x:c>
      <x:c r="E51" s="24" t="str">
        <x:v>Book continuity</x:v>
      </x:c>
      <x:c r="F51" s="24" t="str">
        <x:v>Otherworldly elven people</x:v>
      </x:c>
      <x:c r="G51" s="24" t="str">
        <x:v>PPL-102</x:v>
      </x:c>
      <x:c r="H51" s="24" t="str">
        <x:f>IFERROR(VLOOKUP(G51,'Master Taxonomy'!$A$2:$B$1226,2,FALSE),"")</x:f>
        <x:v>Elf-Derived Peoples</x:v>
      </x:c>
      <x:c r="I51" s="24" t="str">
        <x:v>PPL-211</x:v>
      </x:c>
      <x:c r="J51" s="24" t="str">
        <x:v>Wild Hunt Beings</x:v>
      </x:c>
      <x:c r="K51" s="24" t="str">
        <x:v>An elven people inhabiting another world and linked to the riders known as the Wild Hunt.</x:v>
      </x:c>
      <x:c r="L51" s="24" t="str">
        <x:v>Otherworldly ancestry, interworld travel, and imperial power.</x:v>
      </x:c>
      <x:c r="M51" s="24" t="str">
        <x:v>Their social position and cosmology differ sharply from the Aen Seidhe.</x:v>
      </x:c>
      <x:c r="N51" s="24" t="str">
        <x:v>Otherworld elf, faerie host, and planar empire analogue.</x:v>
      </x:c>
      <x:c r="O51" s="24" t="str">
        <x:v>Primary canon</x:v>
      </x:c>
      <x:c r="P51" s="24" t="str">
        <x:v>Official reference reviewed</x:v>
      </x:c>
      <x:c r="Q51" s="24" t="str">
        <x:v>Sapkowski's primary book continuity; official franchise material used for orientation.</x:v>
      </x:c>
      <x:c r="R51" s="84" t="str">
        <x:v>https://www.andrzejsapkowski.pl/</x:v>
      </x:c>
      <x:c r="S51" s="24" t="str">
        <x:v>Seeded</x:v>
      </x:c>
    </x:row>
    <x:row r="52" ht="52" customHeight="1">
      <x:c r="A52" s="24" t="str">
        <x:v>ENT-0051</x:v>
      </x:c>
      <x:c r="B52" s="24" t="str">
        <x:v>Dwarves</x:v>
      </x:c>
      <x:c r="C52" s="24" t="str">
        <x:v>SRC-047</x:v>
      </x:c>
      <x:c r="D52" s="24" t="str">
        <x:v>The Witcher</x:v>
      </x:c>
      <x:c r="E52" s="24" t="str">
        <x:v>Book continuity</x:v>
      </x:c>
      <x:c r="F52" s="24" t="str">
        <x:v>People</x:v>
      </x:c>
      <x:c r="G52" s="24" t="str">
        <x:v>PPL-103</x:v>
      </x:c>
      <x:c r="H52" s="24" t="str">
        <x:f>IFERROR(VLOOKUP(G52,'Master Taxonomy'!$A$2:$B$1226,2,FALSE),"")</x:f>
        <x:v>Dwarf-Derived Peoples</x:v>
      </x:c>
      <x:c r="I52" s="24" t="str"/>
      <x:c r="J52" s="24" t="str"/>
      <x:c r="K52" s="24" t="str">
        <x:v>Long-lived nonhuman people integrated unevenly into human realms and trades.</x:v>
      </x:c>
      <x:c r="L52" s="24" t="str">
        <x:v>Natural ancestry, community networks, craft, commerce, and military service.</x:v>
      </x:c>
      <x:c r="M52" s="24" t="str">
        <x:v>Their social history is shaped by racism and coexistence, not only mining stereotypes.</x:v>
      </x:c>
      <x:c r="N52" s="24" t="str">
        <x:v>Urbanized and diasporic dwarf analogue.</x:v>
      </x:c>
      <x:c r="O52" s="24" t="str">
        <x:v>Primary canon</x:v>
      </x:c>
      <x:c r="P52" s="24" t="str">
        <x:v>Official reference reviewed</x:v>
      </x:c>
      <x:c r="Q52" s="24" t="str">
        <x:v>Sapkowski's primary book continuity; official franchise material used for orientation.</x:v>
      </x:c>
      <x:c r="R52" s="84" t="str">
        <x:v>https://www.andrzejsapkowski.pl/</x:v>
      </x:c>
      <x:c r="S52" s="24" t="str">
        <x:v>Seeded</x:v>
      </x:c>
    </x:row>
    <x:row r="53" ht="52" customHeight="1">
      <x:c r="A53" s="24" t="str">
        <x:v>ENT-0052</x:v>
      </x:c>
      <x:c r="B53" s="24" t="str">
        <x:v>Gnomes</x:v>
      </x:c>
      <x:c r="C53" s="24" t="str">
        <x:v>SRC-047</x:v>
      </x:c>
      <x:c r="D53" s="24" t="str">
        <x:v>The Witcher</x:v>
      </x:c>
      <x:c r="E53" s="24" t="str">
        <x:v>Book continuity</x:v>
      </x:c>
      <x:c r="F53" s="24" t="str">
        <x:v>People</x:v>
      </x:c>
      <x:c r="G53" s="24" t="str">
        <x:v>PPL-105</x:v>
      </x:c>
      <x:c r="H53" s="24" t="str">
        <x:f>IFERROR(VLOOKUP(G53,'Master Taxonomy'!$A$2:$B$1226,2,FALSE),"")</x:f>
        <x:v>Gnome and Tinkerfolk Peoples</x:v>
      </x:c>
      <x:c r="I53" s="24" t="str"/>
      <x:c r="J53" s="24" t="str"/>
      <x:c r="K53" s="24" t="str">
        <x:v>An old nonhuman people associated with craftsmanship and settlement before later arrivals.</x:v>
      </x:c>
      <x:c r="L53" s="24" t="str">
        <x:v>Natural ancestry and cultural history.</x:v>
      </x:c>
      <x:c r="M53" s="24" t="str">
        <x:v>They are distinct from dwarves despite overlapping craft associations.</x:v>
      </x:c>
      <x:c r="N53" s="24" t="str">
        <x:v>Small elder-craft people analogue.</x:v>
      </x:c>
      <x:c r="O53" s="24" t="str">
        <x:v>Primary canon</x:v>
      </x:c>
      <x:c r="P53" s="24" t="str">
        <x:v>Official reference reviewed</x:v>
      </x:c>
      <x:c r="Q53" s="24" t="str">
        <x:v>Sapkowski's primary book continuity; official franchise material used for orientation.</x:v>
      </x:c>
      <x:c r="R53" s="84" t="str">
        <x:v>https://www.andrzejsapkowski.pl/</x:v>
      </x:c>
      <x:c r="S53" s="24" t="str">
        <x:v>Seeded</x:v>
      </x:c>
    </x:row>
    <x:row r="54" ht="52" customHeight="1">
      <x:c r="A54" s="24" t="str">
        <x:v>ENT-0053</x:v>
      </x:c>
      <x:c r="B54" s="24" t="str">
        <x:v>Halflings</x:v>
      </x:c>
      <x:c r="C54" s="24" t="str">
        <x:v>SRC-047</x:v>
      </x:c>
      <x:c r="D54" s="24" t="str">
        <x:v>The Witcher</x:v>
      </x:c>
      <x:c r="E54" s="24" t="str">
        <x:v>Book continuity</x:v>
      </x:c>
      <x:c r="F54" s="24" t="str">
        <x:v>People</x:v>
      </x:c>
      <x:c r="G54" s="24" t="str">
        <x:v>PPL-104</x:v>
      </x:c>
      <x:c r="H54" s="24" t="str">
        <x:f>IFERROR(VLOOKUP(G54,'Master Taxonomy'!$A$2:$B$1226,2,FALSE),"")</x:f>
        <x:v>Halfling and Smallfolk Peoples</x:v>
      </x:c>
      <x:c r="I54" s="24" t="str"/>
      <x:c r="J54" s="24" t="str"/>
      <x:c r="K54" s="24" t="str">
        <x:v>Small-statured nonhuman people living within the Continent's mixed societies.</x:v>
      </x:c>
      <x:c r="L54" s="24" t="str">
        <x:v>Natural ancestry and local culture.</x:v>
      </x:c>
      <x:c r="M54" s="24" t="str">
        <x:v>Not defined solely by pastoral domesticity or stealth mechanics.</x:v>
      </x:c>
      <x:c r="N54" s="24" t="str">
        <x:v>Halfling and integrated smallfolk analogue.</x:v>
      </x:c>
      <x:c r="O54" s="24" t="str">
        <x:v>Primary canon</x:v>
      </x:c>
      <x:c r="P54" s="24" t="str">
        <x:v>Official reference reviewed</x:v>
      </x:c>
      <x:c r="Q54" s="24" t="str">
        <x:v>Sapkowski's primary book continuity; official franchise material used for orientation.</x:v>
      </x:c>
      <x:c r="R54" s="84" t="str">
        <x:v>https://www.andrzejsapkowski.pl/</x:v>
      </x:c>
      <x:c r="S54" s="24" t="str">
        <x:v>Seeded</x:v>
      </x:c>
    </x:row>
    <x:row r="55" ht="52" customHeight="1">
      <x:c r="A55" s="24" t="str">
        <x:v>ENT-0054</x:v>
      </x:c>
      <x:c r="B55" s="24" t="str">
        <x:v>Dryads of Brokilon</x:v>
      </x:c>
      <x:c r="C55" s="24" t="str">
        <x:v>SRC-047</x:v>
      </x:c>
      <x:c r="D55" s="24" t="str">
        <x:v>The Witcher</x:v>
      </x:c>
      <x:c r="E55" s="24" t="str">
        <x:v>Book continuity</x:v>
      </x:c>
      <x:c r="F55" s="24" t="str">
        <x:v>Forest people / transformed community</x:v>
      </x:c>
      <x:c r="G55" s="24" t="str">
        <x:v>PPL-203</x:v>
      </x:c>
      <x:c r="H55" s="24" t="str">
        <x:f>IFERROR(VLOOKUP(G55,'Master Taxonomy'!$A$2:$B$1226,2,FALSE),"")</x:f>
        <x:v>Dryads and Tree-Bound Beings</x:v>
      </x:c>
      <x:c r="I55" s="24" t="str">
        <x:v>ROL-512</x:v>
      </x:c>
      <x:c r="J55" s="24" t="str">
        <x:v>Forest Warden</x:v>
      </x:c>
      <x:c r="K55" s="24" t="str">
        <x:v>A female forest society defending Brokilon and incorporating outsiders through distinctive practices.</x:v>
      </x:c>
      <x:c r="L55" s="24" t="str">
        <x:v>Forest-linked identity, archery, ritual, and community reproduction.</x:v>
      </x:c>
      <x:c r="M55" s="24" t="str">
        <x:v>The source combines peoplehood, culture, and transformation rather than a simple plant species.</x:v>
      </x:c>
      <x:c r="N55" s="24" t="str">
        <x:v>Militant forest guardian and liminal dryad society analogue.</x:v>
      </x:c>
      <x:c r="O55" s="24" t="str">
        <x:v>Primary canon</x:v>
      </x:c>
      <x:c r="P55" s="24" t="str">
        <x:v>Official reference reviewed</x:v>
      </x:c>
      <x:c r="Q55" s="24" t="str">
        <x:v>Sapkowski's primary book continuity; official franchise material used for orientation.</x:v>
      </x:c>
      <x:c r="R55" s="84" t="str">
        <x:v>https://www.andrzejsapkowski.pl/</x:v>
      </x:c>
      <x:c r="S55" s="24" t="str">
        <x:v>Seeded</x:v>
      </x:c>
    </x:row>
    <x:row r="56" ht="52" customHeight="1">
      <x:c r="A56" s="24" t="str">
        <x:v>ENT-0055</x:v>
      </x:c>
      <x:c r="B56" s="24" t="str">
        <x:v>Witchers</x:v>
      </x:c>
      <x:c r="C56" s="24" t="str">
        <x:v>SRC-047</x:v>
      </x:c>
      <x:c r="D56" s="24" t="str">
        <x:v>The Witcher</x:v>
      </x:c>
      <x:c r="E56" s="24" t="str">
        <x:v>Book continuity</x:v>
      </x:c>
      <x:c r="F56" s="24" t="str">
        <x:v>Transformed professional order</x:v>
      </x:c>
      <x:c r="G56" s="24" t="str">
        <x:v>ROL-810</x:v>
      </x:c>
      <x:c r="H56" s="24" t="str">
        <x:f>IFERROR(VLOOKUP(G56,'Master Taxonomy'!$A$2:$B$1226,2,FALSE),"")</x:f>
        <x:v>Witcher and Alchemical Monster Hunter</x:v>
      </x:c>
      <x:c r="I56" s="24" t="str">
        <x:v>STA-206; INS-208</x:v>
      </x:c>
      <x:c r="J56" s="24" t="str">
        <x:v>Alchemical Enhancement; Monster-Hunter Order</x:v>
      </x:c>
      <x:c r="K56" s="24" t="str">
        <x:v>Professionally trained and alchemically mutated monster hunters using swords, potions, signs, and field knowledge.</x:v>
      </x:c>
      <x:c r="L56" s="24" t="str">
        <x:v>Training, mutation, alchemy, equipment, and school traditions.</x:v>
      </x:c>
      <x:c r="M56" s="24" t="str">
        <x:v>Witcher is simultaneously profession, transformed condition, and institutional lineage—not a species.</x:v>
      </x:c>
      <x:c r="N56" s="24" t="str">
        <x:v>Canonical alchemical monster-hunter archetype.</x:v>
      </x:c>
      <x:c r="O56" s="24" t="str">
        <x:v>Primary canon</x:v>
      </x:c>
      <x:c r="P56" s="24" t="str">
        <x:v>Official reference reviewed</x:v>
      </x:c>
      <x:c r="Q56" s="24" t="str">
        <x:v>Sapkowski's primary book continuity; official franchise material used for orientation.</x:v>
      </x:c>
      <x:c r="R56" s="84" t="str">
        <x:v>https://www.andrzejsapkowski.pl/</x:v>
      </x:c>
      <x:c r="S56" s="24" t="str">
        <x:v>Seeded</x:v>
      </x:c>
    </x:row>
    <x:row r="57" ht="52" customHeight="1">
      <x:c r="A57" s="24" t="str">
        <x:v>ENT-0056</x:v>
      </x:c>
      <x:c r="B57" s="24" t="str">
        <x:v>Witcher schools</x:v>
      </x:c>
      <x:c r="C57" s="24" t="str">
        <x:v>SRC-047</x:v>
      </x:c>
      <x:c r="D57" s="24" t="str">
        <x:v>The Witcher</x:v>
      </x:c>
      <x:c r="E57" s="24" t="str">
        <x:v>Franchise-spanning institutional layer</x:v>
      </x:c>
      <x:c r="F57" s="24" t="str">
        <x:v>Training orders</x:v>
      </x:c>
      <x:c r="G57" s="24" t="str">
        <x:v>INS-209</x:v>
      </x:c>
      <x:c r="H57" s="24" t="str">
        <x:f>IFERROR(VLOOKUP(G57,'Master Taxonomy'!$A$2:$B$1226,2,FALSE),"")</x:f>
        <x:v>Witcher School</x:v>
      </x:c>
      <x:c r="I57" s="24" t="str">
        <x:v>INS-208</x:v>
      </x:c>
      <x:c r="J57" s="24" t="str">
        <x:v>Monster-Hunter Order</x:v>
      </x:c>
      <x:c r="K57" s="24" t="str">
        <x:v>Distinct training lineages or institutions associated with witcher creation and practice.</x:v>
      </x:c>
      <x:c r="L57" s="24" t="str">
        <x:v>Institutional inheritance, techniques, symbols, and regional histories.</x:v>
      </x:c>
      <x:c r="M57" s="24" t="str">
        <x:v>The number, status, and detail of schools vary across books, games, and licensed adaptations.</x:v>
      </x:c>
      <x:c r="N57" s="24" t="str">
        <x:v>Monster-hunter school and prestige tradition analogue.</x:v>
      </x:c>
      <x:c r="O57" s="24" t="str">
        <x:v>Primary canon</x:v>
      </x:c>
      <x:c r="P57" s="24" t="str">
        <x:v>Official reference reviewed</x:v>
      </x:c>
      <x:c r="Q57" s="24" t="str">
        <x:v>Sapkowski's primary book continuity; official franchise material used for orientation.</x:v>
      </x:c>
      <x:c r="R57" s="84" t="str">
        <x:v>https://www.andrzejsapkowski.pl/</x:v>
      </x:c>
      <x:c r="S57" s="24" t="str">
        <x:v>Seeded</x:v>
      </x:c>
    </x:row>
    <x:row r="58" ht="52" customHeight="1">
      <x:c r="A58" s="24" t="str">
        <x:v>ENT-0057</x:v>
      </x:c>
      <x:c r="B58" s="24" t="str">
        <x:v>Sorcerers and sorceresses</x:v>
      </x:c>
      <x:c r="C58" s="24" t="str">
        <x:v>SRC-047</x:v>
      </x:c>
      <x:c r="D58" s="24" t="str">
        <x:v>The Witcher</x:v>
      </x:c>
      <x:c r="E58" s="24" t="str">
        <x:v>Book continuity</x:v>
      </x:c>
      <x:c r="F58" s="24" t="str">
        <x:v>Magical profession and elite</x:v>
      </x:c>
      <x:c r="G58" s="24" t="str">
        <x:v>ROL-301</x:v>
      </x:c>
      <x:c r="H58" s="24" t="str">
        <x:f>IFERROR(VLOOKUP(G58,'Master Taxonomy'!$A$2:$B$1226,2,FALSE),"")</x:f>
        <x:v>Mage and Wizard</x:v>
      </x:c>
      <x:c r="I58" s="24" t="str">
        <x:v>INS-102</x:v>
      </x:c>
      <x:c r="J58" s="24" t="str">
        <x:v>Mage Guild</x:v>
      </x:c>
      <x:c r="K58" s="24" t="str">
        <x:v>Highly trained magic users who often combine scholarship, court service, politics, and personal ambition.</x:v>
      </x:c>
      <x:c r="L58" s="24" t="str">
        <x:v>Education, innate aptitude, magical theory, and institutions.</x:v>
      </x:c>
      <x:c r="M58" s="24" t="str">
        <x:v>Gendered titles do not imply different power systems.</x:v>
      </x:c>
      <x:c r="N58" s="24" t="str">
        <x:v>Court mage, academy wizard, and transnational magical elite analogue.</x:v>
      </x:c>
      <x:c r="O58" s="24" t="str">
        <x:v>Primary canon</x:v>
      </x:c>
      <x:c r="P58" s="24" t="str">
        <x:v>Official reference reviewed</x:v>
      </x:c>
      <x:c r="Q58" s="24" t="str">
        <x:v>Sapkowski's primary book continuity; official franchise material used for orientation.</x:v>
      </x:c>
      <x:c r="R58" s="84" t="str">
        <x:v>https://www.andrzejsapkowski.pl/</x:v>
      </x:c>
      <x:c r="S58" s="24" t="str">
        <x:v>Seeded</x:v>
      </x:c>
    </x:row>
    <x:row r="59" ht="52" customHeight="1">
      <x:c r="A59" s="24" t="str">
        <x:v>ENT-0058</x:v>
      </x:c>
      <x:c r="B59" s="24" t="str">
        <x:v>Aretuza</x:v>
      </x:c>
      <x:c r="C59" s="24" t="str">
        <x:v>SRC-047</x:v>
      </x:c>
      <x:c r="D59" s="24" t="str">
        <x:v>The Witcher</x:v>
      </x:c>
      <x:c r="E59" s="24" t="str">
        <x:v>Book continuity</x:v>
      </x:c>
      <x:c r="F59" s="24" t="str">
        <x:v>Mage academy</x:v>
      </x:c>
      <x:c r="G59" s="24" t="str">
        <x:v>INS-308</x:v>
      </x:c>
      <x:c r="H59" s="24" t="str">
        <x:f>IFERROR(VLOOKUP(G59,'Master Taxonomy'!$A$2:$B$1226,2,FALSE),"")</x:f>
        <x:v>Mage Academy</x:v>
      </x:c>
      <x:c r="I59" s="24" t="str">
        <x:v>INS-102</x:v>
      </x:c>
      <x:c r="J59" s="24" t="str">
        <x:v>Mage Guild</x:v>
      </x:c>
      <x:c r="K59" s="24" t="str">
        <x:v>An elite institution for training female magic users and socializing them into political networks.</x:v>
      </x:c>
      <x:c r="L59" s="24" t="str">
        <x:v>Formal education, discipline, patronage, and institutional authority.</x:v>
      </x:c>
      <x:c r="M59" s="24" t="str">
        <x:v>It is an institution rather than a class or spell tradition.</x:v>
      </x:c>
      <x:c r="N59" s="24" t="str">
        <x:v>Magical boarding academy and elite professional network analogue.</x:v>
      </x:c>
      <x:c r="O59" s="24" t="str">
        <x:v>Primary canon</x:v>
      </x:c>
      <x:c r="P59" s="24" t="str">
        <x:v>Official reference reviewed</x:v>
      </x:c>
      <x:c r="Q59" s="24" t="str">
        <x:v>Sapkowski's primary book continuity; official franchise material used for orientation.</x:v>
      </x:c>
      <x:c r="R59" s="84" t="str">
        <x:v>https://www.andrzejsapkowski.pl/</x:v>
      </x:c>
      <x:c r="S59" s="24" t="str">
        <x:v>Seeded</x:v>
      </x:c>
    </x:row>
    <x:row r="60" ht="52" customHeight="1">
      <x:c r="A60" s="24" t="str">
        <x:v>ENT-0059</x:v>
      </x:c>
      <x:c r="B60" s="24" t="str">
        <x:v>Ban Ard</x:v>
      </x:c>
      <x:c r="C60" s="24" t="str">
        <x:v>SRC-047</x:v>
      </x:c>
      <x:c r="D60" s="24" t="str">
        <x:v>The Witcher</x:v>
      </x:c>
      <x:c r="E60" s="24" t="str">
        <x:v>Book continuity</x:v>
      </x:c>
      <x:c r="F60" s="24" t="str">
        <x:v>Mage academy</x:v>
      </x:c>
      <x:c r="G60" s="24" t="str">
        <x:v>INS-308</x:v>
      </x:c>
      <x:c r="H60" s="24" t="str">
        <x:f>IFERROR(VLOOKUP(G60,'Master Taxonomy'!$A$2:$B$1226,2,FALSE),"")</x:f>
        <x:v>Mage Academy</x:v>
      </x:c>
      <x:c r="I60" s="24" t="str">
        <x:v>INS-102</x:v>
      </x:c>
      <x:c r="J60" s="24" t="str">
        <x:v>Mage Guild</x:v>
      </x:c>
      <x:c r="K60" s="24" t="str">
        <x:v>A major institution associated with the education of male mages.</x:v>
      </x:c>
      <x:c r="L60" s="24" t="str">
        <x:v>Formal magical education and professional networking.</x:v>
      </x:c>
      <x:c r="M60" s="24" t="str">
        <x:v>Adaptations may change its prominence or details.</x:v>
      </x:c>
      <x:c r="N60" s="24" t="str">
        <x:v>Parallel mage-academy archetype.</x:v>
      </x:c>
      <x:c r="O60" s="24" t="str">
        <x:v>Primary canon</x:v>
      </x:c>
      <x:c r="P60" s="24" t="str">
        <x:v>Official reference reviewed</x:v>
      </x:c>
      <x:c r="Q60" s="24" t="str">
        <x:v>Sapkowski's primary book continuity; official franchise material used for orientation.</x:v>
      </x:c>
      <x:c r="R60" s="84" t="str">
        <x:v>https://www.andrzejsapkowski.pl/</x:v>
      </x:c>
      <x:c r="S60" s="24" t="str">
        <x:v>Seeded</x:v>
      </x:c>
    </x:row>
    <x:row r="61" ht="52" customHeight="1">
      <x:c r="A61" s="24" t="str">
        <x:v>ENT-0060</x:v>
      </x:c>
      <x:c r="B61" s="24" t="str">
        <x:v>Druids</x:v>
      </x:c>
      <x:c r="C61" s="24" t="str">
        <x:v>SRC-047</x:v>
      </x:c>
      <x:c r="D61" s="24" t="str">
        <x:v>The Witcher</x:v>
      </x:c>
      <x:c r="E61" s="24" t="str">
        <x:v>Book continuity</x:v>
      </x:c>
      <x:c r="F61" s="24" t="str">
        <x:v>Nature-spiritual vocation</x:v>
      </x:c>
      <x:c r="G61" s="24" t="str">
        <x:v>ROL-501</x:v>
      </x:c>
      <x:c r="H61" s="24" t="str">
        <x:f>IFERROR(VLOOKUP(G61,'Master Taxonomy'!$A$2:$B$1226,2,FALSE),"")</x:f>
        <x:v>Druid</x:v>
      </x:c>
      <x:c r="I61" s="24" t="str">
        <x:v>INS-307</x:v>
      </x:c>
      <x:c r="J61" s="24" t="str">
        <x:v>Druid Circle</x:v>
      </x:c>
      <x:c r="K61" s="24" t="str">
        <x:v>Practitioners organized in groves and circles, associated with nature, healing, wisdom, and local authority.</x:v>
      </x:c>
      <x:c r="L61" s="24" t="str">
        <x:v>Training, spiritual practice, herbal knowledge, and nature magic.</x:v>
      </x:c>
      <x:c r="M61" s="24" t="str">
        <x:v>They are not merely shapeshifting game druids.</x:v>
      </x:c>
      <x:c r="N61" s="24" t="str">
        <x:v>Druidic college, healer, and ecological mediator analogue.</x:v>
      </x:c>
      <x:c r="O61" s="24" t="str">
        <x:v>Primary canon</x:v>
      </x:c>
      <x:c r="P61" s="24" t="str">
        <x:v>Official reference reviewed</x:v>
      </x:c>
      <x:c r="Q61" s="24" t="str">
        <x:v>Sapkowski's primary book continuity; official franchise material used for orientation.</x:v>
      </x:c>
      <x:c r="R61" s="84" t="str">
        <x:v>https://www.andrzejsapkowski.pl/</x:v>
      </x:c>
      <x:c r="S61" s="24" t="str">
        <x:v>Seeded</x:v>
      </x:c>
    </x:row>
    <x:row r="62" ht="52" customHeight="1">
      <x:c r="A62" s="24" t="str">
        <x:v>ENT-0061</x:v>
      </x:c>
      <x:c r="B62" s="24" t="str">
        <x:v>Higher vampires</x:v>
      </x:c>
      <x:c r="C62" s="24" t="str">
        <x:v>SRC-047</x:v>
      </x:c>
      <x:c r="D62" s="24" t="str">
        <x:v>The Witcher</x:v>
      </x:c>
      <x:c r="E62" s="24" t="str">
        <x:v>Book and game continuities distinguished</x:v>
      </x:c>
      <x:c r="F62" s="24" t="str">
        <x:v>Nonhuman people / monster kind</x:v>
      </x:c>
      <x:c r="G62" s="24" t="str">
        <x:v>PPL-607</x:v>
      </x:c>
      <x:c r="H62" s="24" t="str">
        <x:f>IFERROR(VLOOKUP(G62,'Master Taxonomy'!$A$2:$B$1226,2,FALSE),"")</x:f>
        <x:v>Vampires</x:v>
      </x:c>
      <x:c r="I62" s="24" t="str"/>
      <x:c r="J62" s="24" t="str"/>
      <x:c r="K62" s="24" t="str">
        <x:v>Powerful intelligent beings called vampires whose origin and biology differ from conventional human undead.</x:v>
      </x:c>
      <x:c r="L62" s="24" t="str">
        <x:v>Post-Conjunction or otherworldly species, innate powers, and long life.</x:v>
      </x:c>
      <x:c r="M62" s="24" t="str">
        <x:v>They should not automatically be treated as reanimated corpses or contagious undead.</x:v>
      </x:c>
      <x:c r="N62" s="24" t="str">
        <x:v>Vampire-by-function but species-like in ontology.</x:v>
      </x:c>
      <x:c r="O62" s="24" t="str">
        <x:v>Primary canon</x:v>
      </x:c>
      <x:c r="P62" s="24" t="str">
        <x:v>Official reference reviewed</x:v>
      </x:c>
      <x:c r="Q62" s="24" t="str">
        <x:v>Sapkowski's primary book continuity; official franchise material used for orientation.</x:v>
      </x:c>
      <x:c r="R62" s="84" t="str">
        <x:v>https://www.andrzejsapkowski.pl/</x:v>
      </x:c>
      <x:c r="S62" s="24" t="str">
        <x:v>Seeded</x:v>
      </x:c>
    </x:row>
    <x:row r="63" ht="52" customHeight="1">
      <x:c r="A63" s="24" t="str">
        <x:v>ENT-0062</x:v>
      </x:c>
      <x:c r="B63" s="24" t="str">
        <x:v>Bruxae and related vampire kinds</x:v>
      </x:c>
      <x:c r="C63" s="24" t="str">
        <x:v>SRC-047</x:v>
      </x:c>
      <x:c r="D63" s="24" t="str">
        <x:v>The Witcher</x:v>
      </x:c>
      <x:c r="E63" s="24" t="str">
        <x:v>Book continuity</x:v>
      </x:c>
      <x:c r="F63" s="24" t="str">
        <x:v>Monster kind</x:v>
      </x:c>
      <x:c r="G63" s="24" t="str">
        <x:v>PPL-607</x:v>
      </x:c>
      <x:c r="H63" s="24" t="str">
        <x:f>IFERROR(VLOOKUP(G63,'Master Taxonomy'!$A$2:$B$1226,2,FALSE),"")</x:f>
        <x:v>Vampires</x:v>
      </x:c>
      <x:c r="I63" s="24" t="str"/>
      <x:c r="J63" s="24" t="str"/>
      <x:c r="K63" s="24" t="str">
        <x:v>Predatory vampire forms combining humanoid intelligence, transformation, speed, and sonic or blood-associated traits.</x:v>
      </x:c>
      <x:c r="L63" s="24" t="str">
        <x:v>Innate monster physiology and predation.</x:v>
      </x:c>
      <x:c r="M63" s="24" t="str">
        <x:v>The setting's vampire taxonomy is plural rather than one universal template.</x:v>
      </x:c>
      <x:c r="N63" s="24" t="str">
        <x:v>Monstrous vampire subtype analogue.</x:v>
      </x:c>
      <x:c r="O63" s="24" t="str">
        <x:v>Primary canon</x:v>
      </x:c>
      <x:c r="P63" s="24" t="str">
        <x:v>Official reference reviewed</x:v>
      </x:c>
      <x:c r="Q63" s="24" t="str">
        <x:v>Sapkowski's primary book continuity; official franchise material used for orientation.</x:v>
      </x:c>
      <x:c r="R63" s="84" t="str">
        <x:v>https://www.andrzejsapkowski.pl/</x:v>
      </x:c>
      <x:c r="S63" s="24" t="str">
        <x:v>Seeded</x:v>
      </x:c>
    </x:row>
    <x:row r="64" ht="52" customHeight="1">
      <x:c r="A64" s="24" t="str">
        <x:v>ENT-0063</x:v>
      </x:c>
      <x:c r="B64" s="24" t="str">
        <x:v>Dopplers</x:v>
      </x:c>
      <x:c r="C64" s="24" t="str">
        <x:v>SRC-047</x:v>
      </x:c>
      <x:c r="D64" s="24" t="str">
        <x:v>The Witcher</x:v>
      </x:c>
      <x:c r="E64" s="24" t="str">
        <x:v>Book continuity</x:v>
      </x:c>
      <x:c r="F64" s="24" t="str">
        <x:v>Mutable people</x:v>
      </x:c>
      <x:c r="G64" s="24" t="str">
        <x:v>PPL-1002</x:v>
      </x:c>
      <x:c r="H64" s="24" t="str">
        <x:f>IFERROR(VLOOKUP(G64,'Master Taxonomy'!$A$2:$B$1226,2,FALSE),"")</x:f>
        <x:v>Doppelgangers and Identity Mimics</x:v>
      </x:c>
      <x:c r="I64" s="24" t="str"/>
      <x:c r="J64" s="24" t="str"/>
      <x:c r="K64" s="24" t="str">
        <x:v>Intelligent shapeshifters able to imitate other persons with remarkable physical and behavioral precision.</x:v>
      </x:c>
      <x:c r="L64" s="24" t="str">
        <x:v>Innate transformation and mimicry.</x:v>
      </x:c>
      <x:c r="M64" s="24" t="str">
        <x:v>They possess personhood and moral agency; disguise does not define them as inherently villainous.</x:v>
      </x:c>
      <x:c r="N64" s="24" t="str">
        <x:v>Ethical doppelganger and identity-mimic analogue.</x:v>
      </x:c>
      <x:c r="O64" s="24" t="str">
        <x:v>Primary canon</x:v>
      </x:c>
      <x:c r="P64" s="24" t="str">
        <x:v>Official reference reviewed</x:v>
      </x:c>
      <x:c r="Q64" s="24" t="str">
        <x:v>Sapkowski's primary book continuity; official franchise material used for orientation.</x:v>
      </x:c>
      <x:c r="R64" s="84" t="str">
        <x:v>https://www.andrzejsapkowski.pl/</x:v>
      </x:c>
      <x:c r="S64" s="24" t="str">
        <x:v>Seeded</x:v>
      </x:c>
    </x:row>
    <x:row r="65" ht="52" customHeight="1">
      <x:c r="A65" s="24" t="str">
        <x:v>ENT-0064</x:v>
      </x:c>
      <x:c r="B65" s="24" t="str">
        <x:v>Werewolves</x:v>
      </x:c>
      <x:c r="C65" s="24" t="str">
        <x:v>SRC-047</x:v>
      </x:c>
      <x:c r="D65" s="24" t="str">
        <x:v>The Witcher</x:v>
      </x:c>
      <x:c r="E65" s="24" t="str">
        <x:v>Book continuity</x:v>
      </x:c>
      <x:c r="F65" s="24" t="str">
        <x:v>Cursed shapeshifters</x:v>
      </x:c>
      <x:c r="G65" s="24" t="str">
        <x:v>PPL-1003</x:v>
      </x:c>
      <x:c r="H65" s="24" t="str">
        <x:f>IFERROR(VLOOKUP(G65,'Master Taxonomy'!$A$2:$B$1226,2,FALSE),"")</x:f>
        <x:v>Therianthropes</x:v>
      </x:c>
      <x:c r="I65" s="24" t="str">
        <x:v>STA-201</x:v>
      </x:c>
      <x:c r="J65" s="24" t="str">
        <x:v>Lycanthropy and Therianthropic Curse</x:v>
      </x:c>
      <x:c r="K65" s="24" t="str">
        <x:v>Humans or humanlike beings affected by lupine transformation through curse or condition.</x:v>
      </x:c>
      <x:c r="L65" s="24" t="str">
        <x:v>Curse, transformation, predatory impulse, and possible ritual cures.</x:v>
      </x:c>
      <x:c r="M65" s="24" t="str">
        <x:v>Cases vary and should not be forced into one infection model.</x:v>
      </x:c>
      <x:c r="N65" s="24" t="str">
        <x:v>Lycanthrope and curse-remediation archetype.</x:v>
      </x:c>
      <x:c r="O65" s="24" t="str">
        <x:v>Primary canon</x:v>
      </x:c>
      <x:c r="P65" s="24" t="str">
        <x:v>Official reference reviewed</x:v>
      </x:c>
      <x:c r="Q65" s="24" t="str">
        <x:v>Sapkowski's primary book continuity; official franchise material used for orientation.</x:v>
      </x:c>
      <x:c r="R65" s="84" t="str">
        <x:v>https://www.andrzejsapkowski.pl/</x:v>
      </x:c>
      <x:c r="S65" s="24" t="str">
        <x:v>Seeded</x:v>
      </x:c>
    </x:row>
    <x:row r="66" ht="52" customHeight="1">
      <x:c r="A66" s="24" t="str">
        <x:v>ENT-0065</x:v>
      </x:c>
      <x:c r="B66" s="24" t="str">
        <x:v>Leshens</x:v>
      </x:c>
      <x:c r="C66" s="24" t="str">
        <x:v>SRC-047</x:v>
      </x:c>
      <x:c r="D66" s="24" t="str">
        <x:v>The Witcher</x:v>
      </x:c>
      <x:c r="E66" s="24" t="str">
        <x:v>Book/game franchise</x:v>
      </x:c>
      <x:c r="F66" s="24" t="str">
        <x:v>Forest monster or spirit</x:v>
      </x:c>
      <x:c r="G66" s="24" t="str">
        <x:v>PPL-206</x:v>
      </x:c>
      <x:c r="H66" s="24" t="str">
        <x:f>IFERROR(VLOOKUP(G66,'Master Taxonomy'!$A$2:$B$1226,2,FALSE),"")</x:f>
        <x:v>Land and Watershed Spirits</x:v>
      </x:c>
      <x:c r="I66" s="24" t="str">
        <x:v>ROL-512</x:v>
      </x:c>
      <x:c r="J66" s="24" t="str">
        <x:v>Forest Warden</x:v>
      </x:c>
      <x:c r="K66" s="24" t="str">
        <x:v>Ancient forest-associated entities that command animals, roots, fear, and territorial power.</x:v>
      </x:c>
      <x:c r="L66" s="24" t="str">
        <x:v>Place-bound nature power and predatory guardianship.</x:v>
      </x:c>
      <x:c r="M66" s="24" t="str">
        <x:v>Game portrayals are more systematized than sparse literary references.</x:v>
      </x:c>
      <x:c r="N66" s="24" t="str">
        <x:v>Dark forest guardian and hostile genius-loci analogue.</x:v>
      </x:c>
      <x:c r="O66" s="24" t="str">
        <x:v>Primary canon</x:v>
      </x:c>
      <x:c r="P66" s="24" t="str">
        <x:v>Official reference reviewed</x:v>
      </x:c>
      <x:c r="Q66" s="24" t="str">
        <x:v>Sapkowski's primary book continuity; official franchise material used for orientation.</x:v>
      </x:c>
      <x:c r="R66" s="84" t="str">
        <x:v>https://www.andrzejsapkowski.pl/</x:v>
      </x:c>
      <x:c r="S66" s="24" t="str">
        <x:v>Seeded</x:v>
      </x:c>
    </x:row>
    <x:row r="67" ht="52" customHeight="1">
      <x:c r="A67" s="24" t="str">
        <x:v>ENT-0066</x:v>
      </x:c>
      <x:c r="B67" s="24" t="str">
        <x:v>Noonwraiths and nightwraiths</x:v>
      </x:c>
      <x:c r="C67" s="24" t="str">
        <x:v>SRC-047</x:v>
      </x:c>
      <x:c r="D67" s="24" t="str">
        <x:v>The Witcher</x:v>
      </x:c>
      <x:c r="E67" s="24" t="str">
        <x:v>Game continuity</x:v>
      </x:c>
      <x:c r="F67" s="24" t="str">
        <x:v>Spectral cursed dead</x:v>
      </x:c>
      <x:c r="G67" s="24" t="str">
        <x:v>PPL-601</x:v>
      </x:c>
      <x:c r="H67" s="24" t="str">
        <x:f>IFERROR(VLOOKUP(G67,'Master Taxonomy'!$A$2:$B$1226,2,FALSE),"")</x:f>
        <x:v>Ghosts</x:v>
      </x:c>
      <x:c r="I67" s="24" t="str">
        <x:v>STA-311</x:v>
      </x:c>
      <x:c r="J67" s="24" t="str">
        <x:v>Cursed State</x:v>
      </x:c>
      <x:c r="K67" s="24" t="str">
        <x:v>Spectral beings tied to traumatic death, place, time, and unresolved grievance.</x:v>
      </x:c>
      <x:c r="L67" s="24" t="str">
        <x:v>Curse, haunting, memory, and environmental conditions.</x:v>
      </x:c>
      <x:c r="M67" s="24" t="str">
        <x:v>These are game-system monster categories, not a universal book taxonomy.</x:v>
      </x:c>
      <x:c r="N67" s="24" t="str">
        <x:v>Time-bound revenant and tragic haunting analogue.</x:v>
      </x:c>
      <x:c r="O67" s="24" t="str">
        <x:v>Primary canon</x:v>
      </x:c>
      <x:c r="P67" s="24" t="str">
        <x:v>Official reference reviewed</x:v>
      </x:c>
      <x:c r="Q67" s="24" t="str">
        <x:v>Sapkowski's primary book continuity; official franchise material used for orientation.</x:v>
      </x:c>
      <x:c r="R67" s="84" t="str">
        <x:v>https://www.andrzejsapkowski.pl/</x:v>
      </x:c>
      <x:c r="S67" s="24" t="str">
        <x:v>Seeded</x:v>
      </x:c>
    </x:row>
    <x:row r="68" ht="52" customHeight="1">
      <x:c r="A68" s="24" t="str">
        <x:v>ENT-0067</x:v>
      </x:c>
      <x:c r="B68" s="24" t="str">
        <x:v>Botchlings</x:v>
      </x:c>
      <x:c r="C68" s="24" t="str">
        <x:v>SRC-047</x:v>
      </x:c>
      <x:c r="D68" s="24" t="str">
        <x:v>The Witcher</x:v>
      </x:c>
      <x:c r="E68" s="24" t="str">
        <x:v>Book/game franchise</x:v>
      </x:c>
      <x:c r="F68" s="24" t="str">
        <x:v>Cursed revenant-like monster</x:v>
      </x:c>
      <x:c r="G68" s="24" t="str">
        <x:v>PPL-602</x:v>
      </x:c>
      <x:c r="H68" s="24" t="str">
        <x:f>IFERROR(VLOOKUP(G68,'Master Taxonomy'!$A$2:$B$1226,2,FALSE),"")</x:f>
        <x:v>Revenants</x:v>
      </x:c>
      <x:c r="I68" s="24" t="str">
        <x:v>STA-311</x:v>
      </x:c>
      <x:c r="J68" s="24" t="str">
        <x:v>Cursed State</x:v>
      </x:c>
      <x:c r="K68" s="24" t="str">
        <x:v>Grotesque beings associated with improperly buried or rejected infants and potentially transformable ritual outcomes.</x:v>
      </x:c>
      <x:c r="L68" s="24" t="str">
        <x:v>Curse, burial failure, family trauma, and ritual response.</x:v>
      </x:c>
      <x:c r="M68" s="24" t="str">
        <x:v>Their classification blends folklore, tragedy, and monster mechanics.</x:v>
      </x:c>
      <x:c r="N68" s="24" t="str">
        <x:v>Domestic revenant and burial-taboo monster analogue.</x:v>
      </x:c>
      <x:c r="O68" s="24" t="str">
        <x:v>Primary canon</x:v>
      </x:c>
      <x:c r="P68" s="24" t="str">
        <x:v>Official reference reviewed</x:v>
      </x:c>
      <x:c r="Q68" s="24" t="str">
        <x:v>Sapkowski's primary book continuity; official franchise material used for orientation.</x:v>
      </x:c>
      <x:c r="R68" s="84" t="str">
        <x:v>https://www.andrzejsapkowski.pl/</x:v>
      </x:c>
      <x:c r="S68" s="24" t="str">
        <x:v>Seeded</x:v>
      </x:c>
    </x:row>
    <x:row r="69" ht="52" customHeight="1">
      <x:c r="A69" s="24" t="str">
        <x:v>ENT-0068</x:v>
      </x:c>
      <x:c r="B69" s="24" t="str">
        <x:v>Djinn</x:v>
      </x:c>
      <x:c r="C69" s="24" t="str">
        <x:v>SRC-047</x:v>
      </x:c>
      <x:c r="D69" s="24" t="str">
        <x:v>The Witcher</x:v>
      </x:c>
      <x:c r="E69" s="24" t="str">
        <x:v>Book continuity</x:v>
      </x:c>
      <x:c r="F69" s="24" t="str">
        <x:v>Elemental otherworldly being</x:v>
      </x:c>
      <x:c r="G69" s="24" t="str">
        <x:v>PPL-302</x:v>
      </x:c>
      <x:c r="H69" s="24" t="str">
        <x:f>IFERROR(VLOOKUP(G69,'Master Taxonomy'!$A$2:$B$1226,2,FALSE),"")</x:f>
        <x:v>Genies and Djinn-Derived Beings</x:v>
      </x:c>
      <x:c r="I69" s="24" t="str"/>
      <x:c r="J69" s="24" t="str"/>
      <x:c r="K69" s="24" t="str">
        <x:v>Extremely powerful air-associated beings subject to magical binding and wishes.</x:v>
      </x:c>
      <x:c r="L69" s="24" t="str">
        <x:v>Innate elemental power and coercive binding.</x:v>
      </x:c>
      <x:c r="M69" s="24" t="str">
        <x:v>Their wish function emerges through captivity rather than benevolent service.</x:v>
      </x:c>
      <x:c r="N69" s="24" t="str">
        <x:v>Dangerous bound-genie analogue.</x:v>
      </x:c>
      <x:c r="O69" s="24" t="str">
        <x:v>Primary canon</x:v>
      </x:c>
      <x:c r="P69" s="24" t="str">
        <x:v>Official reference reviewed</x:v>
      </x:c>
      <x:c r="Q69" s="24" t="str">
        <x:v>Sapkowski's primary book continuity; official franchise material used for orientation.</x:v>
      </x:c>
      <x:c r="R69" s="84" t="str">
        <x:v>https://www.andrzejsapkowski.pl/</x:v>
      </x:c>
      <x:c r="S69" s="24" t="str">
        <x:v>Seeded</x:v>
      </x:c>
    </x:row>
    <x:row r="70" ht="52" customHeight="1">
      <x:c r="A70" s="24" t="str">
        <x:v>ENT-0069</x:v>
      </x:c>
      <x:c r="B70" s="24" t="str">
        <x:v>Dragons</x:v>
      </x:c>
      <x:c r="C70" s="24" t="str">
        <x:v>SRC-047</x:v>
      </x:c>
      <x:c r="D70" s="24" t="str">
        <x:v>The Witcher</x:v>
      </x:c>
      <x:c r="E70" s="24" t="str">
        <x:v>Book continuity</x:v>
      </x:c>
      <x:c r="F70" s="24" t="str">
        <x:v>Rare intelligent creatures</x:v>
      </x:c>
      <x:c r="G70" s="24" t="str">
        <x:v>PPL-801</x:v>
      </x:c>
      <x:c r="H70" s="24" t="str">
        <x:f>IFERROR(VLOOKUP(G70,'Master Taxonomy'!$A$2:$B$1226,2,FALSE),"")</x:f>
        <x:v>True Dragons</x:v>
      </x:c>
      <x:c r="I70" s="24" t="str"/>
      <x:c r="J70" s="24" t="str"/>
      <x:c r="K70" s="24" t="str">
        <x:v>Rare draconic beings including differentiated kinds and exceptionally intelligent golden dragons.</x:v>
      </x:c>
      <x:c r="L70" s="24" t="str">
        <x:v>Natural or magical species, flight, breath, and intelligence.</x:v>
      </x:c>
      <x:c r="M70" s="24" t="str">
        <x:v>Witcher ethics distinguish sapient or rare creatures from indiscriminate monster targets.</x:v>
      </x:c>
      <x:c r="N70" s="24" t="str">
        <x:v>Protected dragon, monster-hunting dilemma, and polymorphic dragon analogue.</x:v>
      </x:c>
      <x:c r="O70" s="24" t="str">
        <x:v>Primary canon</x:v>
      </x:c>
      <x:c r="P70" s="24" t="str">
        <x:v>Official reference reviewed</x:v>
      </x:c>
      <x:c r="Q70" s="24" t="str">
        <x:v>Sapkowski's primary book continuity; official franchise material used for orientation.</x:v>
      </x:c>
      <x:c r="R70" s="84" t="str">
        <x:v>https://www.andrzejsapkowski.pl/</x:v>
      </x:c>
      <x:c r="S70" s="24" t="str">
        <x:v>Seeded</x:v>
      </x:c>
    </x:row>
    <x:row r="71" ht="52" customHeight="1">
      <x:c r="A71" s="24" t="str">
        <x:v>ENT-0070</x:v>
      </x:c>
      <x:c r="B71" s="24" t="str">
        <x:v>The Wild Hunt</x:v>
      </x:c>
      <x:c r="C71" s="24" t="str">
        <x:v>SRC-047</x:v>
      </x:c>
      <x:c r="D71" s="24" t="str">
        <x:v>The Witcher</x:v>
      </x:c>
      <x:c r="E71" s="24" t="str">
        <x:v>Book and game continuities distinguished</x:v>
      </x:c>
      <x:c r="F71" s="24" t="str">
        <x:v>Otherworldly host and military formation</x:v>
      </x:c>
      <x:c r="G71" s="24" t="str">
        <x:v>PPL-211</x:v>
      </x:c>
      <x:c r="H71" s="24" t="str">
        <x:f>IFERROR(VLOOKUP(G71,'Master Taxonomy'!$A$2:$B$1226,2,FALSE),"")</x:f>
        <x:v>Wild Hunt Beings</x:v>
      </x:c>
      <x:c r="I71" s="24" t="str">
        <x:v>INS-200</x:v>
      </x:c>
      <x:c r="J71" s="24" t="str">
        <x:v>Martial and Protective Organizations</x:v>
      </x:c>
      <x:c r="K71" s="24" t="str">
        <x:v>A terrifying spectral-seeming host linked to the Aen Elle and interworld raiding.</x:v>
      </x:c>
      <x:c r="L71" s="24" t="str">
        <x:v>Otherworldly technology or magic, cavalry, illusion, and organized power.</x:v>
      </x:c>
      <x:c r="M71" s="24" t="str">
        <x:v>Its apparent spectrality can conceal embodied political actors.</x:v>
      </x:c>
      <x:c r="N71" s="24" t="str">
        <x:v>Faerie host, death cavalry, and planar raider analogue.</x:v>
      </x:c>
      <x:c r="O71" s="24" t="str">
        <x:v>Primary canon</x:v>
      </x:c>
      <x:c r="P71" s="24" t="str">
        <x:v>Official reference reviewed</x:v>
      </x:c>
      <x:c r="Q71" s="24" t="str">
        <x:v>Sapkowski's primary book continuity; official franchise material used for orientation.</x:v>
      </x:c>
      <x:c r="R71" s="84" t="str">
        <x:v>https://www.andrzejsapkowski.pl/</x:v>
      </x:c>
      <x:c r="S71" s="24" t="str">
        <x:v>Seeded</x:v>
      </x:c>
    </x:row>
    <x:row r="72" ht="52" customHeight="1">
      <x:c r="A72" s="24" t="str">
        <x:v>ENT-0071</x:v>
      </x:c>
      <x:c r="B72" s="24" t="str">
        <x:v>Signs</x:v>
      </x:c>
      <x:c r="C72" s="24" t="str">
        <x:v>SRC-047</x:v>
      </x:c>
      <x:c r="D72" s="24" t="str">
        <x:v>The Witcher</x:v>
      </x:c>
      <x:c r="E72" s="24" t="str">
        <x:v>Book/game franchise</x:v>
      </x:c>
      <x:c r="F72" s="24" t="str">
        <x:v>Compact magical technique</x:v>
      </x:c>
      <x:c r="G72" s="24" t="str">
        <x:v>PWR-502</x:v>
      </x:c>
      <x:c r="H72" s="24" t="str">
        <x:f>IFERROR(VLOOKUP(G72,'Master Taxonomy'!$A$2:$B$1226,2,FALSE),"")</x:f>
        <x:v>Sigils, Seals, and Wards</x:v>
      </x:c>
      <x:c r="I72" s="24" t="str"/>
      <x:c r="J72" s="24" t="str"/>
      <x:c r="K72" s="24" t="str">
        <x:v>Simple or rapidly executed magical signs used by witchers for limited tactical effects.</x:v>
      </x:c>
      <x:c r="L72" s="24" t="str">
        <x:v>Training, gesture, concentration, and modest magical aptitude.</x:v>
      </x:c>
      <x:c r="M72" s="24" t="str">
        <x:v>They are not equivalent to full sorcerous spellcasting.</x:v>
      </x:c>
      <x:c r="N72" s="24" t="str">
        <x:v>Martial cantrip and utility-sign system analogue.</x:v>
      </x:c>
      <x:c r="O72" s="24" t="str">
        <x:v>Primary canon</x:v>
      </x:c>
      <x:c r="P72" s="24" t="str">
        <x:v>Official reference reviewed</x:v>
      </x:c>
      <x:c r="Q72" s="24" t="str">
        <x:v>Sapkowski's primary book continuity; official franchise material used for orientation.</x:v>
      </x:c>
      <x:c r="R72" s="84" t="str">
        <x:v>https://www.andrzejsapkowski.pl/</x:v>
      </x:c>
      <x:c r="S72" s="24" t="str">
        <x:v>Seeded</x:v>
      </x:c>
    </x:row>
    <x:row r="73" ht="52" customHeight="1">
      <x:c r="A73" s="24" t="str">
        <x:v>ENT-0072</x:v>
      </x:c>
      <x:c r="B73" s="24" t="str">
        <x:v>Witcher potions and decoctions</x:v>
      </x:c>
      <x:c r="C73" s="24" t="str">
        <x:v>SRC-047</x:v>
      </x:c>
      <x:c r="D73" s="24" t="str">
        <x:v>The Witcher</x:v>
      </x:c>
      <x:c r="E73" s="24" t="str">
        <x:v>Book/game franchise</x:v>
      </x:c>
      <x:c r="F73" s="24" t="str">
        <x:v>Alchemical power tradition</x:v>
      </x:c>
      <x:c r="G73" s="24" t="str">
        <x:v>PWR-513</x:v>
      </x:c>
      <x:c r="H73" s="24" t="str">
        <x:f>IFERROR(VLOOKUP(G73,'Master Taxonomy'!$A$2:$B$1226,2,FALSE),"")</x:f>
        <x:v>Alchemy</x:v>
      </x:c>
      <x:c r="I73" s="24" t="str">
        <x:v>STA-206</x:v>
      </x:c>
      <x:c r="J73" s="24" t="str">
        <x:v>Alchemical Enhancement</x:v>
      </x:c>
      <x:c r="K73" s="24" t="str">
        <x:v>Toxic preparations designed for witcher physiology, enhancing combat and sensory performance.</x:v>
      </x:c>
      <x:c r="L73" s="24" t="str">
        <x:v>Specialized ingredients, recipes, mutation tolerance, and toxicity management.</x:v>
      </x:c>
      <x:c r="M73" s="24" t="str">
        <x:v>Game inventories systematize a literary practice differently across titles.</x:v>
      </x:c>
      <x:c r="N73" s="24" t="str">
        <x:v>Restricted combat alchemy and risk-resource system analogue.</x:v>
      </x:c>
      <x:c r="O73" s="24" t="str">
        <x:v>Primary canon</x:v>
      </x:c>
      <x:c r="P73" s="24" t="str">
        <x:v>Official reference reviewed</x:v>
      </x:c>
      <x:c r="Q73" s="24" t="str">
        <x:v>Sapkowski's primary book continuity; official franchise material used for orientation.</x:v>
      </x:c>
      <x:c r="R73" s="84" t="str">
        <x:v>https://www.andrzejsapkowski.pl/</x:v>
      </x:c>
      <x:c r="S73" s="24" t="str">
        <x:v>Seeded</x:v>
      </x:c>
    </x:row>
    <x:row r="74" ht="52" customHeight="1">
      <x:c r="A74" s="24" t="str">
        <x:v>ENT-0073</x:v>
      </x:c>
      <x:c r="B74" s="24" t="str">
        <x:v>Barbarian</x:v>
      </x:c>
      <x:c r="C74" s="24" t="str">
        <x:v>SRC-089</x:v>
      </x:c>
      <x:c r="D74" s="24" t="str">
        <x:v>Dungeons &amp; Dragons</x:v>
      </x:c>
      <x:c r="E74" s="24" t="str">
        <x:v>2024 core rules</x:v>
      </x:c>
      <x:c r="F74" s="24" t="str">
        <x:v>Playable class</x:v>
      </x:c>
      <x:c r="G74" s="24" t="str">
        <x:v>ROL-112</x:v>
      </x:c>
      <x:c r="H74" s="24" t="str">
        <x:f>IFERROR(VLOOKUP(G74,'Master Taxonomy'!$A$2:$B$1226,2,FALSE),"")</x:f>
        <x:v>Barbarian</x:v>
      </x:c>
      <x:c r="I74" s="24" t="str"/>
      <x:c r="J74" s="24" t="str"/>
      <x:c r="K74" s="24" t="str">
        <x:v>A martial class centered on rage, toughness, and forceful combat.</x:v>
      </x:c>
      <x:c r="L74" s="24" t="str">
        <x:v>Class features, Rage resource, weapon use, and subclass specialization.</x:v>
      </x:c>
      <x:c r="M74" s="24" t="str">
        <x:v>A mechanical class, not a claim that any culture is 'barbaric.'</x:v>
      </x:c>
      <x:c r="N74" s="24" t="str">
        <x:v>Berserker-style durable striker class.</x:v>
      </x:c>
      <x:c r="O74" s="24" t="str">
        <x:v>Primary canon</x:v>
      </x:c>
      <x:c r="P74" s="24" t="str">
        <x:v>Official reference reviewed</x:v>
      </x:c>
      <x:c r="Q74" s="24" t="str">
        <x:v>Official D&amp;D 2024 Basic Rules and Player's Handbook reference pages.</x:v>
      </x:c>
      <x:c r="R74" s="84" t="str">
        <x:v>https://www.dndbeyond.com/sources/dnd/br-2024/character-classes</x:v>
      </x:c>
      <x:c r="S74" s="24" t="str">
        <x:v>Seeded</x:v>
      </x:c>
    </x:row>
    <x:row r="75" ht="52" customHeight="1">
      <x:c r="A75" s="24" t="str">
        <x:v>ENT-0074</x:v>
      </x:c>
      <x:c r="B75" s="24" t="str">
        <x:v>Bard</x:v>
      </x:c>
      <x:c r="C75" s="24" t="str">
        <x:v>SRC-089</x:v>
      </x:c>
      <x:c r="D75" s="24" t="str">
        <x:v>Dungeons &amp; Dragons</x:v>
      </x:c>
      <x:c r="E75" s="24" t="str">
        <x:v>2024 core rules</x:v>
      </x:c>
      <x:c r="F75" s="24" t="str">
        <x:v>Playable class</x:v>
      </x:c>
      <x:c r="G75" s="24" t="str">
        <x:v>ROL-606</x:v>
      </x:c>
      <x:c r="H75" s="24" t="str">
        <x:f>IFERROR(VLOOKUP(G75,'Master Taxonomy'!$A$2:$B$1226,2,FALSE),"")</x:f>
        <x:v>Bard</x:v>
      </x:c>
      <x:c r="I75" s="24" t="str"/>
      <x:c r="J75" s="24" t="str"/>
      <x:c r="K75" s="24" t="str">
        <x:v>A versatile spellcasting and expertise class using inspiration, performance, lore, and social capability.</x:v>
      </x:c>
      <x:c r="L75" s="24" t="str">
        <x:v>Learned magic, Bardic Inspiration, skills, and subclass.</x:v>
      </x:c>
      <x:c r="M75" s="24" t="str">
        <x:v>Not every in-world musician is a Bard class member.</x:v>
      </x:c>
      <x:c r="N75" s="24" t="str">
        <x:v>Support-caster, trickster, and lorekeeper hybrid.</x:v>
      </x:c>
      <x:c r="O75" s="24" t="str">
        <x:v>Primary canon</x:v>
      </x:c>
      <x:c r="P75" s="24" t="str">
        <x:v>Official reference reviewed</x:v>
      </x:c>
      <x:c r="Q75" s="24" t="str">
        <x:v>Official D&amp;D 2024 Basic Rules and Player's Handbook reference pages.</x:v>
      </x:c>
      <x:c r="R75" s="84" t="str">
        <x:v>https://www.dndbeyond.com/sources/dnd/br-2024/character-classes</x:v>
      </x:c>
      <x:c r="S75" s="24" t="str">
        <x:v>Seeded</x:v>
      </x:c>
    </x:row>
    <x:row r="76" ht="52" customHeight="1">
      <x:c r="A76" s="24" t="str">
        <x:v>ENT-0075</x:v>
      </x:c>
      <x:c r="B76" s="24" t="str">
        <x:v>Cleric</x:v>
      </x:c>
      <x:c r="C76" s="24" t="str">
        <x:v>SRC-089</x:v>
      </x:c>
      <x:c r="D76" s="24" t="str">
        <x:v>Dungeons &amp; Dragons</x:v>
      </x:c>
      <x:c r="E76" s="24" t="str">
        <x:v>2024 core rules</x:v>
      </x:c>
      <x:c r="F76" s="24" t="str">
        <x:v>Playable class</x:v>
      </x:c>
      <x:c r="G76" s="24" t="str">
        <x:v>ROL-402</x:v>
      </x:c>
      <x:c r="H76" s="24" t="str">
        <x:f>IFERROR(VLOOKUP(G76,'Master Taxonomy'!$A$2:$B$1226,2,FALSE),"")</x:f>
        <x:v>Cleric</x:v>
      </x:c>
      <x:c r="I76" s="24" t="str">
        <x:v>ROL-401</x:v>
      </x:c>
      <x:c r="J76" s="24" t="str">
        <x:v>Priest</x:v>
      </x:c>
      <x:c r="K76" s="24" t="str">
        <x:v>A divine spellcasting class shaped mechanically by sacred power and domain choices.</x:v>
      </x:c>
      <x:c r="L76" s="24" t="str">
        <x:v>Divine magic, prepared spells, Channel Divinity, and subclass.</x:v>
      </x:c>
      <x:c r="M76" s="24" t="str">
        <x:v>Class membership is not identical to holding a priestly office.</x:v>
      </x:c>
      <x:c r="N76" s="24" t="str">
        <x:v>Armored divine caster and miracle-worker role.</x:v>
      </x:c>
      <x:c r="O76" s="24" t="str">
        <x:v>Primary canon</x:v>
      </x:c>
      <x:c r="P76" s="24" t="str">
        <x:v>Official reference reviewed</x:v>
      </x:c>
      <x:c r="Q76" s="24" t="str">
        <x:v>Official D&amp;D 2024 Basic Rules and Player's Handbook reference pages.</x:v>
      </x:c>
      <x:c r="R76" s="84" t="str">
        <x:v>https://www.dndbeyond.com/sources/dnd/br-2024/character-classes</x:v>
      </x:c>
      <x:c r="S76" s="24" t="str">
        <x:v>Seeded</x:v>
      </x:c>
    </x:row>
    <x:row r="77" ht="52" customHeight="1">
      <x:c r="A77" s="24" t="str">
        <x:v>ENT-0076</x:v>
      </x:c>
      <x:c r="B77" s="24" t="str">
        <x:v>Druid</x:v>
      </x:c>
      <x:c r="C77" s="24" t="str">
        <x:v>SRC-089</x:v>
      </x:c>
      <x:c r="D77" s="24" t="str">
        <x:v>Dungeons &amp; Dragons</x:v>
      </x:c>
      <x:c r="E77" s="24" t="str">
        <x:v>2024 core rules</x:v>
      </x:c>
      <x:c r="F77" s="24" t="str">
        <x:v>Playable class</x:v>
      </x:c>
      <x:c r="G77" s="24" t="str">
        <x:v>ROL-501</x:v>
      </x:c>
      <x:c r="H77" s="24" t="str">
        <x:f>IFERROR(VLOOKUP(G77,'Master Taxonomy'!$A$2:$B$1226,2,FALSE),"")</x:f>
        <x:v>Druid</x:v>
      </x:c>
      <x:c r="I77" s="24" t="str"/>
      <x:c r="J77" s="24" t="str"/>
      <x:c r="K77" s="24" t="str">
        <x:v>A nature-oriented spellcaster with Wild Shape and circle specialization.</x:v>
      </x:c>
      <x:c r="L77" s="24" t="str">
        <x:v>Primal magic, transformation, nature knowledge, and subclass.</x:v>
      </x:c>
      <x:c r="M77" s="24" t="str">
        <x:v>The class synthesizes multiple historical and fictional nature-mage traditions.</x:v>
      </x:c>
      <x:c r="N77" s="24" t="str">
        <x:v>Nature caster and shapeshifting controller.</x:v>
      </x:c>
      <x:c r="O77" s="24" t="str">
        <x:v>Primary canon</x:v>
      </x:c>
      <x:c r="P77" s="24" t="str">
        <x:v>Official reference reviewed</x:v>
      </x:c>
      <x:c r="Q77" s="24" t="str">
        <x:v>Official D&amp;D 2024 Basic Rules and Player's Handbook reference pages.</x:v>
      </x:c>
      <x:c r="R77" s="84" t="str">
        <x:v>https://www.dndbeyond.com/sources/dnd/br-2024/character-classes</x:v>
      </x:c>
      <x:c r="S77" s="24" t="str">
        <x:v>Seeded</x:v>
      </x:c>
    </x:row>
    <x:row r="78" ht="52" customHeight="1">
      <x:c r="A78" s="24" t="str">
        <x:v>ENT-0077</x:v>
      </x:c>
      <x:c r="B78" s="24" t="str">
        <x:v>Fighter</x:v>
      </x:c>
      <x:c r="C78" s="24" t="str">
        <x:v>SRC-089</x:v>
      </x:c>
      <x:c r="D78" s="24" t="str">
        <x:v>Dungeons &amp; Dragons</x:v>
      </x:c>
      <x:c r="E78" s="24" t="str">
        <x:v>2024 core rules</x:v>
      </x:c>
      <x:c r="F78" s="24" t="str">
        <x:v>Playable class</x:v>
      </x:c>
      <x:c r="G78" s="24" t="str">
        <x:v>ROL-101</x:v>
      </x:c>
      <x:c r="H78" s="24" t="str">
        <x:f>IFERROR(VLOOKUP(G78,'Master Taxonomy'!$A$2:$B$1226,2,FALSE),"")</x:f>
        <x:v>Warrior or Fighter</x:v>
      </x:c>
      <x:c r="I78" s="24" t="str"/>
      <x:c r="J78" s="24" t="str"/>
      <x:c r="K78" s="24" t="str">
        <x:v>A highly customizable martial class defined by weapon mastery, tactical resilience, and subclass.</x:v>
      </x:c>
      <x:c r="L78" s="24" t="str">
        <x:v>Training, equipment, extra attacks, and fighting specialization.</x:v>
      </x:c>
      <x:c r="M78" s="24" t="str">
        <x:v>The mechanical class is narrower than every person who fights.</x:v>
      </x:c>
      <x:c r="N78" s="24" t="str">
        <x:v>Baseline martial class and build platform.</x:v>
      </x:c>
      <x:c r="O78" s="24" t="str">
        <x:v>Primary canon</x:v>
      </x:c>
      <x:c r="P78" s="24" t="str">
        <x:v>Official reference reviewed</x:v>
      </x:c>
      <x:c r="Q78" s="24" t="str">
        <x:v>Official D&amp;D 2024 Basic Rules and Player's Handbook reference pages.</x:v>
      </x:c>
      <x:c r="R78" s="84" t="str">
        <x:v>https://www.dndbeyond.com/sources/dnd/br-2024/character-classes</x:v>
      </x:c>
      <x:c r="S78" s="24" t="str">
        <x:v>Seeded</x:v>
      </x:c>
    </x:row>
    <x:row r="79" ht="52" customHeight="1">
      <x:c r="A79" s="24" t="str">
        <x:v>ENT-0078</x:v>
      </x:c>
      <x:c r="B79" s="24" t="str">
        <x:v>Monk</x:v>
      </x:c>
      <x:c r="C79" s="24" t="str">
        <x:v>SRC-089</x:v>
      </x:c>
      <x:c r="D79" s="24" t="str">
        <x:v>Dungeons &amp; Dragons</x:v>
      </x:c>
      <x:c r="E79" s="24" t="str">
        <x:v>2024 core rules</x:v>
      </x:c>
      <x:c r="F79" s="24" t="str">
        <x:v>Playable class</x:v>
      </x:c>
      <x:c r="G79" s="24" t="str">
        <x:v>ROL-123</x:v>
      </x:c>
      <x:c r="H79" s="24" t="str">
        <x:f>IFERROR(VLOOKUP(G79,'Master Taxonomy'!$A$2:$B$1226,2,FALSE),"")</x:f>
        <x:v>Monk and Martial Artist</x:v>
      </x:c>
      <x:c r="I79" s="24" t="str"/>
      <x:c r="J79" s="24" t="str"/>
      <x:c r="K79" s="24" t="str">
        <x:v>A mobile unarmed or specialized-weapon martial class using disciplined focus.</x:v>
      </x:c>
      <x:c r="L79" s="24" t="str">
        <x:v>Training, Focus Points, movement, strikes, and subclass.</x:v>
      </x:c>
      <x:c r="M79" s="24" t="str">
        <x:v>Combines monastic and martial-arts imagery that should be treated as a game synthesis.</x:v>
      </x:c>
      <x:c r="N79" s="24" t="str">
        <x:v>Mobile martial artist and resource-based skirmisher.</x:v>
      </x:c>
      <x:c r="O79" s="24" t="str">
        <x:v>Primary canon</x:v>
      </x:c>
      <x:c r="P79" s="24" t="str">
        <x:v>Official reference reviewed</x:v>
      </x:c>
      <x:c r="Q79" s="24" t="str">
        <x:v>Official D&amp;D 2024 Basic Rules and Player's Handbook reference pages.</x:v>
      </x:c>
      <x:c r="R79" s="84" t="str">
        <x:v>https://www.dndbeyond.com/sources/dnd/br-2024/character-classes</x:v>
      </x:c>
      <x:c r="S79" s="24" t="str">
        <x:v>Seeded</x:v>
      </x:c>
    </x:row>
    <x:row r="80" ht="52" customHeight="1">
      <x:c r="A80" s="24" t="str">
        <x:v>ENT-0079</x:v>
      </x:c>
      <x:c r="B80" s="24" t="str">
        <x:v>Paladin</x:v>
      </x:c>
      <x:c r="C80" s="24" t="str">
        <x:v>SRC-089</x:v>
      </x:c>
      <x:c r="D80" s="24" t="str">
        <x:v>Dungeons &amp; Dragons</x:v>
      </x:c>
      <x:c r="E80" s="24" t="str">
        <x:v>2024 core rules</x:v>
      </x:c>
      <x:c r="F80" s="24" t="str">
        <x:v>Playable class</x:v>
      </x:c>
      <x:c r="G80" s="24" t="str">
        <x:v>ROL-117</x:v>
      </x:c>
      <x:c r="H80" s="24" t="str">
        <x:f>IFERROR(VLOOKUP(G80,'Master Taxonomy'!$A$2:$B$1226,2,FALSE),"")</x:f>
        <x:v>Paladin and Holy Knight</x:v>
      </x:c>
      <x:c r="I80" s="24" t="str"/>
      <x:c r="J80" s="24" t="str"/>
      <x:c r="K80" s="24" t="str">
        <x:v>An oath-defined armored class combining martial combat, healing, and divine magic.</x:v>
      </x:c>
      <x:c r="L80" s="24" t="str">
        <x:v>Sacred oath, Lay on Hands, smites, spells, and aura features.</x:v>
      </x:c>
      <x:c r="M80" s="24" t="str">
        <x:v>Faith, morality, and institutional membership vary by setting and subclass.</x:v>
      </x:c>
      <x:c r="N80" s="24" t="str">
        <x:v>Holy knight, oath warrior, and support tank.</x:v>
      </x:c>
      <x:c r="O80" s="24" t="str">
        <x:v>Primary canon</x:v>
      </x:c>
      <x:c r="P80" s="24" t="str">
        <x:v>Official reference reviewed</x:v>
      </x:c>
      <x:c r="Q80" s="24" t="str">
        <x:v>Official D&amp;D 2024 Basic Rules and Player's Handbook reference pages.</x:v>
      </x:c>
      <x:c r="R80" s="84" t="str">
        <x:v>https://www.dndbeyond.com/sources/dnd/br-2024/character-classes</x:v>
      </x:c>
      <x:c r="S80" s="24" t="str">
        <x:v>Seeded</x:v>
      </x:c>
    </x:row>
    <x:row r="81" ht="52" customHeight="1">
      <x:c r="A81" s="24" t="str">
        <x:v>ENT-0080</x:v>
      </x:c>
      <x:c r="B81" s="24" t="str">
        <x:v>Ranger</x:v>
      </x:c>
      <x:c r="C81" s="24" t="str">
        <x:v>SRC-089</x:v>
      </x:c>
      <x:c r="D81" s="24" t="str">
        <x:v>Dungeons &amp; Dragons</x:v>
      </x:c>
      <x:c r="E81" s="24" t="str">
        <x:v>2024 core rules</x:v>
      </x:c>
      <x:c r="F81" s="24" t="str">
        <x:v>Playable class</x:v>
      </x:c>
      <x:c r="G81" s="24" t="str">
        <x:v>ROL-125</x:v>
      </x:c>
      <x:c r="H81" s="24" t="str">
        <x:f>IFERROR(VLOOKUP(G81,'Master Taxonomy'!$A$2:$B$1226,2,FALSE),"")</x:f>
        <x:v>Ranger</x:v>
      </x:c>
      <x:c r="I81" s="24" t="str"/>
      <x:c r="J81" s="24" t="str"/>
      <x:c r="K81" s="24" t="str">
        <x:v>A wilderness-oriented martial-spellcasting class specializing in tracking, exploration, and chosen tactics.</x:v>
      </x:c>
      <x:c r="L81" s="24" t="str">
        <x:v>Training, nature magic, Hunter's Mark, skills, and subclass.</x:v>
      </x:c>
      <x:c r="M81" s="24" t="str">
        <x:v>It is a rules package rather than one universal social profession.</x:v>
      </x:c>
      <x:c r="N81" s="24" t="str">
        <x:v>Wilderness scout, hunter, and martial-primal hybrid.</x:v>
      </x:c>
      <x:c r="O81" s="24" t="str">
        <x:v>Primary canon</x:v>
      </x:c>
      <x:c r="P81" s="24" t="str">
        <x:v>Official reference reviewed</x:v>
      </x:c>
      <x:c r="Q81" s="24" t="str">
        <x:v>Official D&amp;D 2024 Basic Rules and Player's Handbook reference pages.</x:v>
      </x:c>
      <x:c r="R81" s="84" t="str">
        <x:v>https://www.dndbeyond.com/sources/dnd/br-2024/character-classes</x:v>
      </x:c>
      <x:c r="S81" s="24" t="str">
        <x:v>Seeded</x:v>
      </x:c>
    </x:row>
    <x:row r="82" ht="52" customHeight="1">
      <x:c r="A82" s="24" t="str">
        <x:v>ENT-0081</x:v>
      </x:c>
      <x:c r="B82" s="24" t="str">
        <x:v>Rogue</x:v>
      </x:c>
      <x:c r="C82" s="24" t="str">
        <x:v>SRC-089</x:v>
      </x:c>
      <x:c r="D82" s="24" t="str">
        <x:v>Dungeons &amp; Dragons</x:v>
      </x:c>
      <x:c r="E82" s="24" t="str">
        <x:v>2024 core rules</x:v>
      </x:c>
      <x:c r="F82" s="24" t="str">
        <x:v>Playable class</x:v>
      </x:c>
      <x:c r="G82" s="24" t="str">
        <x:v>ROL-205</x:v>
      </x:c>
      <x:c r="H82" s="24" t="str">
        <x:f>IFERROR(VLOOKUP(G82,'Master Taxonomy'!$A$2:$B$1226,2,FALSE),"")</x:f>
        <x:v>Rogue</x:v>
      </x:c>
      <x:c r="I82" s="24" t="str"/>
      <x:c r="J82" s="24" t="str"/>
      <x:c r="K82" s="24" t="str">
        <x:v>A skill-focused class using precision, mobility, expertise, and opportunistic attacks.</x:v>
      </x:c>
      <x:c r="L82" s="24" t="str">
        <x:v>Training, Expertise, Sneak Attack, cunning actions, and subclass.</x:v>
      </x:c>
      <x:c r="M82" s="24" t="str">
        <x:v>Rogue does not inherently mean criminal or thief.</x:v>
      </x:c>
      <x:c r="N82" s="24" t="str">
        <x:v>Skill specialist and precision striker.</x:v>
      </x:c>
      <x:c r="O82" s="24" t="str">
        <x:v>Primary canon</x:v>
      </x:c>
      <x:c r="P82" s="24" t="str">
        <x:v>Official reference reviewed</x:v>
      </x:c>
      <x:c r="Q82" s="24" t="str">
        <x:v>Official D&amp;D 2024 Basic Rules and Player's Handbook reference pages.</x:v>
      </x:c>
      <x:c r="R82" s="84" t="str">
        <x:v>https://www.dndbeyond.com/sources/dnd/br-2024/character-classes</x:v>
      </x:c>
      <x:c r="S82" s="24" t="str">
        <x:v>Seeded</x:v>
      </x:c>
    </x:row>
    <x:row r="83" ht="52" customHeight="1">
      <x:c r="A83" s="24" t="str">
        <x:v>ENT-0082</x:v>
      </x:c>
      <x:c r="B83" s="24" t="str">
        <x:v>Sorcerer</x:v>
      </x:c>
      <x:c r="C83" s="24" t="str">
        <x:v>SRC-089</x:v>
      </x:c>
      <x:c r="D83" s="24" t="str">
        <x:v>Dungeons &amp; Dragons</x:v>
      </x:c>
      <x:c r="E83" s="24" t="str">
        <x:v>2024 core rules</x:v>
      </x:c>
      <x:c r="F83" s="24" t="str">
        <x:v>Playable class</x:v>
      </x:c>
      <x:c r="G83" s="24" t="str">
        <x:v>ROL-302</x:v>
      </x:c>
      <x:c r="H83" s="24" t="str">
        <x:f>IFERROR(VLOOKUP(G83,'Master Taxonomy'!$A$2:$B$1226,2,FALSE),"")</x:f>
        <x:v>Sorcerer</x:v>
      </x:c>
      <x:c r="I83" s="24" t="str">
        <x:v>PWR-102</x:v>
      </x:c>
      <x:c r="J83" s="24" t="str">
        <x:v>Innate Sorcery</x:v>
      </x:c>
      <x:c r="K83" s="24" t="str">
        <x:v>An arcane spellcaster whose magic is framed as inherent or internal and reshaped through metamagic.</x:v>
      </x:c>
      <x:c r="L83" s="24" t="str">
        <x:v>Innate power, Sorcery Points, metamagic, and subclass origin.</x:v>
      </x:c>
      <x:c r="M83" s="24" t="str">
        <x:v>The class's innate/learned contrast is system-specific.</x:v>
      </x:c>
      <x:c r="N83" s="24" t="str">
        <x:v>Innate flexible caster.</x:v>
      </x:c>
      <x:c r="O83" s="24" t="str">
        <x:v>Primary canon</x:v>
      </x:c>
      <x:c r="P83" s="24" t="str">
        <x:v>Official reference reviewed</x:v>
      </x:c>
      <x:c r="Q83" s="24" t="str">
        <x:v>Official D&amp;D 2024 Basic Rules and Player's Handbook reference pages.</x:v>
      </x:c>
      <x:c r="R83" s="84" t="str">
        <x:v>https://www.dndbeyond.com/sources/dnd/br-2024/character-classes</x:v>
      </x:c>
      <x:c r="S83" s="24" t="str">
        <x:v>Seeded</x:v>
      </x:c>
    </x:row>
    <x:row r="84" ht="52" customHeight="1">
      <x:c r="A84" s="24" t="str">
        <x:v>ENT-0083</x:v>
      </x:c>
      <x:c r="B84" s="24" t="str">
        <x:v>Warlock</x:v>
      </x:c>
      <x:c r="C84" s="24" t="str">
        <x:v>SRC-089</x:v>
      </x:c>
      <x:c r="D84" s="24" t="str">
        <x:v>Dungeons &amp; Dragons</x:v>
      </x:c>
      <x:c r="E84" s="24" t="str">
        <x:v>2024 core rules</x:v>
      </x:c>
      <x:c r="F84" s="24" t="str">
        <x:v>Playable class</x:v>
      </x:c>
      <x:c r="G84" s="24" t="str">
        <x:v>ROL-304</x:v>
      </x:c>
      <x:c r="H84" s="24" t="str">
        <x:f>IFERROR(VLOOKUP(G84,'Master Taxonomy'!$A$2:$B$1226,2,FALSE),"")</x:f>
        <x:v>Warlock</x:v>
      </x:c>
      <x:c r="I84" s="24" t="str">
        <x:v>PWR-104</x:v>
      </x:c>
      <x:c r="J84" s="24" t="str">
        <x:v>Pact and Contract Magic</x:v>
      </x:c>
      <x:c r="K84" s="24" t="str">
        <x:v>An occult spellcaster defined by a pact or patron relationship, invocations, and distinctive spell recovery.</x:v>
      </x:c>
      <x:c r="L84" s="24" t="str">
        <x:v>Patron-granted power, pact choices, invocations, and spells.</x:v>
      </x:c>
      <x:c r="M84" s="24" t="str">
        <x:v>‘Warlock’ has very different meanings across fantasy works.</x:v>
      </x:c>
      <x:c r="N84" s="24" t="str">
        <x:v>Pact caster and customizable occult specialist.</x:v>
      </x:c>
      <x:c r="O84" s="24" t="str">
        <x:v>Primary canon</x:v>
      </x:c>
      <x:c r="P84" s="24" t="str">
        <x:v>Official reference reviewed</x:v>
      </x:c>
      <x:c r="Q84" s="24" t="str">
        <x:v>Official D&amp;D 2024 Basic Rules and Player's Handbook reference pages.</x:v>
      </x:c>
      <x:c r="R84" s="84" t="str">
        <x:v>https://www.dndbeyond.com/sources/dnd/br-2024/character-classes</x:v>
      </x:c>
      <x:c r="S84" s="24" t="str">
        <x:v>Seeded</x:v>
      </x:c>
    </x:row>
    <x:row r="85" ht="52" customHeight="1">
      <x:c r="A85" s="24" t="str">
        <x:v>ENT-0084</x:v>
      </x:c>
      <x:c r="B85" s="24" t="str">
        <x:v>Wizard</x:v>
      </x:c>
      <x:c r="C85" s="24" t="str">
        <x:v>SRC-089</x:v>
      </x:c>
      <x:c r="D85" s="24" t="str">
        <x:v>Dungeons &amp; Dragons</x:v>
      </x:c>
      <x:c r="E85" s="24" t="str">
        <x:v>2024 core rules</x:v>
      </x:c>
      <x:c r="F85" s="24" t="str">
        <x:v>Playable class</x:v>
      </x:c>
      <x:c r="G85" s="24" t="str">
        <x:v>ROL-301</x:v>
      </x:c>
      <x:c r="H85" s="24" t="str">
        <x:f>IFERROR(VLOOKUP(G85,'Master Taxonomy'!$A$2:$B$1226,2,FALSE),"")</x:f>
        <x:v>Mage and Wizard</x:v>
      </x:c>
      <x:c r="I85" s="24" t="str">
        <x:v>ROL-306</x:v>
      </x:c>
      <x:c r="J85" s="24" t="str">
        <x:v>Magical Scholar</x:v>
      </x:c>
      <x:c r="K85" s="24" t="str">
        <x:v>A learned arcane spellcaster using a spellbook, broad preparation, and school or tradition specialization.</x:v>
      </x:c>
      <x:c r="L85" s="24" t="str">
        <x:v>Study, notation, spell acquisition, preparation, and subclass.</x:v>
      </x:c>
      <x:c r="M85" s="24" t="str">
        <x:v>The learned wizard model is a game convention, not the only meaning of wizard.</x:v>
      </x:c>
      <x:c r="N85" s="24" t="str">
        <x:v>Scholarly generalist caster.</x:v>
      </x:c>
      <x:c r="O85" s="24" t="str">
        <x:v>Primary canon</x:v>
      </x:c>
      <x:c r="P85" s="24" t="str">
        <x:v>Official reference reviewed</x:v>
      </x:c>
      <x:c r="Q85" s="24" t="str">
        <x:v>Official D&amp;D 2024 Basic Rules and Player's Handbook reference pages.</x:v>
      </x:c>
      <x:c r="R85" s="84" t="str">
        <x:v>https://www.dndbeyond.com/sources/dnd/br-2024/character-classes</x:v>
      </x:c>
      <x:c r="S85" s="24" t="str">
        <x:v>Seeded</x:v>
      </x:c>
    </x:row>
    <x:row r="86" ht="52" customHeight="1">
      <x:c r="A86" s="24" t="str">
        <x:v>ENT-0085</x:v>
      </x:c>
      <x:c r="B86" s="24" t="str">
        <x:v>Aasimar</x:v>
      </x:c>
      <x:c r="C86" s="24" t="str">
        <x:v>SRC-089</x:v>
      </x:c>
      <x:c r="D86" s="24" t="str">
        <x:v>Dungeons &amp; Dragons</x:v>
      </x:c>
      <x:c r="E86" s="24" t="str">
        <x:v>2024 core rules</x:v>
      </x:c>
      <x:c r="F86" s="24" t="str">
        <x:v>Playable species</x:v>
      </x:c>
      <x:c r="G86" s="24" t="str">
        <x:v>PPL-402</x:v>
      </x:c>
      <x:c r="H86" s="24" t="str">
        <x:f>IFERROR(VLOOKUP(G86,'Master Taxonomy'!$A$2:$B$1226,2,FALSE),"")</x:f>
        <x:v>Demigods and Divine-Blooded Beings</x:v>
      </x:c>
      <x:c r="I86" s="24" t="str"/>
      <x:c r="J86" s="24" t="str"/>
      <x:c r="K86" s="24" t="str">
        <x:v>A playable people marked by celestial influence and supernatural manifestations.</x:v>
      </x:c>
      <x:c r="L86" s="24" t="str">
        <x:v>Ancestry or metaphysical heritage represented through species traits.</x:v>
      </x:c>
      <x:c r="M86" s="24" t="str">
        <x:v>They are not necessarily literal demigods; this is the closest normalized family.</x:v>
      </x:c>
      <x:c r="N86" s="24" t="str">
        <x:v>Celestial-touched or divine-blooded people.</x:v>
      </x:c>
      <x:c r="O86" s="24" t="str">
        <x:v>Primary canon</x:v>
      </x:c>
      <x:c r="P86" s="24" t="str">
        <x:v>Official reference reviewed</x:v>
      </x:c>
      <x:c r="Q86" s="24" t="str">
        <x:v>Official D&amp;D 2024 Basic Rules and Player's Handbook reference pages.</x:v>
      </x:c>
      <x:c r="R86" s="84" t="str">
        <x:v>https://www.dndbeyond.com/sources/dnd/br-2024/character-classes</x:v>
      </x:c>
      <x:c r="S86" s="24" t="str">
        <x:v>Seeded</x:v>
      </x:c>
    </x:row>
    <x:row r="87" ht="52" customHeight="1">
      <x:c r="A87" s="24" t="str">
        <x:v>ENT-0086</x:v>
      </x:c>
      <x:c r="B87" s="24" t="str">
        <x:v>Dragonborn</x:v>
      </x:c>
      <x:c r="C87" s="24" t="str">
        <x:v>SRC-089</x:v>
      </x:c>
      <x:c r="D87" s="24" t="str">
        <x:v>Dungeons &amp; Dragons</x:v>
      </x:c>
      <x:c r="E87" s="24" t="str">
        <x:v>2024 core rules</x:v>
      </x:c>
      <x:c r="F87" s="24" t="str">
        <x:v>Playable species</x:v>
      </x:c>
      <x:c r="G87" s="24" t="str">
        <x:v>PPL-114</x:v>
      </x:c>
      <x:c r="H87" s="24" t="str">
        <x:f>IFERROR(VLOOKUP(G87,'Master Taxonomy'!$A$2:$B$1226,2,FALSE),"")</x:f>
        <x:v>Draconic Humanoid Peoples</x:v>
      </x:c>
      <x:c r="I87" s="24" t="str"/>
      <x:c r="J87" s="24" t="str"/>
      <x:c r="K87" s="24" t="str">
        <x:v>A playable draconic humanoid people with breath weapons and draconic traits.</x:v>
      </x:c>
      <x:c r="L87" s="24" t="str">
        <x:v>Ancestry, elemental breath, and lineage choice.</x:v>
      </x:c>
      <x:c r="M87" s="24" t="str">
        <x:v>They are distinct from dragons, half-dragons, and unrelated reptilian peoples.</x:v>
      </x:c>
      <x:c r="N87" s="24" t="str">
        <x:v>Draconic humanoid ancestry.</x:v>
      </x:c>
      <x:c r="O87" s="24" t="str">
        <x:v>Primary canon</x:v>
      </x:c>
      <x:c r="P87" s="24" t="str">
        <x:v>Official reference reviewed</x:v>
      </x:c>
      <x:c r="Q87" s="24" t="str">
        <x:v>Official D&amp;D 2024 Basic Rules and Player's Handbook reference pages.</x:v>
      </x:c>
      <x:c r="R87" s="84" t="str">
        <x:v>https://www.dndbeyond.com/sources/dnd/br-2024/character-classes</x:v>
      </x:c>
      <x:c r="S87" s="24" t="str">
        <x:v>Seeded</x:v>
      </x:c>
    </x:row>
    <x:row r="88" ht="52" customHeight="1">
      <x:c r="A88" s="24" t="str">
        <x:v>ENT-0087</x:v>
      </x:c>
      <x:c r="B88" s="24" t="str">
        <x:v>Dwarf</x:v>
      </x:c>
      <x:c r="C88" s="24" t="str">
        <x:v>SRC-089</x:v>
      </x:c>
      <x:c r="D88" s="24" t="str">
        <x:v>Dungeons &amp; Dragons</x:v>
      </x:c>
      <x:c r="E88" s="24" t="str">
        <x:v>2024 core rules</x:v>
      </x:c>
      <x:c r="F88" s="24" t="str">
        <x:v>Playable species</x:v>
      </x:c>
      <x:c r="G88" s="24" t="str">
        <x:v>PPL-103</x:v>
      </x:c>
      <x:c r="H88" s="24" t="str">
        <x:f>IFERROR(VLOOKUP(G88,'Master Taxonomy'!$A$2:$B$1226,2,FALSE),"")</x:f>
        <x:v>Dwarf-Derived Peoples</x:v>
      </x:c>
      <x:c r="I88" s="24" t="str"/>
      <x:c r="J88" s="24" t="str"/>
      <x:c r="K88" s="24" t="str">
        <x:v>A playable dwarf people represented through resilience and culturally familiar fantasy traits.</x:v>
      </x:c>
      <x:c r="L88" s="24" t="str">
        <x:v>Species rules and setting-dependent culture.</x:v>
      </x:c>
      <x:c r="M88" s="24" t="str">
        <x:v>Rules traits should not be mistaken for universal dwarven culture.</x:v>
      </x:c>
      <x:c r="N88" s="24" t="str">
        <x:v>Game-mechanical dwarf ancestry.</x:v>
      </x:c>
      <x:c r="O88" s="24" t="str">
        <x:v>Primary canon</x:v>
      </x:c>
      <x:c r="P88" s="24" t="str">
        <x:v>Official reference reviewed</x:v>
      </x:c>
      <x:c r="Q88" s="24" t="str">
        <x:v>Official D&amp;D 2024 Basic Rules and Player's Handbook reference pages.</x:v>
      </x:c>
      <x:c r="R88" s="84" t="str">
        <x:v>https://www.dndbeyond.com/sources/dnd/br-2024/character-classes</x:v>
      </x:c>
      <x:c r="S88" s="24" t="str">
        <x:v>Seeded</x:v>
      </x:c>
    </x:row>
    <x:row r="89" ht="52" customHeight="1">
      <x:c r="A89" s="24" t="str">
        <x:v>ENT-0088</x:v>
      </x:c>
      <x:c r="B89" s="24" t="str">
        <x:v>Elf</x:v>
      </x:c>
      <x:c r="C89" s="24" t="str">
        <x:v>SRC-089</x:v>
      </x:c>
      <x:c r="D89" s="24" t="str">
        <x:v>Dungeons &amp; Dragons</x:v>
      </x:c>
      <x:c r="E89" s="24" t="str">
        <x:v>2024 core rules</x:v>
      </x:c>
      <x:c r="F89" s="24" t="str">
        <x:v>Playable species</x:v>
      </x:c>
      <x:c r="G89" s="24" t="str">
        <x:v>PPL-102</x:v>
      </x:c>
      <x:c r="H89" s="24" t="str">
        <x:f>IFERROR(VLOOKUP(G89,'Master Taxonomy'!$A$2:$B$1226,2,FALSE),"")</x:f>
        <x:v>Elf-Derived Peoples</x:v>
      </x:c>
      <x:c r="I89" s="24" t="str"/>
      <x:c r="J89" s="24" t="str"/>
      <x:c r="K89" s="24" t="str">
        <x:v>A playable long-lived, fey-associated people with lineages and innate magical traits.</x:v>
      </x:c>
      <x:c r="L89" s="24" t="str">
        <x:v>Species rules, lineage, perception, and setting lore.</x:v>
      </x:c>
      <x:c r="M89" s="24" t="str">
        <x:v>D&amp;D elves are not canonically identical to Tolkien's Quendi.</x:v>
      </x:c>
      <x:c r="N89" s="24" t="str">
        <x:v>Game-mechanical elf ancestry.</x:v>
      </x:c>
      <x:c r="O89" s="24" t="str">
        <x:v>Primary canon</x:v>
      </x:c>
      <x:c r="P89" s="24" t="str">
        <x:v>Official reference reviewed</x:v>
      </x:c>
      <x:c r="Q89" s="24" t="str">
        <x:v>Official D&amp;D 2024 Basic Rules and Player's Handbook reference pages.</x:v>
      </x:c>
      <x:c r="R89" s="84" t="str">
        <x:v>https://www.dndbeyond.com/sources/dnd/br-2024/character-classes</x:v>
      </x:c>
      <x:c r="S89" s="24" t="str">
        <x:v>Seeded</x:v>
      </x:c>
    </x:row>
    <x:row r="90" ht="52" customHeight="1">
      <x:c r="A90" s="24" t="str">
        <x:v>ENT-0089</x:v>
      </x:c>
      <x:c r="B90" s="24" t="str">
        <x:v>Gnome</x:v>
      </x:c>
      <x:c r="C90" s="24" t="str">
        <x:v>SRC-089</x:v>
      </x:c>
      <x:c r="D90" s="24" t="str">
        <x:v>Dungeons &amp; Dragons</x:v>
      </x:c>
      <x:c r="E90" s="24" t="str">
        <x:v>2024 core rules</x:v>
      </x:c>
      <x:c r="F90" s="24" t="str">
        <x:v>Playable species</x:v>
      </x:c>
      <x:c r="G90" s="24" t="str">
        <x:v>PPL-105</x:v>
      </x:c>
      <x:c r="H90" s="24" t="str">
        <x:f>IFERROR(VLOOKUP(G90,'Master Taxonomy'!$A$2:$B$1226,2,FALSE),"")</x:f>
        <x:v>Gnome and Tinkerfolk Peoples</x:v>
      </x:c>
      <x:c r="I90" s="24" t="str"/>
      <x:c r="J90" s="24" t="str"/>
      <x:c r="K90" s="24" t="str">
        <x:v>A playable small people with magical resilience and lineage-associated abilities.</x:v>
      </x:c>
      <x:c r="L90" s="24" t="str">
        <x:v>Species traits, lineage, and setting-dependent culture.</x:v>
      </x:c>
      <x:c r="M90" s="24" t="str">
        <x:v>The normalized label includes a tinkerfolk pattern that does not describe every D&amp;D gnome.</x:v>
      </x:c>
      <x:c r="N90" s="24" t="str">
        <x:v>Game-mechanical gnome ancestry.</x:v>
      </x:c>
      <x:c r="O90" s="24" t="str">
        <x:v>Primary canon</x:v>
      </x:c>
      <x:c r="P90" s="24" t="str">
        <x:v>Official reference reviewed</x:v>
      </x:c>
      <x:c r="Q90" s="24" t="str">
        <x:v>Official D&amp;D 2024 Basic Rules and Player's Handbook reference pages.</x:v>
      </x:c>
      <x:c r="R90" s="84" t="str">
        <x:v>https://www.dndbeyond.com/sources/dnd/br-2024/character-classes</x:v>
      </x:c>
      <x:c r="S90" s="24" t="str">
        <x:v>Seeded</x:v>
      </x:c>
    </x:row>
    <x:row r="91" ht="52" customHeight="1">
      <x:c r="A91" s="24" t="str">
        <x:v>ENT-0090</x:v>
      </x:c>
      <x:c r="B91" s="24" t="str">
        <x:v>Goliath</x:v>
      </x:c>
      <x:c r="C91" s="24" t="str">
        <x:v>SRC-089</x:v>
      </x:c>
      <x:c r="D91" s="24" t="str">
        <x:v>Dungeons &amp; Dragons</x:v>
      </x:c>
      <x:c r="E91" s="24" t="str">
        <x:v>2024 core rules</x:v>
      </x:c>
      <x:c r="F91" s="24" t="str">
        <x:v>Playable species</x:v>
      </x:c>
      <x:c r="G91" s="24" t="str">
        <x:v>PPL-108</x:v>
      </x:c>
      <x:c r="H91" s="24" t="str">
        <x:f>IFERROR(VLOOKUP(G91,'Master Taxonomy'!$A$2:$B$1226,2,FALSE),"")</x:f>
        <x:v>Giantkin Peoples</x:v>
      </x:c>
      <x:c r="I91" s="24" t="str"/>
      <x:c r="J91" s="24" t="str"/>
      <x:c r="K91" s="24" t="str">
        <x:v>A playable giant-descended or giant-associated humanoid people with size and giant-ancestry traits.</x:v>
      </x:c>
      <x:c r="L91" s="24" t="str">
        <x:v>Species traits and giant lineage.</x:v>
      </x:c>
      <x:c r="M91" s="24" t="str">
        <x:v>They are not generic giants or necessarily one culture.</x:v>
      </x:c>
      <x:c r="N91" s="24" t="str">
        <x:v>Playable giantkin ancestry.</x:v>
      </x:c>
      <x:c r="O91" s="24" t="str">
        <x:v>Primary canon</x:v>
      </x:c>
      <x:c r="P91" s="24" t="str">
        <x:v>Official reference reviewed</x:v>
      </x:c>
      <x:c r="Q91" s="24" t="str">
        <x:v>Official D&amp;D 2024 Basic Rules and Player's Handbook reference pages.</x:v>
      </x:c>
      <x:c r="R91" s="84" t="str">
        <x:v>https://www.dndbeyond.com/sources/dnd/br-2024/character-classes</x:v>
      </x:c>
      <x:c r="S91" s="24" t="str">
        <x:v>Seeded</x:v>
      </x:c>
    </x:row>
    <x:row r="92" ht="52" customHeight="1">
      <x:c r="A92" s="24" t="str">
        <x:v>ENT-0091</x:v>
      </x:c>
      <x:c r="B92" s="24" t="str">
        <x:v>Halfling</x:v>
      </x:c>
      <x:c r="C92" s="24" t="str">
        <x:v>SRC-089</x:v>
      </x:c>
      <x:c r="D92" s="24" t="str">
        <x:v>Dungeons &amp; Dragons</x:v>
      </x:c>
      <x:c r="E92" s="24" t="str">
        <x:v>2024 core rules</x:v>
      </x:c>
      <x:c r="F92" s="24" t="str">
        <x:v>Playable species</x:v>
      </x:c>
      <x:c r="G92" s="24" t="str">
        <x:v>PPL-104</x:v>
      </x:c>
      <x:c r="H92" s="24" t="str">
        <x:f>IFERROR(VLOOKUP(G92,'Master Taxonomy'!$A$2:$B$1226,2,FALSE),"")</x:f>
        <x:v>Halfling and Smallfolk Peoples</x:v>
      </x:c>
      <x:c r="I92" s="24" t="str"/>
      <x:c r="J92" s="24" t="str"/>
      <x:c r="K92" s="24" t="str">
        <x:v>A playable small people associated mechanically with luck, bravery, and nimbleness.</x:v>
      </x:c>
      <x:c r="L92" s="24" t="str">
        <x:v>Species traits and setting-dependent culture.</x:v>
      </x:c>
      <x:c r="M92" s="24" t="str">
        <x:v>D&amp;D halflings evolved from but are not identical to Tolkien's Hobbits.</x:v>
      </x:c>
      <x:c r="N92" s="24" t="str">
        <x:v>Game-mechanical halfling ancestry.</x:v>
      </x:c>
      <x:c r="O92" s="24" t="str">
        <x:v>Primary canon</x:v>
      </x:c>
      <x:c r="P92" s="24" t="str">
        <x:v>Official reference reviewed</x:v>
      </x:c>
      <x:c r="Q92" s="24" t="str">
        <x:v>Official D&amp;D 2024 Basic Rules and Player's Handbook reference pages.</x:v>
      </x:c>
      <x:c r="R92" s="84" t="str">
        <x:v>https://www.dndbeyond.com/sources/dnd/br-2024/character-classes</x:v>
      </x:c>
      <x:c r="S92" s="24" t="str">
        <x:v>Seeded</x:v>
      </x:c>
    </x:row>
    <x:row r="93" ht="52" customHeight="1">
      <x:c r="A93" s="24" t="str">
        <x:v>ENT-0092</x:v>
      </x:c>
      <x:c r="B93" s="24" t="str">
        <x:v>Human</x:v>
      </x:c>
      <x:c r="C93" s="24" t="str">
        <x:v>SRC-089</x:v>
      </x:c>
      <x:c r="D93" s="24" t="str">
        <x:v>Dungeons &amp; Dragons</x:v>
      </x:c>
      <x:c r="E93" s="24" t="str">
        <x:v>2024 core rules</x:v>
      </x:c>
      <x:c r="F93" s="24" t="str">
        <x:v>Playable species</x:v>
      </x:c>
      <x:c r="G93" s="24" t="str">
        <x:v>PPL-101</x:v>
      </x:c>
      <x:c r="H93" s="24" t="str">
        <x:f>IFERROR(VLOOKUP(G93,'Master Taxonomy'!$A$2:$B$1226,2,FALSE),"")</x:f>
        <x:v>Human and Near-Human Peoples</x:v>
      </x:c>
      <x:c r="I93" s="24" t="str"/>
      <x:c r="J93" s="24" t="str"/>
      <x:c r="K93" s="24" t="str">
        <x:v>A flexible playable human option represented through general adaptability.</x:v>
      </x:c>
      <x:c r="L93" s="24" t="str">
        <x:v>Species rules and player-selected capabilities.</x:v>
      </x:c>
      <x:c r="M93" s="24" t="str">
        <x:v>Mechanical flexibility is not an essential claim about real humans.</x:v>
      </x:c>
      <x:c r="N93" s="24" t="str">
        <x:v>Baseline adaptable ancestry.</x:v>
      </x:c>
      <x:c r="O93" s="24" t="str">
        <x:v>Primary canon</x:v>
      </x:c>
      <x:c r="P93" s="24" t="str">
        <x:v>Official reference reviewed</x:v>
      </x:c>
      <x:c r="Q93" s="24" t="str">
        <x:v>Official D&amp;D 2024 Basic Rules and Player's Handbook reference pages.</x:v>
      </x:c>
      <x:c r="R93" s="84" t="str">
        <x:v>https://www.dndbeyond.com/sources/dnd/br-2024/character-classes</x:v>
      </x:c>
      <x:c r="S93" s="24" t="str">
        <x:v>Seeded</x:v>
      </x:c>
    </x:row>
    <x:row r="94" ht="52" customHeight="1">
      <x:c r="A94" s="24" t="str">
        <x:v>ENT-0093</x:v>
      </x:c>
      <x:c r="B94" s="24" t="str">
        <x:v>Orc</x:v>
      </x:c>
      <x:c r="C94" s="24" t="str">
        <x:v>SRC-089</x:v>
      </x:c>
      <x:c r="D94" s="24" t="str">
        <x:v>Dungeons &amp; Dragons</x:v>
      </x:c>
      <x:c r="E94" s="24" t="str">
        <x:v>2024 core rules</x:v>
      </x:c>
      <x:c r="F94" s="24" t="str">
        <x:v>Playable species</x:v>
      </x:c>
      <x:c r="G94" s="24" t="str">
        <x:v>PPL-106</x:v>
      </x:c>
      <x:c r="H94" s="24" t="str">
        <x:f>IFERROR(VLOOKUP(G94,'Master Taxonomy'!$A$2:$B$1226,2,FALSE),"")</x:f>
        <x:v>Orc-Derived Peoples</x:v>
      </x:c>
      <x:c r="I94" s="24" t="str"/>
      <x:c r="J94" s="24" t="str"/>
      <x:c r="K94" s="24" t="str">
        <x:v>A playable orc people represented with endurance, mobility, and powerful build.</x:v>
      </x:c>
      <x:c r="L94" s="24" t="str">
        <x:v>Species traits and setting-dependent culture.</x:v>
      </x:c>
      <x:c r="M94" s="24" t="str">
        <x:v>Modern playable orcs should not be collapsed into inherently evil monster populations.</x:v>
      </x:c>
      <x:c r="N94" s="24" t="str">
        <x:v>Playable orc ancestry.</x:v>
      </x:c>
      <x:c r="O94" s="24" t="str">
        <x:v>Primary canon</x:v>
      </x:c>
      <x:c r="P94" s="24" t="str">
        <x:v>Official reference reviewed</x:v>
      </x:c>
      <x:c r="Q94" s="24" t="str">
        <x:v>Official D&amp;D 2024 Basic Rules and Player's Handbook reference pages.</x:v>
      </x:c>
      <x:c r="R94" s="84" t="str">
        <x:v>https://www.dndbeyond.com/sources/dnd/br-2024/character-classes</x:v>
      </x:c>
      <x:c r="S94" s="24" t="str">
        <x:v>Seeded</x:v>
      </x:c>
    </x:row>
    <x:row r="95" ht="52" customHeight="1">
      <x:c r="A95" s="24" t="str">
        <x:v>ENT-0094</x:v>
      </x:c>
      <x:c r="B95" s="24" t="str">
        <x:v>Tiefling</x:v>
      </x:c>
      <x:c r="C95" s="24" t="str">
        <x:v>SRC-089</x:v>
      </x:c>
      <x:c r="D95" s="24" t="str">
        <x:v>Dungeons &amp; Dragons</x:v>
      </x:c>
      <x:c r="E95" s="24" t="str">
        <x:v>2024 core rules</x:v>
      </x:c>
      <x:c r="F95" s="24" t="str">
        <x:v>Playable species</x:v>
      </x:c>
      <x:c r="G95" s="24" t="str">
        <x:v>PPL-500</x:v>
      </x:c>
      <x:c r="H95" s="24" t="str">
        <x:f>IFERROR(VLOOKUP(G95,'Master Taxonomy'!$A$2:$B$1226,2,FALSE),"")</x:f>
        <x:v>Infernal and Corruptive Beings</x:v>
      </x:c>
      <x:c r="I95" s="24" t="str">
        <x:v>PPL-1006</x:v>
      </x:c>
      <x:c r="J95" s="24" t="str">
        <x:v>Mixed-Ancestry and Half-Blood Peoples</x:v>
      </x:c>
      <x:c r="K95" s="24" t="str">
        <x:v>A playable people marked by fiendish legacy, infernal options, and supernatural traits.</x:v>
      </x:c>
      <x:c r="L95" s="24" t="str">
        <x:v>Ancestral or metaphysical legacy represented through species traits.</x:v>
      </x:c>
      <x:c r="M95" s="24" t="str">
        <x:v>Tieflings are people, not fiends, and need not be corrupt or evil.</x:v>
      </x:c>
      <x:c r="N95" s="24" t="str">
        <x:v>Fiend-touched or infernal-descended people.</x:v>
      </x:c>
      <x:c r="O95" s="24" t="str">
        <x:v>Primary canon</x:v>
      </x:c>
      <x:c r="P95" s="24" t="str">
        <x:v>Official reference reviewed</x:v>
      </x:c>
      <x:c r="Q95" s="24" t="str">
        <x:v>Official D&amp;D 2024 Basic Rules and Player's Handbook reference pages.</x:v>
      </x:c>
      <x:c r="R95" s="84" t="str">
        <x:v>https://www.dndbeyond.com/sources/dnd/br-2024/character-classes</x:v>
      </x:c>
      <x:c r="S95" s="24" t="str">
        <x:v>Seeded</x:v>
      </x:c>
    </x:row>
    <x:row r="96" ht="52" customHeight="1">
      <x:c r="A96" s="24" t="str">
        <x:v>ENT-0095</x:v>
      </x:c>
      <x:c r="B96" s="24" t="str">
        <x:v>Subclass</x:v>
      </x:c>
      <x:c r="C96" s="24" t="str">
        <x:v>SRC-089</x:v>
      </x:c>
      <x:c r="D96" s="24" t="str">
        <x:v>Dungeons &amp; Dragons</x:v>
      </x:c>
      <x:c r="E96" s="24" t="str">
        <x:v>2024 core rules</x:v>
      </x:c>
      <x:c r="F96" s="24" t="str">
        <x:v>Character-build mechanic</x:v>
      </x:c>
      <x:c r="G96" s="24" t="str">
        <x:v>MEC-304</x:v>
      </x:c>
      <x:c r="H96" s="24" t="str">
        <x:f>IFERROR(VLOOKUP(G96,'Master Taxonomy'!$A$2:$B$1226,2,FALSE),"")</x:f>
        <x:v>Subclass Specialization</x:v>
      </x:c>
      <x:c r="I96" s="24" t="str"/>
      <x:c r="J96" s="24" t="str"/>
      <x:c r="K96" s="24" t="str">
        <x:v>A class specialization chosen within the core class framework.</x:v>
      </x:c>
      <x:c r="L96" s="24" t="str">
        <x:v>Rules progression and feature selection.</x:v>
      </x:c>
      <x:c r="M96" s="24" t="str">
        <x:v>Subclasses may represent schools, oaths, patrons, professions, bloodlines, or techniques depending on class.</x:v>
      </x:c>
      <x:c r="N96" s="24" t="str">
        <x:v>General specialization layer.</x:v>
      </x:c>
      <x:c r="O96" s="24" t="str">
        <x:v>Primary canon</x:v>
      </x:c>
      <x:c r="P96" s="24" t="str">
        <x:v>Official reference reviewed</x:v>
      </x:c>
      <x:c r="Q96" s="24" t="str">
        <x:v>Official D&amp;D 2024 Basic Rules and Player's Handbook reference pages.</x:v>
      </x:c>
      <x:c r="R96" s="84" t="str">
        <x:v>https://www.dndbeyond.com/sources/dnd/br-2024/character-classes</x:v>
      </x:c>
      <x:c r="S96" s="24" t="str">
        <x:v>Seeded</x:v>
      </x:c>
    </x:row>
    <x:row r="97" ht="52" customHeight="1">
      <x:c r="A97" s="24" t="str">
        <x:v>ENT-0096</x:v>
      </x:c>
      <x:c r="B97" s="24" t="str">
        <x:v>Background</x:v>
      </x:c>
      <x:c r="C97" s="24" t="str">
        <x:v>SRC-089</x:v>
      </x:c>
      <x:c r="D97" s="24" t="str">
        <x:v>Dungeons &amp; Dragons</x:v>
      </x:c>
      <x:c r="E97" s="24" t="str">
        <x:v>2024 core rules</x:v>
      </x:c>
      <x:c r="F97" s="24" t="str">
        <x:v>Character-build mechanic</x:v>
      </x:c>
      <x:c r="G97" s="24" t="str">
        <x:v>MEC-300</x:v>
      </x:c>
      <x:c r="H97" s="24" t="str">
        <x:f>IFERROR(VLOOKUP(G97,'Master Taxonomy'!$A$2:$B$1226,2,FALSE),"")</x:f>
        <x:v>Progression and Build Models</x:v>
      </x:c>
      <x:c r="I97" s="24" t="str"/>
      <x:c r="J97" s="24" t="str"/>
      <x:c r="K97" s="24" t="str">
        <x:v>A rules package representing prior life, aptitudes, proficiencies, and origin elements.</x:v>
      </x:c>
      <x:c r="L97" s="24" t="str">
        <x:v>Character creation choices and selected benefits.</x:v>
      </x:c>
      <x:c r="M97" s="24" t="str">
        <x:v>A background is not an ancestry or current class.</x:v>
      </x:c>
      <x:c r="N97" s="24" t="str">
        <x:v>Origin and prior-profession layer.</x:v>
      </x:c>
      <x:c r="O97" s="24" t="str">
        <x:v>Primary canon</x:v>
      </x:c>
      <x:c r="P97" s="24" t="str">
        <x:v>Official reference reviewed</x:v>
      </x:c>
      <x:c r="Q97" s="24" t="str">
        <x:v>Official D&amp;D 2024 Basic Rules and Player's Handbook reference pages.</x:v>
      </x:c>
      <x:c r="R97" s="84" t="str">
        <x:v>https://www.dndbeyond.com/sources/dnd/br-2024/character-classes</x:v>
      </x:c>
      <x:c r="S97" s="24" t="str">
        <x:v>Seeded</x:v>
      </x:c>
    </x:row>
    <x:row r="98" ht="52" customHeight="1">
      <x:c r="A98" s="24" t="str">
        <x:v>ENT-0097</x:v>
      </x:c>
      <x:c r="B98" s="24" t="str">
        <x:v>Multiclassing</x:v>
      </x:c>
      <x:c r="C98" s="24" t="str">
        <x:v>SRC-089</x:v>
      </x:c>
      <x:c r="D98" s="24" t="str">
        <x:v>Dungeons &amp; Dragons</x:v>
      </x:c>
      <x:c r="E98" s="24" t="str">
        <x:v>2024 core rules</x:v>
      </x:c>
      <x:c r="F98" s="24" t="str">
        <x:v>Character-build mechanic</x:v>
      </x:c>
      <x:c r="G98" s="24" t="str">
        <x:v>MEC-303</x:v>
      </x:c>
      <x:c r="H98" s="24" t="str">
        <x:f>IFERROR(VLOOKUP(G98,'Master Taxonomy'!$A$2:$B$1226,2,FALSE),"")</x:f>
        <x:v>Multiclassing</x:v>
      </x:c>
      <x:c r="I98" s="24" t="str"/>
      <x:c r="J98" s="24" t="str"/>
      <x:c r="K98" s="24" t="str">
        <x:v>A progression model in which a character combines levels from multiple classes.</x:v>
      </x:c>
      <x:c r="L98" s="24" t="str">
        <x:v>Level allocation and prerequisites.</x:v>
      </x:c>
      <x:c r="M98" s="24" t="str">
        <x:v>Mechanical combination does not automatically imply multiple social professions in the fiction.</x:v>
      </x:c>
      <x:c r="N98" s="24" t="str">
        <x:v>Hybrid build and cross-training model.</x:v>
      </x:c>
      <x:c r="O98" s="24" t="str">
        <x:v>Primary canon</x:v>
      </x:c>
      <x:c r="P98" s="24" t="str">
        <x:v>Official reference reviewed</x:v>
      </x:c>
      <x:c r="Q98" s="24" t="str">
        <x:v>Official D&amp;D 2024 Basic Rules and Player's Handbook reference pages.</x:v>
      </x:c>
      <x:c r="R98" s="84" t="str">
        <x:v>https://www.dndbeyond.com/sources/dnd/br-2024/character-classes</x:v>
      </x:c>
      <x:c r="S98" s="24" t="str">
        <x:v>Seeded</x:v>
      </x:c>
    </x:row>
    <x:row r="99" ht="52" customHeight="1">
      <x:c r="A99" s="24" t="str">
        <x:v>ENT-0098</x:v>
      </x:c>
      <x:c r="B99" s="24" t="str">
        <x:v>Human</x:v>
      </x:c>
      <x:c r="C99" s="24" t="str">
        <x:v>SRC-128</x:v>
      </x:c>
      <x:c r="D99" s="24" t="str">
        <x:v>Tactics Ogre: Reborn</x:v>
      </x:c>
      <x:c r="E99" s="24" t="str">
        <x:v>Reborn game continuity</x:v>
      </x:c>
      <x:c r="F99" s="24" t="str">
        <x:v>Playable people</x:v>
      </x:c>
      <x:c r="G99" s="24" t="str">
        <x:v>PPL-101</x:v>
      </x:c>
      <x:c r="H99" s="24" t="str">
        <x:f>IFERROR(VLOOKUP(G99,'Master Taxonomy'!$A$2:$B$1226,2,FALSE),"")</x:f>
        <x:v>Human and Near-Human Peoples</x:v>
      </x:c>
      <x:c r="I99" s="24" t="str"/>
      <x:c r="J99" s="24" t="str"/>
      <x:c r="K99" s="24" t="str">
        <x:v>The principal human peoples of the Valerian setting.</x:v>
      </x:c>
      <x:c r="L99" s="24" t="str">
        <x:v>Natural ancestry and regional culture.</x:v>
      </x:c>
      <x:c r="M99" s="24" t="str">
        <x:v>Human factions are politically and ethnically differentiated.</x:v>
      </x:c>
      <x:c r="N99" s="24" t="str">
        <x:v>Baseline human ancestry.</x:v>
      </x:c>
      <x:c r="O99" s="24" t="str">
        <x:v>Primary canon</x:v>
      </x:c>
      <x:c r="P99" s="24" t="str">
        <x:v>Official reference reviewed</x:v>
      </x:c>
      <x:c r="Q99" s="24" t="str">
        <x:v>Square Enix official character and class overview for Tactics Ogre: Reborn.</x:v>
      </x:c>
      <x:c r="R99" s="84" t="str">
        <x:v>https://www.square-enix-games.com/en_US/news/tactics-ogre-reborn-characters-classes</x:v>
      </x:c>
      <x:c r="S99" s="24" t="str">
        <x:v>Seeded</x:v>
      </x:c>
    </x:row>
    <x:row r="100" ht="52" customHeight="1">
      <x:c r="A100" s="24" t="str">
        <x:v>ENT-0099</x:v>
      </x:c>
      <x:c r="B100" s="24" t="str">
        <x:v>Winged</x:v>
      </x:c>
      <x:c r="C100" s="24" t="str">
        <x:v>SRC-128</x:v>
      </x:c>
      <x:c r="D100" s="24" t="str">
        <x:v>Tactics Ogre: Reborn</x:v>
      </x:c>
      <x:c r="E100" s="24" t="str">
        <x:v>Reborn game continuity</x:v>
      </x:c>
      <x:c r="F100" s="24" t="str">
        <x:v>Playable people</x:v>
      </x:c>
      <x:c r="G100" s="24" t="str">
        <x:v>PPL-115</x:v>
      </x:c>
      <x:c r="H100" s="24" t="str">
        <x:f>IFERROR(VLOOKUP(G100,'Master Taxonomy'!$A$2:$B$1226,2,FALSE),"")</x:f>
        <x:v>Avian and Winged Humanoid Peoples</x:v>
      </x:c>
      <x:c r="I100" s="24" t="str"/>
      <x:c r="J100" s="24" t="str"/>
      <x:c r="K100" s="24" t="str">
        <x:v>Humanoids with functional wings and aerial mobility.</x:v>
      </x:c>
      <x:c r="L100" s="24" t="str">
        <x:v>Natural ancestry and flight.</x:v>
      </x:c>
      <x:c r="M100" s="24" t="str">
        <x:v>A setting-specific people rather than a universal angelic category.</x:v>
      </x:c>
      <x:c r="N100" s="24" t="str">
        <x:v>Winged humanoid and aerial unit analogue.</x:v>
      </x:c>
      <x:c r="O100" s="24" t="str">
        <x:v>Primary canon</x:v>
      </x:c>
      <x:c r="P100" s="24" t="str">
        <x:v>Official reference reviewed</x:v>
      </x:c>
      <x:c r="Q100" s="24" t="str">
        <x:v>Square Enix official character and class overview for Tactics Ogre: Reborn.</x:v>
      </x:c>
      <x:c r="R100" s="84" t="str">
        <x:v>https://www.square-enix-games.com/en_US/news/tactics-ogre-reborn-characters-classes</x:v>
      </x:c>
      <x:c r="S100" s="24" t="str">
        <x:v>Seeded</x:v>
      </x:c>
    </x:row>
    <x:row r="101" ht="52" customHeight="1">
      <x:c r="A101" s="24" t="str">
        <x:v>ENT-0100</x:v>
      </x:c>
      <x:c r="B101" s="24" t="str">
        <x:v>Lizardman</x:v>
      </x:c>
      <x:c r="C101" s="24" t="str">
        <x:v>SRC-128</x:v>
      </x:c>
      <x:c r="D101" s="24" t="str">
        <x:v>Tactics Ogre: Reborn</x:v>
      </x:c>
      <x:c r="E101" s="24" t="str">
        <x:v>Reborn game continuity</x:v>
      </x:c>
      <x:c r="F101" s="24" t="str">
        <x:v>Playable people</x:v>
      </x:c>
      <x:c r="G101" s="24" t="str">
        <x:v>PPL-112</x:v>
      </x:c>
      <x:c r="H101" s="24" t="str">
        <x:f>IFERROR(VLOOKUP(G101,'Master Taxonomy'!$A$2:$B$1226,2,FALSE),"")</x:f>
        <x:v>Lizardfolk and Reptilian Peoples</x:v>
      </x:c>
      <x:c r="I101" s="24" t="str"/>
      <x:c r="J101" s="24" t="str"/>
      <x:c r="K101" s="24" t="str">
        <x:v>Reptilian humanoids available in specialized martial roles.</x:v>
      </x:c>
      <x:c r="L101" s="24" t="str">
        <x:v>Natural ancestry and class access.</x:v>
      </x:c>
      <x:c r="M101" s="24" t="str">
        <x:v>Do not merge automatically with dragons or serpentfolk.</x:v>
      </x:c>
      <x:c r="N101" s="24" t="str">
        <x:v>Lizardfolk ancestry.</x:v>
      </x:c>
      <x:c r="O101" s="24" t="str">
        <x:v>Primary canon</x:v>
      </x:c>
      <x:c r="P101" s="24" t="str">
        <x:v>Official reference reviewed</x:v>
      </x:c>
      <x:c r="Q101" s="24" t="str">
        <x:v>Square Enix official character and class overview for Tactics Ogre: Reborn.</x:v>
      </x:c>
      <x:c r="R101" s="84" t="str">
        <x:v>https://www.square-enix-games.com/en_US/news/tactics-ogre-reborn-characters-classes</x:v>
      </x:c>
      <x:c r="S101" s="24" t="str">
        <x:v>Seeded</x:v>
      </x:c>
    </x:row>
    <x:row r="102" ht="52" customHeight="1">
      <x:c r="A102" s="24" t="str">
        <x:v>ENT-0101</x:v>
      </x:c>
      <x:c r="B102" s="24" t="str">
        <x:v>Lamia</x:v>
      </x:c>
      <x:c r="C102" s="24" t="str">
        <x:v>SRC-128</x:v>
      </x:c>
      <x:c r="D102" s="24" t="str">
        <x:v>Tactics Ogre: Reborn</x:v>
      </x:c>
      <x:c r="E102" s="24" t="str">
        <x:v>Reborn game continuity</x:v>
      </x:c>
      <x:c r="F102" s="24" t="str">
        <x:v>Playable people</x:v>
      </x:c>
      <x:c r="G102" s="24" t="str">
        <x:v>PPL-113</x:v>
      </x:c>
      <x:c r="H102" s="24" t="str">
        <x:f>IFERROR(VLOOKUP(G102,'Master Taxonomy'!$A$2:$B$1226,2,FALSE),"")</x:f>
        <x:v>Serpentfolk, Naga, and Lamia Peoples</x:v>
      </x:c>
      <x:c r="I102" s="24" t="str"/>
      <x:c r="J102" s="24" t="str"/>
      <x:c r="K102" s="24" t="str">
        <x:v>Serpentine humanoids with setting-specific class options.</x:v>
      </x:c>
      <x:c r="L102" s="24" t="str">
        <x:v>Natural ancestry and class access.</x:v>
      </x:c>
      <x:c r="M102" s="24" t="str">
        <x:v>The term has different meanings across myth and games.</x:v>
      </x:c>
      <x:c r="N102" s="24" t="str">
        <x:v>Lamia and serpentfolk ancestry.</x:v>
      </x:c>
      <x:c r="O102" s="24" t="str">
        <x:v>Primary canon</x:v>
      </x:c>
      <x:c r="P102" s="24" t="str">
        <x:v>Official reference reviewed</x:v>
      </x:c>
      <x:c r="Q102" s="24" t="str">
        <x:v>Square Enix official character and class overview for Tactics Ogre: Reborn.</x:v>
      </x:c>
      <x:c r="R102" s="84" t="str">
        <x:v>https://www.square-enix-games.com/en_US/news/tactics-ogre-reborn-characters-classes</x:v>
      </x:c>
      <x:c r="S102" s="24" t="str">
        <x:v>Seeded</x:v>
      </x:c>
    </x:row>
    <x:row r="103" ht="52" customHeight="1">
      <x:c r="A103" s="24" t="str">
        <x:v>ENT-0102</x:v>
      </x:c>
      <x:c r="B103" s="24" t="str">
        <x:v>Orc</x:v>
      </x:c>
      <x:c r="C103" s="24" t="str">
        <x:v>SRC-128</x:v>
      </x:c>
      <x:c r="D103" s="24" t="str">
        <x:v>Tactics Ogre: Reborn</x:v>
      </x:c>
      <x:c r="E103" s="24" t="str">
        <x:v>Reborn game continuity</x:v>
      </x:c>
      <x:c r="F103" s="24" t="str">
        <x:v>Playable people</x:v>
      </x:c>
      <x:c r="G103" s="24" t="str">
        <x:v>PPL-106</x:v>
      </x:c>
      <x:c r="H103" s="24" t="str">
        <x:f>IFERROR(VLOOKUP(G103,'Master Taxonomy'!$A$2:$B$1226,2,FALSE),"")</x:f>
        <x:v>Orc-Derived Peoples</x:v>
      </x:c>
      <x:c r="I103" s="24" t="str"/>
      <x:c r="J103" s="24" t="str"/>
      <x:c r="K103" s="24" t="str">
        <x:v>An orcish humanoid people participating in the setting's conflicts.</x:v>
      </x:c>
      <x:c r="L103" s="24" t="str">
        <x:v>Natural ancestry and class access.</x:v>
      </x:c>
      <x:c r="M103" s="24" t="str">
        <x:v>Playable peoplehood should be distinguished from generic monster status.</x:v>
      </x:c>
      <x:c r="N103" s="24" t="str">
        <x:v>Orc ancestry.</x:v>
      </x:c>
      <x:c r="O103" s="24" t="str">
        <x:v>Primary canon</x:v>
      </x:c>
      <x:c r="P103" s="24" t="str">
        <x:v>Official reference reviewed</x:v>
      </x:c>
      <x:c r="Q103" s="24" t="str">
        <x:v>Square Enix official character and class overview for Tactics Ogre: Reborn.</x:v>
      </x:c>
      <x:c r="R103" s="84" t="str">
        <x:v>https://www.square-enix-games.com/en_US/news/tactics-ogre-reborn-characters-classes</x:v>
      </x:c>
      <x:c r="S103" s="24" t="str">
        <x:v>Seeded</x:v>
      </x:c>
    </x:row>
    <x:row r="104" ht="52" customHeight="1">
      <x:c r="A104" s="24" t="str">
        <x:v>ENT-0103</x:v>
      </x:c>
      <x:c r="B104" s="24" t="str">
        <x:v>Faerie</x:v>
      </x:c>
      <x:c r="C104" s="24" t="str">
        <x:v>SRC-128</x:v>
      </x:c>
      <x:c r="D104" s="24" t="str">
        <x:v>Tactics Ogre: Reborn</x:v>
      </x:c>
      <x:c r="E104" s="24" t="str">
        <x:v>Reborn game continuity</x:v>
      </x:c>
      <x:c r="F104" s="24" t="str">
        <x:v>Playable small magical people</x:v>
      </x:c>
      <x:c r="G104" s="24" t="str">
        <x:v>PPL-200</x:v>
      </x:c>
      <x:c r="H104" s="24" t="str">
        <x:f>IFERROR(VLOOKUP(G104,'Master Taxonomy'!$A$2:$B$1226,2,FALSE),"")</x:f>
        <x:v>Fae, Nature, and Liminal Beings</x:v>
      </x:c>
      <x:c r="I104" s="24" t="str"/>
      <x:c r="J104" s="24" t="str"/>
      <x:c r="K104" s="24" t="str">
        <x:v>Small winged magical beings with distinctive class access.</x:v>
      </x:c>
      <x:c r="L104" s="24" t="str">
        <x:v>Innate magical nature and flight.</x:v>
      </x:c>
      <x:c r="M104" s="24" t="str">
        <x:v>Not equivalent to every folklore fairy tradition.</x:v>
      </x:c>
      <x:c r="N104" s="24" t="str">
        <x:v>Playable faerie ancestry.</x:v>
      </x:c>
      <x:c r="O104" s="24" t="str">
        <x:v>Primary canon</x:v>
      </x:c>
      <x:c r="P104" s="24" t="str">
        <x:v>Official reference reviewed</x:v>
      </x:c>
      <x:c r="Q104" s="24" t="str">
        <x:v>Square Enix official character and class overview for Tactics Ogre: Reborn.</x:v>
      </x:c>
      <x:c r="R104" s="84" t="str">
        <x:v>https://www.square-enix-games.com/en_US/news/tactics-ogre-reborn-characters-classes</x:v>
      </x:c>
      <x:c r="S104" s="24" t="str">
        <x:v>Seeded</x:v>
      </x:c>
    </x:row>
    <x:row r="105" ht="52" customHeight="1">
      <x:c r="A105" s="24" t="str">
        <x:v>ENT-0104</x:v>
      </x:c>
      <x:c r="B105" s="24" t="str">
        <x:v>Imp</x:v>
      </x:c>
      <x:c r="C105" s="24" t="str">
        <x:v>SRC-128</x:v>
      </x:c>
      <x:c r="D105" s="24" t="str">
        <x:v>Tactics Ogre: Reborn</x:v>
      </x:c>
      <x:c r="E105" s="24" t="str">
        <x:v>Reborn game continuity</x:v>
      </x:c>
      <x:c r="F105" s="24" t="str">
        <x:v>Playable fiendish being</x:v>
      </x:c>
      <x:c r="G105" s="24" t="str">
        <x:v>PPL-501</x:v>
      </x:c>
      <x:c r="H105" s="24" t="str">
        <x:f>IFERROR(VLOOKUP(G105,'Master Taxonomy'!$A$2:$B$1226,2,FALSE),"")</x:f>
        <x:v>Demons</x:v>
      </x:c>
      <x:c r="I105" s="24" t="str"/>
      <x:c r="J105" s="24" t="str"/>
      <x:c r="K105" s="24" t="str">
        <x:v>Small fiendish beings with magical and mobile combat functions.</x:v>
      </x:c>
      <x:c r="L105" s="24" t="str">
        <x:v>Innate supernatural nature.</x:v>
      </x:c>
      <x:c r="M105" s="24" t="str">
        <x:v>A tactical unit category rather than a complete demon cosmology.</x:v>
      </x:c>
      <x:c r="N105" s="24" t="str">
        <x:v>Imp and minor-fiend analogue.</x:v>
      </x:c>
      <x:c r="O105" s="24" t="str">
        <x:v>Primary canon</x:v>
      </x:c>
      <x:c r="P105" s="24" t="str">
        <x:v>Official reference reviewed</x:v>
      </x:c>
      <x:c r="Q105" s="24" t="str">
        <x:v>Square Enix official character and class overview for Tactics Ogre: Reborn.</x:v>
      </x:c>
      <x:c r="R105" s="84" t="str">
        <x:v>https://www.square-enix-games.com/en_US/news/tactics-ogre-reborn-characters-classes</x:v>
      </x:c>
      <x:c r="S105" s="24" t="str">
        <x:v>Seeded</x:v>
      </x:c>
    </x:row>
    <x:row r="106" ht="52" customHeight="1">
      <x:c r="A106" s="24" t="str">
        <x:v>ENT-0105</x:v>
      </x:c>
      <x:c r="B106" s="24" t="str">
        <x:v>Skeleton</x:v>
      </x:c>
      <x:c r="C106" s="24" t="str">
        <x:v>SRC-128</x:v>
      </x:c>
      <x:c r="D106" s="24" t="str">
        <x:v>Tactics Ogre: Reborn</x:v>
      </x:c>
      <x:c r="E106" s="24" t="str">
        <x:v>Reborn game continuity</x:v>
      </x:c>
      <x:c r="F106" s="24" t="str">
        <x:v>Undead unit</x:v>
      </x:c>
      <x:c r="G106" s="24" t="str">
        <x:v>PPL-603</x:v>
      </x:c>
      <x:c r="H106" s="24" t="str">
        <x:f>IFERROR(VLOOKUP(G106,'Master Taxonomy'!$A$2:$B$1226,2,FALSE),"")</x:f>
        <x:v>Skeletons</x:v>
      </x:c>
      <x:c r="I106" s="24" t="str"/>
      <x:c r="J106" s="24" t="str"/>
      <x:c r="K106" s="24" t="str">
        <x:v>Animated skeletal units capable of class participation.</x:v>
      </x:c>
      <x:c r="L106" s="24" t="str">
        <x:v>Necromancy and undead state.</x:v>
      </x:c>
      <x:c r="M106" s="24" t="str">
        <x:v>Rules for recruitment and revival are game-specific.</x:v>
      </x:c>
      <x:c r="N106" s="24" t="str">
        <x:v>Playable skeletal undead.</x:v>
      </x:c>
      <x:c r="O106" s="24" t="str">
        <x:v>Primary canon</x:v>
      </x:c>
      <x:c r="P106" s="24" t="str">
        <x:v>Official reference reviewed</x:v>
      </x:c>
      <x:c r="Q106" s="24" t="str">
        <x:v>Square Enix official character and class overview for Tactics Ogre: Reborn.</x:v>
      </x:c>
      <x:c r="R106" s="84" t="str">
        <x:v>https://www.square-enix-games.com/en_US/news/tactics-ogre-reborn-characters-classes</x:v>
      </x:c>
      <x:c r="S106" s="24" t="str">
        <x:v>Seeded</x:v>
      </x:c>
    </x:row>
    <x:row r="107" ht="52" customHeight="1">
      <x:c r="A107" s="24" t="str">
        <x:v>ENT-0106</x:v>
      </x:c>
      <x:c r="B107" s="24" t="str">
        <x:v>Ghost</x:v>
      </x:c>
      <x:c r="C107" s="24" t="str">
        <x:v>SRC-128</x:v>
      </x:c>
      <x:c r="D107" s="24" t="str">
        <x:v>Tactics Ogre: Reborn</x:v>
      </x:c>
      <x:c r="E107" s="24" t="str">
        <x:v>Reborn game continuity</x:v>
      </x:c>
      <x:c r="F107" s="24" t="str">
        <x:v>Undead unit</x:v>
      </x:c>
      <x:c r="G107" s="24" t="str">
        <x:v>PPL-601</x:v>
      </x:c>
      <x:c r="H107" s="24" t="str">
        <x:f>IFERROR(VLOOKUP(G107,'Master Taxonomy'!$A$2:$B$1226,2,FALSE),"")</x:f>
        <x:v>Ghosts</x:v>
      </x:c>
      <x:c r="I107" s="24" t="str"/>
      <x:c r="J107" s="24" t="str"/>
      <x:c r="K107" s="24" t="str">
        <x:v>Incorporeal undead units with magical affinities.</x:v>
      </x:c>
      <x:c r="L107" s="24" t="str">
        <x:v>Postmortem spiritual state.</x:v>
      </x:c>
      <x:c r="M107" s="24" t="str">
        <x:v>A mechanical unit type with specific movement and revival rules.</x:v>
      </x:c>
      <x:c r="N107" s="24" t="str">
        <x:v>Playable spectral undead.</x:v>
      </x:c>
      <x:c r="O107" s="24" t="str">
        <x:v>Primary canon</x:v>
      </x:c>
      <x:c r="P107" s="24" t="str">
        <x:v>Official reference reviewed</x:v>
      </x:c>
      <x:c r="Q107" s="24" t="str">
        <x:v>Square Enix official character and class overview for Tactics Ogre: Reborn.</x:v>
      </x:c>
      <x:c r="R107" s="84" t="str">
        <x:v>https://www.square-enix-games.com/en_US/news/tactics-ogre-reborn-characters-classes</x:v>
      </x:c>
      <x:c r="S107" s="24" t="str">
        <x:v>Seeded</x:v>
      </x:c>
    </x:row>
    <x:row r="108" ht="52" customHeight="1">
      <x:c r="A108" s="24" t="str">
        <x:v>ENT-0107</x:v>
      </x:c>
      <x:c r="B108" s="24" t="str">
        <x:v>Golem</x:v>
      </x:c>
      <x:c r="C108" s="24" t="str">
        <x:v>SRC-128</x:v>
      </x:c>
      <x:c r="D108" s="24" t="str">
        <x:v>Tactics Ogre: Reborn</x:v>
      </x:c>
      <x:c r="E108" s="24" t="str">
        <x:v>Reborn game continuity</x:v>
      </x:c>
      <x:c r="F108" s="24" t="str">
        <x:v>Construct unit</x:v>
      </x:c>
      <x:c r="G108" s="24" t="str">
        <x:v>PPL-701</x:v>
      </x:c>
      <x:c r="H108" s="24" t="str">
        <x:f>IFERROR(VLOOKUP(G108,'Master Taxonomy'!$A$2:$B$1226,2,FALSE),"")</x:f>
        <x:v>Golems</x:v>
      </x:c>
      <x:c r="I108" s="24" t="str"/>
      <x:c r="J108" s="24" t="str"/>
      <x:c r="K108" s="24" t="str">
        <x:v>Artificial heavy units built for durability and battlefield control.</x:v>
      </x:c>
      <x:c r="L108" s="24" t="str">
        <x:v>Construction, materials, and magical animation.</x:v>
      </x:c>
      <x:c r="M108" s="24" t="str">
        <x:v>Material variants are mechanical subtypes rather than separate universal peoples.</x:v>
      </x:c>
      <x:c r="N108" s="24" t="str">
        <x:v>Tank construct.</x:v>
      </x:c>
      <x:c r="O108" s="24" t="str">
        <x:v>Primary canon</x:v>
      </x:c>
      <x:c r="P108" s="24" t="str">
        <x:v>Official reference reviewed</x:v>
      </x:c>
      <x:c r="Q108" s="24" t="str">
        <x:v>Square Enix official character and class overview for Tactics Ogre: Reborn.</x:v>
      </x:c>
      <x:c r="R108" s="84" t="str">
        <x:v>https://www.square-enix-games.com/en_US/news/tactics-ogre-reborn-characters-classes</x:v>
      </x:c>
      <x:c r="S108" s="24" t="str">
        <x:v>Seeded</x:v>
      </x:c>
    </x:row>
    <x:row r="109" ht="52" customHeight="1">
      <x:c r="A109" s="24" t="str">
        <x:v>ENT-0108</x:v>
      </x:c>
      <x:c r="B109" s="24" t="str">
        <x:v>Dragon</x:v>
      </x:c>
      <x:c r="C109" s="24" t="str">
        <x:v>SRC-128</x:v>
      </x:c>
      <x:c r="D109" s="24" t="str">
        <x:v>Tactics Ogre: Reborn</x:v>
      </x:c>
      <x:c r="E109" s="24" t="str">
        <x:v>Reborn game continuity</x:v>
      </x:c>
      <x:c r="F109" s="24" t="str">
        <x:v>Monster unit</x:v>
      </x:c>
      <x:c r="G109" s="24" t="str">
        <x:v>PPL-801</x:v>
      </x:c>
      <x:c r="H109" s="24" t="str">
        <x:f>IFERROR(VLOOKUP(G109,'Master Taxonomy'!$A$2:$B$1226,2,FALSE),"")</x:f>
        <x:v>True Dragons</x:v>
      </x:c>
      <x:c r="I109" s="24" t="str"/>
      <x:c r="J109" s="24" t="str"/>
      <x:c r="K109" s="24" t="str">
        <x:v>Recruitable draconic monsters with elemental and battlefield variants.</x:v>
      </x:c>
      <x:c r="L109" s="24" t="str">
        <x:v>Natural or magical monster lineage.</x:v>
      </x:c>
      <x:c r="M109" s="24" t="str">
        <x:v>The tactical taxonomy emphasizes combat element and unit role.</x:v>
      </x:c>
      <x:c r="N109" s="24" t="str">
        <x:v>Recruitable dragon unit.</x:v>
      </x:c>
      <x:c r="O109" s="24" t="str">
        <x:v>Primary canon</x:v>
      </x:c>
      <x:c r="P109" s="24" t="str">
        <x:v>Official reference reviewed</x:v>
      </x:c>
      <x:c r="Q109" s="24" t="str">
        <x:v>Square Enix official character and class overview for Tactics Ogre: Reborn.</x:v>
      </x:c>
      <x:c r="R109" s="84" t="str">
        <x:v>https://www.square-enix-games.com/en_US/news/tactics-ogre-reborn-characters-classes</x:v>
      </x:c>
      <x:c r="S109" s="24" t="str">
        <x:v>Seeded</x:v>
      </x:c>
    </x:row>
    <x:row r="110" ht="52" customHeight="1">
      <x:c r="A110" s="24" t="str">
        <x:v>ENT-0109</x:v>
      </x:c>
      <x:c r="B110" s="24" t="str">
        <x:v>Hydra</x:v>
      </x:c>
      <x:c r="C110" s="24" t="str">
        <x:v>SRC-128</x:v>
      </x:c>
      <x:c r="D110" s="24" t="str">
        <x:v>Tactics Ogre: Reborn</x:v>
      </x:c>
      <x:c r="E110" s="24" t="str">
        <x:v>Reborn game continuity</x:v>
      </x:c>
      <x:c r="F110" s="24" t="str">
        <x:v>Monster unit</x:v>
      </x:c>
      <x:c r="G110" s="24" t="str">
        <x:v>PPL-805</x:v>
      </x:c>
      <x:c r="H110" s="24" t="str">
        <x:f>IFERROR(VLOOKUP(G110,'Master Taxonomy'!$A$2:$B$1226,2,FALSE),"")</x:f>
        <x:v>Hydras</x:v>
      </x:c>
      <x:c r="I110" s="24" t="str"/>
      <x:c r="J110" s="24" t="str"/>
      <x:c r="K110" s="24" t="str">
        <x:v>Multiheaded draconic monster units with specialized attacks.</x:v>
      </x:c>
      <x:c r="L110" s="24" t="str">
        <x:v>Monster physiology and elemental variants.</x:v>
      </x:c>
      <x:c r="M110" s="24" t="str">
        <x:v>Classified separately from ordinary dragons in the game.</x:v>
      </x:c>
      <x:c r="N110" s="24" t="str">
        <x:v>Hydra unit.</x:v>
      </x:c>
      <x:c r="O110" s="24" t="str">
        <x:v>Primary canon</x:v>
      </x:c>
      <x:c r="P110" s="24" t="str">
        <x:v>Official reference reviewed</x:v>
      </x:c>
      <x:c r="Q110" s="24" t="str">
        <x:v>Square Enix official character and class overview for Tactics Ogre: Reborn.</x:v>
      </x:c>
      <x:c r="R110" s="84" t="str">
        <x:v>https://www.square-enix-games.com/en_US/news/tactics-ogre-reborn-characters-classes</x:v>
      </x:c>
      <x:c r="S110" s="24" t="str">
        <x:v>Seeded</x:v>
      </x:c>
    </x:row>
    <x:row r="111" ht="52" customHeight="1">
      <x:c r="A111" s="24" t="str">
        <x:v>ENT-0110</x:v>
      </x:c>
      <x:c r="B111" s="24" t="str">
        <x:v>Gryphon</x:v>
      </x:c>
      <x:c r="C111" s="24" t="str">
        <x:v>SRC-128</x:v>
      </x:c>
      <x:c r="D111" s="24" t="str">
        <x:v>Tactics Ogre: Reborn</x:v>
      </x:c>
      <x:c r="E111" s="24" t="str">
        <x:v>Reborn game continuity</x:v>
      </x:c>
      <x:c r="F111" s="24" t="str">
        <x:v>Monster unit</x:v>
      </x:c>
      <x:c r="G111" s="24" t="str">
        <x:v>PPL-807</x:v>
      </x:c>
      <x:c r="H111" s="24" t="str">
        <x:f>IFERROR(VLOOKUP(G111,'Master Taxonomy'!$A$2:$B$1226,2,FALSE),"")</x:f>
        <x:v>Griffins and Hippogriffs</x:v>
      </x:c>
      <x:c r="I111" s="24" t="str"/>
      <x:c r="J111" s="24" t="str"/>
      <x:c r="K111" s="24" t="str">
        <x:v>Flying leonine-avian monsters used as mobile combat units.</x:v>
      </x:c>
      <x:c r="L111" s="24" t="str">
        <x:v>Natural monster physiology and flight.</x:v>
      </x:c>
      <x:c r="M111" s="24" t="str">
        <x:v>The source spelling and mechanics are game-specific.</x:v>
      </x:c>
      <x:c r="N111" s="24" t="str">
        <x:v>Griffin aerial beast.</x:v>
      </x:c>
      <x:c r="O111" s="24" t="str">
        <x:v>Primary canon</x:v>
      </x:c>
      <x:c r="P111" s="24" t="str">
        <x:v>Official reference reviewed</x:v>
      </x:c>
      <x:c r="Q111" s="24" t="str">
        <x:v>Square Enix official character and class overview for Tactics Ogre: Reborn.</x:v>
      </x:c>
      <x:c r="R111" s="84" t="str">
        <x:v>https://www.square-enix-games.com/en_US/news/tactics-ogre-reborn-characters-classes</x:v>
      </x:c>
      <x:c r="S111" s="24" t="str">
        <x:v>Seeded</x:v>
      </x:c>
    </x:row>
    <x:row r="112" ht="52" customHeight="1">
      <x:c r="A112" s="24" t="str">
        <x:v>ENT-0111</x:v>
      </x:c>
      <x:c r="B112" s="24" t="str">
        <x:v>Cockatrice</x:v>
      </x:c>
      <x:c r="C112" s="24" t="str">
        <x:v>SRC-128</x:v>
      </x:c>
      <x:c r="D112" s="24" t="str">
        <x:v>Tactics Ogre: Reborn</x:v>
      </x:c>
      <x:c r="E112" s="24" t="str">
        <x:v>Reborn game continuity</x:v>
      </x:c>
      <x:c r="F112" s="24" t="str">
        <x:v>Monster unit</x:v>
      </x:c>
      <x:c r="G112" s="24" t="str">
        <x:v>PPL-813</x:v>
      </x:c>
      <x:c r="H112" s="24" t="str">
        <x:f>IFERROR(VLOOKUP(G112,'Master Taxonomy'!$A$2:$B$1226,2,FALSE),"")</x:f>
        <x:v>Basilisks and Cockatrices</x:v>
      </x:c>
      <x:c r="I112" s="24" t="str"/>
      <x:c r="J112" s="24" t="str"/>
      <x:c r="K112" s="24" t="str">
        <x:v>Winged monster units associated with petrifying or disabling attacks.</x:v>
      </x:c>
      <x:c r="L112" s="24" t="str">
        <x:v>Monster physiology and status effects.</x:v>
      </x:c>
      <x:c r="M112" s="24" t="str">
        <x:v>Mechanical status role is central to its game identity.</x:v>
      </x:c>
      <x:c r="N112" s="24" t="str">
        <x:v>Petrifying beast analogue.</x:v>
      </x:c>
      <x:c r="O112" s="24" t="str">
        <x:v>Primary canon</x:v>
      </x:c>
      <x:c r="P112" s="24" t="str">
        <x:v>Official reference reviewed</x:v>
      </x:c>
      <x:c r="Q112" s="24" t="str">
        <x:v>Square Enix official character and class overview for Tactics Ogre: Reborn.</x:v>
      </x:c>
      <x:c r="R112" s="84" t="str">
        <x:v>https://www.square-enix-games.com/en_US/news/tactics-ogre-reborn-characters-classes</x:v>
      </x:c>
      <x:c r="S112" s="24" t="str">
        <x:v>Seeded</x:v>
      </x:c>
    </x:row>
    <x:row r="113" ht="52" customHeight="1">
      <x:c r="A113" s="24" t="str">
        <x:v>ENT-0112</x:v>
      </x:c>
      <x:c r="B113" s="24" t="str">
        <x:v>Octopus</x:v>
      </x:c>
      <x:c r="C113" s="24" t="str">
        <x:v>SRC-128</x:v>
      </x:c>
      <x:c r="D113" s="24" t="str">
        <x:v>Tactics Ogre: Reborn</x:v>
      </x:c>
      <x:c r="E113" s="24" t="str">
        <x:v>Reborn game continuity</x:v>
      </x:c>
      <x:c r="F113" s="24" t="str">
        <x:v>Monster unit</x:v>
      </x:c>
      <x:c r="G113" s="24" t="str">
        <x:v>PPL-815</x:v>
      </x:c>
      <x:c r="H113" s="24" t="str">
        <x:f>IFERROR(VLOOKUP(G113,'Master Taxonomy'!$A$2:$B$1226,2,FALSE),"")</x:f>
        <x:v>Krakens and Leviathans</x:v>
      </x:c>
      <x:c r="I113" s="24" t="str"/>
      <x:c r="J113" s="24" t="str"/>
      <x:c r="K113" s="24" t="str">
        <x:v>Large aquatic cephalopod units especially effective in water terrain.</x:v>
      </x:c>
      <x:c r="L113" s="24" t="str">
        <x:v>Natural monster physiology and terrain affinity.</x:v>
      </x:c>
      <x:c r="M113" s="24" t="str">
        <x:v>Closest normalized family is kraken-like, though scale and intelligence vary.</x:v>
      </x:c>
      <x:c r="N113" s="24" t="str">
        <x:v>Aquatic control-beast analogue.</x:v>
      </x:c>
      <x:c r="O113" s="24" t="str">
        <x:v>Primary canon</x:v>
      </x:c>
      <x:c r="P113" s="24" t="str">
        <x:v>Official reference reviewed</x:v>
      </x:c>
      <x:c r="Q113" s="24" t="str">
        <x:v>Square Enix official character and class overview for Tactics Ogre: Reborn.</x:v>
      </x:c>
      <x:c r="R113" s="84" t="str">
        <x:v>https://www.square-enix-games.com/en_US/news/tactics-ogre-reborn-characters-classes</x:v>
      </x:c>
      <x:c r="S113" s="24" t="str">
        <x:v>Seeded</x:v>
      </x:c>
    </x:row>
    <x:row r="114" ht="52" customHeight="1">
      <x:c r="A114" s="24" t="str">
        <x:v>ENT-0113</x:v>
      </x:c>
      <x:c r="B114" s="24" t="str">
        <x:v>Warrior</x:v>
      </x:c>
      <x:c r="C114" s="24" t="str">
        <x:v>SRC-128</x:v>
      </x:c>
      <x:c r="D114" s="24" t="str">
        <x:v>Tactics Ogre: Reborn</x:v>
      </x:c>
      <x:c r="E114" s="24" t="str">
        <x:v>Reborn game continuity</x:v>
      </x:c>
      <x:c r="F114" s="24" t="str">
        <x:v>Playable class</x:v>
      </x:c>
      <x:c r="G114" s="24" t="str">
        <x:v>ROL-101</x:v>
      </x:c>
      <x:c r="H114" s="24" t="str">
        <x:f>IFERROR(VLOOKUP(G114,'Master Taxonomy'!$A$2:$B$1226,2,FALSE),"")</x:f>
        <x:v>Warrior or Fighter</x:v>
      </x:c>
      <x:c r="I114" s="24" t="str"/>
      <x:c r="J114" s="24" t="str"/>
      <x:c r="K114" s="24" t="str">
        <x:v>General martial class with broad weapon access.</x:v>
      </x:c>
      <x:c r="L114" s="24" t="str">
        <x:v>Training, equipment, and statistics.</x:v>
      </x:c>
      <x:c r="M114" s="24" t="str">
        <x:v>A starting class rather than every armed person's profession.</x:v>
      </x:c>
      <x:c r="N114" s="24" t="str">
        <x:v>Baseline martial class.</x:v>
      </x:c>
      <x:c r="O114" s="24" t="str">
        <x:v>Primary canon</x:v>
      </x:c>
      <x:c r="P114" s="24" t="str">
        <x:v>Official reference reviewed</x:v>
      </x:c>
      <x:c r="Q114" s="24" t="str">
        <x:v>Square Enix official character and class overview for Tactics Ogre: Reborn.</x:v>
      </x:c>
      <x:c r="R114" s="84" t="str">
        <x:v>https://www.square-enix-games.com/en_US/news/tactics-ogre-reborn-characters-classes</x:v>
      </x:c>
      <x:c r="S114" s="24" t="str">
        <x:v>Seeded</x:v>
      </x:c>
    </x:row>
    <x:row r="115" ht="52" customHeight="1">
      <x:c r="A115" s="24" t="str">
        <x:v>ENT-0114</x:v>
      </x:c>
      <x:c r="B115" s="24" t="str">
        <x:v>Archer</x:v>
      </x:c>
      <x:c r="C115" s="24" t="str">
        <x:v>SRC-128</x:v>
      </x:c>
      <x:c r="D115" s="24" t="str">
        <x:v>Tactics Ogre: Reborn</x:v>
      </x:c>
      <x:c r="E115" s="24" t="str">
        <x:v>Reborn game continuity</x:v>
      </x:c>
      <x:c r="F115" s="24" t="str">
        <x:v>Playable class</x:v>
      </x:c>
      <x:c r="G115" s="24" t="str">
        <x:v>ROL-127</x:v>
      </x:c>
      <x:c r="H115" s="24" t="str">
        <x:f>IFERROR(VLOOKUP(G115,'Master Taxonomy'!$A$2:$B$1226,2,FALSE),"")</x:f>
        <x:v>Archer</x:v>
      </x:c>
      <x:c r="I115" s="24" t="str"/>
      <x:c r="J115" s="24" t="str"/>
      <x:c r="K115" s="24" t="str">
        <x:v>Ranged physical class specializing in bows and target selection.</x:v>
      </x:c>
      <x:c r="L115" s="24" t="str">
        <x:v>Training, ranged weapons, positioning.</x:v>
      </x:c>
      <x:c r="M115" s="24" t="str">
        <x:v>Its performance is tightly coupled to the game's armor and trajectory systems.</x:v>
      </x:c>
      <x:c r="N115" s="24" t="str">
        <x:v>Ranged striker.</x:v>
      </x:c>
      <x:c r="O115" s="24" t="str">
        <x:v>Primary canon</x:v>
      </x:c>
      <x:c r="P115" s="24" t="str">
        <x:v>Official reference reviewed</x:v>
      </x:c>
      <x:c r="Q115" s="24" t="str">
        <x:v>Square Enix official character and class overview for Tactics Ogre: Reborn.</x:v>
      </x:c>
      <x:c r="R115" s="84" t="str">
        <x:v>https://www.square-enix-games.com/en_US/news/tactics-ogre-reborn-characters-classes</x:v>
      </x:c>
      <x:c r="S115" s="24" t="str">
        <x:v>Seeded</x:v>
      </x:c>
    </x:row>
    <x:row r="116" ht="52" customHeight="1">
      <x:c r="A116" s="24" t="str">
        <x:v>ENT-0115</x:v>
      </x:c>
      <x:c r="B116" s="24" t="str">
        <x:v>Wizard / Witch</x:v>
      </x:c>
      <x:c r="C116" s="24" t="str">
        <x:v>SRC-128</x:v>
      </x:c>
      <x:c r="D116" s="24" t="str">
        <x:v>Tactics Ogre: Reborn</x:v>
      </x:c>
      <x:c r="E116" s="24" t="str">
        <x:v>Reborn game continuity</x:v>
      </x:c>
      <x:c r="F116" s="24" t="str">
        <x:v>Playable class</x:v>
      </x:c>
      <x:c r="G116" s="24" t="str">
        <x:v>ROL-301</x:v>
      </x:c>
      <x:c r="H116" s="24" t="str">
        <x:f>IFERROR(VLOOKUP(G116,'Master Taxonomy'!$A$2:$B$1226,2,FALSE),"")</x:f>
        <x:v>Mage and Wizard</x:v>
      </x:c>
      <x:c r="I116" s="24" t="str">
        <x:v>ROL-303</x:v>
      </x:c>
      <x:c r="J116" s="24" t="str">
        <x:v>Witch</x:v>
      </x:c>
      <x:c r="K116" s="24" t="str">
        <x:v>General offensive and utility spellcasting class.</x:v>
      </x:c>
      <x:c r="L116" s="24" t="str">
        <x:v>Learned spell use and elemental access.</x:v>
      </x:c>
      <x:c r="M116" s="24" t="str">
        <x:v>Wizard and Witch are paired mechanical labels rather than universal gendered ontologies.</x:v>
      </x:c>
      <x:c r="N116" s="24" t="str">
        <x:v>General arcane caster.</x:v>
      </x:c>
      <x:c r="O116" s="24" t="str">
        <x:v>Primary canon</x:v>
      </x:c>
      <x:c r="P116" s="24" t="str">
        <x:v>Official reference reviewed</x:v>
      </x:c>
      <x:c r="Q116" s="24" t="str">
        <x:v>Square Enix official character and class overview for Tactics Ogre: Reborn.</x:v>
      </x:c>
      <x:c r="R116" s="84" t="str">
        <x:v>https://www.square-enix-games.com/en_US/news/tactics-ogre-reborn-characters-classes</x:v>
      </x:c>
      <x:c r="S116" s="24" t="str">
        <x:v>Seeded</x:v>
      </x:c>
    </x:row>
    <x:row r="117" ht="52" customHeight="1">
      <x:c r="A117" s="24" t="str">
        <x:v>ENT-0116</x:v>
      </x:c>
      <x:c r="B117" s="24" t="str">
        <x:v>Cleric</x:v>
      </x:c>
      <x:c r="C117" s="24" t="str">
        <x:v>SRC-128</x:v>
      </x:c>
      <x:c r="D117" s="24" t="str">
        <x:v>Tactics Ogre: Reborn</x:v>
      </x:c>
      <x:c r="E117" s="24" t="str">
        <x:v>Reborn game continuity</x:v>
      </x:c>
      <x:c r="F117" s="24" t="str">
        <x:v>Playable class</x:v>
      </x:c>
      <x:c r="G117" s="24" t="str">
        <x:v>ROL-402</x:v>
      </x:c>
      <x:c r="H117" s="24" t="str">
        <x:f>IFERROR(VLOOKUP(G117,'Master Taxonomy'!$A$2:$B$1226,2,FALSE),"")</x:f>
        <x:v>Cleric</x:v>
      </x:c>
      <x:c r="I117" s="24" t="str">
        <x:v>MEC-112</x:v>
      </x:c>
      <x:c r="J117" s="24" t="str">
        <x:v>Healer</x:v>
      </x:c>
      <x:c r="K117" s="24" t="str">
        <x:v>Divine-support class emphasizing recovery and anti-undead functions.</x:v>
      </x:c>
      <x:c r="L117" s="24" t="str">
        <x:v>Sacred magic and support actions.</x:v>
      </x:c>
      <x:c r="M117" s="24" t="str">
        <x:v>Its exorcism function is unusually important in the game's undead rules.</x:v>
      </x:c>
      <x:c r="N117" s="24" t="str">
        <x:v>Healer and anti-undead support.</x:v>
      </x:c>
      <x:c r="O117" s="24" t="str">
        <x:v>Primary canon</x:v>
      </x:c>
      <x:c r="P117" s="24" t="str">
        <x:v>Official reference reviewed</x:v>
      </x:c>
      <x:c r="Q117" s="24" t="str">
        <x:v>Square Enix official character and class overview for Tactics Ogre: Reborn.</x:v>
      </x:c>
      <x:c r="R117" s="84" t="str">
        <x:v>https://www.square-enix-games.com/en_US/news/tactics-ogre-reborn-characters-classes</x:v>
      </x:c>
      <x:c r="S117" s="24" t="str">
        <x:v>Seeded</x:v>
      </x:c>
    </x:row>
    <x:row r="118" ht="52" customHeight="1">
      <x:c r="A118" s="24" t="str">
        <x:v>ENT-0117</x:v>
      </x:c>
      <x:c r="B118" s="24" t="str">
        <x:v>Rune Fencer / Valkyrie</x:v>
      </x:c>
      <x:c r="C118" s="24" t="str">
        <x:v>SRC-128</x:v>
      </x:c>
      <x:c r="D118" s="24" t="str">
        <x:v>Tactics Ogre: Reborn</x:v>
      </x:c>
      <x:c r="E118" s="24" t="str">
        <x:v>Reborn game continuity</x:v>
      </x:c>
      <x:c r="F118" s="24" t="str">
        <x:v>Playable class</x:v>
      </x:c>
      <x:c r="G118" s="24" t="str">
        <x:v>ROL-801</x:v>
      </x:c>
      <x:c r="H118" s="24" t="str">
        <x:f>IFERROR(VLOOKUP(G118,'Master Taxonomy'!$A$2:$B$1226,2,FALSE),"")</x:f>
        <x:v>Spellblade or Gish</x:v>
      </x:c>
      <x:c r="I118" s="24" t="str">
        <x:v>ROL-803</x:v>
      </x:c>
      <x:c r="J118" s="24" t="str">
        <x:v>Rune Knight</x:v>
      </x:c>
      <x:c r="K118" s="24" t="str">
        <x:v>Hybrid weapon-and-magic class with mobile elemental utility.</x:v>
      </x:c>
      <x:c r="L118" s="24" t="str">
        <x:v>Martial training, rune-like magic, and flexible equipment.</x:v>
      </x:c>
      <x:c r="M118" s="24" t="str">
        <x:v>The paired names vary by character presentation but share a rules role.</x:v>
      </x:c>
      <x:c r="N118" s="24" t="str">
        <x:v>Mobile spellblade.</x:v>
      </x:c>
      <x:c r="O118" s="24" t="str">
        <x:v>Primary canon</x:v>
      </x:c>
      <x:c r="P118" s="24" t="str">
        <x:v>Official reference reviewed</x:v>
      </x:c>
      <x:c r="Q118" s="24" t="str">
        <x:v>Square Enix official character and class overview for Tactics Ogre: Reborn.</x:v>
      </x:c>
      <x:c r="R118" s="84" t="str">
        <x:v>https://www.square-enix-games.com/en_US/news/tactics-ogre-reborn-characters-classes</x:v>
      </x:c>
      <x:c r="S118" s="24" t="str">
        <x:v>Seeded</x:v>
      </x:c>
    </x:row>
    <x:row r="119" ht="52" customHeight="1">
      <x:c r="A119" s="24" t="str">
        <x:v>ENT-0118</x:v>
      </x:c>
      <x:c r="B119" s="24" t="str">
        <x:v>Knight</x:v>
      </x:c>
      <x:c r="C119" s="24" t="str">
        <x:v>SRC-128</x:v>
      </x:c>
      <x:c r="D119" s="24" t="str">
        <x:v>Tactics Ogre: Reborn</x:v>
      </x:c>
      <x:c r="E119" s="24" t="str">
        <x:v>Reborn game continuity</x:v>
      </x:c>
      <x:c r="F119" s="24" t="str">
        <x:v>Playable class</x:v>
      </x:c>
      <x:c r="G119" s="24" t="str">
        <x:v>ROL-115</x:v>
      </x:c>
      <x:c r="H119" s="24" t="str">
        <x:f>IFERROR(VLOOKUP(G119,'Master Taxonomy'!$A$2:$B$1226,2,FALSE),"")</x:f>
        <x:v>Knight</x:v>
      </x:c>
      <x:c r="I119" s="24" t="str">
        <x:v>ROL-110</x:v>
      </x:c>
      <x:c r="J119" s="24" t="str">
        <x:v>Shieldbearer and Guardian</x:v>
      </x:c>
      <x:c r="K119" s="24" t="str">
        <x:v>Armored defensive class with control and protection functions.</x:v>
      </x:c>
      <x:c r="L119" s="24" t="str">
        <x:v>Armor, shields, weapon skill, and defensive abilities.</x:v>
      </x:c>
      <x:c r="M119" s="24" t="str">
        <x:v>A mechanical defender, not only a hereditary social rank.</x:v>
      </x:c>
      <x:c r="N119" s="24" t="str">
        <x:v>Tank and protector.</x:v>
      </x:c>
      <x:c r="O119" s="24" t="str">
        <x:v>Primary canon</x:v>
      </x:c>
      <x:c r="P119" s="24" t="str">
        <x:v>Official reference reviewed</x:v>
      </x:c>
      <x:c r="Q119" s="24" t="str">
        <x:v>Square Enix official character and class overview for Tactics Ogre: Reborn.</x:v>
      </x:c>
      <x:c r="R119" s="84" t="str">
        <x:v>https://www.square-enix-games.com/en_US/news/tactics-ogre-reborn-characters-classes</x:v>
      </x:c>
      <x:c r="S119" s="24" t="str">
        <x:v>Seeded</x:v>
      </x:c>
    </x:row>
    <x:row r="120" ht="52" customHeight="1">
      <x:c r="A120" s="24" t="str">
        <x:v>ENT-0119</x:v>
      </x:c>
      <x:c r="B120" s="24" t="str">
        <x:v>Terror Knight</x:v>
      </x:c>
      <x:c r="C120" s="24" t="str">
        <x:v>SRC-128</x:v>
      </x:c>
      <x:c r="D120" s="24" t="str">
        <x:v>Tactics Ogre: Reborn</x:v>
      </x:c>
      <x:c r="E120" s="24" t="str">
        <x:v>Reborn game continuity</x:v>
      </x:c>
      <x:c r="F120" s="24" t="str">
        <x:v>Playable class</x:v>
      </x:c>
      <x:c r="G120" s="24" t="str">
        <x:v>ROL-119</x:v>
      </x:c>
      <x:c r="H120" s="24" t="str">
        <x:f>IFERROR(VLOOKUP(G120,'Master Taxonomy'!$A$2:$B$1226,2,FALSE),"")</x:f>
        <x:v>Terror Knight and Fear Warrior</x:v>
      </x:c>
      <x:c r="I120" s="24" t="str">
        <x:v>ROL-118</x:v>
      </x:c>
      <x:c r="J120" s="24" t="str">
        <x:v>Dark Knight and Blackguard</x:v>
      </x:c>
      <x:c r="K120" s="24" t="str">
        <x:v>Dark armored class using fear and debilitation to control enemies.</x:v>
      </x:c>
      <x:c r="L120" s="24" t="str">
        <x:v>Martial training, dark affinity, and fear effects.</x:v>
      </x:c>
      <x:c r="M120" s="24" t="str">
        <x:v>Not simply an evil version of Knight; battlefield morale is central.</x:v>
      </x:c>
      <x:c r="N120" s="24" t="str">
        <x:v>Debuff tank and fear warrior.</x:v>
      </x:c>
      <x:c r="O120" s="24" t="str">
        <x:v>Primary canon</x:v>
      </x:c>
      <x:c r="P120" s="24" t="str">
        <x:v>Official reference reviewed</x:v>
      </x:c>
      <x:c r="Q120" s="24" t="str">
        <x:v>Square Enix official character and class overview for Tactics Ogre: Reborn.</x:v>
      </x:c>
      <x:c r="R120" s="84" t="str">
        <x:v>https://www.square-enix-games.com/en_US/news/tactics-ogre-reborn-characters-classes</x:v>
      </x:c>
      <x:c r="S120" s="24" t="str">
        <x:v>Seeded</x:v>
      </x:c>
    </x:row>
    <x:row r="121" ht="52" customHeight="1">
      <x:c r="A121" s="24" t="str">
        <x:v>ENT-0120</x:v>
      </x:c>
      <x:c r="B121" s="24" t="str">
        <x:v>Berserker</x:v>
      </x:c>
      <x:c r="C121" s="24" t="str">
        <x:v>SRC-128</x:v>
      </x:c>
      <x:c r="D121" s="24" t="str">
        <x:v>Tactics Ogre: Reborn</x:v>
      </x:c>
      <x:c r="E121" s="24" t="str">
        <x:v>Reborn game continuity</x:v>
      </x:c>
      <x:c r="F121" s="24" t="str">
        <x:v>Playable class</x:v>
      </x:c>
      <x:c r="G121" s="24" t="str">
        <x:v>ROL-111</x:v>
      </x:c>
      <x:c r="H121" s="24" t="str">
        <x:f>IFERROR(VLOOKUP(G121,'Master Taxonomy'!$A$2:$B$1226,2,FALSE),"")</x:f>
        <x:v>Berserker</x:v>
      </x:c>
      <x:c r="I121" s="24" t="str"/>
      <x:c r="J121" s="24" t="str"/>
      <x:c r="K121" s="24" t="str">
        <x:v>High-damage melee class trading precision and safety for sweeping force.</x:v>
      </x:c>
      <x:c r="L121" s="24" t="str">
        <x:v>Martial fury and area attacks.</x:v>
      </x:c>
      <x:c r="M121" s="24" t="str">
        <x:v>Game mechanics separate it from the broader literary berserker image.</x:v>
      </x:c>
      <x:c r="N121" s="24" t="str">
        <x:v>Area melee striker.</x:v>
      </x:c>
      <x:c r="O121" s="24" t="str">
        <x:v>Primary canon</x:v>
      </x:c>
      <x:c r="P121" s="24" t="str">
        <x:v>Official reference reviewed</x:v>
      </x:c>
      <x:c r="Q121" s="24" t="str">
        <x:v>Square Enix official character and class overview for Tactics Ogre: Reborn.</x:v>
      </x:c>
      <x:c r="R121" s="84" t="str">
        <x:v>https://www.square-enix-games.com/en_US/news/tactics-ogre-reborn-characters-classes</x:v>
      </x:c>
      <x:c r="S121" s="24" t="str">
        <x:v>Seeded</x:v>
      </x:c>
    </x:row>
    <x:row r="122" ht="52" customHeight="1">
      <x:c r="A122" s="24" t="str">
        <x:v>ENT-0121</x:v>
      </x:c>
      <x:c r="B122" s="24" t="str">
        <x:v>Swordmaster</x:v>
      </x:c>
      <x:c r="C122" s="24" t="str">
        <x:v>SRC-128</x:v>
      </x:c>
      <x:c r="D122" s="24" t="str">
        <x:v>Tactics Ogre: Reborn</x:v>
      </x:c>
      <x:c r="E122" s="24" t="str">
        <x:v>Reborn game continuity</x:v>
      </x:c>
      <x:c r="F122" s="24" t="str">
        <x:v>Playable class</x:v>
      </x:c>
      <x:c r="G122" s="24" t="str">
        <x:v>ROL-107</x:v>
      </x:c>
      <x:c r="H122" s="24" t="str">
        <x:f>IFERROR(VLOOKUP(G122,'Master Taxonomy'!$A$2:$B$1226,2,FALSE),"")</x:f>
        <x:v>Swordsman</x:v>
      </x:c>
      <x:c r="I122" s="24" t="str">
        <x:v>ROL-114</x:v>
      </x:c>
      <x:c r="J122" s="24" t="str">
        <x:v>Duelist and Fencer</x:v>
      </x:c>
      <x:c r="K122" s="24" t="str">
        <x:v>Technique-focused sword class with support dances and counters.</x:v>
      </x:c>
      <x:c r="L122" s="24" t="str">
        <x:v>Weapon mastery, stance, and performance techniques.</x:v>
      </x:c>
      <x:c r="M122" s="24" t="str">
        <x:v>It combines dueling and party-support functions.</x:v>
      </x:c>
      <x:c r="N122" s="24" t="str">
        <x:v>Technical swordsman and support duelist.</x:v>
      </x:c>
      <x:c r="O122" s="24" t="str">
        <x:v>Primary canon</x:v>
      </x:c>
      <x:c r="P122" s="24" t="str">
        <x:v>Official reference reviewed</x:v>
      </x:c>
      <x:c r="Q122" s="24" t="str">
        <x:v>Square Enix official character and class overview for Tactics Ogre: Reborn.</x:v>
      </x:c>
      <x:c r="R122" s="84" t="str">
        <x:v>https://www.square-enix-games.com/en_US/news/tactics-ogre-reborn-characters-classes</x:v>
      </x:c>
      <x:c r="S122" s="24" t="str">
        <x:v>Seeded</x:v>
      </x:c>
    </x:row>
    <x:row r="123" ht="52" customHeight="1">
      <x:c r="A123" s="24" t="str">
        <x:v>ENT-0122</x:v>
      </x:c>
      <x:c r="B123" s="24" t="str">
        <x:v>Dragoon</x:v>
      </x:c>
      <x:c r="C123" s="24" t="str">
        <x:v>SRC-128</x:v>
      </x:c>
      <x:c r="D123" s="24" t="str">
        <x:v>Tactics Ogre: Reborn</x:v>
      </x:c>
      <x:c r="E123" s="24" t="str">
        <x:v>Reborn game continuity</x:v>
      </x:c>
      <x:c r="F123" s="24" t="str">
        <x:v>Playable class</x:v>
      </x:c>
      <x:c r="G123" s="24" t="str">
        <x:v>ROL-122</x:v>
      </x:c>
      <x:c r="H123" s="24" t="str">
        <x:f>IFERROR(VLOOKUP(G123,'Master Taxonomy'!$A$2:$B$1226,2,FALSE),"")</x:f>
        <x:v>Dragoon and Leaping Lancer</x:v>
      </x:c>
      <x:c r="I123" s="24" t="str">
        <x:v>ROL-145</x:v>
      </x:c>
      <x:c r="J123" s="24" t="str">
        <x:v>Dragon Slayer</x:v>
      </x:c>
      <x:c r="K123" s="24" t="str">
        <x:v>Martial class specialized against dragons and beasts.</x:v>
      </x:c>
      <x:c r="L123" s="24" t="str">
        <x:v>Polearm training and anti-monster specialization.</x:v>
      </x:c>
      <x:c r="M123" s="24" t="str">
        <x:v>Unlike Final Fantasy dragoons, jumping is not the defining feature here.</x:v>
      </x:c>
      <x:c r="N123" s="24" t="str">
        <x:v>Monster-slayer lancer.</x:v>
      </x:c>
      <x:c r="O123" s="24" t="str">
        <x:v>Primary canon</x:v>
      </x:c>
      <x:c r="P123" s="24" t="str">
        <x:v>Official reference reviewed</x:v>
      </x:c>
      <x:c r="Q123" s="24" t="str">
        <x:v>Square Enix official character and class overview for Tactics Ogre: Reborn.</x:v>
      </x:c>
      <x:c r="R123" s="84" t="str">
        <x:v>https://www.square-enix-games.com/en_US/news/tactics-ogre-reborn-characters-classes</x:v>
      </x:c>
      <x:c r="S123" s="24" t="str">
        <x:v>Seeded</x:v>
      </x:c>
    </x:row>
    <x:row r="124" ht="52" customHeight="1">
      <x:c r="A124" s="24" t="str">
        <x:v>ENT-0123</x:v>
      </x:c>
      <x:c r="B124" s="24" t="str">
        <x:v>Ninja / Kunoichi</x:v>
      </x:c>
      <x:c r="C124" s="24" t="str">
        <x:v>SRC-128</x:v>
      </x:c>
      <x:c r="D124" s="24" t="str">
        <x:v>Tactics Ogre: Reborn</x:v>
      </x:c>
      <x:c r="E124" s="24" t="str">
        <x:v>Reborn game continuity</x:v>
      </x:c>
      <x:c r="F124" s="24" t="str">
        <x:v>Playable class</x:v>
      </x:c>
      <x:c r="G124" s="24" t="str">
        <x:v>ROL-210</x:v>
      </x:c>
      <x:c r="H124" s="24" t="str">
        <x:f>IFERROR(VLOOKUP(G124,'Master Taxonomy'!$A$2:$B$1226,2,FALSE),"")</x:f>
        <x:v>Ninja-Derived Operative</x:v>
      </x:c>
      <x:c r="I124" s="24" t="str"/>
      <x:c r="J124" s="24" t="str"/>
      <x:c r="K124" s="24" t="str">
        <x:v>Fast skirmishing class using dual weapons, mobility, and ninjutsu.</x:v>
      </x:c>
      <x:c r="L124" s="24" t="str">
        <x:v>Training, agility, weapons, and specialized magic.</x:v>
      </x:c>
      <x:c r="M124" s="24" t="str">
        <x:v>A game-synthesized ninja role, not a historical taxonomy.</x:v>
      </x:c>
      <x:c r="N124" s="24" t="str">
        <x:v>Mobile assassin-spellblade.</x:v>
      </x:c>
      <x:c r="O124" s="24" t="str">
        <x:v>Primary canon</x:v>
      </x:c>
      <x:c r="P124" s="24" t="str">
        <x:v>Official reference reviewed</x:v>
      </x:c>
      <x:c r="Q124" s="24" t="str">
        <x:v>Square Enix official character and class overview for Tactics Ogre: Reborn.</x:v>
      </x:c>
      <x:c r="R124" s="84" t="str">
        <x:v>https://www.square-enix-games.com/en_US/news/tactics-ogre-reborn-characters-classes</x:v>
      </x:c>
      <x:c r="S124" s="24" t="str">
        <x:v>Seeded</x:v>
      </x:c>
    </x:row>
    <x:row r="125" ht="52" customHeight="1">
      <x:c r="A125" s="24" t="str">
        <x:v>ENT-0124</x:v>
      </x:c>
      <x:c r="B125" s="24" t="str">
        <x:v>Rogue</x:v>
      </x:c>
      <x:c r="C125" s="24" t="str">
        <x:v>SRC-128</x:v>
      </x:c>
      <x:c r="D125" s="24" t="str">
        <x:v>Tactics Ogre: Reborn</x:v>
      </x:c>
      <x:c r="E125" s="24" t="str">
        <x:v>Reborn game continuity</x:v>
      </x:c>
      <x:c r="F125" s="24" t="str">
        <x:v>Playable or legacy class</x:v>
      </x:c>
      <x:c r="G125" s="24" t="str">
        <x:v>ROL-205</x:v>
      </x:c>
      <x:c r="H125" s="24" t="str">
        <x:f>IFERROR(VLOOKUP(G125,'Master Taxonomy'!$A$2:$B$1226,2,FALSE),"")</x:f>
        <x:v>Rogue</x:v>
      </x:c>
      <x:c r="I125" s="24" t="str"/>
      <x:c r="J125" s="24" t="str"/>
      <x:c r="K125" s="24" t="str">
        <x:v>Stealth, traps, mobility, and opportunistic combat role.</x:v>
      </x:c>
      <x:c r="L125" s="24" t="str">
        <x:v>Skills, positioning, and underworld techniques.</x:v>
      </x:c>
      <x:c r="M125" s="24" t="str">
        <x:v>Availability differs across versions and recruitment contexts.</x:v>
      </x:c>
      <x:c r="N125" s="24" t="str">
        <x:v>Stealth specialist.</x:v>
      </x:c>
      <x:c r="O125" s="24" t="str">
        <x:v>Primary canon</x:v>
      </x:c>
      <x:c r="P125" s="24" t="str">
        <x:v>Official reference reviewed</x:v>
      </x:c>
      <x:c r="Q125" s="24" t="str">
        <x:v>Square Enix official character and class overview for Tactics Ogre: Reborn.</x:v>
      </x:c>
      <x:c r="R125" s="84" t="str">
        <x:v>https://www.square-enix-games.com/en_US/news/tactics-ogre-reborn-characters-classes</x:v>
      </x:c>
      <x:c r="S125" s="24" t="str">
        <x:v>Seeded</x:v>
      </x:c>
    </x:row>
    <x:row r="126" ht="52" customHeight="1">
      <x:c r="A126" s="24" t="str">
        <x:v>ENT-0125</x:v>
      </x:c>
      <x:c r="B126" s="24" t="str">
        <x:v>Fusilier</x:v>
      </x:c>
      <x:c r="C126" s="24" t="str">
        <x:v>SRC-128</x:v>
      </x:c>
      <x:c r="D126" s="24" t="str">
        <x:v>Tactics Ogre: Reborn</x:v>
      </x:c>
      <x:c r="E126" s="24" t="str">
        <x:v>Reborn game continuity</x:v>
      </x:c>
      <x:c r="F126" s="24" t="str">
        <x:v>Playable class</x:v>
      </x:c>
      <x:c r="G126" s="24" t="str">
        <x:v>ROL-129</x:v>
      </x:c>
      <x:c r="H126" s="24" t="str">
        <x:f>IFERROR(VLOOKUP(G126,'Master Taxonomy'!$A$2:$B$1226,2,FALSE),"")</x:f>
        <x:v>Gunner and Fusilier</x:v>
      </x:c>
      <x:c r="I126" s="24" t="str"/>
      <x:c r="J126" s="24" t="str"/>
      <x:c r="K126" s="24" t="str">
        <x:v>Firearm specialist with long-range physical attacks.</x:v>
      </x:c>
      <x:c r="L126" s="24" t="str">
        <x:v>Gun technology, ammunition abstraction, and marksmanship.</x:v>
      </x:c>
      <x:c r="M126" s="24" t="str">
        <x:v>Introduces early-modern weaponry into the fantasy tactical roster.</x:v>
      </x:c>
      <x:c r="N126" s="24" t="str">
        <x:v>Gun specialist.</x:v>
      </x:c>
      <x:c r="O126" s="24" t="str">
        <x:v>Primary canon</x:v>
      </x:c>
      <x:c r="P126" s="24" t="str">
        <x:v>Official reference reviewed</x:v>
      </x:c>
      <x:c r="Q126" s="24" t="str">
        <x:v>Square Enix official character and class overview for Tactics Ogre: Reborn.</x:v>
      </x:c>
      <x:c r="R126" s="84" t="str">
        <x:v>https://www.square-enix-games.com/en_US/news/tactics-ogre-reborn-characters-classes</x:v>
      </x:c>
      <x:c r="S126" s="24" t="str">
        <x:v>Seeded</x:v>
      </x:c>
    </x:row>
    <x:row r="127" ht="52" customHeight="1">
      <x:c r="A127" s="24" t="str">
        <x:v>ENT-0126</x:v>
      </x:c>
      <x:c r="B127" s="24" t="str">
        <x:v>Beast Tamer</x:v>
      </x:c>
      <x:c r="C127" s="24" t="str">
        <x:v>SRC-128</x:v>
      </x:c>
      <x:c r="D127" s="24" t="str">
        <x:v>Tactics Ogre: Reborn</x:v>
      </x:c>
      <x:c r="E127" s="24" t="str">
        <x:v>Reborn game continuity</x:v>
      </x:c>
      <x:c r="F127" s="24" t="str">
        <x:v>Playable class</x:v>
      </x:c>
      <x:c r="G127" s="24" t="str">
        <x:v>ROL-507</x:v>
      </x:c>
      <x:c r="H127" s="24" t="str">
        <x:f>IFERROR(VLOOKUP(G127,'Master Taxonomy'!$A$2:$B$1226,2,FALSE),"")</x:f>
        <x:v>Beastmaster and Beast Tamer</x:v>
      </x:c>
      <x:c r="I127" s="24" t="str">
        <x:v>ROL-814</x:v>
      </x:c>
      <x:c r="J127" s="24" t="str">
        <x:v>Beast Tamer Combatant</x:v>
      </x:c>
      <x:c r="K127" s="24" t="str">
        <x:v>Class specializing in recruiting and empowering beasts and dragons.</x:v>
      </x:c>
      <x:c r="L127" s="24" t="str">
        <x:v>Animal handling, battlefield adjacency, and monster synergy.</x:v>
      </x:c>
      <x:c r="M127" s="24" t="str">
        <x:v>Its core identity is party ecology rather than personal transformation.</x:v>
      </x:c>
      <x:c r="N127" s="24" t="str">
        <x:v>Pet and monster support role.</x:v>
      </x:c>
      <x:c r="O127" s="24" t="str">
        <x:v>Primary canon</x:v>
      </x:c>
      <x:c r="P127" s="24" t="str">
        <x:v>Official reference reviewed</x:v>
      </x:c>
      <x:c r="Q127" s="24" t="str">
        <x:v>Square Enix official character and class overview for Tactics Ogre: Reborn.</x:v>
      </x:c>
      <x:c r="R127" s="84" t="str">
        <x:v>https://www.square-enix-games.com/en_US/news/tactics-ogre-reborn-characters-classes</x:v>
      </x:c>
      <x:c r="S127" s="24" t="str">
        <x:v>Seeded</x:v>
      </x:c>
    </x:row>
    <x:row r="128" ht="52" customHeight="1">
      <x:c r="A128" s="24" t="str">
        <x:v>ENT-0127</x:v>
      </x:c>
      <x:c r="B128" s="24" t="str">
        <x:v>Warlock</x:v>
      </x:c>
      <x:c r="C128" s="24" t="str">
        <x:v>SRC-128</x:v>
      </x:c>
      <x:c r="D128" s="24" t="str">
        <x:v>Tactics Ogre: Reborn</x:v>
      </x:c>
      <x:c r="E128" s="24" t="str">
        <x:v>Reborn game continuity</x:v>
      </x:c>
      <x:c r="F128" s="24" t="str">
        <x:v>Playable class</x:v>
      </x:c>
      <x:c r="G128" s="24" t="str">
        <x:v>ROL-304</x:v>
      </x:c>
      <x:c r="H128" s="24" t="str">
        <x:f>IFERROR(VLOOKUP(G128,'Master Taxonomy'!$A$2:$B$1226,2,FALSE),"")</x:f>
        <x:v>Warlock</x:v>
      </x:c>
      <x:c r="I128" s="24" t="str">
        <x:v>ROL-306</x:v>
      </x:c>
      <x:c r="J128" s="24" t="str">
        <x:v>Magical Scholar</x:v>
      </x:c>
      <x:c r="K128" s="24" t="str">
        <x:v>Advanced magical class associated with golems, rituals, and broad spell access.</x:v>
      </x:c>
      <x:c r="L128" s="24" t="str">
        <x:v>Learned occult magic and specialized knowledge.</x:v>
      </x:c>
      <x:c r="M128" s="24" t="str">
        <x:v>The title is not necessarily pact-based as in D&amp;D.</x:v>
      </x:c>
      <x:c r="N128" s="24" t="str">
        <x:v>Advanced arcane specialist.</x:v>
      </x:c>
      <x:c r="O128" s="24" t="str">
        <x:v>Primary canon</x:v>
      </x:c>
      <x:c r="P128" s="24" t="str">
        <x:v>Official reference reviewed</x:v>
      </x:c>
      <x:c r="Q128" s="24" t="str">
        <x:v>Square Enix official character and class overview for Tactics Ogre: Reborn.</x:v>
      </x:c>
      <x:c r="R128" s="84" t="str">
        <x:v>https://www.square-enix-games.com/en_US/news/tactics-ogre-reborn-characters-classes</x:v>
      </x:c>
      <x:c r="S128" s="24" t="str">
        <x:v>Seeded</x:v>
      </x:c>
    </x:row>
    <x:row r="129" ht="52" customHeight="1">
      <x:c r="A129" s="24" t="str">
        <x:v>ENT-0128</x:v>
      </x:c>
      <x:c r="B129" s="24" t="str">
        <x:v>Necromancer</x:v>
      </x:c>
      <x:c r="C129" s="24" t="str">
        <x:v>SRC-128</x:v>
      </x:c>
      <x:c r="D129" s="24" t="str">
        <x:v>Tactics Ogre: Reborn</x:v>
      </x:c>
      <x:c r="E129" s="24" t="str">
        <x:v>Reborn game continuity</x:v>
      </x:c>
      <x:c r="F129" s="24" t="str">
        <x:v>Playable class</x:v>
      </x:c>
      <x:c r="G129" s="24" t="str">
        <x:v>ROL-315</x:v>
      </x:c>
      <x:c r="H129" s="24" t="str">
        <x:f>IFERROR(VLOOKUP(G129,'Master Taxonomy'!$A$2:$B$1226,2,FALSE),"")</x:f>
        <x:v>Necromancer</x:v>
      </x:c>
      <x:c r="I129" s="24" t="str"/>
      <x:c r="J129" s="24" t="str"/>
      <x:c r="K129" s="24" t="str">
        <x:v>Forbidden caster class manipulating the dead and necromantic magic.</x:v>
      </x:c>
      <x:c r="L129" s="24" t="str">
        <x:v>Learned death magic and undead systems.</x:v>
      </x:c>
      <x:c r="M129" s="24" t="str">
        <x:v>Class access and narrative status are continuity-specific.</x:v>
      </x:c>
      <x:c r="N129" s="24" t="str">
        <x:v>Undead controller.</x:v>
      </x:c>
      <x:c r="O129" s="24" t="str">
        <x:v>Primary canon</x:v>
      </x:c>
      <x:c r="P129" s="24" t="str">
        <x:v>Official reference reviewed</x:v>
      </x:c>
      <x:c r="Q129" s="24" t="str">
        <x:v>Square Enix official character and class overview for Tactics Ogre: Reborn.</x:v>
      </x:c>
      <x:c r="R129" s="84" t="str">
        <x:v>https://www.square-enix-games.com/en_US/news/tactics-ogre-reborn-characters-classes</x:v>
      </x:c>
      <x:c r="S129" s="24" t="str">
        <x:v>Seeded</x:v>
      </x:c>
    </x:row>
    <x:row r="130" ht="52" customHeight="1">
      <x:c r="A130" s="24" t="str">
        <x:v>ENT-0129</x:v>
      </x:c>
      <x:c r="B130" s="24" t="str">
        <x:v>Lich</x:v>
      </x:c>
      <x:c r="C130" s="24" t="str">
        <x:v>SRC-128</x:v>
      </x:c>
      <x:c r="D130" s="24" t="str">
        <x:v>Tactics Ogre: Reborn</x:v>
      </x:c>
      <x:c r="E130" s="24" t="str">
        <x:v>Reborn game continuity</x:v>
      </x:c>
      <x:c r="F130" s="24" t="str">
        <x:v>Transformed class / being</x:v>
      </x:c>
      <x:c r="G130" s="24" t="str">
        <x:v>PPL-608</x:v>
      </x:c>
      <x:c r="H130" s="24" t="str">
        <x:f>IFERROR(VLOOKUP(G130,'Master Taxonomy'!$A$2:$B$1226,2,FALSE),"")</x:f>
        <x:v>Liches</x:v>
      </x:c>
      <x:c r="I130" s="24" t="str">
        <x:v>STA-107</x:v>
      </x:c>
      <x:c r="J130" s="24" t="str">
        <x:v>Lichdom</x:v>
      </x:c>
      <x:c r="K130" s="24" t="str">
        <x:v>Powerful undead spellcaster state and class identity.</x:v>
      </x:c>
      <x:c r="L130" s="24" t="str">
        <x:v>Transformation into undead existence and advanced magic.</x:v>
      </x:c>
      <x:c r="M130" s="24" t="str">
        <x:v>It crosses being type, transformation, and mechanical class.</x:v>
      </x:c>
      <x:c r="N130" s="24" t="str">
        <x:v>Playable lich template.</x:v>
      </x:c>
      <x:c r="O130" s="24" t="str">
        <x:v>Primary canon</x:v>
      </x:c>
      <x:c r="P130" s="24" t="str">
        <x:v>Official reference reviewed</x:v>
      </x:c>
      <x:c r="Q130" s="24" t="str">
        <x:v>Square Enix official character and class overview for Tactics Ogre: Reborn.</x:v>
      </x:c>
      <x:c r="R130" s="84" t="str">
        <x:v>https://www.square-enix-games.com/en_US/news/tactics-ogre-reborn-characters-classes</x:v>
      </x:c>
      <x:c r="S130" s="24" t="str">
        <x:v>Seeded</x:v>
      </x:c>
    </x:row>
    <x:row r="131" ht="52" customHeight="1">
      <x:c r="A131" s="24" t="str">
        <x:v>ENT-0130</x:v>
      </x:c>
      <x:c r="B131" s="24" t="str">
        <x:v>Familiar</x:v>
      </x:c>
      <x:c r="C131" s="24" t="str">
        <x:v>SRC-128</x:v>
      </x:c>
      <x:c r="D131" s="24" t="str">
        <x:v>Tactics Ogre: Reborn</x:v>
      </x:c>
      <x:c r="E131" s="24" t="str">
        <x:v>Reborn game continuity</x:v>
      </x:c>
      <x:c r="F131" s="24" t="str">
        <x:v>Species-limited class</x:v>
      </x:c>
      <x:c r="G131" s="24" t="str">
        <x:v>ROL-301</x:v>
      </x:c>
      <x:c r="H131" s="24" t="str">
        <x:f>IFERROR(VLOOKUP(G131,'Master Taxonomy'!$A$2:$B$1226,2,FALSE),"")</x:f>
        <x:v>Mage and Wizard</x:v>
      </x:c>
      <x:c r="I131" s="24" t="str">
        <x:v>STA-413</x:v>
      </x:c>
      <x:c r="J131" s="24" t="str">
        <x:v>Familiar Bond</x:v>
      </x:c>
      <x:c r="K131" s="24" t="str">
        <x:v>A magical class used by faeries and imps, with charm and support capabilities.</x:v>
      </x:c>
      <x:c r="L131" s="24" t="str">
        <x:v>Innate magical nature and class-specific spells.</x:v>
      </x:c>
      <x:c r="M131" s="24" t="str">
        <x:v>The class is not the same as a summoned animal familiar.</x:v>
      </x:c>
      <x:c r="N131" s="24" t="str">
        <x:v>Small magical support caster.</x:v>
      </x:c>
      <x:c r="O131" s="24" t="str">
        <x:v>Primary canon</x:v>
      </x:c>
      <x:c r="P131" s="24" t="str">
        <x:v>Official reference reviewed</x:v>
      </x:c>
      <x:c r="Q131" s="24" t="str">
        <x:v>Square Enix official character and class overview for Tactics Ogre: Reborn.</x:v>
      </x:c>
      <x:c r="R131" s="84" t="str">
        <x:v>https://www.square-enix-games.com/en_US/news/tactics-ogre-reborn-characters-classes</x:v>
      </x:c>
      <x:c r="S131" s="24" t="str">
        <x:v>Seeded</x:v>
      </x:c>
    </x:row>
    <x:row r="132" ht="52" customHeight="1">
      <x:c r="A132" s="24" t="str">
        <x:v>ENT-0131</x:v>
      </x:c>
      <x:c r="B132" s="24" t="str">
        <x:v>Hoplite</x:v>
      </x:c>
      <x:c r="C132" s="24" t="str">
        <x:v>SRC-128</x:v>
      </x:c>
      <x:c r="D132" s="24" t="str">
        <x:v>Tactics Ogre: Reborn</x:v>
      </x:c>
      <x:c r="E132" s="24" t="str">
        <x:v>Reborn game continuity</x:v>
      </x:c>
      <x:c r="F132" s="24" t="str">
        <x:v>Species-limited class</x:v>
      </x:c>
      <x:c r="G132" s="24" t="str">
        <x:v>ROL-104</x:v>
      </x:c>
      <x:c r="H132" s="24" t="str">
        <x:f>IFERROR(VLOOKUP(G132,'Master Taxonomy'!$A$2:$B$1226,2,FALSE),"")</x:f>
        <x:v>Heavy Infantry</x:v>
      </x:c>
      <x:c r="I132" s="24" t="str">
        <x:v>ROL-110</x:v>
      </x:c>
      <x:c r="J132" s="24" t="str">
        <x:v>Shieldbearer and Guardian</x:v>
      </x:c>
      <x:c r="K132" s="24" t="str">
        <x:v>Defensive spear-and-shield class available to specific nonhuman peoples.</x:v>
      </x:c>
      <x:c r="L132" s="24" t="str">
        <x:v>Formation-oriented martial training and equipment.</x:v>
      </x:c>
      <x:c r="M132" s="24" t="str">
        <x:v>Its restricted availability ties class to ancestry in the rules.</x:v>
      </x:c>
      <x:c r="N132" s="24" t="str">
        <x:v>Defensive polearm infantry.</x:v>
      </x:c>
      <x:c r="O132" s="24" t="str">
        <x:v>Primary canon</x:v>
      </x:c>
      <x:c r="P132" s="24" t="str">
        <x:v>Official reference reviewed</x:v>
      </x:c>
      <x:c r="Q132" s="24" t="str">
        <x:v>Square Enix official character and class overview for Tactics Ogre: Reborn.</x:v>
      </x:c>
      <x:c r="R132" s="84" t="str">
        <x:v>https://www.square-enix-games.com/en_US/news/tactics-ogre-reborn-characters-classes</x:v>
      </x:c>
      <x:c r="S132" s="24" t="str">
        <x:v>Seeded</x:v>
      </x:c>
    </x:row>
    <x:row r="133" ht="52" customHeight="1">
      <x:c r="A133" s="24" t="str">
        <x:v>ENT-0132</x:v>
      </x:c>
      <x:c r="B133" s="24" t="str">
        <x:v>Juggernaut</x:v>
      </x:c>
      <x:c r="C133" s="24" t="str">
        <x:v>SRC-128</x:v>
      </x:c>
      <x:c r="D133" s="24" t="str">
        <x:v>Tactics Ogre: Reborn</x:v>
      </x:c>
      <x:c r="E133" s="24" t="str">
        <x:v>Reborn game continuity</x:v>
      </x:c>
      <x:c r="F133" s="24" t="str">
        <x:v>Species-limited class</x:v>
      </x:c>
      <x:c r="G133" s="24" t="str">
        <x:v>ROL-104</x:v>
      </x:c>
      <x:c r="H133" s="24" t="str">
        <x:f>IFERROR(VLOOKUP(G133,'Master Taxonomy'!$A$2:$B$1226,2,FALSE),"")</x:f>
        <x:v>Heavy Infantry</x:v>
      </x:c>
      <x:c r="I133" s="24" t="str">
        <x:v>ROL-111</x:v>
      </x:c>
      <x:c r="J133" s="24" t="str">
        <x:v>Berserker</x:v>
      </x:c>
      <x:c r="K133" s="24" t="str">
        <x:v>Aggressive heavy class available to selected nonhuman peoples.</x:v>
      </x:c>
      <x:c r="L133" s="24" t="str">
        <x:v>Physical power, intimidation, and martial pressure.</x:v>
      </x:c>
      <x:c r="M133" s="24" t="str">
        <x:v>It is a class title rather than a construct or vehicle type.</x:v>
      </x:c>
      <x:c r="N133" s="24" t="str">
        <x:v>Heavy bruiser.</x:v>
      </x:c>
      <x:c r="O133" s="24" t="str">
        <x:v>Primary canon</x:v>
      </x:c>
      <x:c r="P133" s="24" t="str">
        <x:v>Official reference reviewed</x:v>
      </x:c>
      <x:c r="Q133" s="24" t="str">
        <x:v>Square Enix official character and class overview for Tactics Ogre: Reborn.</x:v>
      </x:c>
      <x:c r="R133" s="84" t="str">
        <x:v>https://www.square-enix-games.com/en_US/news/tactics-ogre-reborn-characters-classes</x:v>
      </x:c>
      <x:c r="S133" s="24" t="str">
        <x:v>Seeded</x:v>
      </x:c>
    </x:row>
    <x:row r="134" ht="52" customHeight="1">
      <x:c r="A134" s="24" t="str">
        <x:v>ENT-0133</x:v>
      </x:c>
      <x:c r="B134" s="24" t="str">
        <x:v>Vartan</x:v>
      </x:c>
      <x:c r="C134" s="24" t="str">
        <x:v>SRC-128</x:v>
      </x:c>
      <x:c r="D134" s="24" t="str">
        <x:v>Tactics Ogre: Reborn</x:v>
      </x:c>
      <x:c r="E134" s="24" t="str">
        <x:v>Reborn game continuity</x:v>
      </x:c>
      <x:c r="F134" s="24" t="str">
        <x:v>Species-limited class</x:v>
      </x:c>
      <x:c r="G134" s="24" t="str">
        <x:v>PPL-115</x:v>
      </x:c>
      <x:c r="H134" s="24" t="str">
        <x:f>IFERROR(VLOOKUP(G134,'Master Taxonomy'!$A$2:$B$1226,2,FALSE),"")</x:f>
        <x:v>Avian and Winged Humanoid Peoples</x:v>
      </x:c>
      <x:c r="I134" s="24" t="str">
        <x:v>ROL-101</x:v>
      </x:c>
      <x:c r="J134" s="24" t="str">
        <x:v>Warrior or Fighter</x:v>
      </x:c>
      <x:c r="K134" s="24" t="str">
        <x:v>Winged martial class exploiting aerial mobility and ranged or melee versatility.</x:v>
      </x:c>
      <x:c r="L134" s="24" t="str">
        <x:v>Ancestry-linked flight and martial training.</x:v>
      </x:c>
      <x:c r="M134" s="24" t="str">
        <x:v>It is simultaneously ancestry-restricted and role-defining.</x:v>
      </x:c>
      <x:c r="N134" s="24" t="str">
        <x:v>Aerial warrior.</x:v>
      </x:c>
      <x:c r="O134" s="24" t="str">
        <x:v>Primary canon</x:v>
      </x:c>
      <x:c r="P134" s="24" t="str">
        <x:v>Official reference reviewed</x:v>
      </x:c>
      <x:c r="Q134" s="24" t="str">
        <x:v>Square Enix official character and class overview for Tactics Ogre: Reborn.</x:v>
      </x:c>
      <x:c r="R134" s="84" t="str">
        <x:v>https://www.square-enix-games.com/en_US/news/tactics-ogre-reborn-characters-classes</x:v>
      </x:c>
      <x:c r="S134" s="24" t="str">
        <x:v>Seeded</x:v>
      </x:c>
    </x:row>
    <x:row r="135" ht="52" customHeight="1">
      <x:c r="A135" s="24" t="str">
        <x:v>ENT-0134</x:v>
      </x:c>
      <x:c r="B135" s="24" t="str">
        <x:v>Patriarch / Matriarch</x:v>
      </x:c>
      <x:c r="C135" s="24" t="str">
        <x:v>SRC-128</x:v>
      </x:c>
      <x:c r="D135" s="24" t="str">
        <x:v>Tactics Ogre: Reborn</x:v>
      </x:c>
      <x:c r="E135" s="24" t="str">
        <x:v>Reborn game continuity</x:v>
      </x:c>
      <x:c r="F135" s="24" t="str">
        <x:v>Species-limited class</x:v>
      </x:c>
      <x:c r="G135" s="24" t="str">
        <x:v>ROL-301</x:v>
      </x:c>
      <x:c r="H135" s="24" t="str">
        <x:f>IFERROR(VLOOKUP(G135,'Master Taxonomy'!$A$2:$B$1226,2,FALSE),"")</x:f>
        <x:v>Mage and Wizard</x:v>
      </x:c>
      <x:c r="I135" s="24" t="str">
        <x:v>ROL-700</x:v>
      </x:c>
      <x:c r="J135" s="24" t="str">
        <x:v>Leadership and Social Office Roles</x:v>
      </x:c>
      <x:c r="K135" s="24" t="str">
        <x:v>Advanced magical leadership class for selected nonhuman peoples.</x:v>
      </x:c>
      <x:c r="L135" s="24" t="str">
        <x:v>Spellcasting, status, and ancestry restriction.</x:v>
      </x:c>
      <x:c r="M135" s="24" t="str">
        <x:v>The social titles are used as class names and should not be generalized.</x:v>
      </x:c>
      <x:c r="N135" s="24" t="str">
        <x:v>Elder caster and community leader.</x:v>
      </x:c>
      <x:c r="O135" s="24" t="str">
        <x:v>Primary canon</x:v>
      </x:c>
      <x:c r="P135" s="24" t="str">
        <x:v>Official reference reviewed</x:v>
      </x:c>
      <x:c r="Q135" s="24" t="str">
        <x:v>Square Enix official character and class overview for Tactics Ogre: Reborn.</x:v>
      </x:c>
      <x:c r="R135" s="84" t="str">
        <x:v>https://www.square-enix-games.com/en_US/news/tactics-ogre-reborn-characters-classes</x:v>
      </x:c>
      <x:c r="S135" s="24" t="str">
        <x:v>Seeded</x:v>
      </x:c>
    </x:row>
    <x:row r="136" ht="52" customHeight="1">
      <x:c r="A136" s="24" t="str">
        <x:v>ENT-0135</x:v>
      </x:c>
      <x:c r="B136" s="24" t="str">
        <x:v>Lord</x:v>
      </x:c>
      <x:c r="C136" s="24" t="str">
        <x:v>SRC-128</x:v>
      </x:c>
      <x:c r="D136" s="24" t="str">
        <x:v>Tactics Ogre: Reborn</x:v>
      </x:c>
      <x:c r="E136" s="24" t="str">
        <x:v>Reborn game continuity</x:v>
      </x:c>
      <x:c r="F136" s="24" t="str">
        <x:v>Unique class</x:v>
      </x:c>
      <x:c r="G136" s="24" t="str">
        <x:v>ROL-716</x:v>
      </x:c>
      <x:c r="H136" s="24" t="str">
        <x:f>IFERROR(VLOOKUP(G136,'Master Taxonomy'!$A$2:$B$1226,2,FALSE),"")</x:f>
        <x:v>Warlord Ruler</x:v>
      </x:c>
      <x:c r="I136" s="24" t="str">
        <x:v>ROL-101</x:v>
      </x:c>
      <x:c r="J136" s="24" t="str">
        <x:v>Warrior or Fighter</x:v>
      </x:c>
      <x:c r="K136" s="24" t="str">
        <x:v>Highly flexible unique class associated with sovereign leadership and inherited skill access.</x:v>
      </x:c>
      <x:c r="L136" s="24" t="str">
        <x:v>Narrative office plus broad mechanical customization.</x:v>
      </x:c>
      <x:c r="M136" s="24" t="str">
        <x:v>It is not merely any noble lord; it is a special character class.</x:v>
      </x:c>
      <x:c r="N136" s="24" t="str">
        <x:v>Heroic ruler-generalist.</x:v>
      </x:c>
      <x:c r="O136" s="24" t="str">
        <x:v>Primary canon</x:v>
      </x:c>
      <x:c r="P136" s="24" t="str">
        <x:v>Official reference reviewed</x:v>
      </x:c>
      <x:c r="Q136" s="24" t="str">
        <x:v>Square Enix official character and class overview for Tactics Ogre: Reborn.</x:v>
      </x:c>
      <x:c r="R136" s="84" t="str">
        <x:v>https://www.square-enix-games.com/en_US/news/tactics-ogre-reborn-characters-classes</x:v>
      </x:c>
      <x:c r="S136" s="24" t="str">
        <x:v>Seeded</x:v>
      </x:c>
    </x:row>
    <x:row r="137" ht="52" customHeight="1">
      <x:c r="A137" s="24" t="str">
        <x:v>ENT-0136</x:v>
      </x:c>
      <x:c r="B137" s="24" t="str">
        <x:v>Princess</x:v>
      </x:c>
      <x:c r="C137" s="24" t="str">
        <x:v>SRC-128</x:v>
      </x:c>
      <x:c r="D137" s="24" t="str">
        <x:v>Tactics Ogre: Reborn</x:v>
      </x:c>
      <x:c r="E137" s="24" t="str">
        <x:v>Reborn game continuity</x:v>
      </x:c>
      <x:c r="F137" s="24" t="str">
        <x:v>Unique class</x:v>
      </x:c>
      <x:c r="G137" s="24" t="str">
        <x:v>ROL-702</x:v>
      </x:c>
      <x:c r="H137" s="24" t="str">
        <x:f>IFERROR(VLOOKUP(G137,'Master Taxonomy'!$A$2:$B$1226,2,FALSE),"")</x:f>
        <x:v>Prince, Princess, and Royal Heir</x:v>
      </x:c>
      <x:c r="I137" s="24" t="str">
        <x:v>ROL-402</x:v>
      </x:c>
      <x:c r="J137" s="24" t="str">
        <x:v>Cleric</x:v>
      </x:c>
      <x:c r="K137" s="24" t="str">
        <x:v>Unique royal support class combining healing, magic, and leadership.</x:v>
      </x:c>
      <x:c r="L137" s="24" t="str">
        <x:v>Dynastic office and specialized magic.</x:v>
      </x:c>
      <x:c r="M137" s="24" t="str">
        <x:v>The class fuses narrative status with party-support mechanics.</x:v>
      </x:c>
      <x:c r="N137" s="24" t="str">
        <x:v>Royal support caster.</x:v>
      </x:c>
      <x:c r="O137" s="24" t="str">
        <x:v>Primary canon</x:v>
      </x:c>
      <x:c r="P137" s="24" t="str">
        <x:v>Official reference reviewed</x:v>
      </x:c>
      <x:c r="Q137" s="24" t="str">
        <x:v>Square Enix official character and class overview for Tactics Ogre: Reborn.</x:v>
      </x:c>
      <x:c r="R137" s="84" t="str">
        <x:v>https://www.square-enix-games.com/en_US/news/tactics-ogre-reborn-characters-classes</x:v>
      </x:c>
      <x:c r="S137" s="24" t="str">
        <x:v>Seeded</x:v>
      </x:c>
    </x:row>
    <x:row r="138" ht="52" customHeight="1">
      <x:c r="A138" s="24" t="str">
        <x:v>ENT-0137</x:v>
      </x:c>
      <x:c r="B138" s="24" t="str">
        <x:v>Buccaneer</x:v>
      </x:c>
      <x:c r="C138" s="24" t="str">
        <x:v>SRC-128</x:v>
      </x:c>
      <x:c r="D138" s="24" t="str">
        <x:v>Tactics Ogre: Reborn</x:v>
      </x:c>
      <x:c r="E138" s="24" t="str">
        <x:v>Reborn game continuity</x:v>
      </x:c>
      <x:c r="F138" s="24" t="str">
        <x:v>Unique class</x:v>
      </x:c>
      <x:c r="G138" s="24" t="str">
        <x:v>ROL-135</x:v>
      </x:c>
      <x:c r="H138" s="24" t="str">
        <x:f>IFERROR(VLOOKUP(G138,'Master Taxonomy'!$A$2:$B$1226,2,FALSE),"")</x:f>
        <x:v>Pirate and Corsair</x:v>
      </x:c>
      <x:c r="I138" s="24" t="str">
        <x:v>ROL-114</x:v>
      </x:c>
      <x:c r="J138" s="24" t="str">
        <x:v>Duelist and Fencer</x:v>
      </x:c>
      <x:c r="K138" s="24" t="str">
        <x:v>Mobile unique class combining firearms, blades, and seafaring flair.</x:v>
      </x:c>
      <x:c r="L138" s="24" t="str">
        <x:v>Martial training, mobility, and mixed weapons.</x:v>
      </x:c>
      <x:c r="M138" s="24" t="str">
        <x:v>Not a generic pirate unit; tied to particular characters and story context.</x:v>
      </x:c>
      <x:c r="N138" s="24" t="str">
        <x:v>Swashbuckler hybrid.</x:v>
      </x:c>
      <x:c r="O138" s="24" t="str">
        <x:v>Primary canon</x:v>
      </x:c>
      <x:c r="P138" s="24" t="str">
        <x:v>Official reference reviewed</x:v>
      </x:c>
      <x:c r="Q138" s="24" t="str">
        <x:v>Square Enix official character and class overview for Tactics Ogre: Reborn.</x:v>
      </x:c>
      <x:c r="R138" s="84" t="str">
        <x:v>https://www.square-enix-games.com/en_US/news/tactics-ogre-reborn-characters-classes</x:v>
      </x:c>
      <x:c r="S138" s="24" t="str">
        <x:v>Seeded</x:v>
      </x:c>
    </x:row>
    <x:row r="139" ht="52" customHeight="1">
      <x:c r="A139" s="24" t="str">
        <x:v>ENT-0138</x:v>
      </x:c>
      <x:c r="B139" s="24" t="str">
        <x:v>Shaman</x:v>
      </x:c>
      <x:c r="C139" s="24" t="str">
        <x:v>SRC-128</x:v>
      </x:c>
      <x:c r="D139" s="24" t="str">
        <x:v>Tactics Ogre: Reborn</x:v>
      </x:c>
      <x:c r="E139" s="24" t="str">
        <x:v>Reborn game continuity</x:v>
      </x:c>
      <x:c r="F139" s="24" t="str">
        <x:v>Unique class</x:v>
      </x:c>
      <x:c r="G139" s="24" t="str">
        <x:v>ROL-502</x:v>
      </x:c>
      <x:c r="H139" s="24" t="str">
        <x:f>IFERROR(VLOOKUP(G139,'Master Taxonomy'!$A$2:$B$1226,2,FALSE),"")</x:f>
        <x:v>Shaman</x:v>
      </x:c>
      <x:c r="I139" s="24" t="str">
        <x:v>PWR-200</x:v>
      </x:c>
      <x:c r="J139" s="24" t="str">
        <x:v>Elemental and Natural Domains</x:v>
      </x:c>
      <x:c r="K139" s="24" t="str">
        <x:v>Powerful elemental caster associated with nature spirits and sacred lineages.</x:v>
      </x:c>
      <x:c r="L139" s="24" t="str">
        <x:v>Elemental magic, ritual status, and unique access.</x:v>
      </x:c>
      <x:c r="M139" s="24" t="str">
        <x:v>The term is a fantasy class label and should not flatten real shamanic traditions.</x:v>
      </x:c>
      <x:c r="N139" s="24" t="str">
        <x:v>Elemental specialist caster.</x:v>
      </x:c>
      <x:c r="O139" s="24" t="str">
        <x:v>Primary canon</x:v>
      </x:c>
      <x:c r="P139" s="24" t="str">
        <x:v>Official reference reviewed</x:v>
      </x:c>
      <x:c r="Q139" s="24" t="str">
        <x:v>Square Enix official character and class overview for Tactics Ogre: Reborn.</x:v>
      </x:c>
      <x:c r="R139" s="84" t="str">
        <x:v>https://www.square-enix-games.com/en_US/news/tactics-ogre-reborn-characters-classes</x:v>
      </x:c>
      <x:c r="S139" s="24" t="str">
        <x:v>Seeded</x:v>
      </x:c>
    </x:row>
    <x:row r="140" ht="52" customHeight="1">
      <x:c r="A140" s="24" t="str">
        <x:v>ENT-0139</x:v>
      </x:c>
      <x:c r="B140" s="24" t="str">
        <x:v>Wicce</x:v>
      </x:c>
      <x:c r="C140" s="24" t="str">
        <x:v>SRC-128</x:v>
      </x:c>
      <x:c r="D140" s="24" t="str">
        <x:v>Tactics Ogre: Reborn</x:v>
      </x:c>
      <x:c r="E140" s="24" t="str">
        <x:v>Reborn game continuity</x:v>
      </x:c>
      <x:c r="F140" s="24" t="str">
        <x:v>Unique class</x:v>
      </x:c>
      <x:c r="G140" s="24" t="str">
        <x:v>ROL-303</x:v>
      </x:c>
      <x:c r="H140" s="24" t="str">
        <x:f>IFERROR(VLOOKUP(G140,'Master Taxonomy'!$A$2:$B$1226,2,FALSE),"")</x:f>
        <x:v>Witch</x:v>
      </x:c>
      <x:c r="I140" s="24" t="str">
        <x:v>ROL-341</x:v>
      </x:c>
      <x:c r="J140" s="24" t="str">
        <x:v>Blue Mage and Mimic Caster</x:v>
      </x:c>
      <x:c r="K140" s="24" t="str">
        <x:v>Unique witch class with broad and unusual magical access.</x:v>
      </x:c>
      <x:c r="L140" s="24" t="str">
        <x:v>Innate talent, learned magic, and unique character identity.</x:v>
      </x:c>
      <x:c r="M140" s="24" t="str">
        <x:v>A source-specific title, not a universal witch category.</x:v>
      </x:c>
      <x:c r="N140" s="24" t="str">
        <x:v>Elite versatile witch.</x:v>
      </x:c>
      <x:c r="O140" s="24" t="str">
        <x:v>Primary canon</x:v>
      </x:c>
      <x:c r="P140" s="24" t="str">
        <x:v>Official reference reviewed</x:v>
      </x:c>
      <x:c r="Q140" s="24" t="str">
        <x:v>Square Enix official character and class overview for Tactics Ogre: Reborn.</x:v>
      </x:c>
      <x:c r="R140" s="84" t="str">
        <x:v>https://www.square-enix-games.com/en_US/news/tactics-ogre-reborn-characters-classes</x:v>
      </x:c>
      <x:c r="S140" s="24" t="str">
        <x:v>Seeded</x:v>
      </x:c>
    </x:row>
    <x:row r="141" ht="52" customHeight="1">
      <x:c r="A141" s="24" t="str">
        <x:v>ENT-0140</x:v>
      </x:c>
      <x:c r="B141" s="24" t="str">
        <x:v>Ranger</x:v>
      </x:c>
      <x:c r="C141" s="24" t="str">
        <x:v>SRC-128</x:v>
      </x:c>
      <x:c r="D141" s="24" t="str">
        <x:v>Tactics Ogre: Reborn</x:v>
      </x:c>
      <x:c r="E141" s="24" t="str">
        <x:v>Reborn game continuity</x:v>
      </x:c>
      <x:c r="F141" s="24" t="str">
        <x:v>Unique class</x:v>
      </x:c>
      <x:c r="G141" s="24" t="str">
        <x:v>ROL-125</x:v>
      </x:c>
      <x:c r="H141" s="24" t="str">
        <x:f>IFERROR(VLOOKUP(G141,'Master Taxonomy'!$A$2:$B$1226,2,FALSE),"")</x:f>
        <x:v>Ranger</x:v>
      </x:c>
      <x:c r="I141" s="24" t="str">
        <x:v>ROL-205</x:v>
      </x:c>
      <x:c r="J141" s="24" t="str">
        <x:v>Rogue</x:v>
      </x:c>
      <x:c r="K141" s="24" t="str">
        <x:v>Unique hybrid class combining melee, ranged, and covert capabilities.</x:v>
      </x:c>
      <x:c r="L141" s="24" t="str">
        <x:v>Training, weapon flexibility, and narrative background.</x:v>
      </x:c>
      <x:c r="M141" s="24" t="str">
        <x:v>Differs from nature-spellcasting ranger traditions.</x:v>
      </x:c>
      <x:c r="N141" s="24" t="str">
        <x:v>Martial scout and operative.</x:v>
      </x:c>
      <x:c r="O141" s="24" t="str">
        <x:v>Primary canon</x:v>
      </x:c>
      <x:c r="P141" s="24" t="str">
        <x:v>Official reference reviewed</x:v>
      </x:c>
      <x:c r="Q141" s="24" t="str">
        <x:v>Square Enix official character and class overview for Tactics Ogre: Reborn.</x:v>
      </x:c>
      <x:c r="R141" s="84" t="str">
        <x:v>https://www.square-enix-games.com/en_US/news/tactics-ogre-reborn-characters-classes</x:v>
      </x:c>
      <x:c r="S141" s="24" t="str">
        <x:v>Seeded</x:v>
      </x:c>
    </x:row>
    <x:row r="142" ht="52" customHeight="1">
      <x:c r="A142" s="24" t="str">
        <x:v>ENT-0141</x:v>
      </x:c>
      <x:c r="B142" s="24" t="str">
        <x:v>White Knight</x:v>
      </x:c>
      <x:c r="C142" s="24" t="str">
        <x:v>SRC-128</x:v>
      </x:c>
      <x:c r="D142" s="24" t="str">
        <x:v>Tactics Ogre: Reborn</x:v>
      </x:c>
      <x:c r="E142" s="24" t="str">
        <x:v>Reborn game continuity</x:v>
      </x:c>
      <x:c r="F142" s="24" t="str">
        <x:v>Unique class</x:v>
      </x:c>
      <x:c r="G142" s="24" t="str">
        <x:v>ROL-117</x:v>
      </x:c>
      <x:c r="H142" s="24" t="str">
        <x:f>IFERROR(VLOOKUP(G142,'Master Taxonomy'!$A$2:$B$1226,2,FALSE),"")</x:f>
        <x:v>Paladin and Holy Knight</x:v>
      </x:c>
      <x:c r="I142" s="24" t="str">
        <x:v>ROL-115</x:v>
      </x:c>
      <x:c r="J142" s="24" t="str">
        <x:v>Knight</x:v>
      </x:c>
      <x:c r="K142" s="24" t="str">
        <x:v>Elite knight class with speed, support, and defensive leadership.</x:v>
      </x:c>
      <x:c r="L142" s="24" t="str">
        <x:v>Martial training, chivalric identity, and unique abilities.</x:v>
      </x:c>
      <x:c r="M142" s="24" t="str">
        <x:v>‘White’ functions as an order/class designation rather than ethnicity.</x:v>
      </x:c>
      <x:c r="N142" s="24" t="str">
        <x:v>Elite holy or loyalist knight.</x:v>
      </x:c>
      <x:c r="O142" s="24" t="str">
        <x:v>Primary canon</x:v>
      </x:c>
      <x:c r="P142" s="24" t="str">
        <x:v>Official reference reviewed</x:v>
      </x:c>
      <x:c r="Q142" s="24" t="str">
        <x:v>Square Enix official character and class overview for Tactics Ogre: Reborn.</x:v>
      </x:c>
      <x:c r="R142" s="84" t="str">
        <x:v>https://www.square-enix-games.com/en_US/news/tactics-ogre-reborn-characters-classes</x:v>
      </x:c>
      <x:c r="S142" s="24" t="str">
        <x:v>Seeded</x:v>
      </x:c>
    </x:row>
    <x:row r="143" ht="52" customHeight="1">
      <x:c r="A143" s="24" t="str">
        <x:v>ENT-0142</x:v>
      </x:c>
      <x:c r="B143" s="24" t="str">
        <x:v>Dark Priest</x:v>
      </x:c>
      <x:c r="C143" s="24" t="str">
        <x:v>SRC-128</x:v>
      </x:c>
      <x:c r="D143" s="24" t="str">
        <x:v>Tactics Ogre: Reborn</x:v>
      </x:c>
      <x:c r="E143" s="24" t="str">
        <x:v>Reborn game continuity</x:v>
      </x:c>
      <x:c r="F143" s="24" t="str">
        <x:v>Unique class</x:v>
      </x:c>
      <x:c r="G143" s="24" t="str">
        <x:v>ROL-415</x:v>
      </x:c>
      <x:c r="H143" s="24" t="str">
        <x:f>IFERROR(VLOOKUP(G143,'Master Taxonomy'!$A$2:$B$1226,2,FALSE),"")</x:f>
        <x:v>Death Priest</x:v>
      </x:c>
      <x:c r="I143" s="24" t="str">
        <x:v>ROL-328</x:v>
      </x:c>
      <x:c r="J143" s="24" t="str">
        <x:v>Shadow Mage</x:v>
      </x:c>
      <x:c r="K143" s="24" t="str">
        <x:v>Dark divine or occult caster associated with forbidden power and narrative antagonism.</x:v>
      </x:c>
      <x:c r="L143" s="24" t="str">
        <x:v>Ritual magic, dark affinity, and unique status.</x:v>
      </x:c>
      <x:c r="M143" s="24" t="str">
        <x:v>It is a source-specific class and not every morally compromised priest.</x:v>
      </x:c>
      <x:c r="N143" s="24" t="str">
        <x:v>Dark support caster.</x:v>
      </x:c>
      <x:c r="O143" s="24" t="str">
        <x:v>Primary canon</x:v>
      </x:c>
      <x:c r="P143" s="24" t="str">
        <x:v>Official reference reviewed</x:v>
      </x:c>
      <x:c r="Q143" s="24" t="str">
        <x:v>Square Enix official character and class overview for Tactics Ogre: Reborn.</x:v>
      </x:c>
      <x:c r="R143" s="84" t="str">
        <x:v>https://www.square-enix-games.com/en_US/news/tactics-ogre-reborn-characters-classes</x:v>
      </x:c>
      <x:c r="S143" s="24" t="str">
        <x:v>Seeded</x:v>
      </x:c>
    </x:row>
    <x:row r="144" ht="52" customHeight="1">
      <x:c r="A144" s="24" t="str">
        <x:v>ENT-0143</x:v>
      </x:c>
      <x:c r="B144" s="24" t="str">
        <x:v>Warrior</x:v>
      </x:c>
      <x:c r="C144" s="24" t="str">
        <x:v>SRC-129</x:v>
      </x:c>
      <x:c r="D144" s="24" t="str">
        <x:v>Final Fantasy</x:v>
      </x:c>
      <x:c r="E144" s="24" t="str">
        <x:v>Recurring cross-title pattern</x:v>
      </x:c>
      <x:c r="F144" s="24" t="str">
        <x:v>Recurring job family</x:v>
      </x:c>
      <x:c r="G144" s="24" t="str">
        <x:v>ROL-101</x:v>
      </x:c>
      <x:c r="H144" s="24" t="str">
        <x:f>IFERROR(VLOOKUP(G144,'Master Taxonomy'!$A$2:$B$1226,2,FALSE),"")</x:f>
        <x:v>Warrior or Fighter</x:v>
      </x:c>
      <x:c r="I144" s="24" t="str"/>
      <x:c r="J144" s="24" t="str"/>
      <x:c r="K144" s="24" t="str">
        <x:v>Weapon-focused frontline job.</x:v>
      </x:c>
      <x:c r="L144" s="24" t="str">
        <x:v>Job-system rules, equipment, abilities, and title-specific lore.</x:v>
      </x:c>
      <x:c r="M144" s="24" t="str">
        <x:v>Its abilities and advancement differ by title.</x:v>
      </x:c>
      <x:c r="N144" s="24" t="str">
        <x:v>Baseline JRPG martial job.</x:v>
      </x:c>
      <x:c r="O144" s="24" t="str">
        <x:v>Multiple primary continuities</x:v>
      </x:c>
      <x:c r="P144" s="24" t="str">
        <x:v>Secondary reference reviewed</x:v>
      </x:c>
      <x:c r="Q144" s="24" t="str">
        <x:v>Recurring job terminology across independent Final Fantasy continuities; source-level verification required per title.</x:v>
      </x:c>
      <x:c r="R144" s="84" t="str">
        <x:v>https://en.wikipedia.org/wiki/Final_Fantasy</x:v>
      </x:c>
      <x:c r="S144" s="24" t="str">
        <x:v>Seeded</x:v>
      </x:c>
    </x:row>
    <x:row r="145" ht="52" customHeight="1">
      <x:c r="A145" s="24" t="str">
        <x:v>ENT-0144</x:v>
      </x:c>
      <x:c r="B145" s="24" t="str">
        <x:v>Knight / Paladin</x:v>
      </x:c>
      <x:c r="C145" s="24" t="str">
        <x:v>SRC-129</x:v>
      </x:c>
      <x:c r="D145" s="24" t="str">
        <x:v>Final Fantasy</x:v>
      </x:c>
      <x:c r="E145" s="24" t="str">
        <x:v>Recurring cross-title pattern</x:v>
      </x:c>
      <x:c r="F145" s="24" t="str">
        <x:v>Recurring job family</x:v>
      </x:c>
      <x:c r="G145" s="24" t="str">
        <x:v>ROL-117</x:v>
      </x:c>
      <x:c r="H145" s="24" t="str">
        <x:f>IFERROR(VLOOKUP(G145,'Master Taxonomy'!$A$2:$B$1226,2,FALSE),"")</x:f>
        <x:v>Paladin and Holy Knight</x:v>
      </x:c>
      <x:c r="I145" s="24" t="str">
        <x:v>ROL-115</x:v>
      </x:c>
      <x:c r="J145" s="24" t="str">
        <x:v>Knight</x:v>
      </x:c>
      <x:c r="K145" s="24" t="str">
        <x:v>Armored protector often combining defense with sacred techniques.</x:v>
      </x:c>
      <x:c r="L145" s="24" t="str">
        <x:v>Job-system rules, equipment, abilities, and title-specific lore.</x:v>
      </x:c>
      <x:c r="M145" s="24" t="str">
        <x:v>Some titles distinguish Knight and Paladin; others merge or rename them.</x:v>
      </x:c>
      <x:c r="N145" s="24" t="str">
        <x:v>Holy defender job.</x:v>
      </x:c>
      <x:c r="O145" s="24" t="str">
        <x:v>Multiple primary continuities</x:v>
      </x:c>
      <x:c r="P145" s="24" t="str">
        <x:v>Secondary reference reviewed</x:v>
      </x:c>
      <x:c r="Q145" s="24" t="str">
        <x:v>Recurring job terminology across independent Final Fantasy continuities; source-level verification required per title.</x:v>
      </x:c>
      <x:c r="R145" s="84" t="str">
        <x:v>https://en.wikipedia.org/wiki/Final_Fantasy</x:v>
      </x:c>
      <x:c r="S145" s="24" t="str">
        <x:v>Seeded</x:v>
      </x:c>
    </x:row>
    <x:row r="146" ht="52" customHeight="1">
      <x:c r="A146" s="24" t="str">
        <x:v>ENT-0145</x:v>
      </x:c>
      <x:c r="B146" s="24" t="str">
        <x:v>Monk</x:v>
      </x:c>
      <x:c r="C146" s="24" t="str">
        <x:v>SRC-129</x:v>
      </x:c>
      <x:c r="D146" s="24" t="str">
        <x:v>Final Fantasy</x:v>
      </x:c>
      <x:c r="E146" s="24" t="str">
        <x:v>Recurring cross-title pattern</x:v>
      </x:c>
      <x:c r="F146" s="24" t="str">
        <x:v>Recurring job family</x:v>
      </x:c>
      <x:c r="G146" s="24" t="str">
        <x:v>ROL-123</x:v>
      </x:c>
      <x:c r="H146" s="24" t="str">
        <x:f>IFERROR(VLOOKUP(G146,'Master Taxonomy'!$A$2:$B$1226,2,FALSE),"")</x:f>
        <x:v>Monk and Martial Artist</x:v>
      </x:c>
      <x:c r="I146" s="24" t="str"/>
      <x:c r="J146" s="24" t="str"/>
      <x:c r="K146" s="24" t="str">
        <x:v>Unarmed or fist-weapon martial job emphasizing speed, counters, or inner discipline.</x:v>
      </x:c>
      <x:c r="L146" s="24" t="str">
        <x:v>Job-system rules, equipment, abilities, and title-specific lore.</x:v>
      </x:c>
      <x:c r="M146" s="24" t="str">
        <x:v>Mechanical resource systems vary widely.</x:v>
      </x:c>
      <x:c r="N146" s="24" t="str">
        <x:v>Martial artist striker.</x:v>
      </x:c>
      <x:c r="O146" s="24" t="str">
        <x:v>Multiple primary continuities</x:v>
      </x:c>
      <x:c r="P146" s="24" t="str">
        <x:v>Secondary reference reviewed</x:v>
      </x:c>
      <x:c r="Q146" s="24" t="str">
        <x:v>Recurring job terminology across independent Final Fantasy continuities; source-level verification required per title.</x:v>
      </x:c>
      <x:c r="R146" s="84" t="str">
        <x:v>https://en.wikipedia.org/wiki/Final_Fantasy</x:v>
      </x:c>
      <x:c r="S146" s="24" t="str">
        <x:v>Seeded</x:v>
      </x:c>
    </x:row>
    <x:row r="147" ht="52" customHeight="1">
      <x:c r="A147" s="24" t="str">
        <x:v>ENT-0146</x:v>
      </x:c>
      <x:c r="B147" s="24" t="str">
        <x:v>Thief</x:v>
      </x:c>
      <x:c r="C147" s="24" t="str">
        <x:v>SRC-129</x:v>
      </x:c>
      <x:c r="D147" s="24" t="str">
        <x:v>Final Fantasy</x:v>
      </x:c>
      <x:c r="E147" s="24" t="str">
        <x:v>Recurring cross-title pattern</x:v>
      </x:c>
      <x:c r="F147" s="24" t="str">
        <x:v>Recurring job family</x:v>
      </x:c>
      <x:c r="G147" s="24" t="str">
        <x:v>ROL-201</x:v>
      </x:c>
      <x:c r="H147" s="24" t="str">
        <x:f>IFERROR(VLOOKUP(G147,'Master Taxonomy'!$A$2:$B$1226,2,FALSE),"")</x:f>
        <x:v>Thief</x:v>
      </x:c>
      <x:c r="I147" s="24" t="str">
        <x:v>ROL-205</x:v>
      </x:c>
      <x:c r="J147" s="24" t="str">
        <x:v>Rogue</x:v>
      </x:c>
      <x:c r="K147" s="24" t="str">
        <x:v>Fast utility job associated with stealing, agility, and item acquisition.</x:v>
      </x:c>
      <x:c r="L147" s="24" t="str">
        <x:v>Job-system rules, equipment, abilities, and title-specific lore.</x:v>
      </x:c>
      <x:c r="M147" s="24" t="str">
        <x:v>Narrative morality is not determined by the job label.</x:v>
      </x:c>
      <x:c r="N147" s="24" t="str">
        <x:v>Agile loot and utility specialist.</x:v>
      </x:c>
      <x:c r="O147" s="24" t="str">
        <x:v>Multiple primary continuities</x:v>
      </x:c>
      <x:c r="P147" s="24" t="str">
        <x:v>Secondary reference reviewed</x:v>
      </x:c>
      <x:c r="Q147" s="24" t="str">
        <x:v>Recurring job terminology across independent Final Fantasy continuities; source-level verification required per title.</x:v>
      </x:c>
      <x:c r="R147" s="84" t="str">
        <x:v>https://en.wikipedia.org/wiki/Final_Fantasy</x:v>
      </x:c>
      <x:c r="S147" s="24" t="str">
        <x:v>Seeded</x:v>
      </x:c>
    </x:row>
    <x:row r="148" ht="52" customHeight="1">
      <x:c r="A148" s="24" t="str">
        <x:v>ENT-0147</x:v>
      </x:c>
      <x:c r="B148" s="24" t="str">
        <x:v>Ninja</x:v>
      </x:c>
      <x:c r="C148" s="24" t="str">
        <x:v>SRC-129</x:v>
      </x:c>
      <x:c r="D148" s="24" t="str">
        <x:v>Final Fantasy</x:v>
      </x:c>
      <x:c r="E148" s="24" t="str">
        <x:v>Recurring cross-title pattern</x:v>
      </x:c>
      <x:c r="F148" s="24" t="str">
        <x:v>Recurring job family</x:v>
      </x:c>
      <x:c r="G148" s="24" t="str">
        <x:v>ROL-210</x:v>
      </x:c>
      <x:c r="H148" s="24" t="str">
        <x:f>IFERROR(VLOOKUP(G148,'Master Taxonomy'!$A$2:$B$1226,2,FALSE),"")</x:f>
        <x:v>Ninja-Derived Operative</x:v>
      </x:c>
      <x:c r="I148" s="24" t="str"/>
      <x:c r="J148" s="24" t="str"/>
      <x:c r="K148" s="24" t="str">
        <x:v>Fast dual-wielding or throwing-weapon job with ninjutsu or evasive tools.</x:v>
      </x:c>
      <x:c r="L148" s="24" t="str">
        <x:v>Job-system rules, equipment, abilities, and title-specific lore.</x:v>
      </x:c>
      <x:c r="M148" s="24" t="str">
        <x:v>The series uses a stylized fantasy synthesis rather than historical taxonomy.</x:v>
      </x:c>
      <x:c r="N148" s="24" t="str">
        <x:v>Evasive hybrid striker.</x:v>
      </x:c>
      <x:c r="O148" s="24" t="str">
        <x:v>Multiple primary continuities</x:v>
      </x:c>
      <x:c r="P148" s="24" t="str">
        <x:v>Secondary reference reviewed</x:v>
      </x:c>
      <x:c r="Q148" s="24" t="str">
        <x:v>Recurring job terminology across independent Final Fantasy continuities; source-level verification required per title.</x:v>
      </x:c>
      <x:c r="R148" s="84" t="str">
        <x:v>https://en.wikipedia.org/wiki/Final_Fantasy</x:v>
      </x:c>
      <x:c r="S148" s="24" t="str">
        <x:v>Seeded</x:v>
      </x:c>
    </x:row>
    <x:row r="149" ht="52" customHeight="1">
      <x:c r="A149" s="24" t="str">
        <x:v>ENT-0148</x:v>
      </x:c>
      <x:c r="B149" s="24" t="str">
        <x:v>Samurai</x:v>
      </x:c>
      <x:c r="C149" s="24" t="str">
        <x:v>SRC-129</x:v>
      </x:c>
      <x:c r="D149" s="24" t="str">
        <x:v>Final Fantasy</x:v>
      </x:c>
      <x:c r="E149" s="24" t="str">
        <x:v>Recurring cross-title pattern</x:v>
      </x:c>
      <x:c r="F149" s="24" t="str">
        <x:v>Recurring job family</x:v>
      </x:c>
      <x:c r="G149" s="24" t="str">
        <x:v>ROL-120</x:v>
      </x:c>
      <x:c r="H149" s="24" t="str">
        <x:f>IFERROR(VLOOKUP(G149,'Master Taxonomy'!$A$2:$B$1226,2,FALSE),"")</x:f>
        <x:v>Samurai-Derived Warrior</x:v>
      </x:c>
      <x:c r="I149" s="24" t="str"/>
      <x:c r="J149" s="24" t="str"/>
      <x:c r="K149" s="24" t="str">
        <x:v>Blade specialist using techniques, counters, resource expenditure, or draw attacks.</x:v>
      </x:c>
      <x:c r="L149" s="24" t="str">
        <x:v>Job-system rules, equipment, abilities, and title-specific lore.</x:v>
      </x:c>
      <x:c r="M149" s="24" t="str">
        <x:v>Each title emphasizes different elements of the image.</x:v>
      </x:c>
      <x:c r="N149" s="24" t="str">
        <x:v>Technical sword job.</x:v>
      </x:c>
      <x:c r="O149" s="24" t="str">
        <x:v>Multiple primary continuities</x:v>
      </x:c>
      <x:c r="P149" s="24" t="str">
        <x:v>Secondary reference reviewed</x:v>
      </x:c>
      <x:c r="Q149" s="24" t="str">
        <x:v>Recurring job terminology across independent Final Fantasy continuities; source-level verification required per title.</x:v>
      </x:c>
      <x:c r="R149" s="84" t="str">
        <x:v>https://en.wikipedia.org/wiki/Final_Fantasy</x:v>
      </x:c>
      <x:c r="S149" s="24" t="str">
        <x:v>Seeded</x:v>
      </x:c>
    </x:row>
    <x:row r="150" ht="52" customHeight="1">
      <x:c r="A150" s="24" t="str">
        <x:v>ENT-0149</x:v>
      </x:c>
      <x:c r="B150" s="24" t="str">
        <x:v>Dragoon</x:v>
      </x:c>
      <x:c r="C150" s="24" t="str">
        <x:v>SRC-129</x:v>
      </x:c>
      <x:c r="D150" s="24" t="str">
        <x:v>Final Fantasy</x:v>
      </x:c>
      <x:c r="E150" s="24" t="str">
        <x:v>Recurring cross-title pattern</x:v>
      </x:c>
      <x:c r="F150" s="24" t="str">
        <x:v>Recurring job family</x:v>
      </x:c>
      <x:c r="G150" s="24" t="str">
        <x:v>ROL-122</x:v>
      </x:c>
      <x:c r="H150" s="24" t="str">
        <x:f>IFERROR(VLOOKUP(G150,'Master Taxonomy'!$A$2:$B$1226,2,FALSE),"")</x:f>
        <x:v>Dragoon and Leaping Lancer</x:v>
      </x:c>
      <x:c r="I150" s="24" t="str"/>
      <x:c r="J150" s="24" t="str"/>
      <x:c r="K150" s="24" t="str">
        <x:v>Lance-wielding job strongly associated with Jump and draconic imagery.</x:v>
      </x:c>
      <x:c r="L150" s="24" t="str">
        <x:v>Job-system rules, equipment, abilities, and title-specific lore.</x:v>
      </x:c>
      <x:c r="M150" s="24" t="str">
        <x:v>This differs from early-modern mounted infantry and from Tactics Ogre's anti-dragon class.</x:v>
      </x:c>
      <x:c r="N150" s="24" t="str">
        <x:v>Iconic aerial lancer.</x:v>
      </x:c>
      <x:c r="O150" s="24" t="str">
        <x:v>Multiple primary continuities</x:v>
      </x:c>
      <x:c r="P150" s="24" t="str">
        <x:v>Secondary reference reviewed</x:v>
      </x:c>
      <x:c r="Q150" s="24" t="str">
        <x:v>Recurring job terminology across independent Final Fantasy continuities; source-level verification required per title.</x:v>
      </x:c>
      <x:c r="R150" s="84" t="str">
        <x:v>https://en.wikipedia.org/wiki/Final_Fantasy</x:v>
      </x:c>
      <x:c r="S150" s="24" t="str">
        <x:v>Seeded</x:v>
      </x:c>
    </x:row>
    <x:row r="151" ht="52" customHeight="1">
      <x:c r="A151" s="24" t="str">
        <x:v>ENT-0150</x:v>
      </x:c>
      <x:c r="B151" s="24" t="str">
        <x:v>Dark Knight</x:v>
      </x:c>
      <x:c r="C151" s="24" t="str">
        <x:v>SRC-129</x:v>
      </x:c>
      <x:c r="D151" s="24" t="str">
        <x:v>Final Fantasy</x:v>
      </x:c>
      <x:c r="E151" s="24" t="str">
        <x:v>Recurring cross-title pattern</x:v>
      </x:c>
      <x:c r="F151" s="24" t="str">
        <x:v>Recurring job family</x:v>
      </x:c>
      <x:c r="G151" s="24" t="str">
        <x:v>ROL-118</x:v>
      </x:c>
      <x:c r="H151" s="24" t="str">
        <x:f>IFERROR(VLOOKUP(G151,'Master Taxonomy'!$A$2:$B$1226,2,FALSE),"")</x:f>
        <x:v>Dark Knight and Blackguard</x:v>
      </x:c>
      <x:c r="I151" s="24" t="str"/>
      <x:c r="J151" s="24" t="str"/>
      <x:c r="K151" s="24" t="str">
        <x:v>Heavy martial job using darkness, sacrifice, or life-for-damage exchanges.</x:v>
      </x:c>
      <x:c r="L151" s="24" t="str">
        <x:v>Job-system rules, equipment, abilities, and title-specific lore.</x:v>
      </x:c>
      <x:c r="M151" s="24" t="str">
        <x:v>Moral alignment and narrative role vary by title.</x:v>
      </x:c>
      <x:c r="N151" s="24" t="str">
        <x:v>Sacrificial dark warrior.</x:v>
      </x:c>
      <x:c r="O151" s="24" t="str">
        <x:v>Multiple primary continuities</x:v>
      </x:c>
      <x:c r="P151" s="24" t="str">
        <x:v>Secondary reference reviewed</x:v>
      </x:c>
      <x:c r="Q151" s="24" t="str">
        <x:v>Recurring job terminology across independent Final Fantasy continuities; source-level verification required per title.</x:v>
      </x:c>
      <x:c r="R151" s="84" t="str">
        <x:v>https://en.wikipedia.org/wiki/Final_Fantasy</x:v>
      </x:c>
      <x:c r="S151" s="24" t="str">
        <x:v>Seeded</x:v>
      </x:c>
    </x:row>
    <x:row r="152" ht="52" customHeight="1">
      <x:c r="A152" s="24" t="str">
        <x:v>ENT-0151</x:v>
      </x:c>
      <x:c r="B152" s="24" t="str">
        <x:v>White Mage</x:v>
      </x:c>
      <x:c r="C152" s="24" t="str">
        <x:v>SRC-129</x:v>
      </x:c>
      <x:c r="D152" s="24" t="str">
        <x:v>Final Fantasy</x:v>
      </x:c>
      <x:c r="E152" s="24" t="str">
        <x:v>Recurring cross-title pattern</x:v>
      </x:c>
      <x:c r="F152" s="24" t="str">
        <x:v>Recurring job family</x:v>
      </x:c>
      <x:c r="G152" s="24" t="str">
        <x:v>ROL-344</x:v>
      </x:c>
      <x:c r="H152" s="24" t="str">
        <x:f>IFERROR(VLOOKUP(G152,'Master Taxonomy'!$A$2:$B$1226,2,FALSE),"")</x:f>
        <x:v>White Mage and Restorative Caster</x:v>
      </x:c>
      <x:c r="I152" s="24" t="str">
        <x:v>MEC-112</x:v>
      </x:c>
      <x:c r="J152" s="24" t="str">
        <x:v>Healer</x:v>
      </x:c>
      <x:c r="K152" s="24" t="str">
        <x:v>Restorative spellcaster using healing, cleansing, and holy magic.</x:v>
      </x:c>
      <x:c r="L152" s="24" t="str">
        <x:v>Job-system rules, equipment, abilities, and title-specific lore.</x:v>
      </x:c>
      <x:c r="M152" s="24" t="str">
        <x:v>The robe-and-color visual code is franchise-specific.</x:v>
      </x:c>
      <x:c r="N152" s="24" t="str">
        <x:v>Dedicated healer caster.</x:v>
      </x:c>
      <x:c r="O152" s="24" t="str">
        <x:v>Multiple primary continuities</x:v>
      </x:c>
      <x:c r="P152" s="24" t="str">
        <x:v>Secondary reference reviewed</x:v>
      </x:c>
      <x:c r="Q152" s="24" t="str">
        <x:v>Recurring job terminology across independent Final Fantasy continuities; source-level verification required per title.</x:v>
      </x:c>
      <x:c r="R152" s="84" t="str">
        <x:v>https://en.wikipedia.org/wiki/Final_Fantasy</x:v>
      </x:c>
      <x:c r="S152" s="24" t="str">
        <x:v>Seeded</x:v>
      </x:c>
    </x:row>
    <x:row r="153" ht="52" customHeight="1">
      <x:c r="A153" s="24" t="str">
        <x:v>ENT-0152</x:v>
      </x:c>
      <x:c r="B153" s="24" t="str">
        <x:v>Black Mage</x:v>
      </x:c>
      <x:c r="C153" s="24" t="str">
        <x:v>SRC-129</x:v>
      </x:c>
      <x:c r="D153" s="24" t="str">
        <x:v>Final Fantasy</x:v>
      </x:c>
      <x:c r="E153" s="24" t="str">
        <x:v>Recurring cross-title pattern</x:v>
      </x:c>
      <x:c r="F153" s="24" t="str">
        <x:v>Recurring job family</x:v>
      </x:c>
      <x:c r="G153" s="24" t="str">
        <x:v>ROL-343</x:v>
      </x:c>
      <x:c r="H153" s="24" t="str">
        <x:f>IFERROR(VLOOKUP(G153,'Master Taxonomy'!$A$2:$B$1226,2,FALSE),"")</x:f>
        <x:v>Black Mage and Destructive Caster</x:v>
      </x:c>
      <x:c r="I153" s="24" t="str"/>
      <x:c r="J153" s="24" t="str"/>
      <x:c r="K153" s="24" t="str">
        <x:v>Offensive spellcaster specializing in elemental destruction.</x:v>
      </x:c>
      <x:c r="L153" s="24" t="str">
        <x:v>Job-system rules, equipment, abilities, and title-specific lore.</x:v>
      </x:c>
      <x:c r="M153" s="24" t="str">
        <x:v>Not a moral category; 'black' denotes a franchise magic school.</x:v>
      </x:c>
      <x:c r="N153" s="24" t="str">
        <x:v>Dedicated damage caster.</x:v>
      </x:c>
      <x:c r="O153" s="24" t="str">
        <x:v>Multiple primary continuities</x:v>
      </x:c>
      <x:c r="P153" s="24" t="str">
        <x:v>Secondary reference reviewed</x:v>
      </x:c>
      <x:c r="Q153" s="24" t="str">
        <x:v>Recurring job terminology across independent Final Fantasy continuities; source-level verification required per title.</x:v>
      </x:c>
      <x:c r="R153" s="84" t="str">
        <x:v>https://en.wikipedia.org/wiki/Final_Fantasy</x:v>
      </x:c>
      <x:c r="S153" s="24" t="str">
        <x:v>Seeded</x:v>
      </x:c>
    </x:row>
    <x:row r="154" ht="52" customHeight="1">
      <x:c r="A154" s="24" t="str">
        <x:v>ENT-0153</x:v>
      </x:c>
      <x:c r="B154" s="24" t="str">
        <x:v>Red Mage</x:v>
      </x:c>
      <x:c r="C154" s="24" t="str">
        <x:v>SRC-129</x:v>
      </x:c>
      <x:c r="D154" s="24" t="str">
        <x:v>Final Fantasy</x:v>
      </x:c>
      <x:c r="E154" s="24" t="str">
        <x:v>Recurring cross-title pattern</x:v>
      </x:c>
      <x:c r="F154" s="24" t="str">
        <x:v>Recurring job family</x:v>
      </x:c>
      <x:c r="G154" s="24" t="str">
        <x:v>ROL-342</x:v>
      </x:c>
      <x:c r="H154" s="24" t="str">
        <x:f>IFERROR(VLOOKUP(G154,'Master Taxonomy'!$A$2:$B$1226,2,FALSE),"")</x:f>
        <x:v>Red Mage and Versatile Battlemage</x:v>
      </x:c>
      <x:c r="I154" s="24" t="str">
        <x:v>ROL-801</x:v>
      </x:c>
      <x:c r="J154" s="24" t="str">
        <x:v>Spellblade or Gish</x:v>
      </x:c>
      <x:c r="K154" s="24" t="str">
        <x:v>Versatile hybrid combining white and black magic with sword use.</x:v>
      </x:c>
      <x:c r="L154" s="24" t="str">
        <x:v>Job-system rules, equipment, abilities, and title-specific lore.</x:v>
      </x:c>
      <x:c r="M154" s="24" t="str">
        <x:v>Breadth, dual-casting, and equipment access vary by title.</x:v>
      </x:c>
      <x:c r="N154" s="24" t="str">
        <x:v>Jack-of-all-trades battlemage.</x:v>
      </x:c>
      <x:c r="O154" s="24" t="str">
        <x:v>Multiple primary continuities</x:v>
      </x:c>
      <x:c r="P154" s="24" t="str">
        <x:v>Secondary reference reviewed</x:v>
      </x:c>
      <x:c r="Q154" s="24" t="str">
        <x:v>Recurring job terminology across independent Final Fantasy continuities; source-level verification required per title.</x:v>
      </x:c>
      <x:c r="R154" s="84" t="str">
        <x:v>https://en.wikipedia.org/wiki/Final_Fantasy</x:v>
      </x:c>
      <x:c r="S154" s="24" t="str">
        <x:v>Seeded</x:v>
      </x:c>
    </x:row>
    <x:row r="155" ht="52" customHeight="1">
      <x:c r="A155" s="24" t="str">
        <x:v>ENT-0154</x:v>
      </x:c>
      <x:c r="B155" s="24" t="str">
        <x:v>Blue Mage</x:v>
      </x:c>
      <x:c r="C155" s="24" t="str">
        <x:v>SRC-129</x:v>
      </x:c>
      <x:c r="D155" s="24" t="str">
        <x:v>Final Fantasy</x:v>
      </x:c>
      <x:c r="E155" s="24" t="str">
        <x:v>Recurring cross-title pattern</x:v>
      </x:c>
      <x:c r="F155" s="24" t="str">
        <x:v>Recurring job family</x:v>
      </x:c>
      <x:c r="G155" s="24" t="str">
        <x:v>ROL-341</x:v>
      </x:c>
      <x:c r="H155" s="24" t="str">
        <x:f>IFERROR(VLOOKUP(G155,'Master Taxonomy'!$A$2:$B$1226,2,FALSE),"")</x:f>
        <x:v>Blue Mage and Mimic Caster</x:v>
      </x:c>
      <x:c r="I155" s="24" t="str">
        <x:v>ROL-819</x:v>
      </x:c>
      <x:c r="J155" s="24" t="str">
        <x:v>Blue Mage or Ability Mimic</x:v>
      </x:c>
      <x:c r="K155" s="24" t="str">
        <x:v>Caster who learns or copies enemy and monster abilities.</x:v>
      </x:c>
      <x:c r="L155" s="24" t="str">
        <x:v>Job-system rules, equipment, abilities, and title-specific lore.</x:v>
      </x:c>
      <x:c r="M155" s="24" t="str">
        <x:v>Learning conditions and usable skills vary radically.</x:v>
      </x:c>
      <x:c r="N155" s="24" t="str">
        <x:v>Enemy-skill mimic archetype.</x:v>
      </x:c>
      <x:c r="O155" s="24" t="str">
        <x:v>Multiple primary continuities</x:v>
      </x:c>
      <x:c r="P155" s="24" t="str">
        <x:v>Secondary reference reviewed</x:v>
      </x:c>
      <x:c r="Q155" s="24" t="str">
        <x:v>Recurring job terminology across independent Final Fantasy continuities; source-level verification required per title.</x:v>
      </x:c>
      <x:c r="R155" s="84" t="str">
        <x:v>https://en.wikipedia.org/wiki/Final_Fantasy</x:v>
      </x:c>
      <x:c r="S155" s="24" t="str">
        <x:v>Seeded</x:v>
      </x:c>
    </x:row>
    <x:row r="156" ht="52" customHeight="1">
      <x:c r="A156" s="24" t="str">
        <x:v>ENT-0155</x:v>
      </x:c>
      <x:c r="B156" s="24" t="str">
        <x:v>Green Mage</x:v>
      </x:c>
      <x:c r="C156" s="24" t="str">
        <x:v>SRC-129</x:v>
      </x:c>
      <x:c r="D156" s="24" t="str">
        <x:v>Final Fantasy</x:v>
      </x:c>
      <x:c r="E156" s="24" t="str">
        <x:v>Recurring cross-title pattern</x:v>
      </x:c>
      <x:c r="F156" s="24" t="str">
        <x:v>Recurring job family</x:v>
      </x:c>
      <x:c r="G156" s="24" t="str">
        <x:v>ROL-345</x:v>
      </x:c>
      <x:c r="H156" s="24" t="str">
        <x:f>IFERROR(VLOOKUP(G156,'Master Taxonomy'!$A$2:$B$1226,2,FALSE),"")</x:f>
        <x:v>Green Mage and Support Caster</x:v>
      </x:c>
      <x:c r="I156" s="24" t="str"/>
      <x:c r="J156" s="24" t="str"/>
      <x:c r="K156" s="24" t="str">
        <x:v>Support-oriented caster associated with buffs, debuffs, and status control.</x:v>
      </x:c>
      <x:c r="L156" s="24" t="str">
        <x:v>Job-system rules, equipment, abilities, and title-specific lore.</x:v>
      </x:c>
      <x:c r="M156" s="24" t="str">
        <x:v>Appears in fewer titles and lacks one universal spell list.</x:v>
      </x:c>
      <x:c r="N156" s="24" t="str">
        <x:v>Status support caster.</x:v>
      </x:c>
      <x:c r="O156" s="24" t="str">
        <x:v>Multiple primary continuities</x:v>
      </x:c>
      <x:c r="P156" s="24" t="str">
        <x:v>Secondary reference reviewed</x:v>
      </x:c>
      <x:c r="Q156" s="24" t="str">
        <x:v>Recurring job terminology across independent Final Fantasy continuities; source-level verification required per title.</x:v>
      </x:c>
      <x:c r="R156" s="84" t="str">
        <x:v>https://en.wikipedia.org/wiki/Final_Fantasy</x:v>
      </x:c>
      <x:c r="S156" s="24" t="str">
        <x:v>Seeded</x:v>
      </x:c>
    </x:row>
    <x:row r="157" ht="52" customHeight="1">
      <x:c r="A157" s="24" t="str">
        <x:v>ENT-0156</x:v>
      </x:c>
      <x:c r="B157" s="24" t="str">
        <x:v>Time Mage</x:v>
      </x:c>
      <x:c r="C157" s="24" t="str">
        <x:v>SRC-129</x:v>
      </x:c>
      <x:c r="D157" s="24" t="str">
        <x:v>Final Fantasy</x:v>
      </x:c>
      <x:c r="E157" s="24" t="str">
        <x:v>Recurring cross-title pattern</x:v>
      </x:c>
      <x:c r="F157" s="24" t="str">
        <x:v>Recurring job family</x:v>
      </x:c>
      <x:c r="G157" s="24" t="str">
        <x:v>ROL-346</x:v>
      </x:c>
      <x:c r="H157" s="24" t="str">
        <x:f>IFERROR(VLOOKUP(G157,'Master Taxonomy'!$A$2:$B$1226,2,FALSE),"")</x:f>
        <x:v>Time Mage</x:v>
      </x:c>
      <x:c r="I157" s="24" t="str"/>
      <x:c r="J157" s="24" t="str"/>
      <x:c r="K157" s="24" t="str">
        <x:v>Caster manipulating haste, slow, gravity, time, and spatial effects.</x:v>
      </x:c>
      <x:c r="L157" s="24" t="str">
        <x:v>Job-system rules, equipment, abilities, and title-specific lore.</x:v>
      </x:c>
      <x:c r="M157" s="24" t="str">
        <x:v>The exact boundary between time and space magic varies.</x:v>
      </x:c>
      <x:c r="N157" s="24" t="str">
        <x:v>Tempo-control caster.</x:v>
      </x:c>
      <x:c r="O157" s="24" t="str">
        <x:v>Multiple primary continuities</x:v>
      </x:c>
      <x:c r="P157" s="24" t="str">
        <x:v>Secondary reference reviewed</x:v>
      </x:c>
      <x:c r="Q157" s="24" t="str">
        <x:v>Recurring job terminology across independent Final Fantasy continuities; source-level verification required per title.</x:v>
      </x:c>
      <x:c r="R157" s="84" t="str">
        <x:v>https://en.wikipedia.org/wiki/Final_Fantasy</x:v>
      </x:c>
      <x:c r="S157" s="24" t="str">
        <x:v>Seeded</x:v>
      </x:c>
    </x:row>
    <x:row r="158" ht="52" customHeight="1">
      <x:c r="A158" s="24" t="str">
        <x:v>ENT-0157</x:v>
      </x:c>
      <x:c r="B158" s="24" t="str">
        <x:v>Summoner</x:v>
      </x:c>
      <x:c r="C158" s="24" t="str">
        <x:v>SRC-129</x:v>
      </x:c>
      <x:c r="D158" s="24" t="str">
        <x:v>Final Fantasy</x:v>
      </x:c>
      <x:c r="E158" s="24" t="str">
        <x:v>Recurring cross-title pattern</x:v>
      </x:c>
      <x:c r="F158" s="24" t="str">
        <x:v>Recurring job family</x:v>
      </x:c>
      <x:c r="G158" s="24" t="str">
        <x:v>ROL-314</x:v>
      </x:c>
      <x:c r="H158" s="24" t="str">
        <x:f>IFERROR(VLOOKUP(G158,'Master Taxonomy'!$A$2:$B$1226,2,FALSE),"")</x:f>
        <x:v>Summoner</x:v>
      </x:c>
      <x:c r="I158" s="24" t="str">
        <x:v>ROL-817</x:v>
      </x:c>
      <x:c r="J158" s="24" t="str">
        <x:v>Summoner-Pet Master</x:v>
      </x:c>
      <x:c r="K158" s="24" t="str">
        <x:v>Caster who calls powerful named beings, avatars, or creatures.</x:v>
      </x:c>
      <x:c r="L158" s="24" t="str">
        <x:v>Job-system rules, equipment, abilities, and title-specific lore.</x:v>
      </x:c>
      <x:c r="M158" s="24" t="str">
        <x:v>Summons may be deities, spirits, monsters, contracts, pets, or cinematic attacks by title.</x:v>
      </x:c>
      <x:c r="N158" s="24" t="str">
        <x:v>Invocation and pet-caster archetype.</x:v>
      </x:c>
      <x:c r="O158" s="24" t="str">
        <x:v>Multiple primary continuities</x:v>
      </x:c>
      <x:c r="P158" s="24" t="str">
        <x:v>Secondary reference reviewed</x:v>
      </x:c>
      <x:c r="Q158" s="24" t="str">
        <x:v>Recurring job terminology across independent Final Fantasy continuities; source-level verification required per title.</x:v>
      </x:c>
      <x:c r="R158" s="84" t="str">
        <x:v>https://en.wikipedia.org/wiki/Final_Fantasy</x:v>
      </x:c>
      <x:c r="S158" s="24" t="str">
        <x:v>Seeded</x:v>
      </x:c>
    </x:row>
    <x:row r="159" ht="52" customHeight="1">
      <x:c r="A159" s="24" t="str">
        <x:v>ENT-0158</x:v>
      </x:c>
      <x:c r="B159" s="24" t="str">
        <x:v>Geomancer</x:v>
      </x:c>
      <x:c r="C159" s="24" t="str">
        <x:v>SRC-129</x:v>
      </x:c>
      <x:c r="D159" s="24" t="str">
        <x:v>Final Fantasy</x:v>
      </x:c>
      <x:c r="E159" s="24" t="str">
        <x:v>Recurring cross-title pattern</x:v>
      </x:c>
      <x:c r="F159" s="24" t="str">
        <x:v>Recurring job family</x:v>
      </x:c>
      <x:c r="G159" s="24" t="str">
        <x:v>ROL-324</x:v>
      </x:c>
      <x:c r="H159" s="24" t="str">
        <x:f>IFERROR(VLOOKUP(G159,'Master Taxonomy'!$A$2:$B$1226,2,FALSE),"")</x:f>
        <x:v>Geomancer</x:v>
      </x:c>
      <x:c r="I159" s="24" t="str"/>
      <x:c r="J159" s="24" t="str"/>
      <x:c r="K159" s="24" t="str">
        <x:v>Caster or hybrid drawing effects from terrain, weather, bells, or local elements.</x:v>
      </x:c>
      <x:c r="L159" s="24" t="str">
        <x:v>Job-system rules, equipment, abilities, and title-specific lore.</x:v>
      </x:c>
      <x:c r="M159" s="24" t="str">
        <x:v>Reliance on battlefield environment varies.</x:v>
      </x:c>
      <x:c r="N159" s="24" t="str">
        <x:v>Terrain-dependent nature caster.</x:v>
      </x:c>
      <x:c r="O159" s="24" t="str">
        <x:v>Multiple primary continuities</x:v>
      </x:c>
      <x:c r="P159" s="24" t="str">
        <x:v>Secondary reference reviewed</x:v>
      </x:c>
      <x:c r="Q159" s="24" t="str">
        <x:v>Recurring job terminology across independent Final Fantasy continuities; source-level verification required per title.</x:v>
      </x:c>
      <x:c r="R159" s="84" t="str">
        <x:v>https://en.wikipedia.org/wiki/Final_Fantasy</x:v>
      </x:c>
      <x:c r="S159" s="24" t="str">
        <x:v>Seeded</x:v>
      </x:c>
    </x:row>
    <x:row r="160" ht="52" customHeight="1">
      <x:c r="A160" s="24" t="str">
        <x:v>ENT-0159</x:v>
      </x:c>
      <x:c r="B160" s="24" t="str">
        <x:v>Beastmaster</x:v>
      </x:c>
      <x:c r="C160" s="24" t="str">
        <x:v>SRC-129</x:v>
      </x:c>
      <x:c r="D160" s="24" t="str">
        <x:v>Final Fantasy</x:v>
      </x:c>
      <x:c r="E160" s="24" t="str">
        <x:v>Recurring cross-title pattern</x:v>
      </x:c>
      <x:c r="F160" s="24" t="str">
        <x:v>Recurring job family</x:v>
      </x:c>
      <x:c r="G160" s="24" t="str">
        <x:v>ROL-507</x:v>
      </x:c>
      <x:c r="H160" s="24" t="str">
        <x:f>IFERROR(VLOOKUP(G160,'Master Taxonomy'!$A$2:$B$1226,2,FALSE),"")</x:f>
        <x:v>Beastmaster and Beast Tamer</x:v>
      </x:c>
      <x:c r="I160" s="24" t="str"/>
      <x:c r="J160" s="24" t="str"/>
      <x:c r="K160" s="24" t="str">
        <x:v>Job that controls, captures, learns from, or fights alongside monsters.</x:v>
      </x:c>
      <x:c r="L160" s="24" t="str">
        <x:v>Job-system rules, equipment, abilities, and title-specific lore.</x:v>
      </x:c>
      <x:c r="M160" s="24" t="str">
        <x:v>The relationship ranges from coercive control to companionship.</x:v>
      </x:c>
      <x:c r="N160" s="24" t="str">
        <x:v>Monster-party specialist.</x:v>
      </x:c>
      <x:c r="O160" s="24" t="str">
        <x:v>Multiple primary continuities</x:v>
      </x:c>
      <x:c r="P160" s="24" t="str">
        <x:v>Secondary reference reviewed</x:v>
      </x:c>
      <x:c r="Q160" s="24" t="str">
        <x:v>Recurring job terminology across independent Final Fantasy continuities; source-level verification required per title.</x:v>
      </x:c>
      <x:c r="R160" s="84" t="str">
        <x:v>https://en.wikipedia.org/wiki/Final_Fantasy</x:v>
      </x:c>
      <x:c r="S160" s="24" t="str">
        <x:v>Seeded</x:v>
      </x:c>
    </x:row>
    <x:row r="161" ht="52" customHeight="1">
      <x:c r="A161" s="24" t="str">
        <x:v>ENT-0160</x:v>
      </x:c>
      <x:c r="B161" s="24" t="str">
        <x:v>Bard</x:v>
      </x:c>
      <x:c r="C161" s="24" t="str">
        <x:v>SRC-129</x:v>
      </x:c>
      <x:c r="D161" s="24" t="str">
        <x:v>Final Fantasy</x:v>
      </x:c>
      <x:c r="E161" s="24" t="str">
        <x:v>Recurring cross-title pattern</x:v>
      </x:c>
      <x:c r="F161" s="24" t="str">
        <x:v>Recurring job family</x:v>
      </x:c>
      <x:c r="G161" s="24" t="str">
        <x:v>ROL-606</x:v>
      </x:c>
      <x:c r="H161" s="24" t="str">
        <x:f>IFERROR(VLOOKUP(G161,'Master Taxonomy'!$A$2:$B$1226,2,FALSE),"")</x:f>
        <x:v>Bard</x:v>
      </x:c>
      <x:c r="I161" s="24" t="str"/>
      <x:c r="J161" s="24" t="str"/>
      <x:c r="K161" s="24" t="str">
        <x:v>Performance support job using songs for party-wide effects.</x:v>
      </x:c>
      <x:c r="L161" s="24" t="str">
        <x:v>Job-system rules, equipment, abilities, and title-specific lore.</x:v>
      </x:c>
      <x:c r="M161" s="24" t="str">
        <x:v>Some incarnations are archers or lorekeepers; others are pure support.</x:v>
      </x:c>
      <x:c r="N161" s="24" t="str">
        <x:v>Musical buffer.</x:v>
      </x:c>
      <x:c r="O161" s="24" t="str">
        <x:v>Multiple primary continuities</x:v>
      </x:c>
      <x:c r="P161" s="24" t="str">
        <x:v>Secondary reference reviewed</x:v>
      </x:c>
      <x:c r="Q161" s="24" t="str">
        <x:v>Recurring job terminology across independent Final Fantasy continuities; source-level verification required per title.</x:v>
      </x:c>
      <x:c r="R161" s="84" t="str">
        <x:v>https://en.wikipedia.org/wiki/Final_Fantasy</x:v>
      </x:c>
      <x:c r="S161" s="24" t="str">
        <x:v>Seeded</x:v>
      </x:c>
    </x:row>
    <x:row r="162" ht="52" customHeight="1">
      <x:c r="A162" s="24" t="str">
        <x:v>ENT-0161</x:v>
      </x:c>
      <x:c r="B162" s="24" t="str">
        <x:v>Dancer</x:v>
      </x:c>
      <x:c r="C162" s="24" t="str">
        <x:v>SRC-129</x:v>
      </x:c>
      <x:c r="D162" s="24" t="str">
        <x:v>Final Fantasy</x:v>
      </x:c>
      <x:c r="E162" s="24" t="str">
        <x:v>Recurring cross-title pattern</x:v>
      </x:c>
      <x:c r="F162" s="24" t="str">
        <x:v>Recurring job family</x:v>
      </x:c>
      <x:c r="G162" s="24" t="str">
        <x:v>ROL-608</x:v>
      </x:c>
      <x:c r="H162" s="24" t="str">
        <x:f>IFERROR(VLOOKUP(G162,'Master Taxonomy'!$A$2:$B$1226,2,FALSE),"")</x:f>
        <x:v>Dancer</x:v>
      </x:c>
      <x:c r="I162" s="24" t="str">
        <x:v>ROL-822</x:v>
      </x:c>
      <x:c r="J162" s="24" t="str">
        <x:v>Dancer-Fighter</x:v>
      </x:c>
      <x:c r="K162" s="24" t="str">
        <x:v>Performance-based job using dances for buffs, debuffs, healing, or attacks.</x:v>
      </x:c>
      <x:c r="L162" s="24" t="str">
        <x:v>Job-system rules, equipment, abilities, and title-specific lore.</x:v>
      </x:c>
      <x:c r="M162" s="24" t="str">
        <x:v>Gender coding and combat style vary by title.</x:v>
      </x:c>
      <x:c r="N162" s="24" t="str">
        <x:v>Rhythmic support or hybrid.</x:v>
      </x:c>
      <x:c r="O162" s="24" t="str">
        <x:v>Multiple primary continuities</x:v>
      </x:c>
      <x:c r="P162" s="24" t="str">
        <x:v>Secondary reference reviewed</x:v>
      </x:c>
      <x:c r="Q162" s="24" t="str">
        <x:v>Recurring job terminology across independent Final Fantasy continuities; source-level verification required per title.</x:v>
      </x:c>
      <x:c r="R162" s="84" t="str">
        <x:v>https://en.wikipedia.org/wiki/Final_Fantasy</x:v>
      </x:c>
      <x:c r="S162" s="24" t="str">
        <x:v>Seeded</x:v>
      </x:c>
    </x:row>
    <x:row r="163" ht="52" customHeight="1">
      <x:c r="A163" s="24" t="str">
        <x:v>ENT-0162</x:v>
      </x:c>
      <x:c r="B163" s="24" t="str">
        <x:v>Machinist</x:v>
      </x:c>
      <x:c r="C163" s="24" t="str">
        <x:v>SRC-129</x:v>
      </x:c>
      <x:c r="D163" s="24" t="str">
        <x:v>Final Fantasy</x:v>
      </x:c>
      <x:c r="E163" s="24" t="str">
        <x:v>Recurring cross-title pattern</x:v>
      </x:c>
      <x:c r="F163" s="24" t="str">
        <x:v>Recurring job family</x:v>
      </x:c>
      <x:c r="G163" s="24" t="str">
        <x:v>ROL-129</x:v>
      </x:c>
      <x:c r="H163" s="24" t="str">
        <x:f>IFERROR(VLOOKUP(G163,'Master Taxonomy'!$A$2:$B$1226,2,FALSE),"")</x:f>
        <x:v>Gunner and Fusilier</x:v>
      </x:c>
      <x:c r="I163" s="24" t="str">
        <x:v>ROL-615; PWR-516</x:v>
      </x:c>
      <x:c r="J163" s="24" t="str">
        <x:v>Engineer; Magitech</x:v>
      </x:c>
      <x:c r="K163" s="24" t="str">
        <x:v>Technology-oriented ranged job using firearms, devices, or automata.</x:v>
      </x:c>
      <x:c r="L163" s="24" t="str">
        <x:v>Job-system rules, equipment, abilities, and title-specific lore.</x:v>
      </x:c>
      <x:c r="M163" s="24" t="str">
        <x:v>Its technological level and role differ sharply across settings.</x:v>
      </x:c>
      <x:c r="N163" s="24" t="str">
        <x:v>Magitech gunner-engineer.</x:v>
      </x:c>
      <x:c r="O163" s="24" t="str">
        <x:v>Multiple primary continuities</x:v>
      </x:c>
      <x:c r="P163" s="24" t="str">
        <x:v>Secondary reference reviewed</x:v>
      </x:c>
      <x:c r="Q163" s="24" t="str">
        <x:v>Recurring job terminology across independent Final Fantasy continuities; source-level verification required per title.</x:v>
      </x:c>
      <x:c r="R163" s="84" t="str">
        <x:v>https://en.wikipedia.org/wiki/Final_Fantasy</x:v>
      </x:c>
      <x:c r="S163" s="24" t="str">
        <x:v>Seeded</x:v>
      </x:c>
    </x:row>
    <x:row r="164" ht="52" customHeight="1">
      <x:c r="A164" s="24" t="str">
        <x:v>ENT-0163</x:v>
      </x:c>
      <x:c r="B164" s="24" t="str">
        <x:v>Scholar</x:v>
      </x:c>
      <x:c r="C164" s="24" t="str">
        <x:v>SRC-129</x:v>
      </x:c>
      <x:c r="D164" s="24" t="str">
        <x:v>Final Fantasy</x:v>
      </x:c>
      <x:c r="E164" s="24" t="str">
        <x:v>Recurring cross-title pattern</x:v>
      </x:c>
      <x:c r="F164" s="24" t="str">
        <x:v>Recurring job family</x:v>
      </x:c>
      <x:c r="G164" s="24" t="str">
        <x:v>ROL-833</x:v>
      </x:c>
      <x:c r="H164" s="24" t="str">
        <x:f>IFERROR(VLOOKUP(G164,'Master Taxonomy'!$A$2:$B$1226,2,FALSE),"")</x:f>
        <x:v>Scholar-Healer</x:v>
      </x:c>
      <x:c r="I164" s="24" t="str">
        <x:v>ROL-306</x:v>
      </x:c>
      <x:c r="J164" s="24" t="str">
        <x:v>Magical Scholar</x:v>
      </x:c>
      <x:c r="K164" s="24" t="str">
        <x:v>Book-using learned job combining analysis, support, healing, or enemy knowledge.</x:v>
      </x:c>
      <x:c r="L164" s="24" t="str">
        <x:v>Job-system rules, equipment, abilities, and title-specific lore.</x:v>
      </x:c>
      <x:c r="M164" s="24" t="str">
        <x:v>Not every Scholar incarnation is a healer.</x:v>
      </x:c>
      <x:c r="N164" s="24" t="str">
        <x:v>Analytical support caster.</x:v>
      </x:c>
      <x:c r="O164" s="24" t="str">
        <x:v>Multiple primary continuities</x:v>
      </x:c>
      <x:c r="P164" s="24" t="str">
        <x:v>Secondary reference reviewed</x:v>
      </x:c>
      <x:c r="Q164" s="24" t="str">
        <x:v>Recurring job terminology across independent Final Fantasy continuities; source-level verification required per title.</x:v>
      </x:c>
      <x:c r="R164" s="84" t="str">
        <x:v>https://en.wikipedia.org/wiki/Final_Fantasy</x:v>
      </x:c>
      <x:c r="S164" s="24" t="str">
        <x:v>Seeded</x:v>
      </x:c>
    </x:row>
    <x:row r="165" ht="52" customHeight="1">
      <x:c r="A165" s="24" t="str">
        <x:v>ENT-0164</x:v>
      </x:c>
      <x:c r="B165" s="24" t="str">
        <x:v>Sage</x:v>
      </x:c>
      <x:c r="C165" s="24" t="str">
        <x:v>SRC-129</x:v>
      </x:c>
      <x:c r="D165" s="24" t="str">
        <x:v>Final Fantasy</x:v>
      </x:c>
      <x:c r="E165" s="24" t="str">
        <x:v>Recurring cross-title pattern</x:v>
      </x:c>
      <x:c r="F165" s="24" t="str">
        <x:v>Recurring job family</x:v>
      </x:c>
      <x:c r="G165" s="24" t="str">
        <x:v>ROL-307</x:v>
      </x:c>
      <x:c r="H165" s="24" t="str">
        <x:f>IFERROR(VLOOKUP(G165,'Master Taxonomy'!$A$2:$B$1226,2,FALSE),"")</x:f>
        <x:v>Sage</x:v>
      </x:c>
      <x:c r="I165" s="24" t="str"/>
      <x:c r="J165" s="24" t="str"/>
      <x:c r="K165" s="24" t="str">
        <x:v>Advanced caster with broad or high-level magical access.</x:v>
      </x:c>
      <x:c r="L165" s="24" t="str">
        <x:v>Job-system rules, equipment, abilities, and title-specific lore.</x:v>
      </x:c>
      <x:c r="M165" s="24" t="str">
        <x:v>Sometimes a master of multiple schools; sometimes a distinct healer.</x:v>
      </x:c>
      <x:c r="N165" s="24" t="str">
        <x:v>Elite generalist caster.</x:v>
      </x:c>
      <x:c r="O165" s="24" t="str">
        <x:v>Multiple primary continuities</x:v>
      </x:c>
      <x:c r="P165" s="24" t="str">
        <x:v>Secondary reference reviewed</x:v>
      </x:c>
      <x:c r="Q165" s="24" t="str">
        <x:v>Recurring job terminology across independent Final Fantasy continuities; source-level verification required per title.</x:v>
      </x:c>
      <x:c r="R165" s="84" t="str">
        <x:v>https://en.wikipedia.org/wiki/Final_Fantasy</x:v>
      </x:c>
      <x:c r="S165" s="24" t="str">
        <x:v>Seeded</x:v>
      </x:c>
    </x:row>
    <x:row r="166" ht="52" customHeight="1">
      <x:c r="A166" s="24" t="str">
        <x:v>ENT-0165</x:v>
      </x:c>
      <x:c r="B166" s="24" t="str">
        <x:v>Astrologian</x:v>
      </x:c>
      <x:c r="C166" s="24" t="str">
        <x:v>SRC-129</x:v>
      </x:c>
      <x:c r="D166" s="24" t="str">
        <x:v>Final Fantasy</x:v>
      </x:c>
      <x:c r="E166" s="24" t="str">
        <x:v>Recurring cross-title pattern</x:v>
      </x:c>
      <x:c r="F166" s="24" t="str">
        <x:v>Recurring job family</x:v>
      </x:c>
      <x:c r="G166" s="24" t="str">
        <x:v>ROL-832</x:v>
      </x:c>
      <x:c r="H166" s="24" t="str">
        <x:f>IFERROR(VLOOKUP(G166,'Master Taxonomy'!$A$2:$B$1226,2,FALSE),"")</x:f>
        <x:v>Astrologian Healer</x:v>
      </x:c>
      <x:c r="I166" s="24" t="str">
        <x:v>ROL-317</x:v>
      </x:c>
      <x:c r="J166" s="24" t="str">
        <x:v>Astrologer and Astrologian</x:v>
      </x:c>
      <x:c r="K166" s="24" t="str">
        <x:v>Fate- and star-themed support or healing job.</x:v>
      </x:c>
      <x:c r="L166" s="24" t="str">
        <x:v>Job-system rules, equipment, abilities, and title-specific lore.</x:v>
      </x:c>
      <x:c r="M166" s="24" t="str">
        <x:v>Most strongly systematized in Final Fantasy XIV.</x:v>
      </x:c>
      <x:c r="N166" s="24" t="str">
        <x:v>Card-and-fate healer.</x:v>
      </x:c>
      <x:c r="O166" s="24" t="str">
        <x:v>Multiple primary continuities</x:v>
      </x:c>
      <x:c r="P166" s="24" t="str">
        <x:v>Secondary reference reviewed</x:v>
      </x:c>
      <x:c r="Q166" s="24" t="str">
        <x:v>Recurring job terminology across independent Final Fantasy continuities; source-level verification required per title.</x:v>
      </x:c>
      <x:c r="R166" s="84" t="str">
        <x:v>https://en.wikipedia.org/wiki/Final_Fantasy</x:v>
      </x:c>
      <x:c r="S166" s="24" t="str">
        <x:v>Seeded</x:v>
      </x:c>
    </x:row>
    <x:row r="167" ht="52" customHeight="1">
      <x:c r="A167" s="24" t="str">
        <x:v>ENT-0166</x:v>
      </x:c>
      <x:c r="B167" s="24" t="str">
        <x:v>Reaper</x:v>
      </x:c>
      <x:c r="C167" s="24" t="str">
        <x:v>SRC-129</x:v>
      </x:c>
      <x:c r="D167" s="24" t="str">
        <x:v>Final Fantasy</x:v>
      </x:c>
      <x:c r="E167" s="24" t="str">
        <x:v>Recurring cross-title pattern</x:v>
      </x:c>
      <x:c r="F167" s="24" t="str">
        <x:v>Recurring job family</x:v>
      </x:c>
      <x:c r="G167" s="24" t="str">
        <x:v>ROL-831</x:v>
      </x:c>
      <x:c r="H167" s="24" t="str">
        <x:f>IFERROR(VLOOKUP(G167,'Master Taxonomy'!$A$2:$B$1226,2,FALSE),"")</x:f>
        <x:v>Reaper</x:v>
      </x:c>
      <x:c r="I167" s="24" t="str"/>
      <x:c r="J167" s="24" t="str"/>
      <x:c r="K167" s="24" t="str">
        <x:v>Scythe-wielding dark martial job often linked to spirits or void power.</x:v>
      </x:c>
      <x:c r="L167" s="24" t="str">
        <x:v>Job-system rules, equipment, abilities, and title-specific lore.</x:v>
      </x:c>
      <x:c r="M167" s="24" t="str">
        <x:v>Meaning and mechanics are title-specific.</x:v>
      </x:c>
      <x:c r="N167" s="24" t="str">
        <x:v>Dark avatar melee role.</x:v>
      </x:c>
      <x:c r="O167" s="24" t="str">
        <x:v>Multiple primary continuities</x:v>
      </x:c>
      <x:c r="P167" s="24" t="str">
        <x:v>Secondary reference reviewed</x:v>
      </x:c>
      <x:c r="Q167" s="24" t="str">
        <x:v>Recurring job terminology across independent Final Fantasy continuities; source-level verification required per title.</x:v>
      </x:c>
      <x:c r="R167" s="84" t="str">
        <x:v>https://en.wikipedia.org/wiki/Final_Fantasy</x:v>
      </x:c>
      <x:c r="S167" s="24" t="str">
        <x:v>Seeded</x:v>
      </x:c>
    </x:row>
    <x:row r="168" ht="52" customHeight="1">
      <x:c r="A168" s="24" t="str">
        <x:v>ENT-0167</x:v>
      </x:c>
      <x:c r="B168" s="24" t="str">
        <x:v>Pictomancer</x:v>
      </x:c>
      <x:c r="C168" s="24" t="str">
        <x:v>SRC-129</x:v>
      </x:c>
      <x:c r="D168" s="24" t="str">
        <x:v>Final Fantasy</x:v>
      </x:c>
      <x:c r="E168" s="24" t="str">
        <x:v>Recurring cross-title pattern</x:v>
      </x:c>
      <x:c r="F168" s="24" t="str">
        <x:v>Recurring job family</x:v>
      </x:c>
      <x:c r="G168" s="24" t="str">
        <x:v>PWR-511</x:v>
      </x:c>
      <x:c r="H168" s="24" t="str">
        <x:f>IFERROR(VLOOKUP(G168,'Master Taxonomy'!$A$2:$B$1226,2,FALSE),"")</x:f>
        <x:v>Visual Art and Painting Magic</x:v>
      </x:c>
      <x:c r="I168" s="24" t="str"/>
      <x:c r="J168" s="24" t="str"/>
      <x:c r="K168" s="24" t="str">
        <x:v>Caster whose paintings or visual creations produce magical effects.</x:v>
      </x:c>
      <x:c r="L168" s="24" t="str">
        <x:v>Job-system rules, equipment, abilities, and title-specific lore.</x:v>
      </x:c>
      <x:c r="M168" s="24" t="str">
        <x:v>The term appears in specific continuities rather than as a universal series job.</x:v>
      </x:c>
      <x:c r="N168" s="24" t="str">
        <x:v>Art-magic caster.</x:v>
      </x:c>
      <x:c r="O168" s="24" t="str">
        <x:v>Multiple primary continuities</x:v>
      </x:c>
      <x:c r="P168" s="24" t="str">
        <x:v>Secondary reference reviewed</x:v>
      </x:c>
      <x:c r="Q168" s="24" t="str">
        <x:v>Recurring job terminology across independent Final Fantasy continuities; source-level verification required per title.</x:v>
      </x:c>
      <x:c r="R168" s="84" t="str">
        <x:v>https://en.wikipedia.org/wiki/Final_Fantasy</x:v>
      </x:c>
      <x:c r="S168" s="24" t="str">
        <x:v>Seeded</x:v>
      </x:c>
    </x:row>
    <x:row r="169" ht="52" customHeight="1">
      <x:c r="A169" s="24" t="str">
        <x:v>ENT-0168</x:v>
      </x:c>
      <x:c r="B169" s="24" t="str">
        <x:v>Calculator / Arithmetician</x:v>
      </x:c>
      <x:c r="C169" s="24" t="str">
        <x:v>SRC-129</x:v>
      </x:c>
      <x:c r="D169" s="24" t="str">
        <x:v>Final Fantasy</x:v>
      </x:c>
      <x:c r="E169" s="24" t="str">
        <x:v>Recurring cross-title pattern</x:v>
      </x:c>
      <x:c r="F169" s="24" t="str">
        <x:v>Recurring job family</x:v>
      </x:c>
      <x:c r="G169" s="24" t="str">
        <x:v>ROL-347</x:v>
      </x:c>
      <x:c r="H169" s="24" t="str">
        <x:f>IFERROR(VLOOKUP(G169,'Master Taxonomy'!$A$2:$B$1226,2,FALSE),"")</x:f>
        <x:v>Calculator and Arithmetician</x:v>
      </x:c>
      <x:c r="I169" s="24" t="str"/>
      <x:c r="J169" s="24" t="str"/>
      <x:c r="K169" s="24" t="str">
        <x:v>Technical caster applying spells through numerical targeting rules.</x:v>
      </x:c>
      <x:c r="L169" s="24" t="str">
        <x:v>Job-system rules, equipment, abilities, and title-specific lore.</x:v>
      </x:c>
      <x:c r="M169" s="24" t="str">
        <x:v>This is especially tied to tactical game mechanics.</x:v>
      </x:c>
      <x:c r="N169" s="24" t="str">
        <x:v>Mathematical meta-caster.</x:v>
      </x:c>
      <x:c r="O169" s="24" t="str">
        <x:v>Multiple primary continuities</x:v>
      </x:c>
      <x:c r="P169" s="24" t="str">
        <x:v>Secondary reference reviewed</x:v>
      </x:c>
      <x:c r="Q169" s="24" t="str">
        <x:v>Recurring job terminology across independent Final Fantasy continuities; source-level verification required per title.</x:v>
      </x:c>
      <x:c r="R169" s="84" t="str">
        <x:v>https://en.wikipedia.org/wiki/Final_Fantasy</x:v>
      </x:c>
      <x:c r="S169" s="24" t="str">
        <x:v>Seeded</x:v>
      </x:c>
    </x:row>
    <x:row r="170" ht="52" customHeight="1">
      <x:c r="A170" s="24" t="str">
        <x:v>ENT-0169</x:v>
      </x:c>
      <x:c r="B170" s="24" t="str">
        <x:v>Mime</x:v>
      </x:c>
      <x:c r="C170" s="24" t="str">
        <x:v>SRC-129</x:v>
      </x:c>
      <x:c r="D170" s="24" t="str">
        <x:v>Final Fantasy</x:v>
      </x:c>
      <x:c r="E170" s="24" t="str">
        <x:v>Recurring cross-title pattern</x:v>
      </x:c>
      <x:c r="F170" s="24" t="str">
        <x:v>Recurring job family</x:v>
      </x:c>
      <x:c r="G170" s="24" t="str">
        <x:v>ROL-820</x:v>
      </x:c>
      <x:c r="H170" s="24" t="str">
        <x:f>IFERROR(VLOOKUP(G170,'Master Taxonomy'!$A$2:$B$1226,2,FALSE),"")</x:f>
        <x:v>Mime</x:v>
      </x:c>
      <x:c r="I170" s="24" t="str"/>
      <x:c r="J170" s="24" t="str"/>
      <x:c r="K170" s="24" t="str">
        <x:v>Job that reproduces actions taken by other party members.</x:v>
      </x:c>
      <x:c r="L170" s="24" t="str">
        <x:v>Job-system rules, equipment, abilities, and title-specific lore.</x:v>
      </x:c>
      <x:c r="M170" s="24" t="str">
        <x:v>Its power depends on party composition and turn systems.</x:v>
      </x:c>
      <x:c r="N170" s="24" t="str">
        <x:v>Action-copy specialist.</x:v>
      </x:c>
      <x:c r="O170" s="24" t="str">
        <x:v>Multiple primary continuities</x:v>
      </x:c>
      <x:c r="P170" s="24" t="str">
        <x:v>Secondary reference reviewed</x:v>
      </x:c>
      <x:c r="Q170" s="24" t="str">
        <x:v>Recurring job terminology across independent Final Fantasy continuities; source-level verification required per title.</x:v>
      </x:c>
      <x:c r="R170" s="84" t="str">
        <x:v>https://en.wikipedia.org/wiki/Final_Fantasy</x:v>
      </x:c>
      <x:c r="S170" s="24" t="str">
        <x:v>Seeded</x:v>
      </x:c>
    </x:row>
    <x:row r="171" ht="52" customHeight="1">
      <x:c r="A171" s="24" t="str">
        <x:v>ENT-0170</x:v>
      </x:c>
      <x:c r="B171" s="24" t="str">
        <x:v>Freelancer / Onion Knight</x:v>
      </x:c>
      <x:c r="C171" s="24" t="str">
        <x:v>SRC-129</x:v>
      </x:c>
      <x:c r="D171" s="24" t="str">
        <x:v>Final Fantasy</x:v>
      </x:c>
      <x:c r="E171" s="24" t="str">
        <x:v>Recurring cross-title pattern</x:v>
      </x:c>
      <x:c r="F171" s="24" t="str">
        <x:v>Recurring job family</x:v>
      </x:c>
      <x:c r="G171" s="24" t="str">
        <x:v>ROL-821</x:v>
      </x:c>
      <x:c r="H171" s="24" t="str">
        <x:f>IFERROR(VLOOKUP(G171,'Master Taxonomy'!$A$2:$B$1226,2,FALSE),"")</x:f>
        <x:v>Freelancer and Job Generalist</x:v>
      </x:c>
      <x:c r="I171" s="24" t="str">
        <x:v>MEC-302</x:v>
      </x:c>
      <x:c r="J171" s="24" t="str">
        <x:v>Class Change or Job System</x:v>
      </x:c>
      <x:c r="K171" s="24" t="str">
        <x:v>Generalist or base job able to inherit abilities from other jobs.</x:v>
      </x:c>
      <x:c r="L171" s="24" t="str">
        <x:v>Job-system rules, equipment, abilities, and title-specific lore.</x:v>
      </x:c>
      <x:c r="M171" s="24" t="str">
        <x:v>Names and progression logic vary by title.</x:v>
      </x:c>
      <x:c r="N171" s="24" t="str">
        <x:v>Job-system meta-generalist.</x:v>
      </x:c>
      <x:c r="O171" s="24" t="str">
        <x:v>Multiple primary continuities</x:v>
      </x:c>
      <x:c r="P171" s="24" t="str">
        <x:v>Secondary reference reviewed</x:v>
      </x:c>
      <x:c r="Q171" s="24" t="str">
        <x:v>Recurring job terminology across independent Final Fantasy continuities; source-level verification required per title.</x:v>
      </x:c>
      <x:c r="R171" s="84" t="str">
        <x:v>https://en.wikipedia.org/wiki/Final_Fantasy</x:v>
      </x:c>
      <x:c r="S171" s="24" t="str">
        <x:v>Seeded</x:v>
      </x:c>
    </x:row>
    <x:row r="172" ht="52" customHeight="1">
      <x:c r="A172" s="24" t="str">
        <x:v>ENT-0171</x:v>
      </x:c>
      <x:c r="B172" s="24" t="str">
        <x:v>Gunbreaker</x:v>
      </x:c>
      <x:c r="C172" s="24" t="str">
        <x:v>SRC-129</x:v>
      </x:c>
      <x:c r="D172" s="24" t="str">
        <x:v>Final Fantasy</x:v>
      </x:c>
      <x:c r="E172" s="24" t="str">
        <x:v>Recurring cross-title pattern</x:v>
      </x:c>
      <x:c r="F172" s="24" t="str">
        <x:v>Recurring job family</x:v>
      </x:c>
      <x:c r="G172" s="24" t="str">
        <x:v>ROL-834</x:v>
      </x:c>
      <x:c r="H172" s="24" t="str">
        <x:f>IFERROR(VLOOKUP(G172,'Master Taxonomy'!$A$2:$B$1226,2,FALSE),"")</x:f>
        <x:v>Gunbreaker and Explosive Blade Knight</x:v>
      </x:c>
      <x:c r="I172" s="24" t="str"/>
      <x:c r="J172" s="24" t="str"/>
      <x:c r="K172" s="24" t="str">
        <x:v>Blade-and-cartridge martial role using explosive or aetheric weapon techniques.</x:v>
      </x:c>
      <x:c r="L172" s="24" t="str">
        <x:v>Job-system rules, equipment, abilities, and title-specific lore.</x:v>
      </x:c>
      <x:c r="M172" s="24" t="str">
        <x:v>The name does not imply a person who breaks guns.</x:v>
      </x:c>
      <x:c r="N172" s="24" t="str">
        <x:v>Magitech tank or explosive spellblade.</x:v>
      </x:c>
      <x:c r="O172" s="24" t="str">
        <x:v>Multiple primary continuities</x:v>
      </x:c>
      <x:c r="P172" s="24" t="str">
        <x:v>Secondary reference reviewed</x:v>
      </x:c>
      <x:c r="Q172" s="24" t="str">
        <x:v>Recurring job terminology across independent Final Fantasy continuities; source-level verification required per title.</x:v>
      </x:c>
      <x:c r="R172" s="84" t="str">
        <x:v>https://en.wikipedia.org/wiki/Final_Fantasy</x:v>
      </x:c>
      <x:c r="S172" s="24" t="str">
        <x:v>Seeded</x:v>
      </x:c>
    </x:row>
    <x:row r="173" ht="52" customHeight="1">
      <x:c r="A173" s="24" t="str">
        <x:v>ENT-0172</x:v>
      </x:c>
      <x:c r="B173" s="24" t="str">
        <x:v>Hyur</x:v>
      </x:c>
      <x:c r="C173" s="24" t="str">
        <x:v>SRC-131</x:v>
      </x:c>
      <x:c r="D173" s="24" t="str">
        <x:v>Final Fantasy XIV</x:v>
      </x:c>
      <x:c r="E173" s="24" t="str">
        <x:v>Current game continuity</x:v>
      </x:c>
      <x:c r="F173" s="24" t="str">
        <x:v>Playable race</x:v>
      </x:c>
      <x:c r="G173" s="24" t="str">
        <x:v>PPL-101</x:v>
      </x:c>
      <x:c r="H173" s="24" t="str">
        <x:f>IFERROR(VLOOKUP(G173,'Master Taxonomy'!$A$2:$B$1226,2,FALSE),"")</x:f>
        <x:v>Human and Near-Human Peoples</x:v>
      </x:c>
      <x:c r="I173" s="24" t="str"/>
      <x:c r="J173" s="24" t="str"/>
      <x:c r="K173" s="24" t="str">
        <x:v>A widespread human people divided into clans and many cultures.</x:v>
      </x:c>
      <x:c r="L173" s="24" t="str">
        <x:v>Natural ancestry and clan/cultural variation.</x:v>
      </x:c>
      <x:c r="M173" s="24" t="str">
        <x:v>Race and clan are separate from nationality and job.</x:v>
      </x:c>
      <x:c r="N173" s="24" t="str">
        <x:v>Playable human ancestry.</x:v>
      </x:c>
      <x:c r="O173" s="24" t="str">
        <x:v>Primary canon</x:v>
      </x:c>
      <x:c r="P173" s="24" t="str">
        <x:v>Official reference reviewed</x:v>
      </x:c>
      <x:c r="Q173" s="24" t="str">
        <x:v>Official Final Fantasy XIV race/clan pages and battle job guide.</x:v>
      </x:c>
      <x:c r="R173" s="84" t="str">
        <x:v>https://na.finalfantasyxiv.com/jobguide/battle/</x:v>
      </x:c>
      <x:c r="S173" s="24" t="str">
        <x:v>Seeded</x:v>
      </x:c>
    </x:row>
    <x:row r="174" ht="52" customHeight="1">
      <x:c r="A174" s="24" t="str">
        <x:v>ENT-0173</x:v>
      </x:c>
      <x:c r="B174" s="24" t="str">
        <x:v>Elezen</x:v>
      </x:c>
      <x:c r="C174" s="24" t="str">
        <x:v>SRC-131</x:v>
      </x:c>
      <x:c r="D174" s="24" t="str">
        <x:v>Final Fantasy XIV</x:v>
      </x:c>
      <x:c r="E174" s="24" t="str">
        <x:v>Current game continuity</x:v>
      </x:c>
      <x:c r="F174" s="24" t="str">
        <x:v>Playable race</x:v>
      </x:c>
      <x:c r="G174" s="24" t="str">
        <x:v>PPL-102</x:v>
      </x:c>
      <x:c r="H174" s="24" t="str">
        <x:f>IFERROR(VLOOKUP(G174,'Master Taxonomy'!$A$2:$B$1226,2,FALSE),"")</x:f>
        <x:v>Elf-Derived Peoples</x:v>
      </x:c>
      <x:c r="I174" s="24" t="str"/>
      <x:c r="J174" s="24" t="str"/>
      <x:c r="K174" s="24" t="str">
        <x:v>A tall, long-lived humanoid people with multiple clans.</x:v>
      </x:c>
      <x:c r="L174" s="24" t="str">
        <x:v>Natural ancestry, long life, and clan history.</x:v>
      </x:c>
      <x:c r="M174" s="24" t="str">
        <x:v>Elf-derived visually and functionally, but with setting-specific history.</x:v>
      </x:c>
      <x:c r="N174" s="24" t="str">
        <x:v>Playable elf-like ancestry.</x:v>
      </x:c>
      <x:c r="O174" s="24" t="str">
        <x:v>Primary canon</x:v>
      </x:c>
      <x:c r="P174" s="24" t="str">
        <x:v>Official reference reviewed</x:v>
      </x:c>
      <x:c r="Q174" s="24" t="str">
        <x:v>Official Final Fantasy XIV race/clan pages and battle job guide.</x:v>
      </x:c>
      <x:c r="R174" s="84" t="str">
        <x:v>https://na.finalfantasyxiv.com/jobguide/battle/</x:v>
      </x:c>
      <x:c r="S174" s="24" t="str">
        <x:v>Seeded</x:v>
      </x:c>
    </x:row>
    <x:row r="175" ht="52" customHeight="1">
      <x:c r="A175" s="24" t="str">
        <x:v>ENT-0174</x:v>
      </x:c>
      <x:c r="B175" s="24" t="str">
        <x:v>Lalafell</x:v>
      </x:c>
      <x:c r="C175" s="24" t="str">
        <x:v>SRC-131</x:v>
      </x:c>
      <x:c r="D175" s="24" t="str">
        <x:v>Final Fantasy XIV</x:v>
      </x:c>
      <x:c r="E175" s="24" t="str">
        <x:v>Current game continuity</x:v>
      </x:c>
      <x:c r="F175" s="24" t="str">
        <x:v>Playable race</x:v>
      </x:c>
      <x:c r="G175" s="24" t="str">
        <x:v>PPL-104</x:v>
      </x:c>
      <x:c r="H175" s="24" t="str">
        <x:f>IFERROR(VLOOKUP(G175,'Master Taxonomy'!$A$2:$B$1226,2,FALSE),"")</x:f>
        <x:v>Halfling and Smallfolk Peoples</x:v>
      </x:c>
      <x:c r="I175" s="24" t="str"/>
      <x:c r="J175" s="24" t="str"/>
      <x:c r="K175" s="24" t="str">
        <x:v>A small-statured people with distinct clans and wide social roles.</x:v>
      </x:c>
      <x:c r="L175" s="24" t="str">
        <x:v>Natural ancestry and clan cultures.</x:v>
      </x:c>
      <x:c r="M175" s="24" t="str">
        <x:v>Small stature does not define profession or morality.</x:v>
      </x:c>
      <x:c r="N175" s="24" t="str">
        <x:v>Playable smallfolk ancestry.</x:v>
      </x:c>
      <x:c r="O175" s="24" t="str">
        <x:v>Primary canon</x:v>
      </x:c>
      <x:c r="P175" s="24" t="str">
        <x:v>Official reference reviewed</x:v>
      </x:c>
      <x:c r="Q175" s="24" t="str">
        <x:v>Official Final Fantasy XIV race/clan pages and battle job guide.</x:v>
      </x:c>
      <x:c r="R175" s="84" t="str">
        <x:v>https://na.finalfantasyxiv.com/jobguide/battle/</x:v>
      </x:c>
      <x:c r="S175" s="24" t="str">
        <x:v>Seeded</x:v>
      </x:c>
    </x:row>
    <x:row r="176" ht="52" customHeight="1">
      <x:c r="A176" s="24" t="str">
        <x:v>ENT-0175</x:v>
      </x:c>
      <x:c r="B176" s="24" t="str">
        <x:v>Miqo'te</x:v>
      </x:c>
      <x:c r="C176" s="24" t="str">
        <x:v>SRC-131</x:v>
      </x:c>
      <x:c r="D176" s="24" t="str">
        <x:v>Final Fantasy XIV</x:v>
      </x:c>
      <x:c r="E176" s="24" t="str">
        <x:v>Current game continuity</x:v>
      </x:c>
      <x:c r="F176" s="24" t="str">
        <x:v>Playable race</x:v>
      </x:c>
      <x:c r="G176" s="24" t="str">
        <x:v>PPL-121</x:v>
      </x:c>
      <x:c r="H176" s="24" t="str">
        <x:f>IFERROR(VLOOKUP(G176,'Master Taxonomy'!$A$2:$B$1226,2,FALSE),"")</x:f>
        <x:v>Feline Beastfolk</x:v>
      </x:c>
      <x:c r="I176" s="24" t="str"/>
      <x:c r="J176" s="24" t="str"/>
      <x:c r="K176" s="24" t="str">
        <x:v>Feline-featured humanoid people divided into culturally distinct clans.</x:v>
      </x:c>
      <x:c r="L176" s="24" t="str">
        <x:v>Natural ancestry and clan histories.</x:v>
      </x:c>
      <x:c r="M176" s="24" t="str">
        <x:v>Not a single catfolk culture.</x:v>
      </x:c>
      <x:c r="N176" s="24" t="str">
        <x:v>Playable feline humanoid ancestry.</x:v>
      </x:c>
      <x:c r="O176" s="24" t="str">
        <x:v>Primary canon</x:v>
      </x:c>
      <x:c r="P176" s="24" t="str">
        <x:v>Official reference reviewed</x:v>
      </x:c>
      <x:c r="Q176" s="24" t="str">
        <x:v>Official Final Fantasy XIV race/clan pages and battle job guide.</x:v>
      </x:c>
      <x:c r="R176" s="84" t="str">
        <x:v>https://na.finalfantasyxiv.com/jobguide/battle/</x:v>
      </x:c>
      <x:c r="S176" s="24" t="str">
        <x:v>Seeded</x:v>
      </x:c>
    </x:row>
    <x:row r="177" ht="52" customHeight="1">
      <x:c r="A177" s="24" t="str">
        <x:v>ENT-0176</x:v>
      </x:c>
      <x:c r="B177" s="24" t="str">
        <x:v>Roegadyn</x:v>
      </x:c>
      <x:c r="C177" s="24" t="str">
        <x:v>SRC-131</x:v>
      </x:c>
      <x:c r="D177" s="24" t="str">
        <x:v>Final Fantasy XIV</x:v>
      </x:c>
      <x:c r="E177" s="24" t="str">
        <x:v>Current game continuity</x:v>
      </x:c>
      <x:c r="F177" s="24" t="str">
        <x:v>Playable race</x:v>
      </x:c>
      <x:c r="G177" s="24" t="str">
        <x:v>PPL-108</x:v>
      </x:c>
      <x:c r="H177" s="24" t="str">
        <x:f>IFERROR(VLOOKUP(G177,'Master Taxonomy'!$A$2:$B$1226,2,FALSE),"")</x:f>
        <x:v>Giantkin Peoples</x:v>
      </x:c>
      <x:c r="I177" s="24" t="str"/>
      <x:c r="J177" s="24" t="str"/>
      <x:c r="K177" s="24" t="str">
        <x:v>Large, robust humanoid people with distinct clan histories.</x:v>
      </x:c>
      <x:c r="L177" s="24" t="str">
        <x:v>Natural ancestry and regional culture.</x:v>
      </x:c>
      <x:c r="M177" s="24" t="str">
        <x:v>Giantkin is a comparative body-plan label, not a claim that they are giants.</x:v>
      </x:c>
      <x:c r="N177" s="24" t="str">
        <x:v>Large humanoid ancestry.</x:v>
      </x:c>
      <x:c r="O177" s="24" t="str">
        <x:v>Primary canon</x:v>
      </x:c>
      <x:c r="P177" s="24" t="str">
        <x:v>Official reference reviewed</x:v>
      </x:c>
      <x:c r="Q177" s="24" t="str">
        <x:v>Official Final Fantasy XIV race/clan pages and battle job guide.</x:v>
      </x:c>
      <x:c r="R177" s="84" t="str">
        <x:v>https://na.finalfantasyxiv.com/jobguide/battle/</x:v>
      </x:c>
      <x:c r="S177" s="24" t="str">
        <x:v>Seeded</x:v>
      </x:c>
    </x:row>
    <x:row r="178" ht="52" customHeight="1">
      <x:c r="A178" s="24" t="str">
        <x:v>ENT-0177</x:v>
      </x:c>
      <x:c r="B178" s="24" t="str">
        <x:v>Au Ra</x:v>
      </x:c>
      <x:c r="C178" s="24" t="str">
        <x:v>SRC-131</x:v>
      </x:c>
      <x:c r="D178" s="24" t="str">
        <x:v>Final Fantasy XIV</x:v>
      </x:c>
      <x:c r="E178" s="24" t="str">
        <x:v>Current game continuity</x:v>
      </x:c>
      <x:c r="F178" s="24" t="str">
        <x:v>Playable race</x:v>
      </x:c>
      <x:c r="G178" s="24" t="str">
        <x:v>PPL-114</x:v>
      </x:c>
      <x:c r="H178" s="24" t="str">
        <x:f>IFERROR(VLOOKUP(G178,'Master Taxonomy'!$A$2:$B$1226,2,FALSE),"")</x:f>
        <x:v>Draconic Humanoid Peoples</x:v>
      </x:c>
      <x:c r="I178" s="24" t="str"/>
      <x:c r="J178" s="24" t="str"/>
      <x:c r="K178" s="24" t="str">
        <x:v>Scaled and horned humanoid people divided into clans.</x:v>
      </x:c>
      <x:c r="L178" s="24" t="str">
        <x:v>Natural ancestry, sensory horns, scales, and clan culture.</x:v>
      </x:c>
      <x:c r="M178" s="24" t="str">
        <x:v>Draconic appearance does not make them dragons or dragon descendants by default.</x:v>
      </x:c>
      <x:c r="N178" s="24" t="str">
        <x:v>Scaled humanoid ancestry.</x:v>
      </x:c>
      <x:c r="O178" s="24" t="str">
        <x:v>Primary canon</x:v>
      </x:c>
      <x:c r="P178" s="24" t="str">
        <x:v>Official reference reviewed</x:v>
      </x:c>
      <x:c r="Q178" s="24" t="str">
        <x:v>Official Final Fantasy XIV race/clan pages and battle job guide.</x:v>
      </x:c>
      <x:c r="R178" s="84" t="str">
        <x:v>https://na.finalfantasyxiv.com/jobguide/battle/</x:v>
      </x:c>
      <x:c r="S178" s="24" t="str">
        <x:v>Seeded</x:v>
      </x:c>
    </x:row>
    <x:row r="179" ht="52" customHeight="1">
      <x:c r="A179" s="24" t="str">
        <x:v>ENT-0178</x:v>
      </x:c>
      <x:c r="B179" s="24" t="str">
        <x:v>Hrothgar</x:v>
      </x:c>
      <x:c r="C179" s="24" t="str">
        <x:v>SRC-131</x:v>
      </x:c>
      <x:c r="D179" s="24" t="str">
        <x:v>Final Fantasy XIV</x:v>
      </x:c>
      <x:c r="E179" s="24" t="str">
        <x:v>Current game continuity</x:v>
      </x:c>
      <x:c r="F179" s="24" t="str">
        <x:v>Playable race</x:v>
      </x:c>
      <x:c r="G179" s="24" t="str">
        <x:v>PPL-121</x:v>
      </x:c>
      <x:c r="H179" s="24" t="str">
        <x:f>IFERROR(VLOOKUP(G179,'Master Taxonomy'!$A$2:$B$1226,2,FALSE),"")</x:f>
        <x:v>Feline Beastfolk</x:v>
      </x:c>
      <x:c r="I179" s="24" t="str"/>
      <x:c r="J179" s="24" t="str"/>
      <x:c r="K179" s="24" t="str">
        <x:v>Large feline-featured humanoid people with regional and clan identities.</x:v>
      </x:c>
      <x:c r="L179" s="24" t="str">
        <x:v>Natural ancestry and culture.</x:v>
      </x:c>
      <x:c r="M179" s="24" t="str">
        <x:v>Distinct from Miqo'te despite a shared broad feline family.</x:v>
      </x:c>
      <x:c r="N179" s="24" t="str">
        <x:v>Large feline humanoid ancestry.</x:v>
      </x:c>
      <x:c r="O179" s="24" t="str">
        <x:v>Primary canon</x:v>
      </x:c>
      <x:c r="P179" s="24" t="str">
        <x:v>Official reference reviewed</x:v>
      </x:c>
      <x:c r="Q179" s="24" t="str">
        <x:v>Official Final Fantasy XIV race/clan pages and battle job guide.</x:v>
      </x:c>
      <x:c r="R179" s="84" t="str">
        <x:v>https://na.finalfantasyxiv.com/jobguide/battle/</x:v>
      </x:c>
      <x:c r="S179" s="24" t="str">
        <x:v>Seeded</x:v>
      </x:c>
    </x:row>
    <x:row r="180" ht="52" customHeight="1">
      <x:c r="A180" s="24" t="str">
        <x:v>ENT-0179</x:v>
      </x:c>
      <x:c r="B180" s="24" t="str">
        <x:v>Viera</x:v>
      </x:c>
      <x:c r="C180" s="24" t="str">
        <x:v>SRC-131</x:v>
      </x:c>
      <x:c r="D180" s="24" t="str">
        <x:v>Final Fantasy XIV</x:v>
      </x:c>
      <x:c r="E180" s="24" t="str">
        <x:v>Current game continuity</x:v>
      </x:c>
      <x:c r="F180" s="24" t="str">
        <x:v>Playable race</x:v>
      </x:c>
      <x:c r="G180" s="24" t="str">
        <x:v>PPL-126</x:v>
      </x:c>
      <x:c r="H180" s="24" t="str">
        <x:f>IFERROR(VLOOKUP(G180,'Master Taxonomy'!$A$2:$B$1226,2,FALSE),"")</x:f>
        <x:v>Rodent and Lagomorph Peoples</x:v>
      </x:c>
      <x:c r="I180" s="24" t="str"/>
      <x:c r="J180" s="24" t="str"/>
      <x:c r="K180" s="24" t="str">
        <x:v>Long-lived rabbit-featured humanoid people with strong homeland traditions.</x:v>
      </x:c>
      <x:c r="L180" s="24" t="str">
        <x:v>Natural ancestry, longevity, senses, and culture.</x:v>
      </x:c>
      <x:c r="M180" s="24" t="str">
        <x:v>Lagomorph is morphological shorthand; their culture is source-specific.</x:v>
      </x:c>
      <x:c r="N180" s="24" t="str">
        <x:v>Rabbit-featured long-lived people.</x:v>
      </x:c>
      <x:c r="O180" s="24" t="str">
        <x:v>Primary canon</x:v>
      </x:c>
      <x:c r="P180" s="24" t="str">
        <x:v>Official reference reviewed</x:v>
      </x:c>
      <x:c r="Q180" s="24" t="str">
        <x:v>Official Final Fantasy XIV race/clan pages and battle job guide.</x:v>
      </x:c>
      <x:c r="R180" s="84" t="str">
        <x:v>https://na.finalfantasyxiv.com/jobguide/battle/</x:v>
      </x:c>
      <x:c r="S180" s="24" t="str">
        <x:v>Seeded</x:v>
      </x:c>
    </x:row>
    <x:row r="181" ht="52" customHeight="1">
      <x:c r="A181" s="24" t="str">
        <x:v>ENT-0180</x:v>
      </x:c>
      <x:c r="B181" s="24" t="str">
        <x:v>Class-to-job progression</x:v>
      </x:c>
      <x:c r="C181" s="24" t="str">
        <x:v>SRC-131</x:v>
      </x:c>
      <x:c r="D181" s="24" t="str">
        <x:v>Final Fantasy XIV</x:v>
      </x:c>
      <x:c r="E181" s="24" t="str">
        <x:v>Current game continuity</x:v>
      </x:c>
      <x:c r="F181" s="24" t="str">
        <x:v>Mechanical progression structure</x:v>
      </x:c>
      <x:c r="G181" s="24" t="str">
        <x:v>MEC-302</x:v>
      </x:c>
      <x:c r="H181" s="24" t="str">
        <x:f>IFERROR(VLOOKUP(G181,'Master Taxonomy'!$A$2:$B$1226,2,FALSE),"")</x:f>
        <x:v>Class Change or Job System</x:v>
      </x:c>
      <x:c r="I181" s="24" t="str"/>
      <x:c r="J181" s="24" t="str"/>
      <x:c r="K181" s="24" t="str">
        <x:v>A system in which early combat classes lead into specialized jobs, while later jobs begin directly.</x:v>
      </x:c>
      <x:c r="L181" s="24" t="str">
        <x:v>Level progression, quests, soul crystals, and role design.</x:v>
      </x:c>
      <x:c r="M181" s="24" t="str">
        <x:v>The fiction and mechanics of jobs are not identical across all Final Fantasy titles.</x:v>
      </x:c>
      <x:c r="N181" s="24" t="str">
        <x:v>Formal job-unlock progression.</x:v>
      </x:c>
      <x:c r="O181" s="24" t="str">
        <x:v>Primary canon</x:v>
      </x:c>
      <x:c r="P181" s="24" t="str">
        <x:v>Official reference reviewed</x:v>
      </x:c>
      <x:c r="Q181" s="24" t="str">
        <x:v>Official Final Fantasy XIV race/clan pages and battle job guide.</x:v>
      </x:c>
      <x:c r="R181" s="84" t="str">
        <x:v>https://na.finalfantasyxiv.com/jobguide/battle/</x:v>
      </x:c>
      <x:c r="S181" s="24" t="str">
        <x:v>Seeded</x:v>
      </x:c>
    </x:row>
    <x:row r="182" ht="52" customHeight="1">
      <x:c r="A182" s="24" t="str">
        <x:v>ENT-0181</x:v>
      </x:c>
      <x:c r="B182" s="24" t="str">
        <x:v>Tank role</x:v>
      </x:c>
      <x:c r="C182" s="24" t="str">
        <x:v>SRC-131</x:v>
      </x:c>
      <x:c r="D182" s="24" t="str">
        <x:v>Final Fantasy XIV</x:v>
      </x:c>
      <x:c r="E182" s="24" t="str">
        <x:v>Current game continuity</x:v>
      </x:c>
      <x:c r="F182" s="24" t="str">
        <x:v>Combat role</x:v>
      </x:c>
      <x:c r="G182" s="24" t="str">
        <x:v>MEC-101</x:v>
      </x:c>
      <x:c r="H182" s="24" t="str">
        <x:f>IFERROR(VLOOKUP(G182,'Master Taxonomy'!$A$2:$B$1226,2,FALSE),"")</x:f>
        <x:v>Tank</x:v>
      </x:c>
      <x:c r="I182" s="24" t="str">
        <x:v>MEC-102</x:v>
      </x:c>
      <x:c r="J182" s="24" t="str">
        <x:v>Main Tank</x:v>
      </x:c>
      <x:c r="K182" s="24" t="str">
        <x:v>One of the game's formal party roles, responsible for enemy attention and mitigation.</x:v>
      </x:c>
      <x:c r="L182" s="24" t="str">
        <x:v>Enmity, defensive cooldowns, positioning, and encounter design.</x:v>
      </x:c>
      <x:c r="M182" s="24" t="str">
        <x:v>A role category spanning several different job fantasies.</x:v>
      </x:c>
      <x:c r="N182" s="24" t="str">
        <x:v>MMO defender role.</x:v>
      </x:c>
      <x:c r="O182" s="24" t="str">
        <x:v>Primary canon</x:v>
      </x:c>
      <x:c r="P182" s="24" t="str">
        <x:v>Official reference reviewed</x:v>
      </x:c>
      <x:c r="Q182" s="24" t="str">
        <x:v>Official Final Fantasy XIV race/clan pages and battle job guide.</x:v>
      </x:c>
      <x:c r="R182" s="84" t="str">
        <x:v>https://na.finalfantasyxiv.com/jobguide/battle/</x:v>
      </x:c>
      <x:c r="S182" s="24" t="str">
        <x:v>Seeded</x:v>
      </x:c>
    </x:row>
    <x:row r="183" ht="52" customHeight="1">
      <x:c r="A183" s="24" t="str">
        <x:v>ENT-0182</x:v>
      </x:c>
      <x:c r="B183" s="24" t="str">
        <x:v>Healer role</x:v>
      </x:c>
      <x:c r="C183" s="24" t="str">
        <x:v>SRC-131</x:v>
      </x:c>
      <x:c r="D183" s="24" t="str">
        <x:v>Final Fantasy XIV</x:v>
      </x:c>
      <x:c r="E183" s="24" t="str">
        <x:v>Current game continuity</x:v>
      </x:c>
      <x:c r="F183" s="24" t="str">
        <x:v>Combat role</x:v>
      </x:c>
      <x:c r="G183" s="24" t="str">
        <x:v>MEC-112</x:v>
      </x:c>
      <x:c r="H183" s="24" t="str">
        <x:f>IFERROR(VLOOKUP(G183,'Master Taxonomy'!$A$2:$B$1226,2,FALSE),"")</x:f>
        <x:v>Healer</x:v>
      </x:c>
      <x:c r="I183" s="24" t="str">
        <x:v>MEC-115; MEC-114</x:v>
      </x:c>
      <x:c r="J183" s="24" t="str">
        <x:v>Barrier or Shield Healer; Sustain Healer</x:v>
      </x:c>
      <x:c r="K183" s="24" t="str">
        <x:v>Formal party role responsible for restoration, prevention, and damage contribution.</x:v>
      </x:c>
      <x:c r="L183" s="24" t="str">
        <x:v>Healing kits, barriers, resources, and encounter design.</x:v>
      </x:c>
      <x:c r="M183" s="24" t="str">
        <x:v>Individual healer jobs divide into mechanical subfamilies.</x:v>
      </x:c>
      <x:c r="N183" s="24" t="str">
        <x:v>MMO recovery/support role.</x:v>
      </x:c>
      <x:c r="O183" s="24" t="str">
        <x:v>Primary canon</x:v>
      </x:c>
      <x:c r="P183" s="24" t="str">
        <x:v>Official reference reviewed</x:v>
      </x:c>
      <x:c r="Q183" s="24" t="str">
        <x:v>Official Final Fantasy XIV race/clan pages and battle job guide.</x:v>
      </x:c>
      <x:c r="R183" s="84" t="str">
        <x:v>https://na.finalfantasyxiv.com/jobguide/battle/</x:v>
      </x:c>
      <x:c r="S183" s="24" t="str">
        <x:v>Seeded</x:v>
      </x:c>
    </x:row>
    <x:row r="184" ht="52" customHeight="1">
      <x:c r="A184" s="24" t="str">
        <x:v>ENT-0183</x:v>
      </x:c>
      <x:c r="B184" s="24" t="str">
        <x:v>Melee DPS role</x:v>
      </x:c>
      <x:c r="C184" s="24" t="str">
        <x:v>SRC-131</x:v>
      </x:c>
      <x:c r="D184" s="24" t="str">
        <x:v>Final Fantasy XIV</x:v>
      </x:c>
      <x:c r="E184" s="24" t="str">
        <x:v>Current game continuity</x:v>
      </x:c>
      <x:c r="F184" s="24" t="str">
        <x:v>Combat role</x:v>
      </x:c>
      <x:c r="G184" s="24" t="str">
        <x:v>MEC-105</x:v>
      </x:c>
      <x:c r="H184" s="24" t="str">
        <x:f>IFERROR(VLOOKUP(G184,'Master Taxonomy'!$A$2:$B$1226,2,FALSE),"")</x:f>
        <x:v>Melee Striker</x:v>
      </x:c>
      <x:c r="I184" s="24" t="str"/>
      <x:c r="J184" s="24" t="str"/>
      <x:c r="K184" s="24" t="str">
        <x:v>Formal damage role emphasizing close-range rotations and positional or uptime management.</x:v>
      </x:c>
      <x:c r="L184" s="24" t="str">
        <x:v>Weapon rotations, resources, mobility, and encounter positioning.</x:v>
      </x:c>
      <x:c r="M184" s="24" t="str">
        <x:v>Role identity is mechanical and cuts across distinct in-world traditions.</x:v>
      </x:c>
      <x:c r="N184" s="24" t="str">
        <x:v>MMO melee damage role.</x:v>
      </x:c>
      <x:c r="O184" s="24" t="str">
        <x:v>Primary canon</x:v>
      </x:c>
      <x:c r="P184" s="24" t="str">
        <x:v>Official reference reviewed</x:v>
      </x:c>
      <x:c r="Q184" s="24" t="str">
        <x:v>Official Final Fantasy XIV race/clan pages and battle job guide.</x:v>
      </x:c>
      <x:c r="R184" s="84" t="str">
        <x:v>https://na.finalfantasyxiv.com/jobguide/battle/</x:v>
      </x:c>
      <x:c r="S184" s="24" t="str">
        <x:v>Seeded</x:v>
      </x:c>
    </x:row>
    <x:row r="185" ht="52" customHeight="1">
      <x:c r="A185" s="24" t="str">
        <x:v>ENT-0184</x:v>
      </x:c>
      <x:c r="B185" s="24" t="str">
        <x:v>Physical ranged DPS role</x:v>
      </x:c>
      <x:c r="C185" s="24" t="str">
        <x:v>SRC-131</x:v>
      </x:c>
      <x:c r="D185" s="24" t="str">
        <x:v>Final Fantasy XIV</x:v>
      </x:c>
      <x:c r="E185" s="24" t="str">
        <x:v>Current game continuity</x:v>
      </x:c>
      <x:c r="F185" s="24" t="str">
        <x:v>Combat role</x:v>
      </x:c>
      <x:c r="G185" s="24" t="str">
        <x:v>MEC-106</x:v>
      </x:c>
      <x:c r="H185" s="24" t="str">
        <x:f>IFERROR(VLOOKUP(G185,'Master Taxonomy'!$A$2:$B$1226,2,FALSE),"")</x:f>
        <x:v>Ranged Striker</x:v>
      </x:c>
      <x:c r="I185" s="24" t="str"/>
      <x:c r="J185" s="24" t="str"/>
      <x:c r="K185" s="24" t="str">
        <x:v>Formal damage role combining mobility, ranged attacks, and party utility.</x:v>
      </x:c>
      <x:c r="L185" s="24" t="str">
        <x:v>Ranged weapons, songs, dances, devices, and support effects.</x:v>
      </x:c>
      <x:c r="M185" s="24" t="str">
        <x:v>Bard, Machinist, and Dancer share a role but not a fictional profession.</x:v>
      </x:c>
      <x:c r="N185" s="24" t="str">
        <x:v>Mobile ranged support-damage role.</x:v>
      </x:c>
      <x:c r="O185" s="24" t="str">
        <x:v>Primary canon</x:v>
      </x:c>
      <x:c r="P185" s="24" t="str">
        <x:v>Official reference reviewed</x:v>
      </x:c>
      <x:c r="Q185" s="24" t="str">
        <x:v>Official Final Fantasy XIV race/clan pages and battle job guide.</x:v>
      </x:c>
      <x:c r="R185" s="84" t="str">
        <x:v>https://na.finalfantasyxiv.com/jobguide/battle/</x:v>
      </x:c>
      <x:c r="S185" s="24" t="str">
        <x:v>Seeded</x:v>
      </x:c>
    </x:row>
    <x:row r="186" ht="52" customHeight="1">
      <x:c r="A186" s="24" t="str">
        <x:v>ENT-0185</x:v>
      </x:c>
      <x:c r="B186" s="24" t="str">
        <x:v>Magical ranged DPS role</x:v>
      </x:c>
      <x:c r="C186" s="24" t="str">
        <x:v>SRC-131</x:v>
      </x:c>
      <x:c r="D186" s="24" t="str">
        <x:v>Final Fantasy XIV</x:v>
      </x:c>
      <x:c r="E186" s="24" t="str">
        <x:v>Current game continuity</x:v>
      </x:c>
      <x:c r="F186" s="24" t="str">
        <x:v>Combat role</x:v>
      </x:c>
      <x:c r="G186" s="24" t="str">
        <x:v>MEC-106</x:v>
      </x:c>
      <x:c r="H186" s="24" t="str">
        <x:f>IFERROR(VLOOKUP(G186,'Master Taxonomy'!$A$2:$B$1226,2,FALSE),"")</x:f>
        <x:v>Ranged Striker</x:v>
      </x:c>
      <x:c r="I186" s="24" t="str">
        <x:v>MEC-107</x:v>
      </x:c>
      <x:c r="J186" s="24" t="str">
        <x:v>Burst Damage</x:v>
      </x:c>
      <x:c r="K186" s="24" t="str">
        <x:v>Formal damage role for spell-focused jobs with varied mobility and resource patterns.</x:v>
      </x:c>
      <x:c r="L186" s="24" t="str">
        <x:v>Casting, elemental or summon systems, and encounter timing.</x:v>
      </x:c>
      <x:c r="M186" s="24" t="str">
        <x:v>Black Mage, Summoner, Red Mage, and Pictomancer are mechanically and fictionally distinct.</x:v>
      </x:c>
      <x:c r="N186" s="24" t="str">
        <x:v>MMO caster-damage role.</x:v>
      </x:c>
      <x:c r="O186" s="24" t="str">
        <x:v>Primary canon</x:v>
      </x:c>
      <x:c r="P186" s="24" t="str">
        <x:v>Official reference reviewed</x:v>
      </x:c>
      <x:c r="Q186" s="24" t="str">
        <x:v>Official Final Fantasy XIV race/clan pages and battle job guide.</x:v>
      </x:c>
      <x:c r="R186" s="84" t="str">
        <x:v>https://na.finalfantasyxiv.com/jobguide/battle/</x:v>
      </x:c>
      <x:c r="S186" s="24" t="str">
        <x:v>Seeded</x:v>
      </x:c>
    </x:row>
    <x:row r="187" ht="52" customHeight="1">
      <x:c r="A187" s="24" t="str">
        <x:v>ENT-0186</x:v>
      </x:c>
      <x:c r="B187" s="24" t="str">
        <x:v>Blue Mage limited job</x:v>
      </x:c>
      <x:c r="C187" s="24" t="str">
        <x:v>SRC-131</x:v>
      </x:c>
      <x:c r="D187" s="24" t="str">
        <x:v>Final Fantasy XIV</x:v>
      </x:c>
      <x:c r="E187" s="24" t="str">
        <x:v>Current game continuity</x:v>
      </x:c>
      <x:c r="F187" s="24" t="str">
        <x:v>Limited job</x:v>
      </x:c>
      <x:c r="G187" s="24" t="str">
        <x:v>ROL-341</x:v>
      </x:c>
      <x:c r="H187" s="24" t="str">
        <x:f>IFERROR(VLOOKUP(G187,'Master Taxonomy'!$A$2:$B$1226,2,FALSE),"")</x:f>
        <x:v>Blue Mage and Mimic Caster</x:v>
      </x:c>
      <x:c r="I187" s="24" t="str">
        <x:v>ROL-819</x:v>
      </x:c>
      <x:c r="J187" s="24" t="str">
        <x:v>Blue Mage or Ability Mimic</x:v>
      </x:c>
      <x:c r="K187" s="24" t="str">
        <x:v>A special job that learns monster actions and operates outside standard duty-role progression.</x:v>
      </x:c>
      <x:c r="L187" s="24" t="str">
        <x:v>Enemy-skill acquisition and separate content rules.</x:v>
      </x:c>
      <x:c r="M187" s="24" t="str">
        <x:v>Its limited-job status is as important as its spell theme.</x:v>
      </x:c>
      <x:c r="N187" s="24" t="str">
        <x:v>Collection-based mimic class.</x:v>
      </x:c>
      <x:c r="O187" s="24" t="str">
        <x:v>Primary canon</x:v>
      </x:c>
      <x:c r="P187" s="24" t="str">
        <x:v>Official reference reviewed</x:v>
      </x:c>
      <x:c r="Q187" s="24" t="str">
        <x:v>Official Final Fantasy XIV race/clan pages and battle job guide.</x:v>
      </x:c>
      <x:c r="R187" s="84" t="str">
        <x:v>https://na.finalfantasyxiv.com/jobguide/battle/</x:v>
      </x:c>
      <x:c r="S187" s="24" t="str">
        <x:v>Seeded</x:v>
      </x:c>
    </x:row>
    <x:row r="188" ht="52" customHeight="1">
      <x:c r="A188" s="24" t="str">
        <x:v>ENT-0187</x:v>
      </x:c>
      <x:c r="B188" s="24" t="str">
        <x:v>Soul crystal job identity</x:v>
      </x:c>
      <x:c r="C188" s="24" t="str">
        <x:v>SRC-131</x:v>
      </x:c>
      <x:c r="D188" s="24" t="str">
        <x:v>Final Fantasy XIV</x:v>
      </x:c>
      <x:c r="E188" s="24" t="str">
        <x:v>Current game continuity</x:v>
      </x:c>
      <x:c r="F188" s="24" t="str">
        <x:v>Artifact-mediated vocation</x:v>
      </x:c>
      <x:c r="G188" s="24" t="str">
        <x:v>STA-402</x:v>
      </x:c>
      <x:c r="H188" s="24" t="str">
        <x:f>IFERROR(VLOOKUP(G188,'Master Taxonomy'!$A$2:$B$1226,2,FALSE),"")</x:f>
        <x:v>Relic Bearer</x:v>
      </x:c>
      <x:c r="I188" s="24" t="str">
        <x:v>MEC-302</x:v>
      </x:c>
      <x:c r="J188" s="24" t="str">
        <x:v>Class Change or Job System</x:v>
      </x:c>
      <x:c r="K188" s="24" t="str">
        <x:v>Many jobs are accessed or embodied through soul crystals carrying accumulated techniques and memory.</x:v>
      </x:c>
      <x:c r="L188" s="24" t="str">
        <x:v>Artifact inheritance, training quests, and institutional lineage.</x:v>
      </x:c>
      <x:c r="M188" s="24" t="str">
        <x:v>The crystal does not replace personal training; lore varies by job.</x:v>
      </x:c>
      <x:c r="N188" s="24" t="str">
        <x:v>Artifact-mediated class inheritance.</x:v>
      </x:c>
      <x:c r="O188" s="24" t="str">
        <x:v>Primary canon</x:v>
      </x:c>
      <x:c r="P188" s="24" t="str">
        <x:v>Official reference reviewed</x:v>
      </x:c>
      <x:c r="Q188" s="24" t="str">
        <x:v>Official Final Fantasy XIV race/clan pages and battle job guide.</x:v>
      </x:c>
      <x:c r="R188" s="84" t="str">
        <x:v>https://na.finalfantasyxiv.com/jobguide/battle/</x:v>
      </x:c>
      <x:c r="S188" s="24" t="str">
        <x:v>Seeded</x:v>
      </x:c>
    </x:row>
    <x:row r="189" ht="52" customHeight="1">
      <x:c r="A189" s="24" t="str">
        <x:v>ENT-0188</x:v>
      </x:c>
      <x:c r="B189" s="24" t="str">
        <x:v>Altmer</x:v>
      </x:c>
      <x:c r="C189" s="24" t="str">
        <x:v>SRC-134</x:v>
      </x:c>
      <x:c r="D189" s="24" t="str">
        <x:v>The Elder Scrolls</x:v>
      </x:c>
      <x:c r="E189" s="24" t="str">
        <x:v>Franchise setting</x:v>
      </x:c>
      <x:c r="F189" s="24" t="str">
        <x:v>Elven people</x:v>
      </x:c>
      <x:c r="G189" s="24" t="str">
        <x:v>PPL-102</x:v>
      </x:c>
      <x:c r="H189" s="24" t="str">
        <x:f>IFERROR(VLOOKUP(G189,'Master Taxonomy'!$A$2:$B$1226,2,FALSE),"")</x:f>
        <x:v>Elf-Derived Peoples</x:v>
      </x:c>
      <x:c r="I189" s="24" t="str"/>
      <x:c r="J189" s="24" t="str"/>
      <x:c r="K189" s="24" t="str">
        <x:v>High Elven people of Summerset with distinctive religious, political, and magical traditions.</x:v>
      </x:c>
      <x:c r="L189" s="24" t="str">
        <x:v>Natural ancestry, long life, culture, and history.</x:v>
      </x:c>
      <x:c r="M189" s="24" t="str">
        <x:v>‘High elf’ is a comparative label; Altmer identity is setting-specific.</x:v>
      </x:c>
      <x:c r="N189" s="24" t="str">
        <x:v>High-elven polity analogue.</x:v>
      </x:c>
      <x:c r="O189" s="24" t="str">
        <x:v>Primary canon</x:v>
      </x:c>
      <x:c r="P189" s="24" t="str">
        <x:v>Secondary reference reviewed</x:v>
      </x:c>
      <x:c r="Q189" s="24" t="str">
        <x:v>Franchise-spanning orientation; individual games and eras require continuity-specific verification.</x:v>
      </x:c>
      <x:c r="R189" s="84" t="str">
        <x:v>https://en.wikipedia.org/wiki/The_Elder_Scrolls</x:v>
      </x:c>
      <x:c r="S189" s="24" t="str">
        <x:v>Seeded</x:v>
      </x:c>
    </x:row>
    <x:row r="190" ht="52" customHeight="1">
      <x:c r="A190" s="24" t="str">
        <x:v>ENT-0189</x:v>
      </x:c>
      <x:c r="B190" s="24" t="str">
        <x:v>Bosmer</x:v>
      </x:c>
      <x:c r="C190" s="24" t="str">
        <x:v>SRC-134</x:v>
      </x:c>
      <x:c r="D190" s="24" t="str">
        <x:v>The Elder Scrolls</x:v>
      </x:c>
      <x:c r="E190" s="24" t="str">
        <x:v>Franchise setting</x:v>
      </x:c>
      <x:c r="F190" s="24" t="str">
        <x:v>Elven people</x:v>
      </x:c>
      <x:c r="G190" s="24" t="str">
        <x:v>PPL-102</x:v>
      </x:c>
      <x:c r="H190" s="24" t="str">
        <x:f>IFERROR(VLOOKUP(G190,'Master Taxonomy'!$A$2:$B$1226,2,FALSE),"")</x:f>
        <x:v>Elf-Derived Peoples</x:v>
      </x:c>
      <x:c r="I190" s="24" t="str">
        <x:v>CIV-201</x:v>
      </x:c>
      <x:c r="J190" s="24" t="str">
        <x:v>Elven Forest Realm</x:v>
      </x:c>
      <x:c r="K190" s="24" t="str">
        <x:v>Wood Elven people associated with Valenwood and the Green Pact.</x:v>
      </x:c>
      <x:c r="L190" s="24" t="str">
        <x:v>Natural ancestry, ecological covenant, and culture.</x:v>
      </x:c>
      <x:c r="M190" s="24" t="str">
        <x:v>Not simply generic forest elves; dietary and religious obligations are central.</x:v>
      </x:c>
      <x:c r="N190" s="24" t="str">
        <x:v>Covenant-bound woodland elf analogue.</x:v>
      </x:c>
      <x:c r="O190" s="24" t="str">
        <x:v>Primary canon</x:v>
      </x:c>
      <x:c r="P190" s="24" t="str">
        <x:v>Secondary reference reviewed</x:v>
      </x:c>
      <x:c r="Q190" s="24" t="str">
        <x:v>Franchise-spanning orientation; individual games and eras require continuity-specific verification.</x:v>
      </x:c>
      <x:c r="R190" s="84" t="str">
        <x:v>https://en.wikipedia.org/wiki/The_Elder_Scrolls</x:v>
      </x:c>
      <x:c r="S190" s="24" t="str">
        <x:v>Seeded</x:v>
      </x:c>
    </x:row>
    <x:row r="191" ht="52" customHeight="1">
      <x:c r="A191" s="24" t="str">
        <x:v>ENT-0190</x:v>
      </x:c>
      <x:c r="B191" s="24" t="str">
        <x:v>Dunmer</x:v>
      </x:c>
      <x:c r="C191" s="24" t="str">
        <x:v>SRC-134</x:v>
      </x:c>
      <x:c r="D191" s="24" t="str">
        <x:v>The Elder Scrolls</x:v>
      </x:c>
      <x:c r="E191" s="24" t="str">
        <x:v>Franchise setting</x:v>
      </x:c>
      <x:c r="F191" s="24" t="str">
        <x:v>Elven people</x:v>
      </x:c>
      <x:c r="G191" s="24" t="str">
        <x:v>PPL-102</x:v>
      </x:c>
      <x:c r="H191" s="24" t="str">
        <x:f>IFERROR(VLOOKUP(G191,'Master Taxonomy'!$A$2:$B$1226,2,FALSE),"")</x:f>
        <x:v>Elf-Derived Peoples</x:v>
      </x:c>
      <x:c r="I191" s="24" t="str"/>
      <x:c r="J191" s="24" t="str"/>
      <x:c r="K191" s="24" t="str">
        <x:v>Dark Elven people of Morrowind shaped by ancestor religion, Great Houses, and historical transformations.</x:v>
      </x:c>
      <x:c r="L191" s="24" t="str">
        <x:v>Natural ancestry, divine history, culture, and politics.</x:v>
      </x:c>
      <x:c r="M191" s="24" t="str">
        <x:v>‘Dark elf’ here is not a moral category.</x:v>
      </x:c>
      <x:c r="N191" s="24" t="str">
        <x:v>Volcanic, ancestor-centered elf civilization.</x:v>
      </x:c>
      <x:c r="O191" s="24" t="str">
        <x:v>Primary canon</x:v>
      </x:c>
      <x:c r="P191" s="24" t="str">
        <x:v>Secondary reference reviewed</x:v>
      </x:c>
      <x:c r="Q191" s="24" t="str">
        <x:v>Franchise-spanning orientation; individual games and eras require continuity-specific verification.</x:v>
      </x:c>
      <x:c r="R191" s="84" t="str">
        <x:v>https://en.wikipedia.org/wiki/The_Elder_Scrolls</x:v>
      </x:c>
      <x:c r="S191" s="24" t="str">
        <x:v>Seeded</x:v>
      </x:c>
    </x:row>
    <x:row r="192" ht="52" customHeight="1">
      <x:c r="A192" s="24" t="str">
        <x:v>ENT-0191</x:v>
      </x:c>
      <x:c r="B192" s="24" t="str">
        <x:v>Orsimer</x:v>
      </x:c>
      <x:c r="C192" s="24" t="str">
        <x:v>SRC-134</x:v>
      </x:c>
      <x:c r="D192" s="24" t="str">
        <x:v>The Elder Scrolls</x:v>
      </x:c>
      <x:c r="E192" s="24" t="str">
        <x:v>Franchise setting</x:v>
      </x:c>
      <x:c r="F192" s="24" t="str">
        <x:v>Elven-derived people</x:v>
      </x:c>
      <x:c r="G192" s="24" t="str">
        <x:v>PPL-106</x:v>
      </x:c>
      <x:c r="H192" s="24" t="str">
        <x:f>IFERROR(VLOOKUP(G192,'Master Taxonomy'!$A$2:$B$1226,2,FALSE),"")</x:f>
        <x:v>Orc-Derived Peoples</x:v>
      </x:c>
      <x:c r="I192" s="24" t="str">
        <x:v>PPL-102</x:v>
      </x:c>
      <x:c r="J192" s="24" t="str">
        <x:v>Elf-Derived Peoples</x:v>
      </x:c>
      <x:c r="K192" s="24" t="str">
        <x:v>The Orc people, metaphysically connected to elven history and organized in varied stronghold and urban cultures.</x:v>
      </x:c>
      <x:c r="L192" s="24" t="str">
        <x:v>Ancestry, transformation myth, religion, and culture.</x:v>
      </x:c>
      <x:c r="M192" s="24" t="str">
        <x:v>Their orc identity coexists with an elven-derived cosmological genealogy.</x:v>
      </x:c>
      <x:c r="N192" s="24" t="str">
        <x:v>Orc people with transformed-elf metaphysics.</x:v>
      </x:c>
      <x:c r="O192" s="24" t="str">
        <x:v>Primary canon</x:v>
      </x:c>
      <x:c r="P192" s="24" t="str">
        <x:v>Secondary reference reviewed</x:v>
      </x:c>
      <x:c r="Q192" s="24" t="str">
        <x:v>Franchise-spanning orientation; individual games and eras require continuity-specific verification.</x:v>
      </x:c>
      <x:c r="R192" s="84" t="str">
        <x:v>https://en.wikipedia.org/wiki/The_Elder_Scrolls</x:v>
      </x:c>
      <x:c r="S192" s="24" t="str">
        <x:v>Seeded</x:v>
      </x:c>
    </x:row>
    <x:row r="193" ht="52" customHeight="1">
      <x:c r="A193" s="24" t="str">
        <x:v>ENT-0192</x:v>
      </x:c>
      <x:c r="B193" s="24" t="str">
        <x:v>Dwemer</x:v>
      </x:c>
      <x:c r="C193" s="24" t="str">
        <x:v>SRC-134</x:v>
      </x:c>
      <x:c r="D193" s="24" t="str">
        <x:v>The Elder Scrolls</x:v>
      </x:c>
      <x:c r="E193" s="24" t="str">
        <x:v>Franchise setting</x:v>
      </x:c>
      <x:c r="F193" s="24" t="str">
        <x:v>Lost elven people</x:v>
      </x:c>
      <x:c r="G193" s="24" t="str">
        <x:v>PPL-103</x:v>
      </x:c>
      <x:c r="H193" s="24" t="str">
        <x:f>IFERROR(VLOOKUP(G193,'Master Taxonomy'!$A$2:$B$1226,2,FALSE),"")</x:f>
        <x:v>Dwarf-Derived Peoples</x:v>
      </x:c>
      <x:c r="I193" s="24" t="str">
        <x:v>PPL-102; CIV-312</x:v>
      </x:c>
      <x:c r="J193" s="24" t="str">
        <x:v>Elf-Derived Peoples; Magitech Industrial Society</x:v>
      </x:c>
      <x:c r="K193" s="24" t="str">
        <x:v>The vanished Deep Elves, conventionally called dwarves, renowned for tonal architecture and advanced constructs.</x:v>
      </x:c>
      <x:c r="L193" s="24" t="str">
        <x:v>Elven ancestry, subterranean civilization, technology, and disappearance.</x:v>
      </x:c>
      <x:c r="M193" s="24" t="str">
        <x:v>They are not short Tolkien-style dwarves; the English nickname is historical.</x:v>
      </x:c>
      <x:c r="N193" s="24" t="str">
        <x:v>Lost technomagical elder civilization.</x:v>
      </x:c>
      <x:c r="O193" s="24" t="str">
        <x:v>Primary canon</x:v>
      </x:c>
      <x:c r="P193" s="24" t="str">
        <x:v>Secondary reference reviewed</x:v>
      </x:c>
      <x:c r="Q193" s="24" t="str">
        <x:v>Franchise-spanning orientation; individual games and eras require continuity-specific verification.</x:v>
      </x:c>
      <x:c r="R193" s="84" t="str">
        <x:v>https://en.wikipedia.org/wiki/The_Elder_Scrolls</x:v>
      </x:c>
      <x:c r="S193" s="24" t="str">
        <x:v>Seeded</x:v>
      </x:c>
    </x:row>
    <x:row r="194" ht="52" customHeight="1">
      <x:c r="A194" s="24" t="str">
        <x:v>ENT-0193</x:v>
      </x:c>
      <x:c r="B194" s="24" t="str">
        <x:v>Nords</x:v>
      </x:c>
      <x:c r="C194" s="24" t="str">
        <x:v>SRC-134</x:v>
      </x:c>
      <x:c r="D194" s="24" t="str">
        <x:v>The Elder Scrolls</x:v>
      </x:c>
      <x:c r="E194" s="24" t="str">
        <x:v>Franchise setting</x:v>
      </x:c>
      <x:c r="F194" s="24" t="str">
        <x:v>Human people and culture</x:v>
      </x:c>
      <x:c r="G194" s="24" t="str">
        <x:v>PPL-101</x:v>
      </x:c>
      <x:c r="H194" s="24" t="str">
        <x:f>IFERROR(VLOOKUP(G194,'Master Taxonomy'!$A$2:$B$1226,2,FALSE),"")</x:f>
        <x:v>Human and Near-Human Peoples</x:v>
      </x:c>
      <x:c r="I194" s="24" t="str">
        <x:v>CIV-210</x:v>
      </x:c>
      <x:c r="J194" s="24" t="str">
        <x:v>Icebound Survival Culture</x:v>
      </x:c>
      <x:c r="K194" s="24" t="str">
        <x:v>Northern human people of Skyrim with diverse religious and political histories.</x:v>
      </x:c>
      <x:c r="L194" s="24" t="str">
        <x:v>Natural ancestry, regional culture, and mythic migration.</x:v>
      </x:c>
      <x:c r="M194" s="24" t="str">
        <x:v>Not every Nord is a barbarian, warrior, or traditionalist.</x:v>
      </x:c>
      <x:c r="N194" s="24" t="str">
        <x:v>Northern heroic human culture.</x:v>
      </x:c>
      <x:c r="O194" s="24" t="str">
        <x:v>Primary canon</x:v>
      </x:c>
      <x:c r="P194" s="24" t="str">
        <x:v>Secondary reference reviewed</x:v>
      </x:c>
      <x:c r="Q194" s="24" t="str">
        <x:v>Franchise-spanning orientation; individual games and eras require continuity-specific verification.</x:v>
      </x:c>
      <x:c r="R194" s="84" t="str">
        <x:v>https://en.wikipedia.org/wiki/The_Elder_Scrolls</x:v>
      </x:c>
      <x:c r="S194" s="24" t="str">
        <x:v>Seeded</x:v>
      </x:c>
    </x:row>
    <x:row r="195" ht="52" customHeight="1">
      <x:c r="A195" s="24" t="str">
        <x:v>ENT-0194</x:v>
      </x:c>
      <x:c r="B195" s="24" t="str">
        <x:v>Imperials</x:v>
      </x:c>
      <x:c r="C195" s="24" t="str">
        <x:v>SRC-134</x:v>
      </x:c>
      <x:c r="D195" s="24" t="str">
        <x:v>The Elder Scrolls</x:v>
      </x:c>
      <x:c r="E195" s="24" t="str">
        <x:v>Franchise setting</x:v>
      </x:c>
      <x:c r="F195" s="24" t="str">
        <x:v>Human people and cultures</x:v>
      </x:c>
      <x:c r="G195" s="24" t="str">
        <x:v>PPL-101</x:v>
      </x:c>
      <x:c r="H195" s="24" t="str">
        <x:f>IFERROR(VLOOKUP(G195,'Master Taxonomy'!$A$2:$B$1226,2,FALSE),"")</x:f>
        <x:v>Human and Near-Human Peoples</x:v>
      </x:c>
      <x:c r="I195" s="24" t="str">
        <x:v>CIV-415</x:v>
      </x:c>
      <x:c r="J195" s="24" t="str">
        <x:v>Scholar-Bureaucratic Culture</x:v>
      </x:c>
      <x:c r="K195" s="24" t="str">
        <x:v>Human peoples associated with Cyrodiil, imperial institutions, and multiple historical identities.</x:v>
      </x:c>
      <x:c r="L195" s="24" t="str">
        <x:v>Natural ancestry, state traditions, law, and cosmopolitan culture.</x:v>
      </x:c>
      <x:c r="M195" s="24" t="str">
        <x:v>Imperial is partly political-cultural, not just biological.</x:v>
      </x:c>
      <x:c r="N195" s="24" t="str">
        <x:v>Cosmopolitan imperial human analogue.</x:v>
      </x:c>
      <x:c r="O195" s="24" t="str">
        <x:v>Primary canon</x:v>
      </x:c>
      <x:c r="P195" s="24" t="str">
        <x:v>Secondary reference reviewed</x:v>
      </x:c>
      <x:c r="Q195" s="24" t="str">
        <x:v>Franchise-spanning orientation; individual games and eras require continuity-specific verification.</x:v>
      </x:c>
      <x:c r="R195" s="84" t="str">
        <x:v>https://en.wikipedia.org/wiki/The_Elder_Scrolls</x:v>
      </x:c>
      <x:c r="S195" s="24" t="str">
        <x:v>Seeded</x:v>
      </x:c>
    </x:row>
    <x:row r="196" ht="52" customHeight="1">
      <x:c r="A196" s="24" t="str">
        <x:v>ENT-0195</x:v>
      </x:c>
      <x:c r="B196" s="24" t="str">
        <x:v>Bretons</x:v>
      </x:c>
      <x:c r="C196" s="24" t="str">
        <x:v>SRC-134</x:v>
      </x:c>
      <x:c r="D196" s="24" t="str">
        <x:v>The Elder Scrolls</x:v>
      </x:c>
      <x:c r="E196" s="24" t="str">
        <x:v>Franchise setting</x:v>
      </x:c>
      <x:c r="F196" s="24" t="str">
        <x:v>Human people with mixed ancestry</x:v>
      </x:c>
      <x:c r="G196" s="24" t="str">
        <x:v>PPL-1006</x:v>
      </x:c>
      <x:c r="H196" s="24" t="str">
        <x:f>IFERROR(VLOOKUP(G196,'Master Taxonomy'!$A$2:$B$1226,2,FALSE),"")</x:f>
        <x:v>Mixed-Ancestry and Half-Blood Peoples</x:v>
      </x:c>
      <x:c r="I196" s="24" t="str">
        <x:v>PPL-101</x:v>
      </x:c>
      <x:c r="J196" s="24" t="str">
        <x:v>Human and Near-Human Peoples</x:v>
      </x:c>
      <x:c r="K196" s="24" t="str">
        <x:v>Human people of High Rock with historical elven admixture and strong magical traditions.</x:v>
      </x:c>
      <x:c r="L196" s="24" t="str">
        <x:v>Ancestry, regional culture, and political fragmentation.</x:v>
      </x:c>
      <x:c r="M196" s="24" t="str">
        <x:v>Their identity cannot be reduced to a stat bonus for magic resistance.</x:v>
      </x:c>
      <x:c r="N196" s="24" t="str">
        <x:v>Human–elder ancestry and feudal mage culture.</x:v>
      </x:c>
      <x:c r="O196" s="24" t="str">
        <x:v>Primary canon</x:v>
      </x:c>
      <x:c r="P196" s="24" t="str">
        <x:v>Secondary reference reviewed</x:v>
      </x:c>
      <x:c r="Q196" s="24" t="str">
        <x:v>Franchise-spanning orientation; individual games and eras require continuity-specific verification.</x:v>
      </x:c>
      <x:c r="R196" s="84" t="str">
        <x:v>https://en.wikipedia.org/wiki/The_Elder_Scrolls</x:v>
      </x:c>
      <x:c r="S196" s="24" t="str">
        <x:v>Seeded</x:v>
      </x:c>
    </x:row>
    <x:row r="197" ht="52" customHeight="1">
      <x:c r="A197" s="24" t="str">
        <x:v>ENT-0196</x:v>
      </x:c>
      <x:c r="B197" s="24" t="str">
        <x:v>Redguards</x:v>
      </x:c>
      <x:c r="C197" s="24" t="str">
        <x:v>SRC-134</x:v>
      </x:c>
      <x:c r="D197" s="24" t="str">
        <x:v>The Elder Scrolls</x:v>
      </x:c>
      <x:c r="E197" s="24" t="str">
        <x:v>Franchise setting</x:v>
      </x:c>
      <x:c r="F197" s="24" t="str">
        <x:v>Human people and cultures</x:v>
      </x:c>
      <x:c r="G197" s="24" t="str">
        <x:v>PPL-101</x:v>
      </x:c>
      <x:c r="H197" s="24" t="str">
        <x:f>IFERROR(VLOOKUP(G197,'Master Taxonomy'!$A$2:$B$1226,2,FALSE),"")</x:f>
        <x:v>Human and Near-Human Peoples</x:v>
      </x:c>
      <x:c r="I197" s="24" t="str">
        <x:v>ROL-120</x:v>
      </x:c>
      <x:c r="J197" s="24" t="str">
        <x:v>Samurai-Derived Warrior</x:v>
      </x:c>
      <x:c r="K197" s="24" t="str">
        <x:v>Human peoples of Hammerfell with Yokudan heritage and famed martial traditions.</x:v>
      </x:c>
      <x:c r="L197" s="24" t="str">
        <x:v>Natural ancestry, migration, religion, and regional cultures.</x:v>
      </x:c>
      <x:c r="M197" s="24" t="str">
        <x:v>The sword tradition is only one aspect; samurai-derived is a loose functional comparison.</x:v>
      </x:c>
      <x:c r="N197" s="24" t="str">
        <x:v>Diasporic warrior and desert-kingdom human analogue.</x:v>
      </x:c>
      <x:c r="O197" s="24" t="str">
        <x:v>Primary canon</x:v>
      </x:c>
      <x:c r="P197" s="24" t="str">
        <x:v>Secondary reference reviewed</x:v>
      </x:c>
      <x:c r="Q197" s="24" t="str">
        <x:v>Franchise-spanning orientation; individual games and eras require continuity-specific verification.</x:v>
      </x:c>
      <x:c r="R197" s="84" t="str">
        <x:v>https://en.wikipedia.org/wiki/The_Elder_Scrolls</x:v>
      </x:c>
      <x:c r="S197" s="24" t="str">
        <x:v>Seeded</x:v>
      </x:c>
    </x:row>
    <x:row r="198" ht="52" customHeight="1">
      <x:c r="A198" s="24" t="str">
        <x:v>ENT-0197</x:v>
      </x:c>
      <x:c r="B198" s="24" t="str">
        <x:v>Khajiit</x:v>
      </x:c>
      <x:c r="C198" s="24" t="str">
        <x:v>SRC-134</x:v>
      </x:c>
      <x:c r="D198" s="24" t="str">
        <x:v>The Elder Scrolls</x:v>
      </x:c>
      <x:c r="E198" s="24" t="str">
        <x:v>Franchise setting</x:v>
      </x:c>
      <x:c r="F198" s="24" t="str">
        <x:v>Feline people</x:v>
      </x:c>
      <x:c r="G198" s="24" t="str">
        <x:v>PPL-121</x:v>
      </x:c>
      <x:c r="H198" s="24" t="str">
        <x:f>IFERROR(VLOOKUP(G198,'Master Taxonomy'!$A$2:$B$1226,2,FALSE),"")</x:f>
        <x:v>Feline Beastfolk</x:v>
      </x:c>
      <x:c r="I198" s="24" t="str">
        <x:v>PPL-1010</x:v>
      </x:c>
      <x:c r="J198" s="24" t="str">
        <x:v>Metamorphic Species</x:v>
      </x:c>
      <x:c r="K198" s="24" t="str">
        <x:v>A people whose many furstocks and body forms are linked to lunar conditions and culture.</x:v>
      </x:c>
      <x:c r="L198" s="24" t="str">
        <x:v>Natural ancestry, lunar metaphysics, and multiple morphologies.</x:v>
      </x:c>
      <x:c r="M198" s="24" t="str">
        <x:v>Khajiit are not one catlike body plan or culture.</x:v>
      </x:c>
      <x:c r="N198" s="24" t="str">
        <x:v>Lunar polymorphic feline people.</x:v>
      </x:c>
      <x:c r="O198" s="24" t="str">
        <x:v>Primary canon</x:v>
      </x:c>
      <x:c r="P198" s="24" t="str">
        <x:v>Secondary reference reviewed</x:v>
      </x:c>
      <x:c r="Q198" s="24" t="str">
        <x:v>Franchise-spanning orientation; individual games and eras require continuity-specific verification.</x:v>
      </x:c>
      <x:c r="R198" s="84" t="str">
        <x:v>https://en.wikipedia.org/wiki/The_Elder_Scrolls</x:v>
      </x:c>
      <x:c r="S198" s="24" t="str">
        <x:v>Seeded</x:v>
      </x:c>
    </x:row>
    <x:row r="199" ht="52" customHeight="1">
      <x:c r="A199" s="24" t="str">
        <x:v>ENT-0198</x:v>
      </x:c>
      <x:c r="B199" s="24" t="str">
        <x:v>Argonians</x:v>
      </x:c>
      <x:c r="C199" s="24" t="str">
        <x:v>SRC-134</x:v>
      </x:c>
      <x:c r="D199" s="24" t="str">
        <x:v>The Elder Scrolls</x:v>
      </x:c>
      <x:c r="E199" s="24" t="str">
        <x:v>Franchise setting</x:v>
      </x:c>
      <x:c r="F199" s="24" t="str">
        <x:v>Reptilian people</x:v>
      </x:c>
      <x:c r="G199" s="24" t="str">
        <x:v>PPL-112</x:v>
      </x:c>
      <x:c r="H199" s="24" t="str">
        <x:f>IFERROR(VLOOKUP(G199,'Master Taxonomy'!$A$2:$B$1226,2,FALSE),"")</x:f>
        <x:v>Lizardfolk and Reptilian Peoples</x:v>
      </x:c>
      <x:c r="I199" s="24" t="str">
        <x:v>PPL-206</x:v>
      </x:c>
      <x:c r="J199" s="24" t="str">
        <x:v>Land and Watershed Spirits</x:v>
      </x:c>
      <x:c r="K199" s="24" t="str">
        <x:v>Reptilian people of Black Marsh with deep relationships to the Hist.</x:v>
      </x:c>
      <x:c r="L199" s="24" t="str">
        <x:v>Natural ancestry, communal culture, and symbiosis with sacred trees.</x:v>
      </x:c>
      <x:c r="M199" s="24" t="str">
        <x:v>Their identity is not reducible to generic lizardfolk traits.</x:v>
      </x:c>
      <x:c r="N199" s="24" t="str">
        <x:v>Symbiotic marsh people and tree-linked ancestry.</x:v>
      </x:c>
      <x:c r="O199" s="24" t="str">
        <x:v>Primary canon</x:v>
      </x:c>
      <x:c r="P199" s="24" t="str">
        <x:v>Secondary reference reviewed</x:v>
      </x:c>
      <x:c r="Q199" s="24" t="str">
        <x:v>Franchise-spanning orientation; individual games and eras require continuity-specific verification.</x:v>
      </x:c>
      <x:c r="R199" s="84" t="str">
        <x:v>https://en.wikipedia.org/wiki/The_Elder_Scrolls</x:v>
      </x:c>
      <x:c r="S199" s="24" t="str">
        <x:v>Seeded</x:v>
      </x:c>
    </x:row>
    <x:row r="200" ht="52" customHeight="1">
      <x:c r="A200" s="24" t="str">
        <x:v>ENT-0199</x:v>
      </x:c>
      <x:c r="B200" s="24" t="str">
        <x:v>Aedra</x:v>
      </x:c>
      <x:c r="C200" s="24" t="str">
        <x:v>SRC-134</x:v>
      </x:c>
      <x:c r="D200" s="24" t="str">
        <x:v>The Elder Scrolls</x:v>
      </x:c>
      <x:c r="E200" s="24" t="str">
        <x:v>Franchise cosmology</x:v>
      </x:c>
      <x:c r="F200" s="24" t="str">
        <x:v>Divine beings</x:v>
      </x:c>
      <x:c r="G200" s="24" t="str">
        <x:v>PPL-401</x:v>
      </x:c>
      <x:c r="H200" s="24" t="str">
        <x:f>IFERROR(VLOOKUP(G200,'Master Taxonomy'!$A$2:$B$1226,2,FALSE),"")</x:f>
        <x:v>Deities</x:v>
      </x:c>
      <x:c r="I200" s="24" t="str">
        <x:v>PPL-400</x:v>
      </x:c>
      <x:c r="J200" s="24" t="str">
        <x:v>Divine and Celestial Beings</x:v>
      </x:c>
      <x:c r="K200" s="24" t="str">
        <x:v>Divine powers associated with creation and the structure of the mortal world.</x:v>
      </x:c>
      <x:c r="L200" s="24" t="str">
        <x:v>Cosmological participation, worship, and mythic interpretation.</x:v>
      </x:c>
      <x:c r="M200" s="24" t="str">
        <x:v>Aedra is a relational theological category, not a biological species.</x:v>
      </x:c>
      <x:c r="N200" s="24" t="str">
        <x:v>World-forming divine order.</x:v>
      </x:c>
      <x:c r="O200" s="24" t="str">
        <x:v>Primary canon</x:v>
      </x:c>
      <x:c r="P200" s="24" t="str">
        <x:v>Secondary reference reviewed</x:v>
      </x:c>
      <x:c r="Q200" s="24" t="str">
        <x:v>Franchise-spanning orientation; individual games and eras require continuity-specific verification.</x:v>
      </x:c>
      <x:c r="R200" s="84" t="str">
        <x:v>https://en.wikipedia.org/wiki/The_Elder_Scrolls</x:v>
      </x:c>
      <x:c r="S200" s="24" t="str">
        <x:v>Seeded</x:v>
      </x:c>
    </x:row>
    <x:row r="201" ht="52" customHeight="1">
      <x:c r="A201" s="24" t="str">
        <x:v>ENT-0200</x:v>
      </x:c>
      <x:c r="B201" s="24" t="str">
        <x:v>Daedric Princes</x:v>
      </x:c>
      <x:c r="C201" s="24" t="str">
        <x:v>SRC-134</x:v>
      </x:c>
      <x:c r="D201" s="24" t="str">
        <x:v>The Elder Scrolls</x:v>
      </x:c>
      <x:c r="E201" s="24" t="str">
        <x:v>Franchise cosmology</x:v>
      </x:c>
      <x:c r="F201" s="24" t="str">
        <x:v>Otherworldly divine rulers</x:v>
      </x:c>
      <x:c r="G201" s="24" t="str">
        <x:v>PPL-401</x:v>
      </x:c>
      <x:c r="H201" s="24" t="str">
        <x:f>IFERROR(VLOOKUP(G201,'Master Taxonomy'!$A$2:$B$1226,2,FALSE),"")</x:f>
        <x:v>Deities</x:v>
      </x:c>
      <x:c r="I201" s="24" t="str">
        <x:v>PPL-1102</x:v>
      </x:c>
      <x:c r="J201" s="24" t="str">
        <x:v>Alien and Otherworlder Peoples</x:v>
      </x:c>
      <x:c r="K201" s="24" t="str">
        <x:v>Powerful rulers of Oblivion realms embodying or governing distinct spheres.</x:v>
      </x:c>
      <x:c r="L201" s="24" t="str">
        <x:v>Otherworldly existence, realm sovereignty, cults, and artifacts.</x:v>
      </x:c>
      <x:c r="M201" s="24" t="str">
        <x:v>They are not simply demons or uniformly evil.</x:v>
      </x:c>
      <x:c r="N201" s="24" t="str">
        <x:v>Planar sovereign and patron-deity analogue.</x:v>
      </x:c>
      <x:c r="O201" s="24" t="str">
        <x:v>Primary canon</x:v>
      </x:c>
      <x:c r="P201" s="24" t="str">
        <x:v>Secondary reference reviewed</x:v>
      </x:c>
      <x:c r="Q201" s="24" t="str">
        <x:v>Franchise-spanning orientation; individual games and eras require continuity-specific verification.</x:v>
      </x:c>
      <x:c r="R201" s="84" t="str">
        <x:v>https://en.wikipedia.org/wiki/The_Elder_Scrolls</x:v>
      </x:c>
      <x:c r="S201" s="24" t="str">
        <x:v>Seeded</x:v>
      </x:c>
    </x:row>
    <x:row r="202" ht="52" customHeight="1">
      <x:c r="A202" s="24" t="str">
        <x:v>ENT-0201</x:v>
      </x:c>
      <x:c r="B202" s="24" t="str">
        <x:v>Lesser Daedra</x:v>
      </x:c>
      <x:c r="C202" s="24" t="str">
        <x:v>SRC-134</x:v>
      </x:c>
      <x:c r="D202" s="24" t="str">
        <x:v>The Elder Scrolls</x:v>
      </x:c>
      <x:c r="E202" s="24" t="str">
        <x:v>Franchise cosmology</x:v>
      </x:c>
      <x:c r="F202" s="24" t="str">
        <x:v>Otherworldly beings</x:v>
      </x:c>
      <x:c r="G202" s="24" t="str">
        <x:v>PPL-1102</x:v>
      </x:c>
      <x:c r="H202" s="24" t="str">
        <x:f>IFERROR(VLOOKUP(G202,'Master Taxonomy'!$A$2:$B$1226,2,FALSE),"")</x:f>
        <x:v>Alien and Otherworlder Peoples</x:v>
      </x:c>
      <x:c r="I202" s="24" t="str"/>
      <x:c r="J202" s="24" t="str"/>
      <x:c r="K202" s="24" t="str">
        <x:v>Varied beings native or tied to realms of Oblivion.</x:v>
      </x:c>
      <x:c r="L202" s="24" t="str">
        <x:v>Otherworldly origin, summoning, contracts, and realm affiliations.</x:v>
      </x:c>
      <x:c r="M202" s="24" t="str">
        <x:v>The category contains peoples, creatures, servants, and independent actors.</x:v>
      </x:c>
      <x:c r="N202" s="24" t="str">
        <x:v>Extraplanar being family.</x:v>
      </x:c>
      <x:c r="O202" s="24" t="str">
        <x:v>Primary canon</x:v>
      </x:c>
      <x:c r="P202" s="24" t="str">
        <x:v>Secondary reference reviewed</x:v>
      </x:c>
      <x:c r="Q202" s="24" t="str">
        <x:v>Franchise-spanning orientation; individual games and eras require continuity-specific verification.</x:v>
      </x:c>
      <x:c r="R202" s="84" t="str">
        <x:v>https://en.wikipedia.org/wiki/The_Elder_Scrolls</x:v>
      </x:c>
      <x:c r="S202" s="24" t="str">
        <x:v>Seeded</x:v>
      </x:c>
    </x:row>
    <x:row r="203" ht="52" customHeight="1">
      <x:c r="A203" s="24" t="str">
        <x:v>ENT-0202</x:v>
      </x:c>
      <x:c r="B203" s="24" t="str">
        <x:v>Dragons</x:v>
      </x:c>
      <x:c r="C203" s="24" t="str">
        <x:v>SRC-134</x:v>
      </x:c>
      <x:c r="D203" s="24" t="str">
        <x:v>The Elder Scrolls</x:v>
      </x:c>
      <x:c r="E203" s="24" t="str">
        <x:v>Franchise setting</x:v>
      </x:c>
      <x:c r="F203" s="24" t="str">
        <x:v>Divine or primordial dragon beings</x:v>
      </x:c>
      <x:c r="G203" s="24" t="str">
        <x:v>PPL-801</x:v>
      </x:c>
      <x:c r="H203" s="24" t="str">
        <x:f>IFERROR(VLOOKUP(G203,'Master Taxonomy'!$A$2:$B$1226,2,FALSE),"")</x:f>
        <x:v>True Dragons</x:v>
      </x:c>
      <x:c r="I203" s="24" t="str">
        <x:v>PPL-409</x:v>
      </x:c>
      <x:c r="J203" s="24" t="str">
        <x:v>Divine Beasts</x:v>
      </x:c>
      <x:c r="K203" s="24" t="str">
        <x:v>Ancient, intelligent dragons associated with time, domination, and the Thu'um.</x:v>
      </x:c>
      <x:c r="L203" s="24" t="str">
        <x:v>Draconic nature, language, immortality-like persistence, and divine origin.</x:v>
      </x:c>
      <x:c r="M203" s="24" t="str">
        <x:v>They are not ordinary animals and their speech is itself power.</x:v>
      </x:c>
      <x:c r="N203" s="24" t="str">
        <x:v>Primordial speaking dragon analogue.</x:v>
      </x:c>
      <x:c r="O203" s="24" t="str">
        <x:v>Primary canon</x:v>
      </x:c>
      <x:c r="P203" s="24" t="str">
        <x:v>Secondary reference reviewed</x:v>
      </x:c>
      <x:c r="Q203" s="24" t="str">
        <x:v>Franchise-spanning orientation; individual games and eras require continuity-specific verification.</x:v>
      </x:c>
      <x:c r="R203" s="84" t="str">
        <x:v>https://en.wikipedia.org/wiki/The_Elder_Scrolls</x:v>
      </x:c>
      <x:c r="S203" s="24" t="str">
        <x:v>Seeded</x:v>
      </x:c>
    </x:row>
    <x:row r="204" ht="52" customHeight="1">
      <x:c r="A204" s="24" t="str">
        <x:v>ENT-0203</x:v>
      </x:c>
      <x:c r="B204" s="24" t="str">
        <x:v>Dragonborn</x:v>
      </x:c>
      <x:c r="C204" s="24" t="str">
        <x:v>SRC-134</x:v>
      </x:c>
      <x:c r="D204" s="24" t="str">
        <x:v>The Elder Scrolls</x:v>
      </x:c>
      <x:c r="E204" s="24" t="str">
        <x:v>Franchise setting</x:v>
      </x:c>
      <x:c r="F204" s="24" t="str">
        <x:v>Divinely marked mortal state</x:v>
      </x:c>
      <x:c r="G204" s="24" t="str">
        <x:v>NAR-101</x:v>
      </x:c>
      <x:c r="H204" s="24" t="str">
        <x:f>IFERROR(VLOOKUP(G204,'Master Taxonomy'!$A$2:$B$1226,2,FALSE),"")</x:f>
        <x:v>Chosen One</x:v>
      </x:c>
      <x:c r="I204" s="24" t="str">
        <x:v>STA-409; STA-402</x:v>
      </x:c>
      <x:c r="J204" s="24" t="str">
        <x:v>Dragon Bond; Relic Bearer</x:v>
      </x:c>
      <x:c r="K204" s="24" t="str">
        <x:v>Mortals with a dragon soul or divinely significant draconic capacity, especially central to specific eras.</x:v>
      </x:c>
      <x:c r="L204" s="24" t="str">
        <x:v>Divine blessing, soul nature, prophecy, and learned shouts.</x:v>
      </x:c>
      <x:c r="M204" s="24" t="str">
        <x:v>Not a species, and not the same concept as D&amp;D dragonborn.</x:v>
      </x:c>
      <x:c r="N204" s="24" t="str">
        <x:v>Draconic chosen champion.</x:v>
      </x:c>
      <x:c r="O204" s="24" t="str">
        <x:v>Primary canon</x:v>
      </x:c>
      <x:c r="P204" s="24" t="str">
        <x:v>Secondary reference reviewed</x:v>
      </x:c>
      <x:c r="Q204" s="24" t="str">
        <x:v>Franchise-spanning orientation; individual games and eras require continuity-specific verification.</x:v>
      </x:c>
      <x:c r="R204" s="84" t="str">
        <x:v>https://en.wikipedia.org/wiki/The_Elder_Scrolls</x:v>
      </x:c>
      <x:c r="S204" s="24" t="str">
        <x:v>Seeded</x:v>
      </x:c>
    </x:row>
    <x:row r="205" ht="52" customHeight="1">
      <x:c r="A205" s="24" t="str">
        <x:v>ENT-0204</x:v>
      </x:c>
      <x:c r="B205" s="24" t="str">
        <x:v>Thu'um / Voice</x:v>
      </x:c>
      <x:c r="C205" s="24" t="str">
        <x:v>SRC-134</x:v>
      </x:c>
      <x:c r="D205" s="24" t="str">
        <x:v>The Elder Scrolls</x:v>
      </x:c>
      <x:c r="E205" s="24" t="str">
        <x:v>Franchise setting</x:v>
      </x:c>
      <x:c r="F205" s="24" t="str">
        <x:v>Power tradition</x:v>
      </x:c>
      <x:c r="G205" s="24" t="str">
        <x:v>PWR-503</x:v>
      </x:c>
      <x:c r="H205" s="24" t="str">
        <x:f>IFERROR(VLOOKUP(G205,'Master Taxonomy'!$A$2:$B$1226,2,FALSE),"")</x:f>
        <x:v>True Names and Naming</x:v>
      </x:c>
      <x:c r="I205" s="24" t="str">
        <x:v>PWR-217</x:v>
      </x:c>
      <x:c r="J205" s="24" t="str">
        <x:v>Sound and Vibration Magic</x:v>
      </x:c>
      <x:c r="K205" s="24" t="str">
        <x:v>Reality-affecting power expressed through the dragon language and disciplined Shouts.</x:v>
      </x:c>
      <x:c r="L205" s="24" t="str">
        <x:v>Language, breath, understanding, and spiritual mastery.</x:v>
      </x:c>
      <x:c r="M205" s="24" t="str">
        <x:v>More than sonic force; words carry ontological significance.</x:v>
      </x:c>
      <x:c r="N205" s="24" t="str">
        <x:v>Word-of-power and voice magic.</x:v>
      </x:c>
      <x:c r="O205" s="24" t="str">
        <x:v>Primary canon</x:v>
      </x:c>
      <x:c r="P205" s="24" t="str">
        <x:v>Secondary reference reviewed</x:v>
      </x:c>
      <x:c r="Q205" s="24" t="str">
        <x:v>Franchise-spanning orientation; individual games and eras require continuity-specific verification.</x:v>
      </x:c>
      <x:c r="R205" s="84" t="str">
        <x:v>https://en.wikipedia.org/wiki/The_Elder_Scrolls</x:v>
      </x:c>
      <x:c r="S205" s="24" t="str">
        <x:v>Seeded</x:v>
      </x:c>
    </x:row>
    <x:row r="206" ht="52" customHeight="1">
      <x:c r="A206" s="24" t="str">
        <x:v>ENT-0205</x:v>
      </x:c>
      <x:c r="B206" s="24" t="str">
        <x:v>Greybeards</x:v>
      </x:c>
      <x:c r="C206" s="24" t="str">
        <x:v>SRC-134</x:v>
      </x:c>
      <x:c r="D206" s="24" t="str">
        <x:v>The Elder Scrolls</x:v>
      </x:c>
      <x:c r="E206" s="24" t="str">
        <x:v>Skyrim-era continuity</x:v>
      </x:c>
      <x:c r="F206" s="24" t="str">
        <x:v>Monastic order</x:v>
      </x:c>
      <x:c r="G206" s="24" t="str">
        <x:v>INS-304</x:v>
      </x:c>
      <x:c r="H206" s="24" t="str">
        <x:f>IFERROR(VLOOKUP(G206,'Master Taxonomy'!$A$2:$B$1226,2,FALSE),"")</x:f>
        <x:v>Monastery</x:v>
      </x:c>
      <x:c r="I206" s="24" t="str">
        <x:v>ROL-628</x:v>
      </x:c>
      <x:c r="J206" s="24" t="str">
        <x:v>Teacher and Mentor</x:v>
      </x:c>
      <x:c r="K206" s="24" t="str">
        <x:v>An ascetic order devoted to studying and regulating the Voice.</x:v>
      </x:c>
      <x:c r="L206" s="24" t="str">
        <x:v>Discipline, seclusion, oral teaching, and philosophical restraint.</x:v>
      </x:c>
      <x:c r="M206" s="24" t="str">
        <x:v>They are an institution, not a class shared by all Voice users.</x:v>
      </x:c>
      <x:c r="N206" s="24" t="str">
        <x:v>Mystical martial-language monastery.</x:v>
      </x:c>
      <x:c r="O206" s="24" t="str">
        <x:v>Primary canon</x:v>
      </x:c>
      <x:c r="P206" s="24" t="str">
        <x:v>Secondary reference reviewed</x:v>
      </x:c>
      <x:c r="Q206" s="24" t="str">
        <x:v>Franchise-spanning orientation; individual games and eras require continuity-specific verification.</x:v>
      </x:c>
      <x:c r="R206" s="84" t="str">
        <x:v>https://en.wikipedia.org/wiki/The_Elder_Scrolls</x:v>
      </x:c>
      <x:c r="S206" s="24" t="str">
        <x:v>Seeded</x:v>
      </x:c>
    </x:row>
    <x:row r="207" ht="52" customHeight="1">
      <x:c r="A207" s="24" t="str">
        <x:v>ENT-0206</x:v>
      </x:c>
      <x:c r="B207" s="24" t="str">
        <x:v>Psijic Order</x:v>
      </x:c>
      <x:c r="C207" s="24" t="str">
        <x:v>SRC-134</x:v>
      </x:c>
      <x:c r="D207" s="24" t="str">
        <x:v>The Elder Scrolls</x:v>
      </x:c>
      <x:c r="E207" s="24" t="str">
        <x:v>Franchise setting</x:v>
      </x:c>
      <x:c r="F207" s="24" t="str">
        <x:v>Secret magical order</x:v>
      </x:c>
      <x:c r="G207" s="24" t="str">
        <x:v>INS-320</x:v>
      </x:c>
      <x:c r="H207" s="24" t="str">
        <x:f>IFERROR(VLOOKUP(G207,'Master Taxonomy'!$A$2:$B$1226,2,FALSE),"")</x:f>
        <x:v>Secret Magical Society</x:v>
      </x:c>
      <x:c r="I207" s="24" t="str">
        <x:v>ROL-306</x:v>
      </x:c>
      <x:c r="J207" s="24" t="str">
        <x:v>Magical Scholar</x:v>
      </x:c>
      <x:c r="K207" s="24" t="str">
        <x:v>Ancient esoteric order devoted to metaphysical study and selective intervention.</x:v>
      </x:c>
      <x:c r="L207" s="24" t="str">
        <x:v>Training, secrecy, ritual, and philosophical tradition.</x:v>
      </x:c>
      <x:c r="M207" s="24" t="str">
        <x:v>Its goals and methods vary by era and source.</x:v>
      </x:c>
      <x:c r="N207" s="24" t="str">
        <x:v>Hidden mage order and time-lore society.</x:v>
      </x:c>
      <x:c r="O207" s="24" t="str">
        <x:v>Primary canon</x:v>
      </x:c>
      <x:c r="P207" s="24" t="str">
        <x:v>Secondary reference reviewed</x:v>
      </x:c>
      <x:c r="Q207" s="24" t="str">
        <x:v>Franchise-spanning orientation; individual games and eras require continuity-specific verification.</x:v>
      </x:c>
      <x:c r="R207" s="84" t="str">
        <x:v>https://en.wikipedia.org/wiki/The_Elder_Scrolls</x:v>
      </x:c>
      <x:c r="S207" s="24" t="str">
        <x:v>Seeded</x:v>
      </x:c>
    </x:row>
    <x:row r="208" ht="52" customHeight="1">
      <x:c r="A208" s="24" t="str">
        <x:v>ENT-0207</x:v>
      </x:c>
      <x:c r="B208" s="24" t="str">
        <x:v>Mages Guild</x:v>
      </x:c>
      <x:c r="C208" s="24" t="str">
        <x:v>SRC-134</x:v>
      </x:c>
      <x:c r="D208" s="24" t="str">
        <x:v>The Elder Scrolls</x:v>
      </x:c>
      <x:c r="E208" s="24" t="str">
        <x:v>Franchise setting</x:v>
      </x:c>
      <x:c r="F208" s="24" t="str">
        <x:v>Professional magical institution</x:v>
      </x:c>
      <x:c r="G208" s="24" t="str">
        <x:v>INS-102</x:v>
      </x:c>
      <x:c r="H208" s="24" t="str">
        <x:f>IFERROR(VLOOKUP(G208,'Master Taxonomy'!$A$2:$B$1226,2,FALSE),"")</x:f>
        <x:v>Mage Guild</x:v>
      </x:c>
      <x:c r="I208" s="24" t="str">
        <x:v>INS-308</x:v>
      </x:c>
      <x:c r="J208" s="24" t="str">
        <x:v>Mage Academy</x:v>
      </x:c>
      <x:c r="K208" s="24" t="str">
        <x:v>An institution historically providing magical services, training, and regulation.</x:v>
      </x:c>
      <x:c r="L208" s="24" t="str">
        <x:v>Professional organization, education, commerce, and politics.</x:v>
      </x:c>
      <x:c r="M208" s="24" t="str">
        <x:v>Its structure changes across eras and provinces.</x:v>
      </x:c>
      <x:c r="N208" s="24" t="str">
        <x:v>Public magical guild analogue.</x:v>
      </x:c>
      <x:c r="O208" s="24" t="str">
        <x:v>Primary canon</x:v>
      </x:c>
      <x:c r="P208" s="24" t="str">
        <x:v>Secondary reference reviewed</x:v>
      </x:c>
      <x:c r="Q208" s="24" t="str">
        <x:v>Franchise-spanning orientation; individual games and eras require continuity-specific verification.</x:v>
      </x:c>
      <x:c r="R208" s="84" t="str">
        <x:v>https://en.wikipedia.org/wiki/The_Elder_Scrolls</x:v>
      </x:c>
      <x:c r="S208" s="24" t="str">
        <x:v>Seeded</x:v>
      </x:c>
    </x:row>
    <x:row r="209" ht="52" customHeight="1">
      <x:c r="A209" s="24" t="str">
        <x:v>ENT-0208</x:v>
      </x:c>
      <x:c r="B209" s="24" t="str">
        <x:v>Dark Brotherhood</x:v>
      </x:c>
      <x:c r="C209" s="24" t="str">
        <x:v>SRC-134</x:v>
      </x:c>
      <x:c r="D209" s="24" t="str">
        <x:v>The Elder Scrolls</x:v>
      </x:c>
      <x:c r="E209" s="24" t="str">
        <x:v>Franchise setting</x:v>
      </x:c>
      <x:c r="F209" s="24" t="str">
        <x:v>Religious assassin institution</x:v>
      </x:c>
      <x:c r="G209" s="24" t="str">
        <x:v>INS-211</x:v>
      </x:c>
      <x:c r="H209" s="24" t="str">
        <x:f>IFERROR(VLOOKUP(G209,'Master Taxonomy'!$A$2:$B$1226,2,FALSE),"")</x:f>
        <x:v>Assassin Order</x:v>
      </x:c>
      <x:c r="I209" s="24" t="str">
        <x:v>ROL-835</x:v>
      </x:c>
      <x:c r="J209" s="24" t="str">
        <x:v>Ritual Assassin</x:v>
      </x:c>
      <x:c r="K209" s="24" t="str">
        <x:v>A secretive assassination organization with a death-centered theology and contracts.</x:v>
      </x:c>
      <x:c r="L209" s="24" t="str">
        <x:v>Initiation, ritual, patronage, secrecy, and murder-for-hire.</x:v>
      </x:c>
      <x:c r="M209" s="24" t="str">
        <x:v>Its religious claims and organizational continuity are contested within the setting.</x:v>
      </x:c>
      <x:c r="N209" s="24" t="str">
        <x:v>Assassin cult and contract guild.</x:v>
      </x:c>
      <x:c r="O209" s="24" t="str">
        <x:v>Primary canon</x:v>
      </x:c>
      <x:c r="P209" s="24" t="str">
        <x:v>Secondary reference reviewed</x:v>
      </x:c>
      <x:c r="Q209" s="24" t="str">
        <x:v>Franchise-spanning orientation; individual games and eras require continuity-specific verification.</x:v>
      </x:c>
      <x:c r="R209" s="84" t="str">
        <x:v>https://en.wikipedia.org/wiki/The_Elder_Scrolls</x:v>
      </x:c>
      <x:c r="S209" s="24" t="str">
        <x:v>Seeded</x:v>
      </x:c>
    </x:row>
    <x:row r="210" ht="52" customHeight="1">
      <x:c r="A210" s="24" t="str">
        <x:v>ENT-0209</x:v>
      </x:c>
      <x:c r="B210" s="24" t="str">
        <x:v>Thieves Guild</x:v>
      </x:c>
      <x:c r="C210" s="24" t="str">
        <x:v>SRC-134</x:v>
      </x:c>
      <x:c r="D210" s="24" t="str">
        <x:v>The Elder Scrolls</x:v>
      </x:c>
      <x:c r="E210" s="24" t="str">
        <x:v>Franchise setting</x:v>
      </x:c>
      <x:c r="F210" s="24" t="str">
        <x:v>Criminal guild</x:v>
      </x:c>
      <x:c r="G210" s="24" t="str">
        <x:v>INS-103</x:v>
      </x:c>
      <x:c r="H210" s="24" t="str">
        <x:f>IFERROR(VLOOKUP(G210,'Master Taxonomy'!$A$2:$B$1226,2,FALSE),"")</x:f>
        <x:v>Thieves' Guild</x:v>
      </x:c>
      <x:c r="I210" s="24" t="str">
        <x:v>ROL-205</x:v>
      </x:c>
      <x:c r="J210" s="24" t="str">
        <x:v>Rogue</x:v>
      </x:c>
      <x:c r="K210" s="24" t="str">
        <x:v>Organized networks of thieves with codes, fences, patrons, and local politics.</x:v>
      </x:c>
      <x:c r="L210" s="24" t="str">
        <x:v>Criminal craft, mutual protection, and urban organization.</x:v>
      </x:c>
      <x:c r="M210" s="24" t="str">
        <x:v>Different games depict different chapters and institutional strengths.</x:v>
      </x:c>
      <x:c r="N210" s="24" t="str">
        <x:v>Professional underworld guild.</x:v>
      </x:c>
      <x:c r="O210" s="24" t="str">
        <x:v>Primary canon</x:v>
      </x:c>
      <x:c r="P210" s="24" t="str">
        <x:v>Secondary reference reviewed</x:v>
      </x:c>
      <x:c r="Q210" s="24" t="str">
        <x:v>Franchise-spanning orientation; individual games and eras require continuity-specific verification.</x:v>
      </x:c>
      <x:c r="R210" s="84" t="str">
        <x:v>https://en.wikipedia.org/wiki/The_Elder_Scrolls</x:v>
      </x:c>
      <x:c r="S210" s="24" t="str">
        <x:v>Seeded</x:v>
      </x:c>
    </x:row>
    <x:row r="211" ht="52" customHeight="1">
      <x:c r="A211" s="24" t="str">
        <x:v>ENT-0210</x:v>
      </x:c>
      <x:c r="B211" s="24" t="str">
        <x:v>Vampires</x:v>
      </x:c>
      <x:c r="C211" s="24" t="str">
        <x:v>SRC-134</x:v>
      </x:c>
      <x:c r="D211" s="24" t="str">
        <x:v>The Elder Scrolls</x:v>
      </x:c>
      <x:c r="E211" s="24" t="str">
        <x:v>Franchise setting</x:v>
      </x:c>
      <x:c r="F211" s="24" t="str">
        <x:v>Transformed beings</x:v>
      </x:c>
      <x:c r="G211" s="24" t="str">
        <x:v>PPL-607</x:v>
      </x:c>
      <x:c r="H211" s="24" t="str">
        <x:f>IFERROR(VLOOKUP(G211,'Master Taxonomy'!$A$2:$B$1226,2,FALSE),"")</x:f>
        <x:v>Vampires</x:v>
      </x:c>
      <x:c r="I211" s="24" t="str">
        <x:v>STA-311</x:v>
      </x:c>
      <x:c r="J211" s="24" t="str">
        <x:v>Cursed State</x:v>
      </x:c>
      <x:c r="K211" s="24" t="str">
        <x:v>Multiple vampiric bloodlines and diseases granting powers alongside weaknesses.</x:v>
      </x:c>
      <x:c r="L211" s="24" t="str">
        <x:v>Infection or curse, bloodline, patronage, and transformation.</x:v>
      </x:c>
      <x:c r="M211" s="24" t="str">
        <x:v>There is no single Elder Scrolls vampire template across eras and strains.</x:v>
      </x:c>
      <x:c r="N211" s="24" t="str">
        <x:v>Plural vampiric condition and lineage system.</x:v>
      </x:c>
      <x:c r="O211" s="24" t="str">
        <x:v>Primary canon</x:v>
      </x:c>
      <x:c r="P211" s="24" t="str">
        <x:v>Secondary reference reviewed</x:v>
      </x:c>
      <x:c r="Q211" s="24" t="str">
        <x:v>Franchise-spanning orientation; individual games and eras require continuity-specific verification.</x:v>
      </x:c>
      <x:c r="R211" s="84" t="str">
        <x:v>https://en.wikipedia.org/wiki/The_Elder_Scrolls</x:v>
      </x:c>
      <x:c r="S211" s="24" t="str">
        <x:v>Seeded</x:v>
      </x:c>
    </x:row>
    <x:row r="212" ht="52" customHeight="1">
      <x:c r="A212" s="24" t="str">
        <x:v>ENT-0211</x:v>
      </x:c>
      <x:c r="B212" s="24" t="str">
        <x:v>Werewolves and other werebeasts</x:v>
      </x:c>
      <x:c r="C212" s="24" t="str">
        <x:v>SRC-134</x:v>
      </x:c>
      <x:c r="D212" s="24" t="str">
        <x:v>The Elder Scrolls</x:v>
      </x:c>
      <x:c r="E212" s="24" t="str">
        <x:v>Franchise setting</x:v>
      </x:c>
      <x:c r="F212" s="24" t="str">
        <x:v>Therianthropic transformation</x:v>
      </x:c>
      <x:c r="G212" s="24" t="str">
        <x:v>PPL-1003</x:v>
      </x:c>
      <x:c r="H212" s="24" t="str">
        <x:f>IFERROR(VLOOKUP(G212,'Master Taxonomy'!$A$2:$B$1226,2,FALSE),"")</x:f>
        <x:v>Therianthropes</x:v>
      </x:c>
      <x:c r="I212" s="24" t="str">
        <x:v>STA-201</x:v>
      </x:c>
      <x:c r="J212" s="24" t="str">
        <x:v>Lycanthropy and Therianthropic Curse</x:v>
      </x:c>
      <x:c r="K212" s="24" t="str">
        <x:v>Mortals transformed into predatory beast forms through disease, curse, or divine association.</x:v>
      </x:c>
      <x:c r="L212" s="24" t="str">
        <x:v>Transformation, infection, patronage, and beast-form abilities.</x:v>
      </x:c>
      <x:c r="M212" s="24" t="str">
        <x:v>Multiple were-creature types exist beyond wolves.</x:v>
      </x:c>
      <x:c r="N212" s="24" t="str">
        <x:v>Contagious and patron-linked therianthropy.</x:v>
      </x:c>
      <x:c r="O212" s="24" t="str">
        <x:v>Primary canon</x:v>
      </x:c>
      <x:c r="P212" s="24" t="str">
        <x:v>Secondary reference reviewed</x:v>
      </x:c>
      <x:c r="Q212" s="24" t="str">
        <x:v>Franchise-spanning orientation; individual games and eras require continuity-specific verification.</x:v>
      </x:c>
      <x:c r="R212" s="84" t="str">
        <x:v>https://en.wikipedia.org/wiki/The_Elder_Scrolls</x:v>
      </x:c>
      <x:c r="S212" s="24" t="str">
        <x:v>Seeded</x:v>
      </x:c>
    </x:row>
    <x:row r="213" ht="52" customHeight="1">
      <x:c r="A213" s="24" t="str">
        <x:v>ENT-0212</x:v>
      </x:c>
      <x:c r="B213" s="24" t="str">
        <x:v>Humans</x:v>
      </x:c>
      <x:c r="C213" s="24" t="str">
        <x:v>SRC-135</x:v>
      </x:c>
      <x:c r="D213" s="24" t="str">
        <x:v>Warcraft</x:v>
      </x:c>
      <x:c r="E213" s="24" t="str">
        <x:v>Warcraft setting / WoW playable taxonomy</x:v>
      </x:c>
      <x:c r="F213" s="24" t="str">
        <x:v>Playable race / people</x:v>
      </x:c>
      <x:c r="G213" s="24" t="str">
        <x:v>PPL-101</x:v>
      </x:c>
      <x:c r="H213" s="24" t="str">
        <x:f>IFERROR(VLOOKUP(G213,'Master Taxonomy'!$A$2:$B$1226,2,FALSE),"")</x:f>
        <x:v>Human and Near-Human Peoples</x:v>
      </x:c>
      <x:c r="I213" s="24" t="str"/>
      <x:c r="J213" s="24" t="str"/>
      <x:c r="K213" s="24" t="str">
        <x:v>One of several human civilizations and kingdoms in Azeroth.</x:v>
      </x:c>
      <x:c r="L213" s="24" t="str">
        <x:v>Natural ancestry, culture, state, and faction history.</x:v>
      </x:c>
      <x:c r="M213" s="24" t="str">
        <x:v>Warcraft humans are culturally plural despite a single playable label.</x:v>
      </x:c>
      <x:c r="N213" s="24" t="str">
        <x:v>Baseline human fantasy people.</x:v>
      </x:c>
      <x:c r="O213" s="24" t="str">
        <x:v>Primary canon</x:v>
      </x:c>
      <x:c r="P213" s="24" t="str">
        <x:v>Official reference reviewed</x:v>
      </x:c>
      <x:c r="Q213" s="24" t="str">
        <x:v>Official World of Warcraft race and class reference pages, version-stamped 2026-08-01.</x:v>
      </x:c>
      <x:c r="R213" s="84" t="str">
        <x:v>https://worldofwarcraft.blizzard.com/game/classes</x:v>
      </x:c>
      <x:c r="S213" s="24" t="str">
        <x:v>Seeded</x:v>
      </x:c>
    </x:row>
    <x:row r="214" ht="52" customHeight="1">
      <x:c r="A214" s="24" t="str">
        <x:v>ENT-0213</x:v>
      </x:c>
      <x:c r="B214" s="24" t="str">
        <x:v>Night Elves</x:v>
      </x:c>
      <x:c r="C214" s="24" t="str">
        <x:v>SRC-135</x:v>
      </x:c>
      <x:c r="D214" s="24" t="str">
        <x:v>Warcraft</x:v>
      </x:c>
      <x:c r="E214" s="24" t="str">
        <x:v>Warcraft setting / WoW playable taxonomy</x:v>
      </x:c>
      <x:c r="F214" s="24" t="str">
        <x:v>Playable race / people</x:v>
      </x:c>
      <x:c r="G214" s="24" t="str">
        <x:v>PPL-102</x:v>
      </x:c>
      <x:c r="H214" s="24" t="str">
        <x:f>IFERROR(VLOOKUP(G214,'Master Taxonomy'!$A$2:$B$1226,2,FALSE),"")</x:f>
        <x:v>Elf-Derived Peoples</x:v>
      </x:c>
      <x:c r="I214" s="24" t="str">
        <x:v>CIV-201</x:v>
      </x:c>
      <x:c r="J214" s="24" t="str">
        <x:v>Elven Forest Realm</x:v>
      </x:c>
      <x:c r="K214" s="24" t="str">
        <x:v>Long-lived kaldorei people associated with ancient magic, forests, druidism, and lunar religion.</x:v>
      </x:c>
      <x:c r="L214" s="24" t="str">
        <x:v>Ancestry, historical transformation, culture, and divine ties.</x:v>
      </x:c>
      <x:c r="M214" s="24" t="str">
        <x:v>They are not simply generic dark or wood elves.</x:v>
      </x:c>
      <x:c r="N214" s="24" t="str">
        <x:v>Ancient nocturnal forest-elf civilization.</x:v>
      </x:c>
      <x:c r="O214" s="24" t="str">
        <x:v>Primary canon</x:v>
      </x:c>
      <x:c r="P214" s="24" t="str">
        <x:v>Official reference reviewed</x:v>
      </x:c>
      <x:c r="Q214" s="24" t="str">
        <x:v>Official World of Warcraft race and class reference pages, version-stamped 2026-08-01.</x:v>
      </x:c>
      <x:c r="R214" s="84" t="str">
        <x:v>https://worldofwarcraft.blizzard.com/game/classes</x:v>
      </x:c>
      <x:c r="S214" s="24" t="str">
        <x:v>Seeded</x:v>
      </x:c>
    </x:row>
    <x:row r="215" ht="52" customHeight="1">
      <x:c r="A215" s="24" t="str">
        <x:v>ENT-0214</x:v>
      </x:c>
      <x:c r="B215" s="24" t="str">
        <x:v>Blood Elves</x:v>
      </x:c>
      <x:c r="C215" s="24" t="str">
        <x:v>SRC-135</x:v>
      </x:c>
      <x:c r="D215" s="24" t="str">
        <x:v>Warcraft</x:v>
      </x:c>
      <x:c r="E215" s="24" t="str">
        <x:v>Warcraft setting / WoW playable taxonomy</x:v>
      </x:c>
      <x:c r="F215" s="24" t="str">
        <x:v>Playable race / people</x:v>
      </x:c>
      <x:c r="G215" s="24" t="str">
        <x:v>PPL-102</x:v>
      </x:c>
      <x:c r="H215" s="24" t="str">
        <x:f>IFERROR(VLOOKUP(G215,'Master Taxonomy'!$A$2:$B$1226,2,FALSE),"")</x:f>
        <x:v>Elf-Derived Peoples</x:v>
      </x:c>
      <x:c r="I215" s="24" t="str">
        <x:v>CIV-312</x:v>
      </x:c>
      <x:c r="J215" s="24" t="str">
        <x:v>Magitech Industrial Society</x:v>
      </x:c>
      <x:c r="K215" s="24" t="str">
        <x:v>Sin'dorei descended from high elves, shaped by magical catastrophe, addiction, and reconstruction.</x:v>
      </x:c>
      <x:c r="L215" s="24" t="str">
        <x:v>Ancestry, magical dependence, politics, and urban culture.</x:v>
      </x:c>
      <x:c r="M215" s="24" t="str">
        <x:v>Their name records history and identity, not moral alignment.</x:v>
      </x:c>
      <x:c r="N215" s="24" t="str">
        <x:v>Post-catastrophe arcane elf polity.</x:v>
      </x:c>
      <x:c r="O215" s="24" t="str">
        <x:v>Primary canon</x:v>
      </x:c>
      <x:c r="P215" s="24" t="str">
        <x:v>Official reference reviewed</x:v>
      </x:c>
      <x:c r="Q215" s="24" t="str">
        <x:v>Official World of Warcraft race and class reference pages, version-stamped 2026-08-01.</x:v>
      </x:c>
      <x:c r="R215" s="84" t="str">
        <x:v>https://worldofwarcraft.blizzard.com/game/classes</x:v>
      </x:c>
      <x:c r="S215" s="24" t="str">
        <x:v>Seeded</x:v>
      </x:c>
    </x:row>
    <x:row r="216" ht="52" customHeight="1">
      <x:c r="A216" s="24" t="str">
        <x:v>ENT-0215</x:v>
      </x:c>
      <x:c r="B216" s="24" t="str">
        <x:v>Void Elves</x:v>
      </x:c>
      <x:c r="C216" s="24" t="str">
        <x:v>SRC-135</x:v>
      </x:c>
      <x:c r="D216" s="24" t="str">
        <x:v>Warcraft</x:v>
      </x:c>
      <x:c r="E216" s="24" t="str">
        <x:v>Warcraft setting / WoW playable taxonomy</x:v>
      </x:c>
      <x:c r="F216" s="24" t="str">
        <x:v>Playable race / transformed people</x:v>
      </x:c>
      <x:c r="G216" s="24" t="str">
        <x:v>PPL-102</x:v>
      </x:c>
      <x:c r="H216" s="24" t="str">
        <x:f>IFERROR(VLOOKUP(G216,'Master Taxonomy'!$A$2:$B$1226,2,FALSE),"")</x:f>
        <x:v>Elf-Derived Peoples</x:v>
      </x:c>
      <x:c r="I216" s="24" t="str">
        <x:v>STA-421</x:v>
      </x:c>
      <x:c r="J216" s="24" t="str">
        <x:v>Corruption Empowerment</x:v>
      </x:c>
      <x:c r="K216" s="24" t="str">
        <x:v>Elves transformed or empowered through disciplined exposure to the Void.</x:v>
      </x:c>
      <x:c r="L216" s="24" t="str">
        <x:v>Ancestry plus hazardous metaphysical transformation.</x:v>
      </x:c>
      <x:c r="M216" s="24" t="str">
        <x:v>They are not a wholly separate original species.</x:v>
      </x:c>
      <x:c r="N216" s="24" t="str">
        <x:v>Void-touched elven lineage.</x:v>
      </x:c>
      <x:c r="O216" s="24" t="str">
        <x:v>Primary canon</x:v>
      </x:c>
      <x:c r="P216" s="24" t="str">
        <x:v>Official reference reviewed</x:v>
      </x:c>
      <x:c r="Q216" s="24" t="str">
        <x:v>Official World of Warcraft race and class reference pages, version-stamped 2026-08-01.</x:v>
      </x:c>
      <x:c r="R216" s="84" t="str">
        <x:v>https://worldofwarcraft.blizzard.com/game/classes</x:v>
      </x:c>
      <x:c r="S216" s="24" t="str">
        <x:v>Seeded</x:v>
      </x:c>
    </x:row>
    <x:row r="217" ht="52" customHeight="1">
      <x:c r="A217" s="24" t="str">
        <x:v>ENT-0216</x:v>
      </x:c>
      <x:c r="B217" s="24" t="str">
        <x:v>Dwarves</x:v>
      </x:c>
      <x:c r="C217" s="24" t="str">
        <x:v>SRC-135</x:v>
      </x:c>
      <x:c r="D217" s="24" t="str">
        <x:v>Warcraft</x:v>
      </x:c>
      <x:c r="E217" s="24" t="str">
        <x:v>Warcraft setting / WoW playable taxonomy</x:v>
      </x:c>
      <x:c r="F217" s="24" t="str">
        <x:v>Playable race / people</x:v>
      </x:c>
      <x:c r="G217" s="24" t="str">
        <x:v>PPL-103</x:v>
      </x:c>
      <x:c r="H217" s="24" t="str">
        <x:f>IFERROR(VLOOKUP(G217,'Master Taxonomy'!$A$2:$B$1226,2,FALSE),"")</x:f>
        <x:v>Dwarf-Derived Peoples</x:v>
      </x:c>
      <x:c r="I217" s="24" t="str"/>
      <x:c r="J217" s="24" t="str"/>
      <x:c r="K217" s="24" t="str">
        <x:v>Titan-forged-descended peoples with multiple clans and archaeological traditions.</x:v>
      </x:c>
      <x:c r="L217" s="24" t="str">
        <x:v>Construct ancestry transformed into flesh, clan culture, craft, and history.</x:v>
      </x:c>
      <x:c r="M217" s="24" t="str">
        <x:v>Their origin differs sharply from naturally evolved or Tolkienian dwarves.</x:v>
      </x:c>
      <x:c r="N217" s="24" t="str">
        <x:v>Clan-based titan-descended dwarves.</x:v>
      </x:c>
      <x:c r="O217" s="24" t="str">
        <x:v>Primary canon</x:v>
      </x:c>
      <x:c r="P217" s="24" t="str">
        <x:v>Official reference reviewed</x:v>
      </x:c>
      <x:c r="Q217" s="24" t="str">
        <x:v>Official World of Warcraft race and class reference pages, version-stamped 2026-08-01.</x:v>
      </x:c>
      <x:c r="R217" s="84" t="str">
        <x:v>https://worldofwarcraft.blizzard.com/game/classes</x:v>
      </x:c>
      <x:c r="S217" s="24" t="str">
        <x:v>Seeded</x:v>
      </x:c>
    </x:row>
    <x:row r="218" ht="52" customHeight="1">
      <x:c r="A218" s="24" t="str">
        <x:v>ENT-0217</x:v>
      </x:c>
      <x:c r="B218" s="24" t="str">
        <x:v>Gnomes</x:v>
      </x:c>
      <x:c r="C218" s="24" t="str">
        <x:v>SRC-135</x:v>
      </x:c>
      <x:c r="D218" s="24" t="str">
        <x:v>Warcraft</x:v>
      </x:c>
      <x:c r="E218" s="24" t="str">
        <x:v>Warcraft setting / WoW playable taxonomy</x:v>
      </x:c>
      <x:c r="F218" s="24" t="str">
        <x:v>Playable race / people</x:v>
      </x:c>
      <x:c r="G218" s="24" t="str">
        <x:v>PPL-105</x:v>
      </x:c>
      <x:c r="H218" s="24" t="str">
        <x:f>IFERROR(VLOOKUP(G218,'Master Taxonomy'!$A$2:$B$1226,2,FALSE),"")</x:f>
        <x:v>Gnome and Tinkerfolk Peoples</x:v>
      </x:c>
      <x:c r="I218" s="24" t="str">
        <x:v>CIV-312</x:v>
      </x:c>
      <x:c r="J218" s="24" t="str">
        <x:v>Magitech Industrial Society</x:v>
      </x:c>
      <x:c r="K218" s="24" t="str">
        <x:v>Small titan-forged-descended people strongly associated with engineering and invention.</x:v>
      </x:c>
      <x:c r="L218" s="24" t="str">
        <x:v>Construct ancestry transformed into flesh, technology, and culture.</x:v>
      </x:c>
      <x:c r="M218" s="24" t="str">
        <x:v>Engineering is culturally prominent but not an innate profession of every gnome.</x:v>
      </x:c>
      <x:c r="N218" s="24" t="str">
        <x:v>Technological gnome civilization.</x:v>
      </x:c>
      <x:c r="O218" s="24" t="str">
        <x:v>Primary canon</x:v>
      </x:c>
      <x:c r="P218" s="24" t="str">
        <x:v>Official reference reviewed</x:v>
      </x:c>
      <x:c r="Q218" s="24" t="str">
        <x:v>Official World of Warcraft race and class reference pages, version-stamped 2026-08-01.</x:v>
      </x:c>
      <x:c r="R218" s="84" t="str">
        <x:v>https://worldofwarcraft.blizzard.com/game/classes</x:v>
      </x:c>
      <x:c r="S218" s="24" t="str">
        <x:v>Seeded</x:v>
      </x:c>
    </x:row>
    <x:row r="219" ht="52" customHeight="1">
      <x:c r="A219" s="24" t="str">
        <x:v>ENT-0218</x:v>
      </x:c>
      <x:c r="B219" s="24" t="str">
        <x:v>Orcs</x:v>
      </x:c>
      <x:c r="C219" s="24" t="str">
        <x:v>SRC-135</x:v>
      </x:c>
      <x:c r="D219" s="24" t="str">
        <x:v>Warcraft</x:v>
      </x:c>
      <x:c r="E219" s="24" t="str">
        <x:v>Warcraft setting / WoW playable taxonomy</x:v>
      </x:c>
      <x:c r="F219" s="24" t="str">
        <x:v>Playable race / people</x:v>
      </x:c>
      <x:c r="G219" s="24" t="str">
        <x:v>PPL-106</x:v>
      </x:c>
      <x:c r="H219" s="24" t="str">
        <x:f>IFERROR(VLOOKUP(G219,'Master Taxonomy'!$A$2:$B$1226,2,FALSE),"")</x:f>
        <x:v>Orc-Derived Peoples</x:v>
      </x:c>
      <x:c r="I219" s="24" t="str"/>
      <x:c r="J219" s="24" t="str"/>
      <x:c r="K219" s="24" t="str">
        <x:v>A people from Draenor whose history includes clans, shamanism, demonic corruption, invasion, and renewal.</x:v>
      </x:c>
      <x:c r="L219" s="24" t="str">
        <x:v>Natural ancestry, clan culture, and historical magical corruption.</x:v>
      </x:c>
      <x:c r="M219" s="24" t="str">
        <x:v>Their violent periods are historical and political, not proof of inherent evil.</x:v>
      </x:c>
      <x:c r="N219" s="24" t="str">
        <x:v>Clan-based orc civilization.</x:v>
      </x:c>
      <x:c r="O219" s="24" t="str">
        <x:v>Primary canon</x:v>
      </x:c>
      <x:c r="P219" s="24" t="str">
        <x:v>Official reference reviewed</x:v>
      </x:c>
      <x:c r="Q219" s="24" t="str">
        <x:v>Official World of Warcraft race and class reference pages, version-stamped 2026-08-01.</x:v>
      </x:c>
      <x:c r="R219" s="84" t="str">
        <x:v>https://worldofwarcraft.blizzard.com/game/classes</x:v>
      </x:c>
      <x:c r="S219" s="24" t="str">
        <x:v>Seeded</x:v>
      </x:c>
    </x:row>
    <x:row r="220" ht="52" customHeight="1">
      <x:c r="A220" s="24" t="str">
        <x:v>ENT-0219</x:v>
      </x:c>
      <x:c r="B220" s="24" t="str">
        <x:v>Trolls</x:v>
      </x:c>
      <x:c r="C220" s="24" t="str">
        <x:v>SRC-135</x:v>
      </x:c>
      <x:c r="D220" s="24" t="str">
        <x:v>Warcraft</x:v>
      </x:c>
      <x:c r="E220" s="24" t="str">
        <x:v>Warcraft setting / WoW playable taxonomy</x:v>
      </x:c>
      <x:c r="F220" s="24" t="str">
        <x:v>Playable race / people</x:v>
      </x:c>
      <x:c r="G220" s="24" t="str">
        <x:v>PPL-110</x:v>
      </x:c>
      <x:c r="H220" s="24" t="str">
        <x:f>IFERROR(VLOOKUP(G220,'Master Taxonomy'!$A$2:$B$1226,2,FALSE),"")</x:f>
        <x:v>Trollkin Peoples</x:v>
      </x:c>
      <x:c r="I220" s="24" t="str"/>
      <x:c r="J220" s="24" t="str"/>
      <x:c r="K220" s="24" t="str">
        <x:v>Ancient and highly diverse peoples with many tribes, empires, religions, and adaptations.</x:v>
      </x:c>
      <x:c r="L220" s="24" t="str">
        <x:v>Natural ancestry, regional forms, loa traditions, and political history.</x:v>
      </x:c>
      <x:c r="M220" s="24" t="str">
        <x:v>The playable label represents only some troll communities.</x:v>
      </x:c>
      <x:c r="N220" s="24" t="str">
        <x:v>Ancient tribal and imperial troll peoples.</x:v>
      </x:c>
      <x:c r="O220" s="24" t="str">
        <x:v>Primary canon</x:v>
      </x:c>
      <x:c r="P220" s="24" t="str">
        <x:v>Official reference reviewed</x:v>
      </x:c>
      <x:c r="Q220" s="24" t="str">
        <x:v>Official World of Warcraft race and class reference pages, version-stamped 2026-08-01.</x:v>
      </x:c>
      <x:c r="R220" s="84" t="str">
        <x:v>https://worldofwarcraft.blizzard.com/game/classes</x:v>
      </x:c>
      <x:c r="S220" s="24" t="str">
        <x:v>Seeded</x:v>
      </x:c>
    </x:row>
    <x:row r="221" ht="52" customHeight="1">
      <x:c r="A221" s="24" t="str">
        <x:v>ENT-0220</x:v>
      </x:c>
      <x:c r="B221" s="24" t="str">
        <x:v>Tauren</x:v>
      </x:c>
      <x:c r="C221" s="24" t="str">
        <x:v>SRC-135</x:v>
      </x:c>
      <x:c r="D221" s="24" t="str">
        <x:v>Warcraft</x:v>
      </x:c>
      <x:c r="E221" s="24" t="str">
        <x:v>Warcraft setting / WoW playable taxonomy</x:v>
      </x:c>
      <x:c r="F221" s="24" t="str">
        <x:v>Playable race / people</x:v>
      </x:c>
      <x:c r="G221" s="24" t="str">
        <x:v>PPL-123</x:v>
      </x:c>
      <x:c r="H221" s="24" t="str">
        <x:f>IFERROR(VLOOKUP(G221,'Master Taxonomy'!$A$2:$B$1226,2,FALSE),"")</x:f>
        <x:v>Bovine and Caprine Beastfolk</x:v>
      </x:c>
      <x:c r="I221" s="24" t="str">
        <x:v>CIV-205</x:v>
      </x:c>
      <x:c r="J221" s="24" t="str">
        <x:v>Nomadic Horse Culture</x:v>
      </x:c>
      <x:c r="K221" s="24" t="str">
        <x:v>Large bovine-featured people with spiritual, clan, and plains-based traditions.</x:v>
      </x:c>
      <x:c r="L221" s="24" t="str">
        <x:v>Natural ancestry, kinship, shamanic and druidic culture.</x:v>
      </x:c>
      <x:c r="M221" s="24" t="str">
        <x:v>The horse-culture tag is only a loose mobility comparison; tauren are not horse peoples.</x:v>
      </x:c>
      <x:c r="N221" s="24" t="str">
        <x:v>Bovine pastoral-spiritual people.</x:v>
      </x:c>
      <x:c r="O221" s="24" t="str">
        <x:v>Primary canon</x:v>
      </x:c>
      <x:c r="P221" s="24" t="str">
        <x:v>Official reference reviewed</x:v>
      </x:c>
      <x:c r="Q221" s="24" t="str">
        <x:v>Official World of Warcraft race and class reference pages, version-stamped 2026-08-01.</x:v>
      </x:c>
      <x:c r="R221" s="84" t="str">
        <x:v>https://worldofwarcraft.blizzard.com/game/classes</x:v>
      </x:c>
      <x:c r="S221" s="24" t="str">
        <x:v>Seeded</x:v>
      </x:c>
    </x:row>
    <x:row r="222" ht="52" customHeight="1">
      <x:c r="A222" s="24" t="str">
        <x:v>ENT-0221</x:v>
      </x:c>
      <x:c r="B222" s="24" t="str">
        <x:v>Forsaken</x:v>
      </x:c>
      <x:c r="C222" s="24" t="str">
        <x:v>SRC-135</x:v>
      </x:c>
      <x:c r="D222" s="24" t="str">
        <x:v>Warcraft</x:v>
      </x:c>
      <x:c r="E222" s="24" t="str">
        <x:v>Warcraft setting / WoW playable taxonomy</x:v>
      </x:c>
      <x:c r="F222" s="24" t="str">
        <x:v>Playable undead people</x:v>
      </x:c>
      <x:c r="G222" s="24" t="str">
        <x:v>PPL-615</x:v>
      </x:c>
      <x:c r="H222" s="24" t="str">
        <x:f>IFERROR(VLOOKUP(G222,'Master Taxonomy'!$A$2:$B$1226,2,FALSE),"")</x:f>
        <x:v>Intelligent Undead Peoples</x:v>
      </x:c>
      <x:c r="I222" s="24" t="str">
        <x:v>STA-115</x:v>
      </x:c>
      <x:c r="J222" s="24" t="str">
        <x:v>Undead Servitude</x:v>
      </x:c>
      <x:c r="K222" s="24" t="str">
        <x:v>Self-aware undead communities freed from or resisting prior domination.</x:v>
      </x:c>
      <x:c r="L222" s="24" t="str">
        <x:v>Undeath, retained identity, political community, and contested autonomy.</x:v>
      </x:c>
      <x:c r="M222" s="24" t="str">
        <x:v>They are a people and faction, not generic mindless zombies.</x:v>
      </x:c>
      <x:c r="N222" s="24" t="str">
        <x:v>Post-servitude undead nation.</x:v>
      </x:c>
      <x:c r="O222" s="24" t="str">
        <x:v>Primary canon</x:v>
      </x:c>
      <x:c r="P222" s="24" t="str">
        <x:v>Official reference reviewed</x:v>
      </x:c>
      <x:c r="Q222" s="24" t="str">
        <x:v>Official World of Warcraft race and class reference pages, version-stamped 2026-08-01.</x:v>
      </x:c>
      <x:c r="R222" s="84" t="str">
        <x:v>https://worldofwarcraft.blizzard.com/game/classes</x:v>
      </x:c>
      <x:c r="S222" s="24" t="str">
        <x:v>Seeded</x:v>
      </x:c>
    </x:row>
    <x:row r="223" ht="52" customHeight="1">
      <x:c r="A223" s="24" t="str">
        <x:v>ENT-0222</x:v>
      </x:c>
      <x:c r="B223" s="24" t="str">
        <x:v>Draenei</x:v>
      </x:c>
      <x:c r="C223" s="24" t="str">
        <x:v>SRC-135</x:v>
      </x:c>
      <x:c r="D223" s="24" t="str">
        <x:v>Warcraft</x:v>
      </x:c>
      <x:c r="E223" s="24" t="str">
        <x:v>Warcraft setting / WoW playable taxonomy</x:v>
      </x:c>
      <x:c r="F223" s="24" t="str">
        <x:v>Playable otherworldly people</x:v>
      </x:c>
      <x:c r="G223" s="24" t="str">
        <x:v>PPL-1102</x:v>
      </x:c>
      <x:c r="H223" s="24" t="str">
        <x:f>IFERROR(VLOOKUP(G223,'Master Taxonomy'!$A$2:$B$1226,2,FALSE),"")</x:f>
        <x:v>Alien and Otherworlder Peoples</x:v>
      </x:c>
      <x:c r="I223" s="24" t="str">
        <x:v>PPL-400</x:v>
      </x:c>
      <x:c r="J223" s="24" t="str">
        <x:v>Divine and Celestial Beings</x:v>
      </x:c>
      <x:c r="K223" s="24" t="str">
        <x:v>Long-lived eredar exiles associated with the Light, interworld travel, and technological relics.</x:v>
      </x:c>
      <x:c r="L223" s="24" t="str">
        <x:v>Otherworldly ancestry, faith, exile, and advanced artifice.</x:v>
      </x:c>
      <x:c r="M223" s="24" t="str">
        <x:v>They are not angels despite visual and religious associations.</x:v>
      </x:c>
      <x:c r="N223" s="24" t="str">
        <x:v>Exiled celestial-coded alien people.</x:v>
      </x:c>
      <x:c r="O223" s="24" t="str">
        <x:v>Primary canon</x:v>
      </x:c>
      <x:c r="P223" s="24" t="str">
        <x:v>Official reference reviewed</x:v>
      </x:c>
      <x:c r="Q223" s="24" t="str">
        <x:v>Official World of Warcraft race and class reference pages, version-stamped 2026-08-01.</x:v>
      </x:c>
      <x:c r="R223" s="84" t="str">
        <x:v>https://worldofwarcraft.blizzard.com/game/classes</x:v>
      </x:c>
      <x:c r="S223" s="24" t="str">
        <x:v>Seeded</x:v>
      </x:c>
    </x:row>
    <x:row r="224" ht="52" customHeight="1">
      <x:c r="A224" s="24" t="str">
        <x:v>ENT-0223</x:v>
      </x:c>
      <x:c r="B224" s="24" t="str">
        <x:v>Pandaren</x:v>
      </x:c>
      <x:c r="C224" s="24" t="str">
        <x:v>SRC-135</x:v>
      </x:c>
      <x:c r="D224" s="24" t="str">
        <x:v>Warcraft</x:v>
      </x:c>
      <x:c r="E224" s="24" t="str">
        <x:v>Warcraft setting / WoW playable taxonomy</x:v>
      </x:c>
      <x:c r="F224" s="24" t="str">
        <x:v>Playable beastfolk people</x:v>
      </x:c>
      <x:c r="G224" s="24" t="str">
        <x:v>PPL-122</x:v>
      </x:c>
      <x:c r="H224" s="24" t="str">
        <x:f>IFERROR(VLOOKUP(G224,'Master Taxonomy'!$A$2:$B$1226,2,FALSE),"")</x:f>
        <x:v>Ursine Beastfolk</x:v>
      </x:c>
      <x:c r="I224" s="24" t="str"/>
      <x:c r="J224" s="24" t="str"/>
      <x:c r="K224" s="24" t="str">
        <x:v>Panda-featured people with multiple philosophical, martial, and regional traditions.</x:v>
      </x:c>
      <x:c r="L224" s="24" t="str">
        <x:v>Natural ancestry, culture, and history.</x:v>
      </x:c>
      <x:c r="M224" s="24" t="str">
        <x:v>Their presentation mixes comedy, martial philosophy, and serious political history.</x:v>
      </x:c>
      <x:c r="N224" s="24" t="str">
        <x:v>Ursine martial-agrarian people.</x:v>
      </x:c>
      <x:c r="O224" s="24" t="str">
        <x:v>Primary canon</x:v>
      </x:c>
      <x:c r="P224" s="24" t="str">
        <x:v>Official reference reviewed</x:v>
      </x:c>
      <x:c r="Q224" s="24" t="str">
        <x:v>Official World of Warcraft race and class reference pages, version-stamped 2026-08-01.</x:v>
      </x:c>
      <x:c r="R224" s="84" t="str">
        <x:v>https://worldofwarcraft.blizzard.com/game/classes</x:v>
      </x:c>
      <x:c r="S224" s="24" t="str">
        <x:v>Seeded</x:v>
      </x:c>
    </x:row>
    <x:row r="225" ht="52" customHeight="1">
      <x:c r="A225" s="24" t="str">
        <x:v>ENT-0224</x:v>
      </x:c>
      <x:c r="B225" s="24" t="str">
        <x:v>Goblins</x:v>
      </x:c>
      <x:c r="C225" s="24" t="str">
        <x:v>SRC-135</x:v>
      </x:c>
      <x:c r="D225" s="24" t="str">
        <x:v>Warcraft</x:v>
      </x:c>
      <x:c r="E225" s="24" t="str">
        <x:v>Warcraft setting / WoW playable taxonomy</x:v>
      </x:c>
      <x:c r="F225" s="24" t="str">
        <x:v>Playable people</x:v>
      </x:c>
      <x:c r="G225" s="24" t="str">
        <x:v>PPL-107</x:v>
      </x:c>
      <x:c r="H225" s="24" t="str">
        <x:f>IFERROR(VLOOKUP(G225,'Master Taxonomy'!$A$2:$B$1226,2,FALSE),"")</x:f>
        <x:v>Goblinoid Peoples</x:v>
      </x:c>
      <x:c r="I225" s="24" t="str">
        <x:v>CIV-301</x:v>
      </x:c>
      <x:c r="J225" s="24" t="str">
        <x:v>Guild-Dominated City</x:v>
      </x:c>
      <x:c r="K225" s="24" t="str">
        <x:v>Inventive goblin societies shaped by commerce, cartels, engineering, and risk-taking.</x:v>
      </x:c>
      <x:c r="L225" s="24" t="str">
        <x:v>Natural ancestry, economics, technology, and corporate institutions.</x:v>
      </x:c>
      <x:c r="M225" s="24" t="str">
        <x:v>The profit-seeking stereotype is culturally specific and satirical, not biological essence.</x:v>
      </x:c>
      <x:c r="N225" s="24" t="str">
        <x:v>Mercantile industrial goblinoids.</x:v>
      </x:c>
      <x:c r="O225" s="24" t="str">
        <x:v>Primary canon</x:v>
      </x:c>
      <x:c r="P225" s="24" t="str">
        <x:v>Official reference reviewed</x:v>
      </x:c>
      <x:c r="Q225" s="24" t="str">
        <x:v>Official World of Warcraft race and class reference pages, version-stamped 2026-08-01.</x:v>
      </x:c>
      <x:c r="R225" s="84" t="str">
        <x:v>https://worldofwarcraft.blizzard.com/game/classes</x:v>
      </x:c>
      <x:c r="S225" s="24" t="str">
        <x:v>Seeded</x:v>
      </x:c>
    </x:row>
    <x:row r="226" ht="52" customHeight="1">
      <x:c r="A226" s="24" t="str">
        <x:v>ENT-0225</x:v>
      </x:c>
      <x:c r="B226" s="24" t="str">
        <x:v>Worgen</x:v>
      </x:c>
      <x:c r="C226" s="24" t="str">
        <x:v>SRC-135</x:v>
      </x:c>
      <x:c r="D226" s="24" t="str">
        <x:v>Warcraft</x:v>
      </x:c>
      <x:c r="E226" s="24" t="str">
        <x:v>Warcraft setting / WoW playable taxonomy</x:v>
      </x:c>
      <x:c r="F226" s="24" t="str">
        <x:v>Playable cursed people</x:v>
      </x:c>
      <x:c r="G226" s="24" t="str">
        <x:v>PPL-1003</x:v>
      </x:c>
      <x:c r="H226" s="24" t="str">
        <x:f>IFERROR(VLOOKUP(G226,'Master Taxonomy'!$A$2:$B$1226,2,FALSE),"")</x:f>
        <x:v>Therianthropes</x:v>
      </x:c>
      <x:c r="I226" s="24" t="str">
        <x:v>STA-201</x:v>
      </x:c>
      <x:c r="J226" s="24" t="str">
        <x:v>Lycanthropy and Therianthropic Curse</x:v>
      </x:c>
      <x:c r="K226" s="24" t="str">
        <x:v>Humans and related sufferers transformed by a controlled or inherited worgen curse.</x:v>
      </x:c>
      <x:c r="L226" s="24" t="str">
        <x:v>Curse, bodily transformation, social identity, and partial control.</x:v>
      </x:c>
      <x:c r="M226" s="24" t="str">
        <x:v>A transformed population rather than an original wolf species.</x:v>
      </x:c>
      <x:c r="N226" s="24" t="str">
        <x:v>Playable werewolf people.</x:v>
      </x:c>
      <x:c r="O226" s="24" t="str">
        <x:v>Primary canon</x:v>
      </x:c>
      <x:c r="P226" s="24" t="str">
        <x:v>Official reference reviewed</x:v>
      </x:c>
      <x:c r="Q226" s="24" t="str">
        <x:v>Official World of Warcraft race and class reference pages, version-stamped 2026-08-01.</x:v>
      </x:c>
      <x:c r="R226" s="84" t="str">
        <x:v>https://worldofwarcraft.blizzard.com/game/classes</x:v>
      </x:c>
      <x:c r="S226" s="24" t="str">
        <x:v>Seeded</x:v>
      </x:c>
    </x:row>
    <x:row r="227" ht="52" customHeight="1">
      <x:c r="A227" s="24" t="str">
        <x:v>ENT-0226</x:v>
      </x:c>
      <x:c r="B227" s="24" t="str">
        <x:v>Dracthyr</x:v>
      </x:c>
      <x:c r="C227" s="24" t="str">
        <x:v>SRC-135</x:v>
      </x:c>
      <x:c r="D227" s="24" t="str">
        <x:v>Warcraft</x:v>
      </x:c>
      <x:c r="E227" s="24" t="str">
        <x:v>Warcraft setting / WoW playable taxonomy</x:v>
      </x:c>
      <x:c r="F227" s="24" t="str">
        <x:v>Playable engineered draconic people</x:v>
      </x:c>
      <x:c r="G227" s="24" t="str">
        <x:v>PPL-114</x:v>
      </x:c>
      <x:c r="H227" s="24" t="str">
        <x:f>IFERROR(VLOOKUP(G227,'Master Taxonomy'!$A$2:$B$1226,2,FALSE),"")</x:f>
        <x:v>Draconic Humanoid Peoples</x:v>
      </x:c>
      <x:c r="I227" s="24" t="str">
        <x:v>PPL-709</x:v>
      </x:c>
      <x:c r="J227" s="24" t="str">
        <x:v>Engineered Species</x:v>
      </x:c>
      <x:c r="K227" s="24" t="str">
        <x:v>Draconic humanoids created with multiple dragonflight powers and a humanoid visage.</x:v>
      </x:c>
      <x:c r="L227" s="24" t="str">
        <x:v>Engineered ancestry, draconic magic, training, and awakening.</x:v>
      </x:c>
      <x:c r="M227" s="24" t="str">
        <x:v>They are distinct from dragonspawn, dragons, and ordinary humanoids.</x:v>
      </x:c>
      <x:c r="N227" s="24" t="str">
        <x:v>Designed draconic caster people.</x:v>
      </x:c>
      <x:c r="O227" s="24" t="str">
        <x:v>Primary canon</x:v>
      </x:c>
      <x:c r="P227" s="24" t="str">
        <x:v>Official reference reviewed</x:v>
      </x:c>
      <x:c r="Q227" s="24" t="str">
        <x:v>Official World of Warcraft race and class reference pages, version-stamped 2026-08-01.</x:v>
      </x:c>
      <x:c r="R227" s="84" t="str">
        <x:v>https://worldofwarcraft.blizzard.com/game/classes</x:v>
      </x:c>
      <x:c r="S227" s="24" t="str">
        <x:v>Seeded</x:v>
      </x:c>
    </x:row>
    <x:row r="228" ht="52" customHeight="1">
      <x:c r="A228" s="24" t="str">
        <x:v>ENT-0227</x:v>
      </x:c>
      <x:c r="B228" s="24" t="str">
        <x:v>Warrior</x:v>
      </x:c>
      <x:c r="C228" s="24" t="str">
        <x:v>SRC-135</x:v>
      </x:c>
      <x:c r="D228" s="24" t="str">
        <x:v>Warcraft</x:v>
      </x:c>
      <x:c r="E228" s="24" t="str">
        <x:v>World of Warcraft class system</x:v>
      </x:c>
      <x:c r="F228" s="24" t="str">
        <x:v>Playable class</x:v>
      </x:c>
      <x:c r="G228" s="24" t="str">
        <x:v>ROL-101</x:v>
      </x:c>
      <x:c r="H228" s="24" t="str">
        <x:f>IFERROR(VLOOKUP(G228,'Master Taxonomy'!$A$2:$B$1226,2,FALSE),"")</x:f>
        <x:v>Warrior or Fighter</x:v>
      </x:c>
      <x:c r="I228" s="24" t="str">
        <x:v>MEC-101</x:v>
      </x:c>
      <x:c r="J228" s="24" t="str">
        <x:v>Tank</x:v>
      </x:c>
      <x:c r="K228" s="24" t="str">
        <x:v>Weapon-and-armor martial class spanning protection and damage specializations.</x:v>
      </x:c>
      <x:c r="L228" s="24" t="str">
        <x:v>Training, rage, equipment, and specialization.</x:v>
      </x:c>
      <x:c r="M228" s="24" t="str">
        <x:v>The class is a rules family, not every soldier in the setting.</x:v>
      </x:c>
      <x:c r="N228" s="24" t="str">
        <x:v>Martial tank/striker class.</x:v>
      </x:c>
      <x:c r="O228" s="24" t="str">
        <x:v>Primary canon</x:v>
      </x:c>
      <x:c r="P228" s="24" t="str">
        <x:v>Official reference reviewed</x:v>
      </x:c>
      <x:c r="Q228" s="24" t="str">
        <x:v>Official World of Warcraft race and class reference pages, version-stamped 2026-08-01.</x:v>
      </x:c>
      <x:c r="R228" s="84" t="str">
        <x:v>https://worldofwarcraft.blizzard.com/game/classes</x:v>
      </x:c>
      <x:c r="S228" s="24" t="str">
        <x:v>Seeded</x:v>
      </x:c>
    </x:row>
    <x:row r="229" ht="52" customHeight="1">
      <x:c r="A229" s="24" t="str">
        <x:v>ENT-0228</x:v>
      </x:c>
      <x:c r="B229" s="24" t="str">
        <x:v>Hunter</x:v>
      </x:c>
      <x:c r="C229" s="24" t="str">
        <x:v>SRC-135</x:v>
      </x:c>
      <x:c r="D229" s="24" t="str">
        <x:v>Warcraft</x:v>
      </x:c>
      <x:c r="E229" s="24" t="str">
        <x:v>World of Warcraft class system</x:v>
      </x:c>
      <x:c r="F229" s="24" t="str">
        <x:v>Playable class</x:v>
      </x:c>
      <x:c r="G229" s="24" t="str">
        <x:v>ROL-126</x:v>
      </x:c>
      <x:c r="H229" s="24" t="str">
        <x:f>IFERROR(VLOOKUP(G229,'Master Taxonomy'!$A$2:$B$1226,2,FALSE),"")</x:f>
        <x:v>Hunter</x:v>
      </x:c>
      <x:c r="I229" s="24" t="str">
        <x:v>MEC-134</x:v>
      </x:c>
      <x:c r="J229" s="24" t="str">
        <x:v>Summoner or Pet Role</x:v>
      </x:c>
      <x:c r="K229" s="24" t="str">
        <x:v>Ranged or beast-linked class using weapons, traps, tracking, and animal companions.</x:v>
      </x:c>
      <x:c r="L229" s="24" t="str">
        <x:v>Training, ranged weapons, pets, and specialization.</x:v>
      </x:c>
      <x:c r="M229" s="24" t="str">
        <x:v>The mechanical Hunter includes multiple fictional vocations.</x:v>
      </x:c>
      <x:c r="N229" s="24" t="str">
        <x:v>Ranged striker and pet specialist.</x:v>
      </x:c>
      <x:c r="O229" s="24" t="str">
        <x:v>Primary canon</x:v>
      </x:c>
      <x:c r="P229" s="24" t="str">
        <x:v>Official reference reviewed</x:v>
      </x:c>
      <x:c r="Q229" s="24" t="str">
        <x:v>Official World of Warcraft race and class reference pages, version-stamped 2026-08-01.</x:v>
      </x:c>
      <x:c r="R229" s="84" t="str">
        <x:v>https://worldofwarcraft.blizzard.com/game/classes</x:v>
      </x:c>
      <x:c r="S229" s="24" t="str">
        <x:v>Seeded</x:v>
      </x:c>
    </x:row>
    <x:row r="230" ht="52" customHeight="1">
      <x:c r="A230" s="24" t="str">
        <x:v>ENT-0229</x:v>
      </x:c>
      <x:c r="B230" s="24" t="str">
        <x:v>Priest</x:v>
      </x:c>
      <x:c r="C230" s="24" t="str">
        <x:v>SRC-135</x:v>
      </x:c>
      <x:c r="D230" s="24" t="str">
        <x:v>Warcraft</x:v>
      </x:c>
      <x:c r="E230" s="24" t="str">
        <x:v>World of Warcraft class system</x:v>
      </x:c>
      <x:c r="F230" s="24" t="str">
        <x:v>Playable class</x:v>
      </x:c>
      <x:c r="G230" s="24" t="str">
        <x:v>ROL-401</x:v>
      </x:c>
      <x:c r="H230" s="24" t="str">
        <x:f>IFERROR(VLOOKUP(G230,'Master Taxonomy'!$A$2:$B$1226,2,FALSE),"")</x:f>
        <x:v>Priest</x:v>
      </x:c>
      <x:c r="I230" s="24" t="str">
        <x:v>MEC-112</x:v>
      </x:c>
      <x:c r="J230" s="24" t="str">
        <x:v>Healer</x:v>
      </x:c>
      <x:c r="K230" s="24" t="str">
        <x:v>Light- or shadow-oriented spellcasting class with healing and damage specializations.</x:v>
      </x:c>
      <x:c r="L230" s="24" t="str">
        <x:v>Faith, psychic or sacred magic, and specialization.</x:v>
      </x:c>
      <x:c r="M230" s="24" t="str">
        <x:v>The class joins multiple religions under one mechanical framework.</x:v>
      </x:c>
      <x:c r="N230" s="24" t="str">
        <x:v>Sacred healer and shadow caster.</x:v>
      </x:c>
      <x:c r="O230" s="24" t="str">
        <x:v>Primary canon</x:v>
      </x:c>
      <x:c r="P230" s="24" t="str">
        <x:v>Official reference reviewed</x:v>
      </x:c>
      <x:c r="Q230" s="24" t="str">
        <x:v>Official World of Warcraft race and class reference pages, version-stamped 2026-08-01.</x:v>
      </x:c>
      <x:c r="R230" s="84" t="str">
        <x:v>https://worldofwarcraft.blizzard.com/game/classes</x:v>
      </x:c>
      <x:c r="S230" s="24" t="str">
        <x:v>Seeded</x:v>
      </x:c>
    </x:row>
    <x:row r="231" ht="52" customHeight="1">
      <x:c r="A231" s="24" t="str">
        <x:v>ENT-0230</x:v>
      </x:c>
      <x:c r="B231" s="24" t="str">
        <x:v>Mage</x:v>
      </x:c>
      <x:c r="C231" s="24" t="str">
        <x:v>SRC-135</x:v>
      </x:c>
      <x:c r="D231" s="24" t="str">
        <x:v>Warcraft</x:v>
      </x:c>
      <x:c r="E231" s="24" t="str">
        <x:v>World of Warcraft class system</x:v>
      </x:c>
      <x:c r="F231" s="24" t="str">
        <x:v>Playable class</x:v>
      </x:c>
      <x:c r="G231" s="24" t="str">
        <x:v>ROL-301</x:v>
      </x:c>
      <x:c r="H231" s="24" t="str">
        <x:f>IFERROR(VLOOKUP(G231,'Master Taxonomy'!$A$2:$B$1226,2,FALSE),"")</x:f>
        <x:v>Mage and Wizard</x:v>
      </x:c>
      <x:c r="I231" s="24" t="str">
        <x:v>ROL-320</x:v>
      </x:c>
      <x:c r="J231" s="24" t="str">
        <x:v>Elementalist</x:v>
      </x:c>
      <x:c r="K231" s="24" t="str">
        <x:v>Learned arcane class specializing in fire, frost, or arcane magic.</x:v>
      </x:c>
      <x:c r="L231" s="24" t="str">
        <x:v>Study, arcane power, elemental schools, and specialization.</x:v>
      </x:c>
      <x:c r="M231" s="24" t="str">
        <x:v>Not every setting mage uses this three-school structure.</x:v>
      </x:c>
      <x:c r="N231" s="24" t="str">
        <x:v>Elemental/arcane damage caster.</x:v>
      </x:c>
      <x:c r="O231" s="24" t="str">
        <x:v>Primary canon</x:v>
      </x:c>
      <x:c r="P231" s="24" t="str">
        <x:v>Official reference reviewed</x:v>
      </x:c>
      <x:c r="Q231" s="24" t="str">
        <x:v>Official World of Warcraft race and class reference pages, version-stamped 2026-08-01.</x:v>
      </x:c>
      <x:c r="R231" s="84" t="str">
        <x:v>https://worldofwarcraft.blizzard.com/game/classes</x:v>
      </x:c>
      <x:c r="S231" s="24" t="str">
        <x:v>Seeded</x:v>
      </x:c>
    </x:row>
    <x:row r="232" ht="52" customHeight="1">
      <x:c r="A232" s="24" t="str">
        <x:v>ENT-0231</x:v>
      </x:c>
      <x:c r="B232" s="24" t="str">
        <x:v>Monk</x:v>
      </x:c>
      <x:c r="C232" s="24" t="str">
        <x:v>SRC-135</x:v>
      </x:c>
      <x:c r="D232" s="24" t="str">
        <x:v>Warcraft</x:v>
      </x:c>
      <x:c r="E232" s="24" t="str">
        <x:v>World of Warcraft class system</x:v>
      </x:c>
      <x:c r="F232" s="24" t="str">
        <x:v>Playable class</x:v>
      </x:c>
      <x:c r="G232" s="24" t="str">
        <x:v>ROL-123</x:v>
      </x:c>
      <x:c r="H232" s="24" t="str">
        <x:f>IFERROR(VLOOKUP(G232,'Master Taxonomy'!$A$2:$B$1226,2,FALSE),"")</x:f>
        <x:v>Monk and Martial Artist</x:v>
      </x:c>
      <x:c r="I232" s="24" t="str">
        <x:v>MEC-112</x:v>
      </x:c>
      <x:c r="J232" s="24" t="str">
        <x:v>Healer</x:v>
      </x:c>
      <x:c r="K232" s="24" t="str">
        <x:v>Martial class using chi, brews, mobility, and healing or tank specializations.</x:v>
      </x:c>
      <x:c r="L232" s="24" t="str">
        <x:v>Training, chi traditions, martial technique, and specialization.</x:v>
      </x:c>
      <x:c r="M232" s="24" t="str">
        <x:v>The class is strongly shaped by pandaren institutions but is learnable by many peoples.</x:v>
      </x:c>
      <x:c r="N232" s="24" t="str">
        <x:v>Martial tank/healer/striker hybrid.</x:v>
      </x:c>
      <x:c r="O232" s="24" t="str">
        <x:v>Primary canon</x:v>
      </x:c>
      <x:c r="P232" s="24" t="str">
        <x:v>Official reference reviewed</x:v>
      </x:c>
      <x:c r="Q232" s="24" t="str">
        <x:v>Official World of Warcraft race and class reference pages, version-stamped 2026-08-01.</x:v>
      </x:c>
      <x:c r="R232" s="84" t="str">
        <x:v>https://worldofwarcraft.blizzard.com/game/classes</x:v>
      </x:c>
      <x:c r="S232" s="24" t="str">
        <x:v>Seeded</x:v>
      </x:c>
    </x:row>
    <x:row r="233" ht="52" customHeight="1">
      <x:c r="A233" s="24" t="str">
        <x:v>ENT-0232</x:v>
      </x:c>
      <x:c r="B233" s="24" t="str">
        <x:v>Druid</x:v>
      </x:c>
      <x:c r="C233" s="24" t="str">
        <x:v>SRC-135</x:v>
      </x:c>
      <x:c r="D233" s="24" t="str">
        <x:v>Warcraft</x:v>
      </x:c>
      <x:c r="E233" s="24" t="str">
        <x:v>World of Warcraft class system</x:v>
      </x:c>
      <x:c r="F233" s="24" t="str">
        <x:v>Playable class</x:v>
      </x:c>
      <x:c r="G233" s="24" t="str">
        <x:v>ROL-501</x:v>
      </x:c>
      <x:c r="H233" s="24" t="str">
        <x:f>IFERROR(VLOOKUP(G233,'Master Taxonomy'!$A$2:$B$1226,2,FALSE),"")</x:f>
        <x:v>Druid</x:v>
      </x:c>
      <x:c r="I233" s="24" t="str">
        <x:v>ROL-511</x:v>
      </x:c>
      <x:c r="J233" s="24" t="str">
        <x:v>Shapeshifting Warden</x:v>
      </x:c>
      <x:c r="K233" s="24" t="str">
        <x:v>Nature-magic class using animal forms, healing, ranged magic, or tanking.</x:v>
      </x:c>
      <x:c r="L233" s="24" t="str">
        <x:v>Nature power, shapeshifting, celestial cycles, and specialization.</x:v>
      </x:c>
      <x:c r="M233" s="24" t="str">
        <x:v>Different playable peoples possess different druidic traditions and forms.</x:v>
      </x:c>
      <x:c r="N233" s="24" t="str">
        <x:v>Multi-role shapeshifting nature caster.</x:v>
      </x:c>
      <x:c r="O233" s="24" t="str">
        <x:v>Primary canon</x:v>
      </x:c>
      <x:c r="P233" s="24" t="str">
        <x:v>Official reference reviewed</x:v>
      </x:c>
      <x:c r="Q233" s="24" t="str">
        <x:v>Official World of Warcraft race and class reference pages, version-stamped 2026-08-01.</x:v>
      </x:c>
      <x:c r="R233" s="84" t="str">
        <x:v>https://worldofwarcraft.blizzard.com/game/classes</x:v>
      </x:c>
      <x:c r="S233" s="24" t="str">
        <x:v>Seeded</x:v>
      </x:c>
    </x:row>
    <x:row r="234" ht="52" customHeight="1">
      <x:c r="A234" s="24" t="str">
        <x:v>ENT-0233</x:v>
      </x:c>
      <x:c r="B234" s="24" t="str">
        <x:v>Shaman</x:v>
      </x:c>
      <x:c r="C234" s="24" t="str">
        <x:v>SRC-135</x:v>
      </x:c>
      <x:c r="D234" s="24" t="str">
        <x:v>Warcraft</x:v>
      </x:c>
      <x:c r="E234" s="24" t="str">
        <x:v>World of Warcraft class system</x:v>
      </x:c>
      <x:c r="F234" s="24" t="str">
        <x:v>Playable class</x:v>
      </x:c>
      <x:c r="G234" s="24" t="str">
        <x:v>ROL-502</x:v>
      </x:c>
      <x:c r="H234" s="24" t="str">
        <x:f>IFERROR(VLOOKUP(G234,'Master Taxonomy'!$A$2:$B$1226,2,FALSE),"")</x:f>
        <x:v>Shaman</x:v>
      </x:c>
      <x:c r="I234" s="24" t="str">
        <x:v>ROL-510</x:v>
      </x:c>
      <x:c r="J234" s="24" t="str">
        <x:v>Elemental Channeler</x:v>
      </x:c>
      <x:c r="K234" s="24" t="str">
        <x:v>Spirit- and element-mediated class using totems, weapons, healing, and elemental attacks.</x:v>
      </x:c>
      <x:c r="L234" s="24" t="str">
        <x:v>Relationships with elements and spirits, totems, and specialization.</x:v>
      </x:c>
      <x:c r="M234" s="24" t="str">
        <x:v>The class groups culturally distinct traditions under one game label.</x:v>
      </x:c>
      <x:c r="N234" s="24" t="str">
        <x:v>Elemental mediator and hybrid caster.</x:v>
      </x:c>
      <x:c r="O234" s="24" t="str">
        <x:v>Primary canon</x:v>
      </x:c>
      <x:c r="P234" s="24" t="str">
        <x:v>Official reference reviewed</x:v>
      </x:c>
      <x:c r="Q234" s="24" t="str">
        <x:v>Official World of Warcraft race and class reference pages, version-stamped 2026-08-01.</x:v>
      </x:c>
      <x:c r="R234" s="84" t="str">
        <x:v>https://worldofwarcraft.blizzard.com/game/classes</x:v>
      </x:c>
      <x:c r="S234" s="24" t="str">
        <x:v>Seeded</x:v>
      </x:c>
    </x:row>
    <x:row r="235" ht="52" customHeight="1">
      <x:c r="A235" s="24" t="str">
        <x:v>ENT-0234</x:v>
      </x:c>
      <x:c r="B235" s="24" t="str">
        <x:v>Warlock</x:v>
      </x:c>
      <x:c r="C235" s="24" t="str">
        <x:v>SRC-135</x:v>
      </x:c>
      <x:c r="D235" s="24" t="str">
        <x:v>Warcraft</x:v>
      </x:c>
      <x:c r="E235" s="24" t="str">
        <x:v>World of Warcraft class system</x:v>
      </x:c>
      <x:c r="F235" s="24" t="str">
        <x:v>Playable class</x:v>
      </x:c>
      <x:c r="G235" s="24" t="str">
        <x:v>ROL-304</x:v>
      </x:c>
      <x:c r="H235" s="24" t="str">
        <x:f>IFERROR(VLOOKUP(G235,'Master Taxonomy'!$A$2:$B$1226,2,FALSE),"")</x:f>
        <x:v>Warlock</x:v>
      </x:c>
      <x:c r="I235" s="24" t="str">
        <x:v>ROL-350</x:v>
      </x:c>
      <x:c r="J235" s="24" t="str">
        <x:v>Demonologist</x:v>
      </x:c>
      <x:c r="K235" s="24" t="str">
        <x:v>Fel- and shadow-using class that summons demons and practices dangerous magic.</x:v>
      </x:c>
      <x:c r="L235" s="24" t="str">
        <x:v>Learned forbidden magic, summoned servants, soul resources, and specialization.</x:v>
      </x:c>
      <x:c r="M235" s="24" t="str">
        <x:v>Unlike D&amp;D warlocks, patron contracts are not the defining universal mechanic.</x:v>
      </x:c>
      <x:c r="N235" s="24" t="str">
        <x:v>Demonic summoner and corruption caster.</x:v>
      </x:c>
      <x:c r="O235" s="24" t="str">
        <x:v>Primary canon</x:v>
      </x:c>
      <x:c r="P235" s="24" t="str">
        <x:v>Official reference reviewed</x:v>
      </x:c>
      <x:c r="Q235" s="24" t="str">
        <x:v>Official World of Warcraft race and class reference pages, version-stamped 2026-08-01.</x:v>
      </x:c>
      <x:c r="R235" s="84" t="str">
        <x:v>https://worldofwarcraft.blizzard.com/game/classes</x:v>
      </x:c>
      <x:c r="S235" s="24" t="str">
        <x:v>Seeded</x:v>
      </x:c>
    </x:row>
    <x:row r="236" ht="52" customHeight="1">
      <x:c r="A236" s="24" t="str">
        <x:v>ENT-0235</x:v>
      </x:c>
      <x:c r="B236" s="24" t="str">
        <x:v>Paladin</x:v>
      </x:c>
      <x:c r="C236" s="24" t="str">
        <x:v>SRC-135</x:v>
      </x:c>
      <x:c r="D236" s="24" t="str">
        <x:v>Warcraft</x:v>
      </x:c>
      <x:c r="E236" s="24" t="str">
        <x:v>World of Warcraft class system</x:v>
      </x:c>
      <x:c r="F236" s="24" t="str">
        <x:v>Playable class</x:v>
      </x:c>
      <x:c r="G236" s="24" t="str">
        <x:v>ROL-117</x:v>
      </x:c>
      <x:c r="H236" s="24" t="str">
        <x:f>IFERROR(VLOOKUP(G236,'Master Taxonomy'!$A$2:$B$1226,2,FALSE),"")</x:f>
        <x:v>Paladin and Holy Knight</x:v>
      </x:c>
      <x:c r="I236" s="24" t="str">
        <x:v>MEC-112; MEC-101</x:v>
      </x:c>
      <x:c r="J236" s="24" t="str">
        <x:v>Healer; Tank</x:v>
      </x:c>
      <x:c r="K236" s="24" t="str">
        <x:v>Light-using armored class with healing, protection, and damage specializations.</x:v>
      </x:c>
      <x:c r="L236" s="24" t="str">
        <x:v>Faith or Light discipline, armor, weapons, and orders.</x:v>
      </x:c>
      <x:c r="M236" s="24" t="str">
        <x:v>Distinct cultures have different paladin institutions and theologies.</x:v>
      </x:c>
      <x:c r="N236" s="24" t="str">
        <x:v>Multi-role holy knight.</x:v>
      </x:c>
      <x:c r="O236" s="24" t="str">
        <x:v>Primary canon</x:v>
      </x:c>
      <x:c r="P236" s="24" t="str">
        <x:v>Official reference reviewed</x:v>
      </x:c>
      <x:c r="Q236" s="24" t="str">
        <x:v>Official World of Warcraft race and class reference pages, version-stamped 2026-08-01.</x:v>
      </x:c>
      <x:c r="R236" s="84" t="str">
        <x:v>https://worldofwarcraft.blizzard.com/game/classes</x:v>
      </x:c>
      <x:c r="S236" s="24" t="str">
        <x:v>Seeded</x:v>
      </x:c>
    </x:row>
    <x:row r="237" ht="52" customHeight="1">
      <x:c r="A237" s="24" t="str">
        <x:v>ENT-0236</x:v>
      </x:c>
      <x:c r="B237" s="24" t="str">
        <x:v>Rogue</x:v>
      </x:c>
      <x:c r="C237" s="24" t="str">
        <x:v>SRC-135</x:v>
      </x:c>
      <x:c r="D237" s="24" t="str">
        <x:v>Warcraft</x:v>
      </x:c>
      <x:c r="E237" s="24" t="str">
        <x:v>World of Warcraft class system</x:v>
      </x:c>
      <x:c r="F237" s="24" t="str">
        <x:v>Playable class</x:v>
      </x:c>
      <x:c r="G237" s="24" t="str">
        <x:v>ROL-205</x:v>
      </x:c>
      <x:c r="H237" s="24" t="str">
        <x:f>IFERROR(VLOOKUP(G237,'Master Taxonomy'!$A$2:$B$1226,2,FALSE),"")</x:f>
        <x:v>Rogue</x:v>
      </x:c>
      <x:c r="I237" s="24" t="str">
        <x:v>MEC-122</x:v>
      </x:c>
      <x:c r="J237" s="24" t="str">
        <x:v>Assassin</x:v>
      </x:c>
      <x:c r="K237" s="24" t="str">
        <x:v>Stealth and precision class using poisons, subterfuge, blades, or outlaw techniques.</x:v>
      </x:c>
      <x:c r="L237" s="24" t="str">
        <x:v>Training, stealth, combo resources, and specialization.</x:v>
      </x:c>
      <x:c r="M237" s="24" t="str">
        <x:v>It includes assassins and swashbucklers without making all rogues criminals.</x:v>
      </x:c>
      <x:c r="N237" s="24" t="str">
        <x:v>Stealth melee specialist.</x:v>
      </x:c>
      <x:c r="O237" s="24" t="str">
        <x:v>Primary canon</x:v>
      </x:c>
      <x:c r="P237" s="24" t="str">
        <x:v>Official reference reviewed</x:v>
      </x:c>
      <x:c r="Q237" s="24" t="str">
        <x:v>Official World of Warcraft race and class reference pages, version-stamped 2026-08-01.</x:v>
      </x:c>
      <x:c r="R237" s="84" t="str">
        <x:v>https://worldofwarcraft.blizzard.com/game/classes</x:v>
      </x:c>
      <x:c r="S237" s="24" t="str">
        <x:v>Seeded</x:v>
      </x:c>
    </x:row>
    <x:row r="238" ht="52" customHeight="1">
      <x:c r="A238" s="24" t="str">
        <x:v>ENT-0237</x:v>
      </x:c>
      <x:c r="B238" s="24" t="str">
        <x:v>Death Knight</x:v>
      </x:c>
      <x:c r="C238" s="24" t="str">
        <x:v>SRC-135</x:v>
      </x:c>
      <x:c r="D238" s="24" t="str">
        <x:v>Warcraft</x:v>
      </x:c>
      <x:c r="E238" s="24" t="str">
        <x:v>World of Warcraft class system</x:v>
      </x:c>
      <x:c r="F238" s="24" t="str">
        <x:v>Hero class / transformed warrior</x:v>
      </x:c>
      <x:c r="G238" s="24" t="str">
        <x:v>PPL-611</x:v>
      </x:c>
      <x:c r="H238" s="24" t="str">
        <x:f>IFERROR(VLOOKUP(G238,'Master Taxonomy'!$A$2:$B$1226,2,FALSE),"")</x:f>
        <x:v>Death Knights</x:v>
      </x:c>
      <x:c r="I238" s="24" t="str">
        <x:v>STA-110; ROL-118</x:v>
      </x:c>
      <x:c r="J238" s="24" t="str">
        <x:v>Death-Knight Transformation; Dark Knight and Blackguard</x:v>
      </x:c>
      <x:c r="K238" s="24" t="str">
        <x:v>Runeblade-using undead or death-empowered warrior class originating in coercive necromantic service.</x:v>
      </x:c>
      <x:c r="L238" s="24" t="str">
        <x:v>Undeath or death power, rune weapons, training, and liberation.</x:v>
      </x:c>
      <x:c r="M238" s="24" t="str">
        <x:v>It crosses class, transformed state, and historical military order.</x:v>
      </x:c>
      <x:c r="N238" s="24" t="str">
        <x:v>Playable undead rune knight.</x:v>
      </x:c>
      <x:c r="O238" s="24" t="str">
        <x:v>Primary canon</x:v>
      </x:c>
      <x:c r="P238" s="24" t="str">
        <x:v>Official reference reviewed</x:v>
      </x:c>
      <x:c r="Q238" s="24" t="str">
        <x:v>Official World of Warcraft race and class reference pages, version-stamped 2026-08-01.</x:v>
      </x:c>
      <x:c r="R238" s="84" t="str">
        <x:v>https://worldofwarcraft.blizzard.com/game/classes</x:v>
      </x:c>
      <x:c r="S238" s="24" t="str">
        <x:v>Seeded</x:v>
      </x:c>
    </x:row>
    <x:row r="239" ht="52" customHeight="1">
      <x:c r="A239" s="24" t="str">
        <x:v>ENT-0238</x:v>
      </x:c>
      <x:c r="B239" s="24" t="str">
        <x:v>Demon Hunter</x:v>
      </x:c>
      <x:c r="C239" s="24" t="str">
        <x:v>SRC-135</x:v>
      </x:c>
      <x:c r="D239" s="24" t="str">
        <x:v>Warcraft</x:v>
      </x:c>
      <x:c r="E239" s="24" t="str">
        <x:v>World of Warcraft class system</x:v>
      </x:c>
      <x:c r="F239" s="24" t="str">
        <x:v>Hero class / transformed hunter</x:v>
      </x:c>
      <x:c r="G239" s="24" t="str">
        <x:v>ROL-146</x:v>
      </x:c>
      <x:c r="H239" s="24" t="str">
        <x:f>IFERROR(VLOOKUP(G239,'Master Taxonomy'!$A$2:$B$1226,2,FALSE),"")</x:f>
        <x:v>Demon Hunter</x:v>
      </x:c>
      <x:c r="I239" s="24" t="str">
        <x:v>STA-208</x:v>
      </x:c>
      <x:c r="J239" s="24" t="str">
        <x:v>Demonic Transformation</x:v>
      </x:c>
      <x:c r="K239" s="24" t="str">
        <x:v>Martial occult class that internalizes demonic power to fight demons.</x:v>
      </x:c>
      <x:c r="L239" s="24" t="str">
        <x:v>Training, ritual mutation, fel power, mobility, and sacrifice.</x:v>
      </x:c>
      <x:c r="M239" s="24" t="str">
        <x:v>The class embraces controlled corruption rather than remaining metaphysically untouched.</x:v>
      </x:c>
      <x:c r="N239" s="24" t="str">
        <x:v>Self-mutating anti-demon hunter.</x:v>
      </x:c>
      <x:c r="O239" s="24" t="str">
        <x:v>Primary canon</x:v>
      </x:c>
      <x:c r="P239" s="24" t="str">
        <x:v>Official reference reviewed</x:v>
      </x:c>
      <x:c r="Q239" s="24" t="str">
        <x:v>Official World of Warcraft race and class reference pages, version-stamped 2026-08-01.</x:v>
      </x:c>
      <x:c r="R239" s="84" t="str">
        <x:v>https://worldofwarcraft.blizzard.com/game/classes</x:v>
      </x:c>
      <x:c r="S239" s="24" t="str">
        <x:v>Seeded</x:v>
      </x:c>
    </x:row>
    <x:row r="240" ht="52" customHeight="1">
      <x:c r="A240" s="24" t="str">
        <x:v>ENT-0239</x:v>
      </x:c>
      <x:c r="B240" s="24" t="str">
        <x:v>Evoker</x:v>
      </x:c>
      <x:c r="C240" s="24" t="str">
        <x:v>SRC-135</x:v>
      </x:c>
      <x:c r="D240" s="24" t="str">
        <x:v>Warcraft</x:v>
      </x:c>
      <x:c r="E240" s="24" t="str">
        <x:v>World of Warcraft class system</x:v>
      </x:c>
      <x:c r="F240" s="24" t="str">
        <x:v>Race-linked playable class</x:v>
      </x:c>
      <x:c r="G240" s="24" t="str">
        <x:v>ROL-510</x:v>
      </x:c>
      <x:c r="H240" s="24" t="str">
        <x:f>IFERROR(VLOOKUP(G240,'Master Taxonomy'!$A$2:$B$1226,2,FALSE),"")</x:f>
        <x:v>Elemental Channeler</x:v>
      </x:c>
      <x:c r="I240" s="24" t="str">
        <x:v>PPL-114</x:v>
      </x:c>
      <x:c r="J240" s="24" t="str">
        <x:v>Draconic Humanoid Peoples</x:v>
      </x:c>
      <x:c r="K240" s="24" t="str">
        <x:v>Dracthyr class using combined dragonflight magic for damage, augmentation, or healing.</x:v>
      </x:c>
      <x:c r="L240" s="24" t="str">
        <x:v>Engineered draconic nature, empowered spells, and specialization.</x:v>
      </x:c>
      <x:c r="M240" s="24" t="str">
        <x:v>Initially race-linked and inseparable from dracthyr creation history.</x:v>
      </x:c>
      <x:c r="N240" s="24" t="str">
        <x:v>Draconic multi-school caster.</x:v>
      </x:c>
      <x:c r="O240" s="24" t="str">
        <x:v>Primary canon</x:v>
      </x:c>
      <x:c r="P240" s="24" t="str">
        <x:v>Official reference reviewed</x:v>
      </x:c>
      <x:c r="Q240" s="24" t="str">
        <x:v>Official World of Warcraft race and class reference pages, version-stamped 2026-08-01.</x:v>
      </x:c>
      <x:c r="R240" s="84" t="str">
        <x:v>https://worldofwarcraft.blizzard.com/game/classes</x:v>
      </x:c>
      <x:c r="S240" s="24" t="str">
        <x:v>Seeded</x:v>
      </x:c>
    </x:row>
    <x:row r="241" ht="52" customHeight="1">
      <x:c r="A241" s="24" t="str">
        <x:v>ENT-0240</x:v>
      </x:c>
      <x:c r="B241" s="24" t="str">
        <x:v>Humans of the Empire and neighboring realms</x:v>
      </x:c>
      <x:c r="C241" s="24" t="str">
        <x:v>SRC-101</x:v>
      </x:c>
      <x:c r="D241" s="24" t="str">
        <x:v>Warhammer: The Old World</x:v>
      </x:c>
      <x:c r="E241" s="24" t="str">
        <x:v>Old World setting</x:v>
      </x:c>
      <x:c r="F241" s="24" t="str">
        <x:v>Human peoples and states</x:v>
      </x:c>
      <x:c r="G241" s="24" t="str">
        <x:v>PPL-101</x:v>
      </x:c>
      <x:c r="H241" s="24" t="str">
        <x:f>IFERROR(VLOOKUP(G241,'Master Taxonomy'!$A$2:$B$1226,2,FALSE),"")</x:f>
        <x:v>Human and Near-Human Peoples</x:v>
      </x:c>
      <x:c r="I241" s="24" t="str">
        <x:v>CIV-102</x:v>
      </x:c>
      <x:c r="J241" s="24" t="str">
        <x:v>Centralized Empire</x:v>
      </x:c>
      <x:c r="K241" s="24" t="str">
        <x:v>Multiple human cultures organized into kingdoms, city-states, empires, and religious institutions.</x:v>
      </x:c>
      <x:c r="L241" s="24" t="str">
        <x:v>Natural ancestry, state, religion, and region.</x:v>
      </x:c>
      <x:c r="M241" s="24" t="str">
        <x:v>Warhammer humans are not one class or moral faction.</x:v>
      </x:c>
      <x:c r="N241" s="24" t="str">
        <x:v>Plural late-medieval/early-modern fantasy humanity.</x:v>
      </x:c>
      <x:c r="O241" s="24" t="str">
        <x:v>Primary canon</x:v>
      </x:c>
      <x:c r="P241" s="24" t="str">
        <x:v>Official reference reviewed</x:v>
      </x:c>
      <x:c r="Q241" s="24" t="str">
        <x:v>Games Workshop official Warhammer: The Old World setting and faction pages; detailed unit verification remains edition-specific.</x:v>
      </x:c>
      <x:c r="R241" s="84" t="str">
        <x:v>https://www.warhammer.com/en-US/explore/the-old-world</x:v>
      </x:c>
      <x:c r="S241" s="24" t="str">
        <x:v>Seeded</x:v>
      </x:c>
    </x:row>
    <x:row r="242" ht="52" customHeight="1">
      <x:c r="A242" s="24" t="str">
        <x:v>ENT-0241</x:v>
      </x:c>
      <x:c r="B242" s="24" t="str">
        <x:v>Dwarfs</x:v>
      </x:c>
      <x:c r="C242" s="24" t="str">
        <x:v>SRC-101</x:v>
      </x:c>
      <x:c r="D242" s="24" t="str">
        <x:v>Warhammer: The Old World</x:v>
      </x:c>
      <x:c r="E242" s="24" t="str">
        <x:v>Old World setting</x:v>
      </x:c>
      <x:c r="F242" s="24" t="str">
        <x:v>People</x:v>
      </x:c>
      <x:c r="G242" s="24" t="str">
        <x:v>PPL-103</x:v>
      </x:c>
      <x:c r="H242" s="24" t="str">
        <x:f>IFERROR(VLOOKUP(G242,'Master Taxonomy'!$A$2:$B$1226,2,FALSE),"")</x:f>
        <x:v>Dwarf-Derived Peoples</x:v>
      </x:c>
      <x:c r="I242" s="24" t="str">
        <x:v>CIV-402</x:v>
      </x:c>
      <x:c r="J242" s="24" t="str">
        <x:v>Fallen Ancient Empire</x:v>
      </x:c>
      <x:c r="K242" s="24" t="str">
        <x:v>Long-lived mountain and hold peoples defined by craft, memory, oaths, and ancestral grievances.</x:v>
      </x:c>
      <x:c r="L242" s="24" t="str">
        <x:v>Natural ancestry, clan/hold culture, engineering, and runes.</x:v>
      </x:c>
      <x:c r="M242" s="24" t="str">
        <x:v>Spelling, metaphysics, and social codes are setting-specific.</x:v>
      </x:c>
      <x:c r="N242" s="24" t="str">
        <x:v>Runic hold-dwarf civilization.</x:v>
      </x:c>
      <x:c r="O242" s="24" t="str">
        <x:v>Primary canon</x:v>
      </x:c>
      <x:c r="P242" s="24" t="str">
        <x:v>Official reference reviewed</x:v>
      </x:c>
      <x:c r="Q242" s="24" t="str">
        <x:v>Games Workshop official Warhammer: The Old World setting and faction pages; detailed unit verification remains edition-specific.</x:v>
      </x:c>
      <x:c r="R242" s="84" t="str">
        <x:v>https://www.warhammer.com/en-US/explore/the-old-world</x:v>
      </x:c>
      <x:c r="S242" s="24" t="str">
        <x:v>Seeded</x:v>
      </x:c>
    </x:row>
    <x:row r="243" ht="52" customHeight="1">
      <x:c r="A243" s="24" t="str">
        <x:v>ENT-0242</x:v>
      </x:c>
      <x:c r="B243" s="24" t="str">
        <x:v>High Elves</x:v>
      </x:c>
      <x:c r="C243" s="24" t="str">
        <x:v>SRC-101</x:v>
      </x:c>
      <x:c r="D243" s="24" t="str">
        <x:v>Warhammer: The Old World</x:v>
      </x:c>
      <x:c r="E243" s="24" t="str">
        <x:v>Old World setting</x:v>
      </x:c>
      <x:c r="F243" s="24" t="str">
        <x:v>Elven people</x:v>
      </x:c>
      <x:c r="G243" s="24" t="str">
        <x:v>PPL-102</x:v>
      </x:c>
      <x:c r="H243" s="24" t="str">
        <x:f>IFERROR(VLOOKUP(G243,'Master Taxonomy'!$A$2:$B$1226,2,FALSE),"")</x:f>
        <x:v>Elf-Derived Peoples</x:v>
      </x:c>
      <x:c r="I243" s="24" t="str">
        <x:v>CIV-207</x:v>
      </x:c>
      <x:c r="J243" s="24" t="str">
        <x:v>Maritime Trading League</x:v>
      </x:c>
      <x:c r="K243" s="24" t="str">
        <x:v>Ulthuan-centered elven civilization with powerful magic, maritime influence, and internal politics.</x:v>
      </x:c>
      <x:c r="L243" s="24" t="str">
        <x:v>Natural ancestry, long life, magic, and state tradition.</x:v>
      </x:c>
      <x:c r="M243" s="24" t="str">
        <x:v>‘High’ denotes a historical-political identity, not objective superiority.</x:v>
      </x:c>
      <x:c r="N243" s="24" t="str">
        <x:v>Arcane maritime high-elf empire.</x:v>
      </x:c>
      <x:c r="O243" s="24" t="str">
        <x:v>Primary canon</x:v>
      </x:c>
      <x:c r="P243" s="24" t="str">
        <x:v>Official reference reviewed</x:v>
      </x:c>
      <x:c r="Q243" s="24" t="str">
        <x:v>Games Workshop official Warhammer: The Old World setting and faction pages; detailed unit verification remains edition-specific.</x:v>
      </x:c>
      <x:c r="R243" s="84" t="str">
        <x:v>https://www.warhammer.com/en-US/explore/the-old-world</x:v>
      </x:c>
      <x:c r="S243" s="24" t="str">
        <x:v>Seeded</x:v>
      </x:c>
    </x:row>
    <x:row r="244" ht="52" customHeight="1">
      <x:c r="A244" s="24" t="str">
        <x:v>ENT-0243</x:v>
      </x:c>
      <x:c r="B244" s="24" t="str">
        <x:v>Wood Elves</x:v>
      </x:c>
      <x:c r="C244" s="24" t="str">
        <x:v>SRC-101</x:v>
      </x:c>
      <x:c r="D244" s="24" t="str">
        <x:v>Warhammer: The Old World</x:v>
      </x:c>
      <x:c r="E244" s="24" t="str">
        <x:v>Old World setting</x:v>
      </x:c>
      <x:c r="F244" s="24" t="str">
        <x:v>Elven people</x:v>
      </x:c>
      <x:c r="G244" s="24" t="str">
        <x:v>PPL-102</x:v>
      </x:c>
      <x:c r="H244" s="24" t="str">
        <x:f>IFERROR(VLOOKUP(G244,'Master Taxonomy'!$A$2:$B$1226,2,FALSE),"")</x:f>
        <x:v>Elf-Derived Peoples</x:v>
      </x:c>
      <x:c r="I244" s="24" t="str">
        <x:v>CIV-201</x:v>
      </x:c>
      <x:c r="J244" s="24" t="str">
        <x:v>Elven Forest Realm</x:v>
      </x:c>
      <x:c r="K244" s="24" t="str">
        <x:v>Forest-bound elven societies entangled with Athel Loren's spirits and dangers.</x:v>
      </x:c>
      <x:c r="L244" s="24" t="str">
        <x:v>Ancestry, forest pact, spirit relations, and isolation.</x:v>
      </x:c>
      <x:c r="M244" s="24" t="str">
        <x:v>Not merely benevolent nature guardians.</x:v>
      </x:c>
      <x:c r="N244" s="24" t="str">
        <x:v>Dangerous liminal forest-elf realm.</x:v>
      </x:c>
      <x:c r="O244" s="24" t="str">
        <x:v>Primary canon</x:v>
      </x:c>
      <x:c r="P244" s="24" t="str">
        <x:v>Official reference reviewed</x:v>
      </x:c>
      <x:c r="Q244" s="24" t="str">
        <x:v>Games Workshop official Warhammer: The Old World setting and faction pages; detailed unit verification remains edition-specific.</x:v>
      </x:c>
      <x:c r="R244" s="84" t="str">
        <x:v>https://www.warhammer.com/en-US/explore/the-old-world</x:v>
      </x:c>
      <x:c r="S244" s="24" t="str">
        <x:v>Seeded</x:v>
      </x:c>
    </x:row>
    <x:row r="245" ht="52" customHeight="1">
      <x:c r="A245" s="24" t="str">
        <x:v>ENT-0244</x:v>
      </x:c>
      <x:c r="B245" s="24" t="str">
        <x:v>Dark Elves</x:v>
      </x:c>
      <x:c r="C245" s="24" t="str">
        <x:v>SRC-101</x:v>
      </x:c>
      <x:c r="D245" s="24" t="str">
        <x:v>Warhammer: The Old World</x:v>
      </x:c>
      <x:c r="E245" s="24" t="str">
        <x:v>Old World setting</x:v>
      </x:c>
      <x:c r="F245" s="24" t="str">
        <x:v>Elven people</x:v>
      </x:c>
      <x:c r="G245" s="24" t="str">
        <x:v>PPL-102</x:v>
      </x:c>
      <x:c r="H245" s="24" t="str">
        <x:f>IFERROR(VLOOKUP(G245,'Master Taxonomy'!$A$2:$B$1226,2,FALSE),"")</x:f>
        <x:v>Elf-Derived Peoples</x:v>
      </x:c>
      <x:c r="I245" s="24" t="str">
        <x:v>CIV-412</x:v>
      </x:c>
      <x:c r="J245" s="24" t="str">
        <x:v>Expansionist Empire</x:v>
      </x:c>
      <x:c r="K245" s="24" t="str">
        <x:v>Naggaroth-centered elven civilization shaped by schism, militarism, slavery, and sorcery.</x:v>
      </x:c>
      <x:c r="L245" s="24" t="str">
        <x:v>Shared elven ancestry plus historical and political divergence.</x:v>
      </x:c>
      <x:c r="M245" s="24" t="str">
        <x:v>The label is cultural-political rather than a separate moral biology.</x:v>
      </x:c>
      <x:c r="N245" s="24" t="str">
        <x:v>Cruel exiled elf empire.</x:v>
      </x:c>
      <x:c r="O245" s="24" t="str">
        <x:v>Primary canon</x:v>
      </x:c>
      <x:c r="P245" s="24" t="str">
        <x:v>Official reference reviewed</x:v>
      </x:c>
      <x:c r="Q245" s="24" t="str">
        <x:v>Games Workshop official Warhammer: The Old World setting and faction pages; detailed unit verification remains edition-specific.</x:v>
      </x:c>
      <x:c r="R245" s="84" t="str">
        <x:v>https://www.warhammer.com/en-US/explore/the-old-world</x:v>
      </x:c>
      <x:c r="S245" s="24" t="str">
        <x:v>Seeded</x:v>
      </x:c>
    </x:row>
    <x:row r="246" ht="52" customHeight="1">
      <x:c r="A246" s="24" t="str">
        <x:v>ENT-0245</x:v>
      </x:c>
      <x:c r="B246" s="24" t="str">
        <x:v>Orcs</x:v>
      </x:c>
      <x:c r="C246" s="24" t="str">
        <x:v>SRC-101</x:v>
      </x:c>
      <x:c r="D246" s="24" t="str">
        <x:v>Warhammer: The Old World</x:v>
      </x:c>
      <x:c r="E246" s="24" t="str">
        <x:v>Old World setting</x:v>
      </x:c>
      <x:c r="F246" s="24" t="str">
        <x:v>Greenskin people</x:v>
      </x:c>
      <x:c r="G246" s="24" t="str">
        <x:v>PPL-106</x:v>
      </x:c>
      <x:c r="H246" s="24" t="str">
        <x:f>IFERROR(VLOOKUP(G246,'Master Taxonomy'!$A$2:$B$1226,2,FALSE),"")</x:f>
        <x:v>Orc-Derived Peoples</x:v>
      </x:c>
      <x:c r="I246" s="24" t="str">
        <x:v>CIV-203</x:v>
      </x:c>
      <x:c r="J246" s="24" t="str">
        <x:v>Orcish Warband or Confederacy</x:v>
      </x:c>
      <x:c r="K246" s="24" t="str">
        <x:v>Large martial greenskins organized through warbands and dominance hierarchies.</x:v>
      </x:c>
      <x:c r="L246" s="24" t="str">
        <x:v>Distinct biology, collective energy, and war culture.</x:v>
      </x:c>
      <x:c r="M246" s="24" t="str">
        <x:v>They are setting-specific fungal-like greenskins, not Tolkien orcs.</x:v>
      </x:c>
      <x:c r="N246" s="24" t="str">
        <x:v>Warband orc people.</x:v>
      </x:c>
      <x:c r="O246" s="24" t="str">
        <x:v>Primary canon</x:v>
      </x:c>
      <x:c r="P246" s="24" t="str">
        <x:v>Official reference reviewed</x:v>
      </x:c>
      <x:c r="Q246" s="24" t="str">
        <x:v>Games Workshop official Warhammer: The Old World setting and faction pages; detailed unit verification remains edition-specific.</x:v>
      </x:c>
      <x:c r="R246" s="84" t="str">
        <x:v>https://www.warhammer.com/en-US/explore/the-old-world</x:v>
      </x:c>
      <x:c r="S246" s="24" t="str">
        <x:v>Seeded</x:v>
      </x:c>
    </x:row>
    <x:row r="247" ht="52" customHeight="1">
      <x:c r="A247" s="24" t="str">
        <x:v>ENT-0246</x:v>
      </x:c>
      <x:c r="B247" s="24" t="str">
        <x:v>Goblins</x:v>
      </x:c>
      <x:c r="C247" s="24" t="str">
        <x:v>SRC-101</x:v>
      </x:c>
      <x:c r="D247" s="24" t="str">
        <x:v>Warhammer: The Old World</x:v>
      </x:c>
      <x:c r="E247" s="24" t="str">
        <x:v>Old World setting</x:v>
      </x:c>
      <x:c r="F247" s="24" t="str">
        <x:v>Greenskin people</x:v>
      </x:c>
      <x:c r="G247" s="24" t="str">
        <x:v>PPL-107</x:v>
      </x:c>
      <x:c r="H247" s="24" t="str">
        <x:f>IFERROR(VLOOKUP(G247,'Master Taxonomy'!$A$2:$B$1226,2,FALSE),"")</x:f>
        <x:v>Goblinoid Peoples</x:v>
      </x:c>
      <x:c r="I247" s="24" t="str">
        <x:v>CIV-204</x:v>
      </x:c>
      <x:c r="J247" s="24" t="str">
        <x:v>Goblin Undercity</x:v>
      </x:c>
      <x:c r="K247" s="24" t="str">
        <x:v>Smaller greenskins with varied subterranean, forest, and nomadic societies.</x:v>
      </x:c>
      <x:c r="L247" s="24" t="str">
        <x:v>Distinct biology, cunning, tribes, and ecology.</x:v>
      </x:c>
      <x:c r="M247" s="24" t="str">
        <x:v>They are more varied than a single cowardly minion role.</x:v>
      </x:c>
      <x:c r="N247" s="24" t="str">
        <x:v>Tribal and undercity goblinoids.</x:v>
      </x:c>
      <x:c r="O247" s="24" t="str">
        <x:v>Primary canon</x:v>
      </x:c>
      <x:c r="P247" s="24" t="str">
        <x:v>Official reference reviewed</x:v>
      </x:c>
      <x:c r="Q247" s="24" t="str">
        <x:v>Games Workshop official Warhammer: The Old World setting and faction pages; detailed unit verification remains edition-specific.</x:v>
      </x:c>
      <x:c r="R247" s="84" t="str">
        <x:v>https://www.warhammer.com/en-US/explore/the-old-world</x:v>
      </x:c>
      <x:c r="S247" s="24" t="str">
        <x:v>Seeded</x:v>
      </x:c>
    </x:row>
    <x:row r="248" ht="52" customHeight="1">
      <x:c r="A248" s="24" t="str">
        <x:v>ENT-0247</x:v>
      </x:c>
      <x:c r="B248" s="24" t="str">
        <x:v>Skaven</x:v>
      </x:c>
      <x:c r="C248" s="24" t="str">
        <x:v>SRC-101</x:v>
      </x:c>
      <x:c r="D248" s="24" t="str">
        <x:v>Warhammer: The Old World</x:v>
      </x:c>
      <x:c r="E248" s="24" t="str">
        <x:v>Old World setting</x:v>
      </x:c>
      <x:c r="F248" s="24" t="str">
        <x:v>Ratlike people</x:v>
      </x:c>
      <x:c r="G248" s="24" t="str">
        <x:v>PPL-126</x:v>
      </x:c>
      <x:c r="H248" s="24" t="str">
        <x:f>IFERROR(VLOOKUP(G248,'Master Taxonomy'!$A$2:$B$1226,2,FALSE),"")</x:f>
        <x:v>Rodent and Lagomorph Peoples</x:v>
      </x:c>
      <x:c r="I248" s="24" t="str">
        <x:v>CIV-213</x:v>
      </x:c>
      <x:c r="J248" s="24" t="str">
        <x:v>Underground Civilization</x:v>
      </x:c>
      <x:c r="K248" s="24" t="str">
        <x:v>Numerous ratmen organized through clans, subterranean cities, plague, sorcery, and unstable technology.</x:v>
      </x:c>
      <x:c r="L248" s="24" t="str">
        <x:v>Natural or corruptive ancestry, clan institutions, and warpstone.</x:v>
      </x:c>
      <x:c r="M248" s="24" t="str">
        <x:v>They are a full civilization and apocalyptic threat, not generic beastfolk.</x:v>
      </x:c>
      <x:c r="N248" s="24" t="str">
        <x:v>Paranoid subterranean rat empire.</x:v>
      </x:c>
      <x:c r="O248" s="24" t="str">
        <x:v>Primary canon</x:v>
      </x:c>
      <x:c r="P248" s="24" t="str">
        <x:v>Official reference reviewed</x:v>
      </x:c>
      <x:c r="Q248" s="24" t="str">
        <x:v>Games Workshop official Warhammer: The Old World setting and faction pages; detailed unit verification remains edition-specific.</x:v>
      </x:c>
      <x:c r="R248" s="84" t="str">
        <x:v>https://www.warhammer.com/en-US/explore/the-old-world</x:v>
      </x:c>
      <x:c r="S248" s="24" t="str">
        <x:v>Seeded</x:v>
      </x:c>
    </x:row>
    <x:row r="249" ht="52" customHeight="1">
      <x:c r="A249" s="24" t="str">
        <x:v>ENT-0248</x:v>
      </x:c>
      <x:c r="B249" s="24" t="str">
        <x:v>Lizardmen</x:v>
      </x:c>
      <x:c r="C249" s="24" t="str">
        <x:v>SRC-101</x:v>
      </x:c>
      <x:c r="D249" s="24" t="str">
        <x:v>Warhammer: The Old World</x:v>
      </x:c>
      <x:c r="E249" s="24" t="str">
        <x:v>Old World setting</x:v>
      </x:c>
      <x:c r="F249" s="24" t="str">
        <x:v>Engineered reptilian peoples</x:v>
      </x:c>
      <x:c r="G249" s="24" t="str">
        <x:v>PPL-112</x:v>
      </x:c>
      <x:c r="H249" s="24" t="str">
        <x:f>IFERROR(VLOOKUP(G249,'Master Taxonomy'!$A$2:$B$1226,2,FALSE),"")</x:f>
        <x:v>Lizardfolk and Reptilian Peoples</x:v>
      </x:c>
      <x:c r="I249" s="24" t="str">
        <x:v>PPL-709</x:v>
      </x:c>
      <x:c r="J249" s="24" t="str">
        <x:v>Engineered Species</x:v>
      </x:c>
      <x:c r="K249" s="24" t="str">
        <x:v>Multiple reptilian castes created or directed within the Great Plan of the Old Ones.</x:v>
      </x:c>
      <x:c r="L249" s="24" t="str">
        <x:v>Engineered spawning, caste, sacred mission, and ancient cities.</x:v>
      </x:c>
      <x:c r="M249" s="24" t="str">
        <x:v>The umbrella includes distinct kinds such as Slann, Saurus, Skinks, and Kroxigor.</x:v>
      </x:c>
      <x:c r="N249" s="24" t="str">
        <x:v>Designed reptilian temple civilization.</x:v>
      </x:c>
      <x:c r="O249" s="24" t="str">
        <x:v>Primary canon</x:v>
      </x:c>
      <x:c r="P249" s="24" t="str">
        <x:v>Official reference reviewed</x:v>
      </x:c>
      <x:c r="Q249" s="24" t="str">
        <x:v>Games Workshop official Warhammer: The Old World setting and faction pages; detailed unit verification remains edition-specific.</x:v>
      </x:c>
      <x:c r="R249" s="84" t="str">
        <x:v>https://www.warhammer.com/en-US/explore/the-old-world</x:v>
      </x:c>
      <x:c r="S249" s="24" t="str">
        <x:v>Seeded</x:v>
      </x:c>
    </x:row>
    <x:row r="250" ht="52" customHeight="1">
      <x:c r="A250" s="24" t="str">
        <x:v>ENT-0249</x:v>
      </x:c>
      <x:c r="B250" s="24" t="str">
        <x:v>Beastmen</x:v>
      </x:c>
      <x:c r="C250" s="24" t="str">
        <x:v>SRC-101</x:v>
      </x:c>
      <x:c r="D250" s="24" t="str">
        <x:v>Warhammer: The Old World</x:v>
      </x:c>
      <x:c r="E250" s="24" t="str">
        <x:v>Old World setting</x:v>
      </x:c>
      <x:c r="F250" s="24" t="str">
        <x:v>Mutated beastfolk</x:v>
      </x:c>
      <x:c r="G250" s="24" t="str">
        <x:v>PPL-1005</x:v>
      </x:c>
      <x:c r="H250" s="24" t="str">
        <x:f>IFERROR(VLOOKUP(G250,'Master Taxonomy'!$A$2:$B$1226,2,FALSE),"")</x:f>
        <x:v>Hybrid and Chimera Peoples</x:v>
      </x:c>
      <x:c r="I250" s="24" t="str">
        <x:v>PWR-609</x:v>
      </x:c>
      <x:c r="J250" s="24" t="str">
        <x:v>Chaos Mutation</x:v>
      </x:c>
      <x:c r="K250" s="24" t="str">
        <x:v>Chaos-tainted humanoid beast peoples organized in herds and hostile to ordered civilization.</x:v>
      </x:c>
      <x:c r="L250" s="24" t="str">
        <x:v>Mutation, birth, Chaos influence, and herd culture.</x:v>
      </x:c>
      <x:c r="M250" s="24" t="str">
        <x:v>They are not equivalent to neutral animal-featured peoples in other settings.</x:v>
      </x:c>
      <x:c r="N250" s="24" t="str">
        <x:v>Corrupted beastfolk warbands.</x:v>
      </x:c>
      <x:c r="O250" s="24" t="str">
        <x:v>Primary canon</x:v>
      </x:c>
      <x:c r="P250" s="24" t="str">
        <x:v>Official reference reviewed</x:v>
      </x:c>
      <x:c r="Q250" s="24" t="str">
        <x:v>Games Workshop official Warhammer: The Old World setting and faction pages; detailed unit verification remains edition-specific.</x:v>
      </x:c>
      <x:c r="R250" s="84" t="str">
        <x:v>https://www.warhammer.com/en-US/explore/the-old-world</x:v>
      </x:c>
      <x:c r="S250" s="24" t="str">
        <x:v>Seeded</x:v>
      </x:c>
    </x:row>
    <x:row r="251" ht="52" customHeight="1">
      <x:c r="A251" s="24" t="str">
        <x:v>ENT-0250</x:v>
      </x:c>
      <x:c r="B251" s="24" t="str">
        <x:v>Daemons of Chaos</x:v>
      </x:c>
      <x:c r="C251" s="24" t="str">
        <x:v>SRC-101</x:v>
      </x:c>
      <x:c r="D251" s="24" t="str">
        <x:v>Warhammer: The Old World</x:v>
      </x:c>
      <x:c r="E251" s="24" t="str">
        <x:v>Old World setting</x:v>
      </x:c>
      <x:c r="F251" s="24" t="str">
        <x:v>Metaphysical beings</x:v>
      </x:c>
      <x:c r="G251" s="24" t="str">
        <x:v>PPL-501</x:v>
      </x:c>
      <x:c r="H251" s="24" t="str">
        <x:f>IFERROR(VLOOKUP(G251,'Master Taxonomy'!$A$2:$B$1226,2,FALSE),"")</x:f>
        <x:v>Demons</x:v>
      </x:c>
      <x:c r="I251" s="24" t="str">
        <x:v>PWR-609</x:v>
      </x:c>
      <x:c r="J251" s="24" t="str">
        <x:v>Chaos Mutation</x:v>
      </x:c>
      <x:c r="K251" s="24" t="str">
        <x:v>Manifestations or entities of Chaos associated with distinct gods and emotional-metaphysical forces.</x:v>
      </x:c>
      <x:c r="L251" s="24" t="str">
        <x:v>Warp/Chaos substance, summoning, and patron alignment.</x:v>
      </x:c>
      <x:c r="M251" s="24" t="str">
        <x:v>They are not necessarily biological species or Christian demons.</x:v>
      </x:c>
      <x:c r="N251" s="24" t="str">
        <x:v>Emotion-fed chaos entities.</x:v>
      </x:c>
      <x:c r="O251" s="24" t="str">
        <x:v>Primary canon</x:v>
      </x:c>
      <x:c r="P251" s="24" t="str">
        <x:v>Official reference reviewed</x:v>
      </x:c>
      <x:c r="Q251" s="24" t="str">
        <x:v>Games Workshop official Warhammer: The Old World setting and faction pages; detailed unit verification remains edition-specific.</x:v>
      </x:c>
      <x:c r="R251" s="84" t="str">
        <x:v>https://www.warhammer.com/en-US/explore/the-old-world</x:v>
      </x:c>
      <x:c r="S251" s="24" t="str">
        <x:v>Seeded</x:v>
      </x:c>
    </x:row>
    <x:row r="252" ht="52" customHeight="1">
      <x:c r="A252" s="24" t="str">
        <x:v>ENT-0251</x:v>
      </x:c>
      <x:c r="B252" s="24" t="str">
        <x:v>Chaos Warriors</x:v>
      </x:c>
      <x:c r="C252" s="24" t="str">
        <x:v>SRC-101</x:v>
      </x:c>
      <x:c r="D252" s="24" t="str">
        <x:v>Warhammer: The Old World</x:v>
      </x:c>
      <x:c r="E252" s="24" t="str">
        <x:v>Old World setting</x:v>
      </x:c>
      <x:c r="F252" s="24" t="str">
        <x:v>Transformed martial elite</x:v>
      </x:c>
      <x:c r="G252" s="24" t="str">
        <x:v>ROL-118</x:v>
      </x:c>
      <x:c r="H252" s="24" t="str">
        <x:f>IFERROR(VLOOKUP(G252,'Master Taxonomy'!$A$2:$B$1226,2,FALSE),"")</x:f>
        <x:v>Dark Knight and Blackguard</x:v>
      </x:c>
      <x:c r="I252" s="24" t="str">
        <x:v>STA-421</x:v>
      </x:c>
      <x:c r="J252" s="24" t="str">
        <x:v>Corruption Empowerment</x:v>
      </x:c>
      <x:c r="K252" s="24" t="str">
        <x:v>Mortals empowered, mutated, and armored through devotion to Chaos.</x:v>
      </x:c>
      <x:c r="L252" s="24" t="str">
        <x:v>Patronage, corruption, mutation, martial training, and gifts.</x:v>
      </x:c>
      <x:c r="M252" s="24" t="str">
        <x:v>They cross profession, religious allegiance, and transformed state.</x:v>
      </x:c>
      <x:c r="N252" s="24" t="str">
        <x:v>Patron-corrupted dark champions.</x:v>
      </x:c>
      <x:c r="O252" s="24" t="str">
        <x:v>Primary canon</x:v>
      </x:c>
      <x:c r="P252" s="24" t="str">
        <x:v>Official reference reviewed</x:v>
      </x:c>
      <x:c r="Q252" s="24" t="str">
        <x:v>Games Workshop official Warhammer: The Old World setting and faction pages; detailed unit verification remains edition-specific.</x:v>
      </x:c>
      <x:c r="R252" s="84" t="str">
        <x:v>https://www.warhammer.com/en-US/explore/the-old-world</x:v>
      </x:c>
      <x:c r="S252" s="24" t="str">
        <x:v>Seeded</x:v>
      </x:c>
    </x:row>
    <x:row r="253" ht="52" customHeight="1">
      <x:c r="A253" s="24" t="str">
        <x:v>ENT-0252</x:v>
      </x:c>
      <x:c r="B253" s="24" t="str">
        <x:v>Vampire Counts</x:v>
      </x:c>
      <x:c r="C253" s="24" t="str">
        <x:v>SRC-101</x:v>
      </x:c>
      <x:c r="D253" s="24" t="str">
        <x:v>Warhammer: The Old World</x:v>
      </x:c>
      <x:c r="E253" s="24" t="str">
        <x:v>Old World setting</x:v>
      </x:c>
      <x:c r="F253" s="24" t="str">
        <x:v>Undead aristocracy and polity</x:v>
      </x:c>
      <x:c r="G253" s="24" t="str">
        <x:v>PPL-607</x:v>
      </x:c>
      <x:c r="H253" s="24" t="str">
        <x:f>IFERROR(VLOOKUP(G253,'Master Taxonomy'!$A$2:$B$1226,2,FALSE),"")</x:f>
        <x:v>Vampires</x:v>
      </x:c>
      <x:c r="I253" s="24" t="str">
        <x:v>NAR-328</x:v>
      </x:c>
      <x:c r="J253" s="24" t="str">
        <x:v>Predatory Aristocrat</x:v>
      </x:c>
      <x:c r="K253" s="24" t="str">
        <x:v>Vampiric lords ruling or commanding undead hosts through bloodline and necromancy.</x:v>
      </x:c>
      <x:c r="L253" s="24" t="str">
        <x:v>Vampirism, aristocratic lineage, necromancy, and state power.</x:v>
      </x:c>
      <x:c r="M253" s="24" t="str">
        <x:v>Different bloodlines have different cultures and capabilities.</x:v>
      </x:c>
      <x:c r="N253" s="24" t="str">
        <x:v>Vampire aristocracy and undead realm.</x:v>
      </x:c>
      <x:c r="O253" s="24" t="str">
        <x:v>Primary canon</x:v>
      </x:c>
      <x:c r="P253" s="24" t="str">
        <x:v>Official reference reviewed</x:v>
      </x:c>
      <x:c r="Q253" s="24" t="str">
        <x:v>Games Workshop official Warhammer: The Old World setting and faction pages; detailed unit verification remains edition-specific.</x:v>
      </x:c>
      <x:c r="R253" s="84" t="str">
        <x:v>https://www.warhammer.com/en-US/explore/the-old-world</x:v>
      </x:c>
      <x:c r="S253" s="24" t="str">
        <x:v>Seeded</x:v>
      </x:c>
    </x:row>
    <x:row r="254" ht="52" customHeight="1">
      <x:c r="A254" s="24" t="str">
        <x:v>ENT-0253</x:v>
      </x:c>
      <x:c r="B254" s="24" t="str">
        <x:v>Tomb Kings</x:v>
      </x:c>
      <x:c r="C254" s="24" t="str">
        <x:v>SRC-101</x:v>
      </x:c>
      <x:c r="D254" s="24" t="str">
        <x:v>Warhammer: The Old World</x:v>
      </x:c>
      <x:c r="E254" s="24" t="str">
        <x:v>Old World setting</x:v>
      </x:c>
      <x:c r="F254" s="24" t="str">
        <x:v>Undead civilization</x:v>
      </x:c>
      <x:c r="G254" s="24" t="str">
        <x:v>PPL-615</x:v>
      </x:c>
      <x:c r="H254" s="24" t="str">
        <x:f>IFERROR(VLOOKUP(G254,'Master Taxonomy'!$A$2:$B$1226,2,FALSE),"")</x:f>
        <x:v>Intelligent Undead Peoples</x:v>
      </x:c>
      <x:c r="I254" s="24" t="str">
        <x:v>PPL-609</x:v>
      </x:c>
      <x:c r="J254" s="24" t="str">
        <x:v>Mummies</x:v>
      </x:c>
      <x:c r="K254" s="24" t="str">
        <x:v>Ancient Nehekharan rulers, soldiers, and subjects returned in preserved undead forms.</x:v>
      </x:c>
      <x:c r="L254" s="24" t="str">
        <x:v>Necromantic catastrophe, funerary ritual, dynastic identity, and tomb cult.</x:v>
      </x:c>
      <x:c r="M254" s="24" t="str">
        <x:v>They retain civilizational identity rather than functioning as generic necromancer puppets.</x:v>
      </x:c>
      <x:c r="N254" s="24" t="str">
        <x:v>Self-aware funerary undead kingdom.</x:v>
      </x:c>
      <x:c r="O254" s="24" t="str">
        <x:v>Primary canon</x:v>
      </x:c>
      <x:c r="P254" s="24" t="str">
        <x:v>Official reference reviewed</x:v>
      </x:c>
      <x:c r="Q254" s="24" t="str">
        <x:v>Games Workshop official Warhammer: The Old World setting and faction pages; detailed unit verification remains edition-specific.</x:v>
      </x:c>
      <x:c r="R254" s="84" t="str">
        <x:v>https://www.warhammer.com/en-US/explore/the-old-world</x:v>
      </x:c>
      <x:c r="S254" s="24" t="str">
        <x:v>Seeded</x:v>
      </x:c>
    </x:row>
    <x:row r="255" ht="52" customHeight="1">
      <x:c r="A255" s="24" t="str">
        <x:v>ENT-0254</x:v>
      </x:c>
      <x:c r="B255" s="24" t="str">
        <x:v>Ogre Kingdoms</x:v>
      </x:c>
      <x:c r="C255" s="24" t="str">
        <x:v>SRC-101</x:v>
      </x:c>
      <x:c r="D255" s="24" t="str">
        <x:v>Warhammer: The Old World</x:v>
      </x:c>
      <x:c r="E255" s="24" t="str">
        <x:v>Old World setting</x:v>
      </x:c>
      <x:c r="F255" s="24" t="str">
        <x:v>Ogre people and polity</x:v>
      </x:c>
      <x:c r="G255" s="24" t="str">
        <x:v>PPL-109</x:v>
      </x:c>
      <x:c r="H255" s="24" t="str">
        <x:f>IFERROR(VLOOKUP(G255,'Master Taxonomy'!$A$2:$B$1226,2,FALSE),"")</x:f>
        <x:v>Ogrekin Peoples</x:v>
      </x:c>
      <x:c r="I255" s="24" t="str">
        <x:v>CIV-113</x:v>
      </x:c>
      <x:c r="J255" s="24" t="str">
        <x:v>Tribal Confederation</x:v>
      </x:c>
      <x:c r="K255" s="24" t="str">
        <x:v>Large, hunger-centered peoples organized in tribes, kingdoms, mercenary bands, and trade networks.</x:v>
      </x:c>
      <x:c r="L255" s="24" t="str">
        <x:v>Natural ancestry, appetite, kinship, ecology, and migration.</x:v>
      </x:c>
      <x:c r="M255" s="24" t="str">
        <x:v>The setting satirizes appetite and violence but still depicts a society.</x:v>
      </x:c>
      <x:c r="N255" s="24" t="str">
        <x:v>Mobile ogre civilization.</x:v>
      </x:c>
      <x:c r="O255" s="24" t="str">
        <x:v>Primary canon</x:v>
      </x:c>
      <x:c r="P255" s="24" t="str">
        <x:v>Official reference reviewed</x:v>
      </x:c>
      <x:c r="Q255" s="24" t="str">
        <x:v>Games Workshop official Warhammer: The Old World setting and faction pages; detailed unit verification remains edition-specific.</x:v>
      </x:c>
      <x:c r="R255" s="84" t="str">
        <x:v>https://www.warhammer.com/en-US/explore/the-old-world</x:v>
      </x:c>
      <x:c r="S255" s="24" t="str">
        <x:v>Seeded</x:v>
      </x:c>
    </x:row>
    <x:row r="256" ht="52" customHeight="1">
      <x:c r="A256" s="24" t="str">
        <x:v>ENT-0255</x:v>
      </x:c>
      <x:c r="B256" s="24" t="str">
        <x:v>Witch Hunter</x:v>
      </x:c>
      <x:c r="C256" s="24" t="str">
        <x:v>SRC-101</x:v>
      </x:c>
      <x:c r="D256" s="24" t="str">
        <x:v>Warhammer: The Old World</x:v>
      </x:c>
      <x:c r="E256" s="24" t="str">
        <x:v>Old World setting</x:v>
      </x:c>
      <x:c r="F256" s="24" t="str">
        <x:v>Religious-legal martial role</x:v>
      </x:c>
      <x:c r="G256" s="24" t="str">
        <x:v>ROL-147</x:v>
      </x:c>
      <x:c r="H256" s="24" t="str">
        <x:f>IFERROR(VLOOKUP(G256,'Master Taxonomy'!$A$2:$B$1226,2,FALSE),"")</x:f>
        <x:v>Mage Hunter and Witch Hunter</x:v>
      </x:c>
      <x:c r="I256" s="24" t="str">
        <x:v>ROL-813</x:v>
      </x:c>
      <x:c r="J256" s="24" t="str">
        <x:v>Exorcist Warrior</x:v>
      </x:c>
      <x:c r="K256" s="24" t="str">
        <x:v>Investigators and executioners combating heresy, cults, undead, and forbidden magic.</x:v>
      </x:c>
      <x:c r="L256" s="24" t="str">
        <x:v>Institutional authority, faith, weapons, investigation, and fear.</x:v>
      </x:c>
      <x:c r="M256" s="24" t="str">
        <x:v>The archetype is morally ambiguous and prone to persecution.</x:v>
      </x:c>
      <x:c r="N256" s="24" t="str">
        <x:v>Occult investigator and inquisitorial hunter.</x:v>
      </x:c>
      <x:c r="O256" s="24" t="str">
        <x:v>Primary canon</x:v>
      </x:c>
      <x:c r="P256" s="24" t="str">
        <x:v>Official reference reviewed</x:v>
      </x:c>
      <x:c r="Q256" s="24" t="str">
        <x:v>Games Workshop official Warhammer: The Old World setting and faction pages; detailed unit verification remains edition-specific.</x:v>
      </x:c>
      <x:c r="R256" s="84" t="str">
        <x:v>https://www.warhammer.com/en-US/explore/the-old-world</x:v>
      </x:c>
      <x:c r="S256" s="24" t="str">
        <x:v>Seeded</x:v>
      </x:c>
    </x:row>
    <x:row r="257" ht="52" customHeight="1">
      <x:c r="A257" s="24" t="str">
        <x:v>ENT-0256</x:v>
      </x:c>
      <x:c r="B257" s="24" t="str">
        <x:v>Dwarf Slayer</x:v>
      </x:c>
      <x:c r="C257" s="24" t="str">
        <x:v>SRC-101</x:v>
      </x:c>
      <x:c r="D257" s="24" t="str">
        <x:v>Warhammer: The Old World</x:v>
      </x:c>
      <x:c r="E257" s="24" t="str">
        <x:v>Old World setting</x:v>
      </x:c>
      <x:c r="F257" s="24" t="str">
        <x:v>Oath-bound martial state</x:v>
      </x:c>
      <x:c r="G257" s="24" t="str">
        <x:v>ROL-111</x:v>
      </x:c>
      <x:c r="H257" s="24" t="str">
        <x:f>IFERROR(VLOOKUP(G257,'Master Taxonomy'!$A$2:$B$1226,2,FALSE),"")</x:f>
        <x:v>Berserker</x:v>
      </x:c>
      <x:c r="I257" s="24" t="str">
        <x:v>ROL-145</x:v>
      </x:c>
      <x:c r="J257" s="24" t="str">
        <x:v>Dragon Slayer</x:v>
      </x:c>
      <x:c r="K257" s="24" t="str">
        <x:v>Dwarfs who take a death-seeking oath to redeem perceived dishonor through impossible combat.</x:v>
      </x:c>
      <x:c r="L257" s="24" t="str">
        <x:v>Oath, shame, martial specialization, and social transformation.</x:v>
      </x:c>
      <x:c r="M257" s="24" t="str">
        <x:v>‘Slayer’ is an identity and condition, not only a monster-killing skill.</x:v>
      </x:c>
      <x:c r="N257" s="24" t="str">
        <x:v>Oath-bound doomed berserker.</x:v>
      </x:c>
      <x:c r="O257" s="24" t="str">
        <x:v>Primary canon</x:v>
      </x:c>
      <x:c r="P257" s="24" t="str">
        <x:v>Official reference reviewed</x:v>
      </x:c>
      <x:c r="Q257" s="24" t="str">
        <x:v>Games Workshop official Warhammer: The Old World setting and faction pages; detailed unit verification remains edition-specific.</x:v>
      </x:c>
      <x:c r="R257" s="84" t="str">
        <x:v>https://www.warhammer.com/en-US/explore/the-old-world</x:v>
      </x:c>
      <x:c r="S257" s="24" t="str">
        <x:v>Seeded</x:v>
      </x:c>
    </x:row>
    <x:row r="258" ht="52" customHeight="1">
      <x:c r="A258" s="24" t="str">
        <x:v>ENT-0257</x:v>
      </x:c>
      <x:c r="B258" s="24" t="str">
        <x:v>Grail Knight</x:v>
      </x:c>
      <x:c r="C258" s="24" t="str">
        <x:v>SRC-101</x:v>
      </x:c>
      <x:c r="D258" s="24" t="str">
        <x:v>Warhammer: The Old World</x:v>
      </x:c>
      <x:c r="E258" s="24" t="str">
        <x:v>Old World setting</x:v>
      </x:c>
      <x:c r="F258" s="24" t="str">
        <x:v>Sacred knightly elite</x:v>
      </x:c>
      <x:c r="G258" s="24" t="str">
        <x:v>ROL-117</x:v>
      </x:c>
      <x:c r="H258" s="24" t="str">
        <x:f>IFERROR(VLOOKUP(G258,'Master Taxonomy'!$A$2:$B$1226,2,FALSE),"")</x:f>
        <x:v>Paladin and Holy Knight</x:v>
      </x:c>
      <x:c r="I258" s="24" t="str">
        <x:v>INS-204</x:v>
      </x:c>
      <x:c r="J258" s="24" t="str">
        <x:v>Knightly Order</x:v>
      </x:c>
      <x:c r="K258" s="24" t="str">
        <x:v>Bretonnian knights transformed or blessed through attainment of the Grail quest.</x:v>
      </x:c>
      <x:c r="L258" s="24" t="str">
        <x:v>Chivalric quest, divine favor, lineage, and martial training.</x:v>
      </x:c>
      <x:c r="M258" s="24" t="str">
        <x:v>The role is embedded in a specific feudal and religious ideology.</x:v>
      </x:c>
      <x:c r="N258" s="24" t="str">
        <x:v>Quest-completed holy knight.</x:v>
      </x:c>
      <x:c r="O258" s="24" t="str">
        <x:v>Primary canon</x:v>
      </x:c>
      <x:c r="P258" s="24" t="str">
        <x:v>Official reference reviewed</x:v>
      </x:c>
      <x:c r="Q258" s="24" t="str">
        <x:v>Games Workshop official Warhammer: The Old World setting and faction pages; detailed unit verification remains edition-specific.</x:v>
      </x:c>
      <x:c r="R258" s="84" t="str">
        <x:v>https://www.warhammer.com/en-US/explore/the-old-world</x:v>
      </x:c>
      <x:c r="S258" s="24" t="str">
        <x:v>Seeded</x:v>
      </x:c>
    </x:row>
    <x:row r="259" ht="52" customHeight="1">
      <x:c r="A259" s="24" t="str">
        <x:v>ENT-0258</x:v>
      </x:c>
      <x:c r="B259" s="24" t="str">
        <x:v>Battle Wizard</x:v>
      </x:c>
      <x:c r="C259" s="24" t="str">
        <x:v>SRC-101</x:v>
      </x:c>
      <x:c r="D259" s="24" t="str">
        <x:v>Warhammer: The Old World</x:v>
      </x:c>
      <x:c r="E259" s="24" t="str">
        <x:v>Old World setting</x:v>
      </x:c>
      <x:c r="F259" s="24" t="str">
        <x:v>Licensed combat mage</x:v>
      </x:c>
      <x:c r="G259" s="24" t="str">
        <x:v>ROL-802</x:v>
      </x:c>
      <x:c r="H259" s="24" t="str">
        <x:f>IFERROR(VLOOKUP(G259,'Master Taxonomy'!$A$2:$B$1226,2,FALSE),"")</x:f>
        <x:v>Battlemage</x:v>
      </x:c>
      <x:c r="I259" s="24" t="str">
        <x:v>INS-102</x:v>
      </x:c>
      <x:c r="J259" s="24" t="str">
        <x:v>Mage Guild</x:v>
      </x:c>
      <x:c r="K259" s="24" t="str">
        <x:v>Formally trained human magic user associated with a particular magical wind and imperial college.</x:v>
      </x:c>
      <x:c r="L259" s="24" t="str">
        <x:v>Education, licensing, magical wind, and military service.</x:v>
      </x:c>
      <x:c r="M259" s="24" t="str">
        <x:v>Institutional control and specialized schools are central.</x:v>
      </x:c>
      <x:c r="N259" s="24" t="str">
        <x:v>State-regulated elemental battlemage.</x:v>
      </x:c>
      <x:c r="O259" s="24" t="str">
        <x:v>Primary canon</x:v>
      </x:c>
      <x:c r="P259" s="24" t="str">
        <x:v>Official reference reviewed</x:v>
      </x:c>
      <x:c r="Q259" s="24" t="str">
        <x:v>Games Workshop official Warhammer: The Old World setting and faction pages; detailed unit verification remains edition-specific.</x:v>
      </x:c>
      <x:c r="R259" s="84" t="str">
        <x:v>https://www.warhammer.com/en-US/explore/the-old-world</x:v>
      </x:c>
      <x:c r="S259" s="24" t="str">
        <x:v>Seeded</x:v>
      </x:c>
    </x:row>
    <x:row r="260" ht="52" customHeight="1">
      <x:c r="A260" s="24" t="str">
        <x:v>ENT-0259</x:v>
      </x:c>
      <x:c r="B260" s="24" t="str">
        <x:v>Warrior Priest</x:v>
      </x:c>
      <x:c r="C260" s="24" t="str">
        <x:v>SRC-101</x:v>
      </x:c>
      <x:c r="D260" s="24" t="str">
        <x:v>Warhammer: The Old World</x:v>
      </x:c>
      <x:c r="E260" s="24" t="str">
        <x:v>Old World setting</x:v>
      </x:c>
      <x:c r="F260" s="24" t="str">
        <x:v>Martial religious role</x:v>
      </x:c>
      <x:c r="G260" s="24" t="str">
        <x:v>ROL-117</x:v>
      </x:c>
      <x:c r="H260" s="24" t="str">
        <x:f>IFERROR(VLOOKUP(G260,'Master Taxonomy'!$A$2:$B$1226,2,FALSE),"")</x:f>
        <x:v>Paladin and Holy Knight</x:v>
      </x:c>
      <x:c r="I260" s="24" t="str">
        <x:v>ROL-401</x:v>
      </x:c>
      <x:c r="J260" s="24" t="str">
        <x:v>Priest</x:v>
      </x:c>
      <x:c r="K260" s="24" t="str">
        <x:v>Armored clergy who combine preaching, combat, and divine battle prayers.</x:v>
      </x:c>
      <x:c r="L260" s="24" t="str">
        <x:v>Faith, ordination, weapon training, and miracles.</x:v>
      </x:c>
      <x:c r="M260" s="24" t="str">
        <x:v>Unlike a generic paladin, the priestly office is explicit.</x:v>
      </x:c>
      <x:c r="N260" s="24" t="str">
        <x:v>Militant cleric and morale leader.</x:v>
      </x:c>
      <x:c r="O260" s="24" t="str">
        <x:v>Primary canon</x:v>
      </x:c>
      <x:c r="P260" s="24" t="str">
        <x:v>Official reference reviewed</x:v>
      </x:c>
      <x:c r="Q260" s="24" t="str">
        <x:v>Games Workshop official Warhammer: The Old World setting and faction pages; detailed unit verification remains edition-specific.</x:v>
      </x:c>
      <x:c r="R260" s="84" t="str">
        <x:v>https://www.warhammer.com/en-US/explore/the-old-world</x:v>
      </x:c>
      <x:c r="S260" s="24" t="str">
        <x:v>Seeded</x:v>
      </x:c>
    </x:row>
    <x:row r="261" ht="52" customHeight="1">
      <x:c r="A261" s="24" t="str">
        <x:v>ENT-0260</x:v>
      </x:c>
      <x:c r="B261" s="24" t="str">
        <x:v>Necromancer</x:v>
      </x:c>
      <x:c r="C261" s="24" t="str">
        <x:v>SRC-101</x:v>
      </x:c>
      <x:c r="D261" s="24" t="str">
        <x:v>Warhammer: The Old World</x:v>
      </x:c>
      <x:c r="E261" s="24" t="str">
        <x:v>Old World setting</x:v>
      </x:c>
      <x:c r="F261" s="24" t="str">
        <x:v>Forbidden caster</x:v>
      </x:c>
      <x:c r="G261" s="24" t="str">
        <x:v>ROL-315</x:v>
      </x:c>
      <x:c r="H261" s="24" t="str">
        <x:f>IFERROR(VLOOKUP(G261,'Master Taxonomy'!$A$2:$B$1226,2,FALSE),"")</x:f>
        <x:v>Necromancer</x:v>
      </x:c>
      <x:c r="I261" s="24" t="str">
        <x:v>INS-313</x:v>
      </x:c>
      <x:c r="J261" s="24" t="str">
        <x:v>Necromancer Cabal</x:v>
      </x:c>
      <x:c r="K261" s="24" t="str">
        <x:v>Mortal or undead-associated practitioners who animate and command the dead.</x:v>
      </x:c>
      <x:c r="L261" s="24" t="str">
        <x:v>Learned forbidden magic, corpses, souls, and corruption.</x:v>
      </x:c>
      <x:c r="M261" s="24" t="str">
        <x:v>Necromancy's cosmological source and legal status are setting-specific.</x:v>
      </x:c>
      <x:c r="N261" s="24" t="str">
        <x:v>Army-raising death mage.</x:v>
      </x:c>
      <x:c r="O261" s="24" t="str">
        <x:v>Primary canon</x:v>
      </x:c>
      <x:c r="P261" s="24" t="str">
        <x:v>Official reference reviewed</x:v>
      </x:c>
      <x:c r="Q261" s="24" t="str">
        <x:v>Games Workshop official Warhammer: The Old World setting and faction pages; detailed unit verification remains edition-specific.</x:v>
      </x:c>
      <x:c r="R261" s="84" t="str">
        <x:v>https://www.warhammer.com/en-US/explore/the-old-world</x:v>
      </x:c>
      <x:c r="S261" s="24" t="str">
        <x:v>Seeded</x:v>
      </x:c>
    </x:row>
    <x:row r="262" ht="52" customHeight="1">
      <x:c r="A262" s="24" t="str">
        <x:v>ENT-0261</x:v>
      </x:c>
      <x:c r="B262" s="24" t="str">
        <x:v>Humans</x:v>
      </x:c>
      <x:c r="C262" s="24" t="str">
        <x:v>SRC-196</x:v>
      </x:c>
      <x:c r="D262" s="24" t="str">
        <x:v>Frieren: Beyond Journey's End</x:v>
      </x:c>
      <x:c r="E262" s="24" t="str">
        <x:v>Manga/anime continuity</x:v>
      </x:c>
      <x:c r="F262" s="24" t="str">
        <x:v>People</x:v>
      </x:c>
      <x:c r="G262" s="24" t="str">
        <x:v>PPL-101</x:v>
      </x:c>
      <x:c r="H262" s="24" t="str">
        <x:f>IFERROR(VLOOKUP(G262,'Master Taxonomy'!$A$2:$B$1226,2,FALSE),"")</x:f>
        <x:v>Human and Near-Human Peoples</x:v>
      </x:c>
      <x:c r="I262" s="24" t="str"/>
      <x:c r="J262" s="24" t="str"/>
      <x:c r="K262" s="24" t="str">
        <x:v>Short-lived mortal people whose generational change is central to the story's time scale.</x:v>
      </x:c>
      <x:c r="L262" s="24" t="str">
        <x:v>Natural ancestry and mortality.</x:v>
      </x:c>
      <x:c r="M262" s="24" t="str">
        <x:v>Their brevity relative to elves shapes memory and relationships more than a mechanical race trait.</x:v>
      </x:c>
      <x:c r="N262" s="24" t="str">
        <x:v>Mortality-contrast human archetype.</x:v>
      </x:c>
      <x:c r="O262" s="24" t="str">
        <x:v>Primary canon</x:v>
      </x:c>
      <x:c r="P262" s="24" t="str">
        <x:v>Secondary reference reviewed</x:v>
      </x:c>
      <x:c r="Q262" s="24" t="str">
        <x:v>Primary manga/anime continuity; secondary orientation source.</x:v>
      </x:c>
      <x:c r="R262" s="84" t="str">
        <x:v>https://en.wikipedia.org/wiki/Frieren:_Beyond_Journey's_End</x:v>
      </x:c>
      <x:c r="S262" s="24" t="str">
        <x:v>Seeded</x:v>
      </x:c>
    </x:row>
    <x:row r="263" ht="52" customHeight="1">
      <x:c r="A263" s="24" t="str">
        <x:v>ENT-0262</x:v>
      </x:c>
      <x:c r="B263" s="24" t="str">
        <x:v>Elves</x:v>
      </x:c>
      <x:c r="C263" s="24" t="str">
        <x:v>SRC-196</x:v>
      </x:c>
      <x:c r="D263" s="24" t="str">
        <x:v>Frieren: Beyond Journey's End</x:v>
      </x:c>
      <x:c r="E263" s="24" t="str">
        <x:v>Manga/anime continuity</x:v>
      </x:c>
      <x:c r="F263" s="24" t="str">
        <x:v>People</x:v>
      </x:c>
      <x:c r="G263" s="24" t="str">
        <x:v>PPL-102</x:v>
      </x:c>
      <x:c r="H263" s="24" t="str">
        <x:f>IFERROR(VLOOKUP(G263,'Master Taxonomy'!$A$2:$B$1226,2,FALSE),"")</x:f>
        <x:v>Elf-Derived Peoples</x:v>
      </x:c>
      <x:c r="I263" s="24" t="str"/>
      <x:c r="J263" s="24" t="str"/>
      <x:c r="K263" s="24" t="str">
        <x:v>Extremely long-lived and rare people with different experiences of time, memory, and reproduction.</x:v>
      </x:c>
      <x:c r="L263" s="24" t="str">
        <x:v>Natural ancestry and longevity.</x:v>
      </x:c>
      <x:c r="M263" s="24" t="str">
        <x:v>The work uses longevity for emotional and historical analysis rather than generic superiority.</x:v>
      </x:c>
      <x:c r="N263" s="24" t="str">
        <x:v>Post-adventure immortal elf archetype.</x:v>
      </x:c>
      <x:c r="O263" s="24" t="str">
        <x:v>Primary canon</x:v>
      </x:c>
      <x:c r="P263" s="24" t="str">
        <x:v>Secondary reference reviewed</x:v>
      </x:c>
      <x:c r="Q263" s="24" t="str">
        <x:v>Primary manga/anime continuity; secondary orientation source.</x:v>
      </x:c>
      <x:c r="R263" s="84" t="str">
        <x:v>https://en.wikipedia.org/wiki/Frieren:_Beyond_Journey's_End</x:v>
      </x:c>
      <x:c r="S263" s="24" t="str">
        <x:v>Seeded</x:v>
      </x:c>
    </x:row>
    <x:row r="264" ht="52" customHeight="1">
      <x:c r="A264" s="24" t="str">
        <x:v>ENT-0263</x:v>
      </x:c>
      <x:c r="B264" s="24" t="str">
        <x:v>Dwarves</x:v>
      </x:c>
      <x:c r="C264" s="24" t="str">
        <x:v>SRC-196</x:v>
      </x:c>
      <x:c r="D264" s="24" t="str">
        <x:v>Frieren: Beyond Journey's End</x:v>
      </x:c>
      <x:c r="E264" s="24" t="str">
        <x:v>Manga/anime continuity</x:v>
      </x:c>
      <x:c r="F264" s="24" t="str">
        <x:v>People</x:v>
      </x:c>
      <x:c r="G264" s="24" t="str">
        <x:v>PPL-103</x:v>
      </x:c>
      <x:c r="H264" s="24" t="str">
        <x:f>IFERROR(VLOOKUP(G264,'Master Taxonomy'!$A$2:$B$1226,2,FALSE),"")</x:f>
        <x:v>Dwarf-Derived Peoples</x:v>
      </x:c>
      <x:c r="I264" s="24" t="str"/>
      <x:c r="J264" s="24" t="str"/>
      <x:c r="K264" s="24" t="str">
        <x:v>Long-lived nonhuman people associated with martial endurance and enduring memory.</x:v>
      </x:c>
      <x:c r="L264" s="24" t="str">
        <x:v>Natural ancestry and longevity.</x:v>
      </x:c>
      <x:c r="M264" s="24" t="str">
        <x:v>They are less central as a monocultural craft stereotype.</x:v>
      </x:c>
      <x:c r="N264" s="24" t="str">
        <x:v>Long-lived warrior dwarf analogue.</x:v>
      </x:c>
      <x:c r="O264" s="24" t="str">
        <x:v>Primary canon</x:v>
      </x:c>
      <x:c r="P264" s="24" t="str">
        <x:v>Secondary reference reviewed</x:v>
      </x:c>
      <x:c r="Q264" s="24" t="str">
        <x:v>Primary manga/anime continuity; secondary orientation source.</x:v>
      </x:c>
      <x:c r="R264" s="84" t="str">
        <x:v>https://en.wikipedia.org/wiki/Frieren:_Beyond_Journey's_End</x:v>
      </x:c>
      <x:c r="S264" s="24" t="str">
        <x:v>Seeded</x:v>
      </x:c>
    </x:row>
    <x:row r="265" ht="52" customHeight="1">
      <x:c r="A265" s="24" t="str">
        <x:v>ENT-0264</x:v>
      </x:c>
      <x:c r="B265" s="24" t="str">
        <x:v>Demons</x:v>
      </x:c>
      <x:c r="C265" s="24" t="str">
        <x:v>SRC-196</x:v>
      </x:c>
      <x:c r="D265" s="24" t="str">
        <x:v>Frieren: Beyond Journey's End</x:v>
      </x:c>
      <x:c r="E265" s="24" t="str">
        <x:v>Manga/anime continuity</x:v>
      </x:c>
      <x:c r="F265" s="24" t="str">
        <x:v>Nonhuman predatory people</x:v>
      </x:c>
      <x:c r="G265" s="24" t="str">
        <x:v>PPL-501</x:v>
      </x:c>
      <x:c r="H265" s="24" t="str">
        <x:f>IFERROR(VLOOKUP(G265,'Master Taxonomy'!$A$2:$B$1226,2,FALSE),"")</x:f>
        <x:v>Demons</x:v>
      </x:c>
      <x:c r="I265" s="24" t="str"/>
      <x:c r="J265" s="24" t="str"/>
      <x:c r="K265" s="24" t="str">
        <x:v>Language-using beings whose communication can function as predatory mimicry rather than shared human morality.</x:v>
      </x:c>
      <x:c r="L265" s="24" t="str">
        <x:v>Innate magical nature, predation, and learned speech.</x:v>
      </x:c>
      <x:c r="M265" s="24" t="str">
        <x:v>Their ontology is species-like and differs from fallen spirits or corrupted humans.</x:v>
      </x:c>
      <x:c r="N265" s="24" t="str">
        <x:v>Predatory language-mimic demon archetype.</x:v>
      </x:c>
      <x:c r="O265" s="24" t="str">
        <x:v>Primary canon</x:v>
      </x:c>
      <x:c r="P265" s="24" t="str">
        <x:v>Secondary reference reviewed</x:v>
      </x:c>
      <x:c r="Q265" s="24" t="str">
        <x:v>Primary manga/anime continuity; secondary orientation source.</x:v>
      </x:c>
      <x:c r="R265" s="84" t="str">
        <x:v>https://en.wikipedia.org/wiki/Frieren:_Beyond_Journey's_End</x:v>
      </x:c>
      <x:c r="S265" s="24" t="str">
        <x:v>Seeded</x:v>
      </x:c>
    </x:row>
    <x:row r="266" ht="52" customHeight="1">
      <x:c r="A266" s="24" t="str">
        <x:v>ENT-0265</x:v>
      </x:c>
      <x:c r="B266" s="24" t="str">
        <x:v>Mage</x:v>
      </x:c>
      <x:c r="C266" s="24" t="str">
        <x:v>SRC-196</x:v>
      </x:c>
      <x:c r="D266" s="24" t="str">
        <x:v>Frieren: Beyond Journey's End</x:v>
      </x:c>
      <x:c r="E266" s="24" t="str">
        <x:v>Manga/anime continuity</x:v>
      </x:c>
      <x:c r="F266" s="24" t="str">
        <x:v>Magical profession</x:v>
      </x:c>
      <x:c r="G266" s="24" t="str">
        <x:v>ROL-301</x:v>
      </x:c>
      <x:c r="H266" s="24" t="str">
        <x:f>IFERROR(VLOOKUP(G266,'Master Taxonomy'!$A$2:$B$1226,2,FALSE),"")</x:f>
        <x:v>Mage and Wizard</x:v>
      </x:c>
      <x:c r="I266" s="24" t="str">
        <x:v>ROL-306</x:v>
      </x:c>
      <x:c r="J266" s="24" t="str">
        <x:v>Magical Scholar</x:v>
      </x:c>
      <x:c r="K266" s="24" t="str">
        <x:v>Trained spell users whose careers involve study, collecting spells, combat, and certification.</x:v>
      </x:c>
      <x:c r="L266" s="24" t="str">
        <x:v>Aptitude, study, mana control, spell acquisition, and institutions.</x:v>
      </x:c>
      <x:c r="M266" s="24" t="str">
        <x:v>Everyday utility spells matter alongside combat magic.</x:v>
      </x:c>
      <x:c r="N266" s="24" t="str">
        <x:v>Scholar-adventurer mage.</x:v>
      </x:c>
      <x:c r="O266" s="24" t="str">
        <x:v>Primary canon</x:v>
      </x:c>
      <x:c r="P266" s="24" t="str">
        <x:v>Secondary reference reviewed</x:v>
      </x:c>
      <x:c r="Q266" s="24" t="str">
        <x:v>Primary manga/anime continuity; secondary orientation source.</x:v>
      </x:c>
      <x:c r="R266" s="84" t="str">
        <x:v>https://en.wikipedia.org/wiki/Frieren:_Beyond_Journey's_End</x:v>
      </x:c>
      <x:c r="S266" s="24" t="str">
        <x:v>Seeded</x:v>
      </x:c>
    </x:row>
    <x:row r="267" ht="52" customHeight="1">
      <x:c r="A267" s="24" t="str">
        <x:v>ENT-0266</x:v>
      </x:c>
      <x:c r="B267" s="24" t="str">
        <x:v>First-class mage</x:v>
      </x:c>
      <x:c r="C267" s="24" t="str">
        <x:v>SRC-196</x:v>
      </x:c>
      <x:c r="D267" s="24" t="str">
        <x:v>Frieren: Beyond Journey's End</x:v>
      </x:c>
      <x:c r="E267" s="24" t="str">
        <x:v>Manga/anime continuity</x:v>
      </x:c>
      <x:c r="F267" s="24" t="str">
        <x:v>Professional rank</x:v>
      </x:c>
      <x:c r="G267" s="24" t="str">
        <x:v>MEC-314</x:v>
      </x:c>
      <x:c r="H267" s="24" t="str">
        <x:f>IFERROR(VLOOKUP(G267,'Master Taxonomy'!$A$2:$B$1226,2,FALSE),"")</x:f>
        <x:v>Rank and Promotion System</x:v>
      </x:c>
      <x:c r="I267" s="24" t="str">
        <x:v>INS-102</x:v>
      </x:c>
      <x:c r="J267" s="24" t="str">
        <x:v>Mage Guild</x:v>
      </x:c>
      <x:c r="K267" s="24" t="str">
        <x:v>A high certification rank granted through institutional examination and judgment.</x:v>
      </x:c>
      <x:c r="L267" s="24" t="str">
        <x:v>Exams, reputation, skill, and organizational authority.</x:v>
      </x:c>
      <x:c r="M267" s="24" t="str">
        <x:v>It is a rank layered onto the mage vocation, not a separate species or power source.</x:v>
      </x:c>
      <x:c r="N267" s="24" t="str">
        <x:v>Elite professional mage certification.</x:v>
      </x:c>
      <x:c r="O267" s="24" t="str">
        <x:v>Primary canon</x:v>
      </x:c>
      <x:c r="P267" s="24" t="str">
        <x:v>Secondary reference reviewed</x:v>
      </x:c>
      <x:c r="Q267" s="24" t="str">
        <x:v>Primary manga/anime continuity; secondary orientation source.</x:v>
      </x:c>
      <x:c r="R267" s="84" t="str">
        <x:v>https://en.wikipedia.org/wiki/Frieren:_Beyond_Journey's_End</x:v>
      </x:c>
      <x:c r="S267" s="24" t="str">
        <x:v>Seeded</x:v>
      </x:c>
    </x:row>
    <x:row r="268" ht="52" customHeight="1">
      <x:c r="A268" s="24" t="str">
        <x:v>ENT-0267</x:v>
      </x:c>
      <x:c r="B268" s="24" t="str">
        <x:v>Priest</x:v>
      </x:c>
      <x:c r="C268" s="24" t="str">
        <x:v>SRC-196</x:v>
      </x:c>
      <x:c r="D268" s="24" t="str">
        <x:v>Frieren: Beyond Journey's End</x:v>
      </x:c>
      <x:c r="E268" s="24" t="str">
        <x:v>Manga/anime continuity</x:v>
      </x:c>
      <x:c r="F268" s="24" t="str">
        <x:v>Religious adventuring role</x:v>
      </x:c>
      <x:c r="G268" s="24" t="str">
        <x:v>ROL-401</x:v>
      </x:c>
      <x:c r="H268" s="24" t="str">
        <x:f>IFERROR(VLOOKUP(G268,'Master Taxonomy'!$A$2:$B$1226,2,FALSE),"")</x:f>
        <x:v>Priest</x:v>
      </x:c>
      <x:c r="I268" s="24" t="str">
        <x:v>MEC-112</x:v>
      </x:c>
      <x:c r="J268" s="24" t="str">
        <x:v>Healer</x:v>
      </x:c>
      <x:c r="K268" s="24" t="str">
        <x:v>Clerical spell users providing healing, purification, support, and religious knowledge.</x:v>
      </x:c>
      <x:c r="L268" s="24" t="str">
        <x:v>Faith, training, sacred magic, and party role.</x:v>
      </x:c>
      <x:c r="M268" s="24" t="str">
        <x:v>The title combines social vocation and mechanical-style adventuring function.</x:v>
      </x:c>
      <x:c r="N268" s="24" t="str">
        <x:v>Healer-exorcist party role.</x:v>
      </x:c>
      <x:c r="O268" s="24" t="str">
        <x:v>Primary canon</x:v>
      </x:c>
      <x:c r="P268" s="24" t="str">
        <x:v>Secondary reference reviewed</x:v>
      </x:c>
      <x:c r="Q268" s="24" t="str">
        <x:v>Primary manga/anime continuity; secondary orientation source.</x:v>
      </x:c>
      <x:c r="R268" s="84" t="str">
        <x:v>https://en.wikipedia.org/wiki/Frieren:_Beyond_Journey's_End</x:v>
      </x:c>
      <x:c r="S268" s="24" t="str">
        <x:v>Seeded</x:v>
      </x:c>
    </x:row>
    <x:row r="269" ht="52" customHeight="1">
      <x:c r="A269" s="24" t="str">
        <x:v>ENT-0268</x:v>
      </x:c>
      <x:c r="B269" s="24" t="str">
        <x:v>Warrior</x:v>
      </x:c>
      <x:c r="C269" s="24" t="str">
        <x:v>SRC-196</x:v>
      </x:c>
      <x:c r="D269" s="24" t="str">
        <x:v>Frieren: Beyond Journey's End</x:v>
      </x:c>
      <x:c r="E269" s="24" t="str">
        <x:v>Manga/anime continuity</x:v>
      </x:c>
      <x:c r="F269" s="24" t="str">
        <x:v>Martial adventuring role</x:v>
      </x:c>
      <x:c r="G269" s="24" t="str">
        <x:v>ROL-101</x:v>
      </x:c>
      <x:c r="H269" s="24" t="str">
        <x:f>IFERROR(VLOOKUP(G269,'Master Taxonomy'!$A$2:$B$1226,2,FALSE),"")</x:f>
        <x:v>Warrior or Fighter</x:v>
      </x:c>
      <x:c r="I269" s="24" t="str"/>
      <x:c r="J269" s="24" t="str"/>
      <x:c r="K269" s="24" t="str">
        <x:v>Frontline weapon specialists valued for physical capability, courage, and monster combat.</x:v>
      </x:c>
      <x:c r="L269" s="24" t="str">
        <x:v>Training, physique, equipment, and experience.</x:v>
      </x:c>
      <x:c r="M269" s="24" t="str">
        <x:v>The role is socially legible but not a formal universal class system.</x:v>
      </x:c>
      <x:c r="N269" s="24" t="str">
        <x:v>Frontline adventurer.</x:v>
      </x:c>
      <x:c r="O269" s="24" t="str">
        <x:v>Primary canon</x:v>
      </x:c>
      <x:c r="P269" s="24" t="str">
        <x:v>Secondary reference reviewed</x:v>
      </x:c>
      <x:c r="Q269" s="24" t="str">
        <x:v>Primary manga/anime continuity; secondary orientation source.</x:v>
      </x:c>
      <x:c r="R269" s="84" t="str">
        <x:v>https://en.wikipedia.org/wiki/Frieren:_Beyond_Journey's_End</x:v>
      </x:c>
      <x:c r="S269" s="24" t="str">
        <x:v>Seeded</x:v>
      </x:c>
    </x:row>
    <x:row r="270" ht="52" customHeight="1">
      <x:c r="A270" s="24" t="str">
        <x:v>ENT-0269</x:v>
      </x:c>
      <x:c r="B270" s="24" t="str">
        <x:v>Hero party</x:v>
      </x:c>
      <x:c r="C270" s="24" t="str">
        <x:v>SRC-196</x:v>
      </x:c>
      <x:c r="D270" s="24" t="str">
        <x:v>Frieren: Beyond Journey's End</x:v>
      </x:c>
      <x:c r="E270" s="24" t="str">
        <x:v>Manga/anime continuity</x:v>
      </x:c>
      <x:c r="F270" s="24" t="str">
        <x:v>Adventuring institution / narrative formation</x:v>
      </x:c>
      <x:c r="G270" s="24" t="str">
        <x:v>INS-422</x:v>
      </x:c>
      <x:c r="H270" s="24" t="str">
        <x:f>IFERROR(VLOOKUP(G270,'Master Taxonomy'!$A$2:$B$1226,2,FALSE),"")</x:f>
        <x:v>Adventuring Party</x:v>
      </x:c>
      <x:c r="I270" s="24" t="str">
        <x:v>ROL-904</x:v>
      </x:c>
      <x:c r="J270" s="24" t="str">
        <x:v>Hero Class</x:v>
      </x:c>
      <x:c r="K270" s="24" t="str">
        <x:v>A small mixed-role fellowship remembered for defeating the Demon King.</x:v>
      </x:c>
      <x:c r="L270" s="24" t="str">
        <x:v>Complementary roles, shared quest, reputation, and memory.</x:v>
      </x:c>
      <x:c r="M270" s="24" t="str">
        <x:v>The party's afterlife and remembrance are as important as its combat composition.</x:v>
      </x:c>
      <x:c r="N270" s="24" t="str">
        <x:v>Post-quest legendary party archetype.</x:v>
      </x:c>
      <x:c r="O270" s="24" t="str">
        <x:v>Primary canon</x:v>
      </x:c>
      <x:c r="P270" s="24" t="str">
        <x:v>Secondary reference reviewed</x:v>
      </x:c>
      <x:c r="Q270" s="24" t="str">
        <x:v>Primary manga/anime continuity; secondary orientation source.</x:v>
      </x:c>
      <x:c r="R270" s="84" t="str">
        <x:v>https://en.wikipedia.org/wiki/Frieren:_Beyond_Journey's_End</x:v>
      </x:c>
      <x:c r="S270" s="24" t="str">
        <x:v>Seeded</x:v>
      </x:c>
    </x:row>
    <x:row r="271" ht="52" customHeight="1">
      <x:c r="A271" s="24" t="str">
        <x:v>ENT-0270</x:v>
      </x:c>
      <x:c r="B271" s="24" t="str">
        <x:v>Tall-men</x:v>
      </x:c>
      <x:c r="C271" s="24" t="str">
        <x:v>SRC-197</x:v>
      </x:c>
      <x:c r="D271" s="24" t="str">
        <x:v>Delicious in Dungeon</x:v>
      </x:c>
      <x:c r="E271" s="24" t="str">
        <x:v>Manga/anime continuity</x:v>
      </x:c>
      <x:c r="F271" s="24" t="str">
        <x:v>People</x:v>
      </x:c>
      <x:c r="G271" s="24" t="str">
        <x:v>PPL-101</x:v>
      </x:c>
      <x:c r="H271" s="24" t="str">
        <x:f>IFERROR(VLOOKUP(G271,'Master Taxonomy'!$A$2:$B$1226,2,FALSE),"")</x:f>
        <x:v>Human and Near-Human Peoples</x:v>
      </x:c>
      <x:c r="I271" s="24" t="str"/>
      <x:c r="J271" s="24" t="str"/>
      <x:c r="K271" s="24" t="str">
        <x:v>The setting's ordinary humanlike people, named comparatively among multiple humanoid peoples.</x:v>
      </x:c>
      <x:c r="L271" s="24" t="str">
        <x:v>Natural ancestry and culture.</x:v>
      </x:c>
      <x:c r="M271" s="24" t="str">
        <x:v>The label is relational and setting-specific rather than a universal human category.</x:v>
      </x:c>
      <x:c r="N271" s="24" t="str">
        <x:v>Human baseline in a multi-people setting.</x:v>
      </x:c>
      <x:c r="O271" s="24" t="str">
        <x:v>Primary canon</x:v>
      </x:c>
      <x:c r="P271" s="24" t="str">
        <x:v>Secondary reference reviewed</x:v>
      </x:c>
      <x:c r="Q271" s="24" t="str">
        <x:v>Primary manga/anime continuity; secondary orientation source.</x:v>
      </x:c>
      <x:c r="R271" s="84" t="str">
        <x:v>https://en.wikipedia.org/wiki/Delicious_in_Dungeon</x:v>
      </x:c>
      <x:c r="S271" s="24" t="str">
        <x:v>Seeded</x:v>
      </x:c>
    </x:row>
    <x:row r="272" ht="52" customHeight="1">
      <x:c r="A272" s="24" t="str">
        <x:v>ENT-0271</x:v>
      </x:c>
      <x:c r="B272" s="24" t="str">
        <x:v>Elves</x:v>
      </x:c>
      <x:c r="C272" s="24" t="str">
        <x:v>SRC-197</x:v>
      </x:c>
      <x:c r="D272" s="24" t="str">
        <x:v>Delicious in Dungeon</x:v>
      </x:c>
      <x:c r="E272" s="24" t="str">
        <x:v>Manga/anime continuity</x:v>
      </x:c>
      <x:c r="F272" s="24" t="str">
        <x:v>People</x:v>
      </x:c>
      <x:c r="G272" s="24" t="str">
        <x:v>PPL-102</x:v>
      </x:c>
      <x:c r="H272" s="24" t="str">
        <x:f>IFERROR(VLOOKUP(G272,'Master Taxonomy'!$A$2:$B$1226,2,FALSE),"")</x:f>
        <x:v>Elf-Derived Peoples</x:v>
      </x:c>
      <x:c r="I272" s="24" t="str"/>
      <x:c r="J272" s="24" t="str"/>
      <x:c r="K272" s="24" t="str">
        <x:v>Long-lived people with powerful states, magic, and varied social positions.</x:v>
      </x:c>
      <x:c r="L272" s="24" t="str">
        <x:v>Natural ancestry, longevity, culture, and institutions.</x:v>
      </x:c>
      <x:c r="M272" s="24" t="str">
        <x:v>The series foregrounds biological and political differences without treating all elves as one personality.</x:v>
      </x:c>
      <x:c r="N272" s="24" t="str">
        <x:v>Long-lived imperial elf analogue.</x:v>
      </x:c>
      <x:c r="O272" s="24" t="str">
        <x:v>Primary canon</x:v>
      </x:c>
      <x:c r="P272" s="24" t="str">
        <x:v>Secondary reference reviewed</x:v>
      </x:c>
      <x:c r="Q272" s="24" t="str">
        <x:v>Primary manga/anime continuity; secondary orientation source.</x:v>
      </x:c>
      <x:c r="R272" s="84" t="str">
        <x:v>https://en.wikipedia.org/wiki/Delicious_in_Dungeon</x:v>
      </x:c>
      <x:c r="S272" s="24" t="str">
        <x:v>Seeded</x:v>
      </x:c>
    </x:row>
    <x:row r="273" ht="52" customHeight="1">
      <x:c r="A273" s="24" t="str">
        <x:v>ENT-0272</x:v>
      </x:c>
      <x:c r="B273" s="24" t="str">
        <x:v>Dwarves</x:v>
      </x:c>
      <x:c r="C273" s="24" t="str">
        <x:v>SRC-197</x:v>
      </x:c>
      <x:c r="D273" s="24" t="str">
        <x:v>Delicious in Dungeon</x:v>
      </x:c>
      <x:c r="E273" s="24" t="str">
        <x:v>Manga/anime continuity</x:v>
      </x:c>
      <x:c r="F273" s="24" t="str">
        <x:v>People</x:v>
      </x:c>
      <x:c r="G273" s="24" t="str">
        <x:v>PPL-103</x:v>
      </x:c>
      <x:c r="H273" s="24" t="str">
        <x:f>IFERROR(VLOOKUP(G273,'Master Taxonomy'!$A$2:$B$1226,2,FALSE),"")</x:f>
        <x:v>Dwarf-Derived Peoples</x:v>
      </x:c>
      <x:c r="I273" s="24" t="str"/>
      <x:c r="J273" s="24" t="str"/>
      <x:c r="K273" s="24" t="str">
        <x:v>Robust long-lived people with distinct physiology, history, and cultural variation.</x:v>
      </x:c>
      <x:c r="L273" s="24" t="str">
        <x:v>Natural ancestry and culture.</x:v>
      </x:c>
      <x:c r="M273" s="24" t="str">
        <x:v>Diet, sensory assumptions, and individual backgrounds complicate stock dwarf traits.</x:v>
      </x:c>
      <x:c r="N273" s="24" t="str">
        <x:v>Physiologically distinct dwarf people.</x:v>
      </x:c>
      <x:c r="O273" s="24" t="str">
        <x:v>Primary canon</x:v>
      </x:c>
      <x:c r="P273" s="24" t="str">
        <x:v>Secondary reference reviewed</x:v>
      </x:c>
      <x:c r="Q273" s="24" t="str">
        <x:v>Primary manga/anime continuity; secondary orientation source.</x:v>
      </x:c>
      <x:c r="R273" s="84" t="str">
        <x:v>https://en.wikipedia.org/wiki/Delicious_in_Dungeon</x:v>
      </x:c>
      <x:c r="S273" s="24" t="str">
        <x:v>Seeded</x:v>
      </x:c>
    </x:row>
    <x:row r="274" ht="52" customHeight="1">
      <x:c r="A274" s="24" t="str">
        <x:v>ENT-0273</x:v>
      </x:c>
      <x:c r="B274" s="24" t="str">
        <x:v>Halffoots</x:v>
      </x:c>
      <x:c r="C274" s="24" t="str">
        <x:v>SRC-197</x:v>
      </x:c>
      <x:c r="D274" s="24" t="str">
        <x:v>Delicious in Dungeon</x:v>
      </x:c>
      <x:c r="E274" s="24" t="str">
        <x:v>Manga/anime continuity</x:v>
      </x:c>
      <x:c r="F274" s="24" t="str">
        <x:v>People</x:v>
      </x:c>
      <x:c r="G274" s="24" t="str">
        <x:v>PPL-104</x:v>
      </x:c>
      <x:c r="H274" s="24" t="str">
        <x:f>IFERROR(VLOOKUP(G274,'Master Taxonomy'!$A$2:$B$1226,2,FALSE),"")</x:f>
        <x:v>Halfling and Smallfolk Peoples</x:v>
      </x:c>
      <x:c r="I274" s="24" t="str"/>
      <x:c r="J274" s="24" t="str"/>
      <x:c r="K274" s="24" t="str">
        <x:v>Small-statured people with shorter life spans and social stereotypes around traps and theft.</x:v>
      </x:c>
      <x:c r="L274" s="24" t="str">
        <x:v>Natural ancestry and social history.</x:v>
      </x:c>
      <x:c r="M274" s="24" t="str">
        <x:v>Occupational stereotyping is explicitly separable from ancestry.</x:v>
      </x:c>
      <x:c r="N274" s="24" t="str">
        <x:v>Smallfolk labor-specialization critique.</x:v>
      </x:c>
      <x:c r="O274" s="24" t="str">
        <x:v>Primary canon</x:v>
      </x:c>
      <x:c r="P274" s="24" t="str">
        <x:v>Secondary reference reviewed</x:v>
      </x:c>
      <x:c r="Q274" s="24" t="str">
        <x:v>Primary manga/anime continuity; secondary orientation source.</x:v>
      </x:c>
      <x:c r="R274" s="84" t="str">
        <x:v>https://en.wikipedia.org/wiki/Delicious_in_Dungeon</x:v>
      </x:c>
      <x:c r="S274" s="24" t="str">
        <x:v>Seeded</x:v>
      </x:c>
    </x:row>
    <x:row r="275" ht="52" customHeight="1">
      <x:c r="A275" s="24" t="str">
        <x:v>ENT-0274</x:v>
      </x:c>
      <x:c r="B275" s="24" t="str">
        <x:v>Gnomes</x:v>
      </x:c>
      <x:c r="C275" s="24" t="str">
        <x:v>SRC-197</x:v>
      </x:c>
      <x:c r="D275" s="24" t="str">
        <x:v>Delicious in Dungeon</x:v>
      </x:c>
      <x:c r="E275" s="24" t="str">
        <x:v>Manga/anime continuity</x:v>
      </x:c>
      <x:c r="F275" s="24" t="str">
        <x:v>People</x:v>
      </x:c>
      <x:c r="G275" s="24" t="str">
        <x:v>PPL-105</x:v>
      </x:c>
      <x:c r="H275" s="24" t="str">
        <x:f>IFERROR(VLOOKUP(G275,'Master Taxonomy'!$A$2:$B$1226,2,FALSE),"")</x:f>
        <x:v>Gnome and Tinkerfolk Peoples</x:v>
      </x:c>
      <x:c r="I275" s="24" t="str"/>
      <x:c r="J275" s="24" t="str"/>
      <x:c r="K275" s="24" t="str">
        <x:v>A distinct small people with their own magical and cultural tendencies.</x:v>
      </x:c>
      <x:c r="L275" s="24" t="str">
        <x:v>Natural ancestry, culture, and magic.</x:v>
      </x:c>
      <x:c r="M275" s="24" t="str">
        <x:v>They are not interchangeable with halffoots or dwarves.</x:v>
      </x:c>
      <x:c r="N275" s="24" t="str">
        <x:v>Small magical people.</x:v>
      </x:c>
      <x:c r="O275" s="24" t="str">
        <x:v>Primary canon</x:v>
      </x:c>
      <x:c r="P275" s="24" t="str">
        <x:v>Secondary reference reviewed</x:v>
      </x:c>
      <x:c r="Q275" s="24" t="str">
        <x:v>Primary manga/anime continuity; secondary orientation source.</x:v>
      </x:c>
      <x:c r="R275" s="84" t="str">
        <x:v>https://en.wikipedia.org/wiki/Delicious_in_Dungeon</x:v>
      </x:c>
      <x:c r="S275" s="24" t="str">
        <x:v>Seeded</x:v>
      </x:c>
    </x:row>
    <x:row r="276" ht="52" customHeight="1">
      <x:c r="A276" s="24" t="str">
        <x:v>ENT-0275</x:v>
      </x:c>
      <x:c r="B276" s="24" t="str">
        <x:v>Orcs</x:v>
      </x:c>
      <x:c r="C276" s="24" t="str">
        <x:v>SRC-197</x:v>
      </x:c>
      <x:c r="D276" s="24" t="str">
        <x:v>Delicious in Dungeon</x:v>
      </x:c>
      <x:c r="E276" s="24" t="str">
        <x:v>Manga/anime continuity</x:v>
      </x:c>
      <x:c r="F276" s="24" t="str">
        <x:v>People</x:v>
      </x:c>
      <x:c r="G276" s="24" t="str">
        <x:v>PPL-106</x:v>
      </x:c>
      <x:c r="H276" s="24" t="str">
        <x:f>IFERROR(VLOOKUP(G276,'Master Taxonomy'!$A$2:$B$1226,2,FALSE),"")</x:f>
        <x:v>Orc-Derived Peoples</x:v>
      </x:c>
      <x:c r="I276" s="24" t="str"/>
      <x:c r="J276" s="24" t="str"/>
      <x:c r="K276" s="24" t="str">
        <x:v>Displaced or marginalized people with communities and political grievances around dungeon territories.</x:v>
      </x:c>
      <x:c r="L276" s="24" t="str">
        <x:v>Natural ancestry, culture, and historical conflict.</x:v>
      </x:c>
      <x:c r="M276" s="24" t="str">
        <x:v>The work resists treating orcs as faceless monster mobs.</x:v>
      </x:c>
      <x:c r="N276" s="24" t="str">
        <x:v>Marginalized orc society.</x:v>
      </x:c>
      <x:c r="O276" s="24" t="str">
        <x:v>Primary canon</x:v>
      </x:c>
      <x:c r="P276" s="24" t="str">
        <x:v>Secondary reference reviewed</x:v>
      </x:c>
      <x:c r="Q276" s="24" t="str">
        <x:v>Primary manga/anime continuity; secondary orientation source.</x:v>
      </x:c>
      <x:c r="R276" s="84" t="str">
        <x:v>https://en.wikipedia.org/wiki/Delicious_in_Dungeon</x:v>
      </x:c>
      <x:c r="S276" s="24" t="str">
        <x:v>Seeded</x:v>
      </x:c>
    </x:row>
    <x:row r="277" ht="52" customHeight="1">
      <x:c r="A277" s="24" t="str">
        <x:v>ENT-0276</x:v>
      </x:c>
      <x:c r="B277" s="24" t="str">
        <x:v>Kobolds</x:v>
      </x:c>
      <x:c r="C277" s="24" t="str">
        <x:v>SRC-197</x:v>
      </x:c>
      <x:c r="D277" s="24" t="str">
        <x:v>Delicious in Dungeon</x:v>
      </x:c>
      <x:c r="E277" s="24" t="str">
        <x:v>Manga/anime continuity</x:v>
      </x:c>
      <x:c r="F277" s="24" t="str">
        <x:v>Canine-featured people</x:v>
      </x:c>
      <x:c r="G277" s="24" t="str">
        <x:v>PPL-120</x:v>
      </x:c>
      <x:c r="H277" s="24" t="str">
        <x:f>IFERROR(VLOOKUP(G277,'Master Taxonomy'!$A$2:$B$1226,2,FALSE),"")</x:f>
        <x:v>Canine Beastfolk</x:v>
      </x:c>
      <x:c r="I277" s="24" t="str"/>
      <x:c r="J277" s="24" t="str"/>
      <x:c r="K277" s="24" t="str">
        <x:v>Doglike humanoid people with distinct physiology and culture.</x:v>
      </x:c>
      <x:c r="L277" s="24" t="str">
        <x:v>Natural ancestry and culture.</x:v>
      </x:c>
      <x:c r="M277" s="24" t="str">
        <x:v>The name differs from reptilian kobolds in some games and folklore mine spirits.</x:v>
      </x:c>
      <x:c r="N277" s="24" t="str">
        <x:v>Canine kobold people.</x:v>
      </x:c>
      <x:c r="O277" s="24" t="str">
        <x:v>Primary canon</x:v>
      </x:c>
      <x:c r="P277" s="24" t="str">
        <x:v>Secondary reference reviewed</x:v>
      </x:c>
      <x:c r="Q277" s="24" t="str">
        <x:v>Primary manga/anime continuity; secondary orientation source.</x:v>
      </x:c>
      <x:c r="R277" s="84" t="str">
        <x:v>https://en.wikipedia.org/wiki/Delicious_in_Dungeon</x:v>
      </x:c>
      <x:c r="S277" s="24" t="str">
        <x:v>Seeded</x:v>
      </x:c>
    </x:row>
    <x:row r="278" ht="52" customHeight="1">
      <x:c r="A278" s="24" t="str">
        <x:v>ENT-0277</x:v>
      </x:c>
      <x:c r="B278" s="24" t="str">
        <x:v>Ogres</x:v>
      </x:c>
      <x:c r="C278" s="24" t="str">
        <x:v>SRC-197</x:v>
      </x:c>
      <x:c r="D278" s="24" t="str">
        <x:v>Delicious in Dungeon</x:v>
      </x:c>
      <x:c r="E278" s="24" t="str">
        <x:v>Manga/anime continuity</x:v>
      </x:c>
      <x:c r="F278" s="24" t="str">
        <x:v>People</x:v>
      </x:c>
      <x:c r="G278" s="24" t="str">
        <x:v>PPL-109</x:v>
      </x:c>
      <x:c r="H278" s="24" t="str">
        <x:f>IFERROR(VLOOKUP(G278,'Master Taxonomy'!$A$2:$B$1226,2,FALSE),"")</x:f>
        <x:v>Ogrekin Peoples</x:v>
      </x:c>
      <x:c r="I278" s="24" t="str"/>
      <x:c r="J278" s="24" t="str"/>
      <x:c r="K278" s="24" t="str">
        <x:v>Large humanoid people with their own social identities.</x:v>
      </x:c>
      <x:c r="L278" s="24" t="str">
        <x:v>Natural ancestry and culture.</x:v>
      </x:c>
      <x:c r="M278" s="24" t="str">
        <x:v>Size does not make them mindless monsters.</x:v>
      </x:c>
      <x:c r="N278" s="24" t="str">
        <x:v>Playable-style ogre people.</x:v>
      </x:c>
      <x:c r="O278" s="24" t="str">
        <x:v>Primary canon</x:v>
      </x:c>
      <x:c r="P278" s="24" t="str">
        <x:v>Secondary reference reviewed</x:v>
      </x:c>
      <x:c r="Q278" s="24" t="str">
        <x:v>Primary manga/anime continuity; secondary orientation source.</x:v>
      </x:c>
      <x:c r="R278" s="84" t="str">
        <x:v>https://en.wikipedia.org/wiki/Delicious_in_Dungeon</x:v>
      </x:c>
      <x:c r="S278" s="24" t="str">
        <x:v>Seeded</x:v>
      </x:c>
    </x:row>
    <x:row r="279" ht="52" customHeight="1">
      <x:c r="A279" s="24" t="str">
        <x:v>ENT-0278</x:v>
      </x:c>
      <x:c r="B279" s="24" t="str">
        <x:v>Dungeon adventuring parties</x:v>
      </x:c>
      <x:c r="C279" s="24" t="str">
        <x:v>SRC-197</x:v>
      </x:c>
      <x:c r="D279" s="24" t="str">
        <x:v>Delicious in Dungeon</x:v>
      </x:c>
      <x:c r="E279" s="24" t="str">
        <x:v>Manga/anime continuity</x:v>
      </x:c>
      <x:c r="F279" s="24" t="str">
        <x:v>Social and occupational formation</x:v>
      </x:c>
      <x:c r="G279" s="24" t="str">
        <x:v>INS-422</x:v>
      </x:c>
      <x:c r="H279" s="24" t="str">
        <x:f>IFERROR(VLOOKUP(G279,'Master Taxonomy'!$A$2:$B$1226,2,FALSE),"")</x:f>
        <x:v>Adventuring Party</x:v>
      </x:c>
      <x:c r="I279" s="24" t="str">
        <x:v>ROL-903</x:v>
      </x:c>
      <x:c r="J279" s="24" t="str">
        <x:v>Dungeon Delver</x:v>
      </x:c>
      <x:c r="K279" s="24" t="str">
        <x:v>Small teams combining combat, magic, traps, logistics, cooking, and rescue skills.</x:v>
      </x:c>
      <x:c r="L279" s="24" t="str">
        <x:v>Complementary expertise, contracts, supplies, and trust.</x:v>
      </x:c>
      <x:c r="M279" s="24" t="str">
        <x:v>Food, ecology, and logistics are treated as core competencies rather than background flavor.</x:v>
      </x:c>
      <x:c r="N279" s="24" t="str">
        <x:v>Ecological dungeon expedition team.</x:v>
      </x:c>
      <x:c r="O279" s="24" t="str">
        <x:v>Primary canon</x:v>
      </x:c>
      <x:c r="P279" s="24" t="str">
        <x:v>Secondary reference reviewed</x:v>
      </x:c>
      <x:c r="Q279" s="24" t="str">
        <x:v>Primary manga/anime continuity; secondary orientation source.</x:v>
      </x:c>
      <x:c r="R279" s="84" t="str">
        <x:v>https://en.wikipedia.org/wiki/Delicious_in_Dungeon</x:v>
      </x:c>
      <x:c r="S279" s="24" t="str">
        <x:v>Seeded</x:v>
      </x:c>
    </x:row>
    <x:row r="280" ht="52" customHeight="1">
      <x:c r="A280" s="24" t="str">
        <x:v>ENT-0279</x:v>
      </x:c>
      <x:c r="B280" s="24" t="str">
        <x:v>Dungeon ecosystem</x:v>
      </x:c>
      <x:c r="C280" s="24" t="str">
        <x:v>SRC-197</x:v>
      </x:c>
      <x:c r="D280" s="24" t="str">
        <x:v>Delicious in Dungeon</x:v>
      </x:c>
      <x:c r="E280" s="24" t="str">
        <x:v>Manga/anime continuity</x:v>
      </x:c>
      <x:c r="F280" s="24" t="str">
        <x:v>Environmental-civilizational system</x:v>
      </x:c>
      <x:c r="G280" s="24" t="str">
        <x:v>CIV-219</x:v>
      </x:c>
      <x:c r="H280" s="24" t="str">
        <x:f>IFERROR(VLOOKUP(G280,'Master Taxonomy'!$A$2:$B$1226,2,FALSE),"")</x:f>
        <x:v>Dungeon Civilization</x:v>
      </x:c>
      <x:c r="I280" s="24" t="str">
        <x:v>NAR-338</x:v>
      </x:c>
      <x:c r="J280" s="24" t="str">
        <x:v>Dungeon as Antagonist</x:v>
      </x:c>
      <x:c r="K280" s="24" t="str">
        <x:v>A magical dungeon functioning as habitat, economy, food web, ruin, and political object.</x:v>
      </x:c>
      <x:c r="L280" s="24" t="str">
        <x:v>Magic, ecology, resource cycles, monsters, and governance.</x:v>
      </x:c>
      <x:c r="M280" s="24" t="str">
        <x:v>The dungeon is not merely a sequence of combat rooms.</x:v>
      </x:c>
      <x:c r="N280" s="24" t="str">
        <x:v>Integrated dungeon ecology archetype.</x:v>
      </x:c>
      <x:c r="O280" s="24" t="str">
        <x:v>Primary canon</x:v>
      </x:c>
      <x:c r="P280" s="24" t="str">
        <x:v>Secondary reference reviewed</x:v>
      </x:c>
      <x:c r="Q280" s="24" t="str">
        <x:v>Primary manga/anime continuity; secondary orientation source.</x:v>
      </x:c>
      <x:c r="R280" s="84" t="str">
        <x:v>https://en.wikipedia.org/wiki/Delicious_in_Dungeon</x:v>
      </x:c>
      <x:c r="S280" s="24" t="str">
        <x:v>Seeded</x:v>
      </x:c>
    </x:row>
    <x:row r="281" ht="52" customHeight="1">
      <x:c r="A281" s="24" t="str">
        <x:v>ENT-0280</x:v>
      </x:c>
      <x:c r="B281" s="24" t="str">
        <x:v>Human mercenaries</x:v>
      </x:c>
      <x:c r="C281" s="24" t="str">
        <x:v>SRC-195</x:v>
      </x:c>
      <x:c r="D281" s="24" t="str">
        <x:v>Berserk</x:v>
      </x:c>
      <x:c r="E281" s="24" t="str">
        <x:v>Manga continuity</x:v>
      </x:c>
      <x:c r="F281" s="24" t="str">
        <x:v>Martial profession</x:v>
      </x:c>
      <x:c r="G281" s="24" t="str">
        <x:v>ROL-137</x:v>
      </x:c>
      <x:c r="H281" s="24" t="str">
        <x:f>IFERROR(VLOOKUP(G281,'Master Taxonomy'!$A$2:$B$1226,2,FALSE),"")</x:f>
        <x:v>Mercenary</x:v>
      </x:c>
      <x:c r="I281" s="24" t="str">
        <x:v>INS-206</x:v>
      </x:c>
      <x:c r="J281" s="24" t="str">
        <x:v>Mercenary Company</x:v>
      </x:c>
      <x:c r="K281" s="24" t="str">
        <x:v>Professional soldiers organized into bands amid chronic warfare.</x:v>
      </x:c>
      <x:c r="L281" s="24" t="str">
        <x:v>Training, contracts, reputation, equipment, and loyalty.</x:v>
      </x:c>
      <x:c r="M281" s="24" t="str">
        <x:v>Mercenary life is a social economy, not only a combat class.</x:v>
      </x:c>
      <x:c r="N281" s="24" t="str">
        <x:v>Wandering warband archetype.</x:v>
      </x:c>
      <x:c r="O281" s="24" t="str">
        <x:v>Primary canon</x:v>
      </x:c>
      <x:c r="P281" s="24" t="str">
        <x:v>Secondary reference reviewed</x:v>
      </x:c>
      <x:c r="Q281" s="24" t="str">
        <x:v>Primary manga continuity; secondary orientation source.</x:v>
      </x:c>
      <x:c r="R281" s="84" t="str">
        <x:v>https://en.wikipedia.org/wiki/Berserk</x:v>
      </x:c>
      <x:c r="S281" s="24" t="str">
        <x:v>Seeded</x:v>
      </x:c>
    </x:row>
    <x:row r="282" ht="52" customHeight="1">
      <x:c r="A282" s="24" t="str">
        <x:v>ENT-0281</x:v>
      </x:c>
      <x:c r="B282" s="24" t="str">
        <x:v>Apostles</x:v>
      </x:c>
      <x:c r="C282" s="24" t="str">
        <x:v>SRC-195</x:v>
      </x:c>
      <x:c r="D282" s="24" t="str">
        <x:v>Berserk</x:v>
      </x:c>
      <x:c r="E282" s="24" t="str">
        <x:v>Manga continuity</x:v>
      </x:c>
      <x:c r="F282" s="24" t="str">
        <x:v>Transformed monsters</x:v>
      </x:c>
      <x:c r="G282" s="24" t="str">
        <x:v>STA-208</x:v>
      </x:c>
      <x:c r="H282" s="24" t="str">
        <x:f>IFERROR(VLOOKUP(G282,'Master Taxonomy'!$A$2:$B$1226,2,FALSE),"")</x:f>
        <x:v>Demonic Transformation</x:v>
      </x:c>
      <x:c r="I282" s="24" t="str">
        <x:v>PPL-1005</x:v>
      </x:c>
      <x:c r="J282" s="24" t="str">
        <x:v>Hybrid and Chimera Peoples</x:v>
      </x:c>
      <x:c r="K282" s="24" t="str">
        <x:v>Humans transformed through sacrificial supernatural bargains into monstrous forms.</x:v>
      </x:c>
      <x:c r="L282" s="24" t="str">
        <x:v>Artifact-mediated pact, sacrifice, desire, and transformation.</x:v>
      </x:c>
      <x:c r="M282" s="24" t="str">
        <x:v>They retain individual identity and history despite monstrous ontology.</x:v>
      </x:c>
      <x:c r="N282" s="24" t="str">
        <x:v>Pact-transformed elite monster.</x:v>
      </x:c>
      <x:c r="O282" s="24" t="str">
        <x:v>Primary canon</x:v>
      </x:c>
      <x:c r="P282" s="24" t="str">
        <x:v>Secondary reference reviewed</x:v>
      </x:c>
      <x:c r="Q282" s="24" t="str">
        <x:v>Primary manga continuity; secondary orientation source.</x:v>
      </x:c>
      <x:c r="R282" s="84" t="str">
        <x:v>https://en.wikipedia.org/wiki/Berserk</x:v>
      </x:c>
      <x:c r="S282" s="24" t="str">
        <x:v>Seeded</x:v>
      </x:c>
    </x:row>
    <x:row r="283" ht="52" customHeight="1">
      <x:c r="A283" s="24" t="str">
        <x:v>ENT-0282</x:v>
      </x:c>
      <x:c r="B283" s="24" t="str">
        <x:v>God Hand</x:v>
      </x:c>
      <x:c r="C283" s="24" t="str">
        <x:v>SRC-195</x:v>
      </x:c>
      <x:c r="D283" s="24" t="str">
        <x:v>Berserk</x:v>
      </x:c>
      <x:c r="E283" s="24" t="str">
        <x:v>Manga continuity</x:v>
      </x:c>
      <x:c r="F283" s="24" t="str">
        <x:v>Metaphysical ruling beings</x:v>
      </x:c>
      <x:c r="G283" s="24" t="str">
        <x:v>PPL-509</x:v>
      </x:c>
      <x:c r="H283" s="24" t="str">
        <x:f>IFERROR(VLOOKUP(G283,'Master Taxonomy'!$A$2:$B$1226,2,FALSE),"")</x:f>
        <x:v>Demon Lords and Archfiends</x:v>
      </x:c>
      <x:c r="I283" s="24" t="str">
        <x:v>PPL-1102</x:v>
      </x:c>
      <x:c r="J283" s="24" t="str">
        <x:v>Alien and Otherworlder Peoples</x:v>
      </x:c>
      <x:c r="K283" s="24" t="str">
        <x:v>A small group of transcendent beings connected to causality, sacrifice, and the astral world.</x:v>
      </x:c>
      <x:c r="L283" s="24" t="str">
        <x:v>Transformation, metaphysical office, causality, and ritual.</x:v>
      </x:c>
      <x:c r="M283" s="24" t="str">
        <x:v>Their exact ontology should not be equated automatically with conventional devils.</x:v>
      </x:c>
      <x:c r="N283" s="24" t="str">
        <x:v>Cosmic archfiend council.</x:v>
      </x:c>
      <x:c r="O283" s="24" t="str">
        <x:v>Primary canon</x:v>
      </x:c>
      <x:c r="P283" s="24" t="str">
        <x:v>Secondary reference reviewed</x:v>
      </x:c>
      <x:c r="Q283" s="24" t="str">
        <x:v>Primary manga continuity; secondary orientation source.</x:v>
      </x:c>
      <x:c r="R283" s="84" t="str">
        <x:v>https://en.wikipedia.org/wiki/Berserk</x:v>
      </x:c>
      <x:c r="S283" s="24" t="str">
        <x:v>Seeded</x:v>
      </x:c>
    </x:row>
    <x:row r="284" ht="52" customHeight="1">
      <x:c r="A284" s="24" t="str">
        <x:v>ENT-0283</x:v>
      </x:c>
      <x:c r="B284" s="24" t="str">
        <x:v>Witches</x:v>
      </x:c>
      <x:c r="C284" s="24" t="str">
        <x:v>SRC-195</x:v>
      </x:c>
      <x:c r="D284" s="24" t="str">
        <x:v>Berserk</x:v>
      </x:c>
      <x:c r="E284" s="24" t="str">
        <x:v>Manga continuity</x:v>
      </x:c>
      <x:c r="F284" s="24" t="str">
        <x:v>Magical vocation</x:v>
      </x:c>
      <x:c r="G284" s="24" t="str">
        <x:v>ROL-303</x:v>
      </x:c>
      <x:c r="H284" s="24" t="str">
        <x:f>IFERROR(VLOOKUP(G284,'Master Taxonomy'!$A$2:$B$1226,2,FALSE),"")</x:f>
        <x:v>Witch</x:v>
      </x:c>
      <x:c r="I284" s="24" t="str">
        <x:v>ROL-504</x:v>
      </x:c>
      <x:c r="J284" s="24" t="str">
        <x:v>Spirit Caller</x:v>
      </x:c>
      <x:c r="K284" s="24" t="str">
        <x:v>Practitioners who interact with astral beings and natural spiritual domains.</x:v>
      </x:c>
      <x:c r="L284" s="24" t="str">
        <x:v>Training, spirit mediation, ritual, and elemental relationships.</x:v>
      </x:c>
      <x:c r="M284" s="24" t="str">
        <x:v>The tradition differs from persecuted diabolical-witch stereotypes.</x:v>
      </x:c>
      <x:c r="N284" s="24" t="str">
        <x:v>Astral spirit witch.</x:v>
      </x:c>
      <x:c r="O284" s="24" t="str">
        <x:v>Primary canon</x:v>
      </x:c>
      <x:c r="P284" s="24" t="str">
        <x:v>Secondary reference reviewed</x:v>
      </x:c>
      <x:c r="Q284" s="24" t="str">
        <x:v>Primary manga continuity; secondary orientation source.</x:v>
      </x:c>
      <x:c r="R284" s="84" t="str">
        <x:v>https://en.wikipedia.org/wiki/Berserk</x:v>
      </x:c>
      <x:c r="S284" s="24" t="str">
        <x:v>Seeded</x:v>
      </x:c>
    </x:row>
    <x:row r="285" ht="52" customHeight="1">
      <x:c r="A285" s="24" t="str">
        <x:v>ENT-0284</x:v>
      </x:c>
      <x:c r="B285" s="24" t="str">
        <x:v>Berserker Armor</x:v>
      </x:c>
      <x:c r="C285" s="24" t="str">
        <x:v>SRC-195</x:v>
      </x:c>
      <x:c r="D285" s="24" t="str">
        <x:v>Berserk</x:v>
      </x:c>
      <x:c r="E285" s="24" t="str">
        <x:v>Manga continuity</x:v>
      </x:c>
      <x:c r="F285" s="24" t="str">
        <x:v>Cursed artifact bond</x:v>
      </x:c>
      <x:c r="G285" s="24" t="str">
        <x:v>STA-412</x:v>
      </x:c>
      <x:c r="H285" s="24" t="str">
        <x:f>IFERROR(VLOOKUP(G285,'Master Taxonomy'!$A$2:$B$1226,2,FALSE),"")</x:f>
        <x:v>Armor or Suit Bond</x:v>
      </x:c>
      <x:c r="I285" s="24" t="str">
        <x:v>STA-224</x:v>
      </x:c>
      <x:c r="J285" s="24" t="str">
        <x:v>Berserk State</x:v>
      </x:c>
      <x:c r="K285" s="24" t="str">
        <x:v>An armor that suppresses bodily limits while intensifying destructive combat and self-harm.</x:v>
      </x:c>
      <x:c r="L285" s="24" t="str">
        <x:v>Artifact bond, pain suppression, rage, and bodily cost.</x:v>
      </x:c>
      <x:c r="M285" s="24" t="str">
        <x:v>The power is inseparable from injury, loss of control, and psychological danger.</x:v>
      </x:c>
      <x:c r="N285" s="24" t="str">
        <x:v>Costly berserk artifact.</x:v>
      </x:c>
      <x:c r="O285" s="24" t="str">
        <x:v>Primary canon</x:v>
      </x:c>
      <x:c r="P285" s="24" t="str">
        <x:v>Secondary reference reviewed</x:v>
      </x:c>
      <x:c r="Q285" s="24" t="str">
        <x:v>Primary manga continuity; secondary orientation source.</x:v>
      </x:c>
      <x:c r="R285" s="84" t="str">
        <x:v>https://en.wikipedia.org/wiki/Berserk</x:v>
      </x:c>
      <x:c r="S285" s="24" t="str">
        <x:v>Seeded</x:v>
      </x:c>
    </x:row>
    <x:row r="286" ht="52" customHeight="1">
      <x:c r="A286" s="24" t="str">
        <x:v>ENT-0285</x:v>
      </x:c>
      <x:c r="B286" s="24" t="str">
        <x:v>Brand of Sacrifice</x:v>
      </x:c>
      <x:c r="C286" s="24" t="str">
        <x:v>SRC-195</x:v>
      </x:c>
      <x:c r="D286" s="24" t="str">
        <x:v>Berserk</x:v>
      </x:c>
      <x:c r="E286" s="24" t="str">
        <x:v>Manga continuity</x:v>
      </x:c>
      <x:c r="F286" s="24" t="str">
        <x:v>Cursed mark</x:v>
      </x:c>
      <x:c r="G286" s="24" t="str">
        <x:v>STA-228</x:v>
      </x:c>
      <x:c r="H286" s="24" t="str">
        <x:f>IFERROR(VLOOKUP(G286,'Master Taxonomy'!$A$2:$B$1226,2,FALSE),"")</x:f>
        <x:v>Cursed Mark or Brand</x:v>
      </x:c>
      <x:c r="I286" s="24" t="str">
        <x:v>PWR-119</x:v>
      </x:c>
      <x:c r="J286" s="24" t="str">
        <x:v>Sacrifice and Costly Exchange</x:v>
      </x:c>
      <x:c r="K286" s="24" t="str">
        <x:v>A supernatural brand marking victims of sacrificial ritual and drawing hostile entities.</x:v>
      </x:c>
      <x:c r="L286" s="24" t="str">
        <x:v>Ritual sacrifice, metaphysical designation, and curse.</x:v>
      </x:c>
      <x:c r="M286" s="24" t="str">
        <x:v>It is not a voluntary power-up or ordinary heraldic mark.</x:v>
      </x:c>
      <x:c r="N286" s="24" t="str">
        <x:v>Predatory sacrificial curse.</x:v>
      </x:c>
      <x:c r="O286" s="24" t="str">
        <x:v>Primary canon</x:v>
      </x:c>
      <x:c r="P286" s="24" t="str">
        <x:v>Secondary reference reviewed</x:v>
      </x:c>
      <x:c r="Q286" s="24" t="str">
        <x:v>Primary manga continuity; secondary orientation source.</x:v>
      </x:c>
      <x:c r="R286" s="84" t="str">
        <x:v>https://en.wikipedia.org/wiki/Berserk</x:v>
      </x:c>
      <x:c r="S286" s="24" t="str">
        <x:v>Seeded</x:v>
      </x:c>
    </x:row>
    <x:row r="287" ht="52" customHeight="1">
      <x:c r="A287" s="24" t="str">
        <x:v>ENT-0286</x:v>
      </x:c>
      <x:c r="B287" s="24" t="str">
        <x:v>Astral beings</x:v>
      </x:c>
      <x:c r="C287" s="24" t="str">
        <x:v>SRC-195</x:v>
      </x:c>
      <x:c r="D287" s="24" t="str">
        <x:v>Berserk</x:v>
      </x:c>
      <x:c r="E287" s="24" t="str">
        <x:v>Manga continuity</x:v>
      </x:c>
      <x:c r="F287" s="24" t="str">
        <x:v>Spirits and otherworldly beings</x:v>
      </x:c>
      <x:c r="G287" s="24" t="str">
        <x:v>PPL-300</x:v>
      </x:c>
      <x:c r="H287" s="24" t="str">
        <x:f>IFERROR(VLOOKUP(G287,'Master Taxonomy'!$A$2:$B$1226,2,FALSE),"")</x:f>
        <x:v>Spirits and Elementals</x:v>
      </x:c>
      <x:c r="I287" s="24" t="str">
        <x:v>PPL-1102</x:v>
      </x:c>
      <x:c r="J287" s="24" t="str">
        <x:v>Alien and Otherworlder Peoples</x:v>
      </x:c>
      <x:c r="K287" s="24" t="str">
        <x:v>A broad range of entities inhabiting interpenetrating layers of reality.</x:v>
      </x:c>
      <x:c r="L287" s="24" t="str">
        <x:v>Metaphysical ecology, belief, place, and manifestation.</x:v>
      </x:c>
      <x:c r="M287" s="24" t="str">
        <x:v>The category contains benign, neutral, and hostile beings rather than one race.</x:v>
      </x:c>
      <x:c r="N287" s="24" t="str">
        <x:v>Layered spirit-world ecology.</x:v>
      </x:c>
      <x:c r="O287" s="24" t="str">
        <x:v>Primary canon</x:v>
      </x:c>
      <x:c r="P287" s="24" t="str">
        <x:v>Secondary reference reviewed</x:v>
      </x:c>
      <x:c r="Q287" s="24" t="str">
        <x:v>Primary manga continuity; secondary orientation source.</x:v>
      </x:c>
      <x:c r="R287" s="84" t="str">
        <x:v>https://en.wikipedia.org/wiki/Berserk</x:v>
      </x:c>
      <x:c r="S287" s="24" t="str">
        <x:v>Seeded</x:v>
      </x:c>
    </x:row>
    <x:row r="288" ht="52" customHeight="1">
      <x:c r="A288" s="24" t="str">
        <x:v>ENT-0287</x:v>
      </x:c>
      <x:c r="B288" s="24" t="str">
        <x:v>Alchemist</x:v>
      </x:c>
      <x:c r="C288" s="24" t="str">
        <x:v>SRC-198</x:v>
      </x:c>
      <x:c r="D288" s="24" t="str">
        <x:v>Fullmetal Alchemist</x:v>
      </x:c>
      <x:c r="E288" s="24" t="str">
        <x:v>Manga/anime core continuity</x:v>
      </x:c>
      <x:c r="F288" s="24" t="str">
        <x:v>Technical magical profession</x:v>
      </x:c>
      <x:c r="G288" s="24" t="str">
        <x:v>ROL-338</x:v>
      </x:c>
      <x:c r="H288" s="24" t="str">
        <x:f>IFERROR(VLOOKUP(G288,'Master Taxonomy'!$A$2:$B$1226,2,FALSE),"")</x:f>
        <x:v>Alchemist</x:v>
      </x:c>
      <x:c r="I288" s="24" t="str"/>
      <x:c r="J288" s="24" t="str"/>
      <x:c r="K288" s="24" t="str">
        <x:v>A practitioner who analyzes and rearranges matter through transmutation arrays and learned principles.</x:v>
      </x:c>
      <x:c r="L288" s="24" t="str">
        <x:v>Study, symbolic technique, material understanding, and equivalent exchange.</x:v>
      </x:c>
      <x:c r="M288" s="24" t="str">
        <x:v>Alchemy is a disciplined technical system rather than potion-making alone.</x:v>
      </x:c>
      <x:c r="N288" s="24" t="str">
        <x:v>Rule-bound transmutation mage.</x:v>
      </x:c>
      <x:c r="O288" s="24" t="str">
        <x:v>Primary canon</x:v>
      </x:c>
      <x:c r="P288" s="24" t="str">
        <x:v>Secondary reference reviewed</x:v>
      </x:c>
      <x:c r="Q288" s="24" t="str">
        <x:v>Primary manga/anime continuities; adaptation differences require separate verification.</x:v>
      </x:c>
      <x:c r="R288" s="84" t="str">
        <x:v>https://en.wikipedia.org/wiki/Fullmetal_Alchemist</x:v>
      </x:c>
      <x:c r="S288" s="24" t="str">
        <x:v>Seeded</x:v>
      </x:c>
    </x:row>
    <x:row r="289" ht="52" customHeight="1">
      <x:c r="A289" s="24" t="str">
        <x:v>ENT-0288</x:v>
      </x:c>
      <x:c r="B289" s="24" t="str">
        <x:v>State Alchemist</x:v>
      </x:c>
      <x:c r="C289" s="24" t="str">
        <x:v>SRC-198</x:v>
      </x:c>
      <x:c r="D289" s="24" t="str">
        <x:v>Fullmetal Alchemist</x:v>
      </x:c>
      <x:c r="E289" s="24" t="str">
        <x:v>Manga/anime core continuity</x:v>
      </x:c>
      <x:c r="F289" s="24" t="str">
        <x:v>State-certified combat scholar</x:v>
      </x:c>
      <x:c r="G289" s="24" t="str">
        <x:v>ROL-836</x:v>
      </x:c>
      <x:c r="H289" s="24" t="str">
        <x:f>IFERROR(VLOOKUP(G289,'Master Taxonomy'!$A$2:$B$1226,2,FALSE),"")</x:f>
        <x:v>Battle Alchemist</x:v>
      </x:c>
      <x:c r="I289" s="24" t="str">
        <x:v>CIV-415</x:v>
      </x:c>
      <x:c r="J289" s="24" t="str">
        <x:v>Scholar-Bureaucratic Culture</x:v>
      </x:c>
      <x:c r="K289" s="24" t="str">
        <x:v>An alchemist licensed and employed by the military state, often with a specialized research identity.</x:v>
      </x:c>
      <x:c r="L289" s="24" t="str">
        <x:v>Certification, state patronage, research, and combat service.</x:v>
      </x:c>
      <x:c r="M289" s="24" t="str">
        <x:v>It is an office layered onto alchemical vocation, not a separate ancestry.</x:v>
      </x:c>
      <x:c r="N289" s="24" t="str">
        <x:v>State mage and military researcher.</x:v>
      </x:c>
      <x:c r="O289" s="24" t="str">
        <x:v>Primary canon</x:v>
      </x:c>
      <x:c r="P289" s="24" t="str">
        <x:v>Secondary reference reviewed</x:v>
      </x:c>
      <x:c r="Q289" s="24" t="str">
        <x:v>Primary manga/anime continuities; adaptation differences require separate verification.</x:v>
      </x:c>
      <x:c r="R289" s="84" t="str">
        <x:v>https://en.wikipedia.org/wiki/Fullmetal_Alchemist</x:v>
      </x:c>
      <x:c r="S289" s="24" t="str">
        <x:v>Seeded</x:v>
      </x:c>
    </x:row>
    <x:row r="290" ht="52" customHeight="1">
      <x:c r="A290" s="24" t="str">
        <x:v>ENT-0289</x:v>
      </x:c>
      <x:c r="B290" s="24" t="str">
        <x:v>Homunculi</x:v>
      </x:c>
      <x:c r="C290" s="24" t="str">
        <x:v>SRC-198</x:v>
      </x:c>
      <x:c r="D290" s="24" t="str">
        <x:v>Fullmetal Alchemist</x:v>
      </x:c>
      <x:c r="E290" s="24" t="str">
        <x:v>Manga/anime core continuity</x:v>
      </x:c>
      <x:c r="F290" s="24" t="str">
        <x:v>Artificial beings</x:v>
      </x:c>
      <x:c r="G290" s="24" t="str">
        <x:v>PPL-703</x:v>
      </x:c>
      <x:c r="H290" s="24" t="str">
        <x:f>IFERROR(VLOOKUP(G290,'Master Taxonomy'!$A$2:$B$1226,2,FALSE),"")</x:f>
        <x:v>Homunculi</x:v>
      </x:c>
      <x:c r="I290" s="24" t="str"/>
      <x:c r="J290" s="24" t="str"/>
      <x:c r="K290" s="24" t="str">
        <x:v>Artificial or transformed humanoid beings tied to philosopher's-stone power and named identities.</x:v>
      </x:c>
      <x:c r="L290" s="24" t="str">
        <x:v>Artificial creation, stored souls, regeneration, and symbolic design.</x:v>
      </x:c>
      <x:c r="M290" s="24" t="str">
        <x:v>Their origin differs between adaptations and must be continuity-stamped.</x:v>
      </x:c>
      <x:c r="N290" s="24" t="str">
        <x:v>Soul-powered artificial person.</x:v>
      </x:c>
      <x:c r="O290" s="24" t="str">
        <x:v>Primary canon</x:v>
      </x:c>
      <x:c r="P290" s="24" t="str">
        <x:v>Secondary reference reviewed</x:v>
      </x:c>
      <x:c r="Q290" s="24" t="str">
        <x:v>Primary manga/anime continuities; adaptation differences require separate verification.</x:v>
      </x:c>
      <x:c r="R290" s="84" t="str">
        <x:v>https://en.wikipedia.org/wiki/Fullmetal_Alchemist</x:v>
      </x:c>
      <x:c r="S290" s="24" t="str">
        <x:v>Seeded</x:v>
      </x:c>
    </x:row>
    <x:row r="291" ht="52" customHeight="1">
      <x:c r="A291" s="24" t="str">
        <x:v>ENT-0290</x:v>
      </x:c>
      <x:c r="B291" s="24" t="str">
        <x:v>Chimeras</x:v>
      </x:c>
      <x:c r="C291" s="24" t="str">
        <x:v>SRC-198</x:v>
      </x:c>
      <x:c r="D291" s="24" t="str">
        <x:v>Fullmetal Alchemist</x:v>
      </x:c>
      <x:c r="E291" s="24" t="str">
        <x:v>Manga/anime core continuity</x:v>
      </x:c>
      <x:c r="F291" s="24" t="str">
        <x:v>Engineered hybrids</x:v>
      </x:c>
      <x:c r="G291" s="24" t="str">
        <x:v>PPL-811</x:v>
      </x:c>
      <x:c r="H291" s="24" t="str">
        <x:f>IFERROR(VLOOKUP(G291,'Master Taxonomy'!$A$2:$B$1226,2,FALSE),"")</x:f>
        <x:v>Chimeras</x:v>
      </x:c>
      <x:c r="I291" s="24" t="str">
        <x:v>PPL-1005</x:v>
      </x:c>
      <x:c r="J291" s="24" t="str">
        <x:v>Hybrid and Chimera Peoples</x:v>
      </x:c>
      <x:c r="K291" s="24" t="str">
        <x:v>Organisms created by alchemically combining species, sometimes including humans.</x:v>
      </x:c>
      <x:c r="L291" s="24" t="str">
        <x:v>Alchemy, biological fusion, coercion, and experimentation.</x:v>
      </x:c>
      <x:c r="M291" s="24" t="str">
        <x:v>The category raises personhood and consent issues rather than serving only as a monster type.</x:v>
      </x:c>
      <x:c r="N291" s="24" t="str">
        <x:v>Engineered hybrid-being archetype.</x:v>
      </x:c>
      <x:c r="O291" s="24" t="str">
        <x:v>Primary canon</x:v>
      </x:c>
      <x:c r="P291" s="24" t="str">
        <x:v>Secondary reference reviewed</x:v>
      </x:c>
      <x:c r="Q291" s="24" t="str">
        <x:v>Primary manga/anime continuities; adaptation differences require separate verification.</x:v>
      </x:c>
      <x:c r="R291" s="84" t="str">
        <x:v>https://en.wikipedia.org/wiki/Fullmetal_Alchemist</x:v>
      </x:c>
      <x:c r="S291" s="24" t="str">
        <x:v>Seeded</x:v>
      </x:c>
    </x:row>
    <x:row r="292" ht="52" customHeight="1">
      <x:c r="A292" s="24" t="str">
        <x:v>ENT-0291</x:v>
      </x:c>
      <x:c r="B292" s="24" t="str">
        <x:v>Automail users</x:v>
      </x:c>
      <x:c r="C292" s="24" t="str">
        <x:v>SRC-198</x:v>
      </x:c>
      <x:c r="D292" s="24" t="str">
        <x:v>Fullmetal Alchemist</x:v>
      </x:c>
      <x:c r="E292" s="24" t="str">
        <x:v>Manga/anime core continuity</x:v>
      </x:c>
      <x:c r="F292" s="24" t="str">
        <x:v>Technological augmentation state</x:v>
      </x:c>
      <x:c r="G292" s="24" t="str">
        <x:v>STA-214</x:v>
      </x:c>
      <x:c r="H292" s="24" t="str">
        <x:f>IFERROR(VLOOKUP(G292,'Master Taxonomy'!$A$2:$B$1226,2,FALSE),"")</x:f>
        <x:v>Cyborg or Magitech Augmentation</x:v>
      </x:c>
      <x:c r="I292" s="24" t="str"/>
      <x:c r="J292" s="24" t="str"/>
      <x:c r="K292" s="24" t="str">
        <x:v>People using sophisticated prosthetic limbs integrated with the body.</x:v>
      </x:c>
      <x:c r="L292" s="24" t="str">
        <x:v>Engineering, surgery, maintenance, and personal adaptation.</x:v>
      </x:c>
      <x:c r="M292" s="24" t="str">
        <x:v>Automail is technology and disability accommodation, not magic ancestry.</x:v>
      </x:c>
      <x:c r="N292" s="24" t="str">
        <x:v>Fantasy-industrial cyborg augmentation.</x:v>
      </x:c>
      <x:c r="O292" s="24" t="str">
        <x:v>Primary canon</x:v>
      </x:c>
      <x:c r="P292" s="24" t="str">
        <x:v>Secondary reference reviewed</x:v>
      </x:c>
      <x:c r="Q292" s="24" t="str">
        <x:v>Primary manga/anime continuities; adaptation differences require separate verification.</x:v>
      </x:c>
      <x:c r="R292" s="84" t="str">
        <x:v>https://en.wikipedia.org/wiki/Fullmetal_Alchemist</x:v>
      </x:c>
      <x:c r="S292" s="24" t="str">
        <x:v>Seeded</x:v>
      </x:c>
    </x:row>
    <x:row r="293" ht="52" customHeight="1">
      <x:c r="A293" s="24" t="str">
        <x:v>ENT-0292</x:v>
      </x:c>
      <x:c r="B293" s="24" t="str">
        <x:v>Philosopher's Stone</x:v>
      </x:c>
      <x:c r="C293" s="24" t="str">
        <x:v>SRC-198</x:v>
      </x:c>
      <x:c r="D293" s="24" t="str">
        <x:v>Fullmetal Alchemist</x:v>
      </x:c>
      <x:c r="E293" s="24" t="str">
        <x:v>Manga/anime core continuity</x:v>
      </x:c>
      <x:c r="F293" s="24" t="str">
        <x:v>Artifact and power resource</x:v>
      </x:c>
      <x:c r="G293" s="24" t="str">
        <x:v>STA-402</x:v>
      </x:c>
      <x:c r="H293" s="24" t="str">
        <x:f>IFERROR(VLOOKUP(G293,'Master Taxonomy'!$A$2:$B$1226,2,FALSE),"")</x:f>
        <x:v>Relic Bearer</x:v>
      </x:c>
      <x:c r="I293" s="24" t="str">
        <x:v>PWR-119</x:v>
      </x:c>
      <x:c r="J293" s="24" t="str">
        <x:v>Sacrifice and Costly Exchange</x:v>
      </x:c>
      <x:c r="K293" s="24" t="str">
        <x:v>A power-amplifying alchemical object whose production is tied to profound moral cost.</x:v>
      </x:c>
      <x:c r="L293" s="24" t="str">
        <x:v>Stored lives or souls, ritual production, and transmutation amplification.</x:v>
      </x:c>
      <x:c r="M293" s="24" t="str">
        <x:v>Its ethical mechanism matters more than generic 'ultimate item' status.</x:v>
      </x:c>
      <x:c r="N293" s="24" t="str">
        <x:v>Sacrificial power battery.</x:v>
      </x:c>
      <x:c r="O293" s="24" t="str">
        <x:v>Primary canon</x:v>
      </x:c>
      <x:c r="P293" s="24" t="str">
        <x:v>Secondary reference reviewed</x:v>
      </x:c>
      <x:c r="Q293" s="24" t="str">
        <x:v>Primary manga/anime continuities; adaptation differences require separate verification.</x:v>
      </x:c>
      <x:c r="R293" s="84" t="str">
        <x:v>https://en.wikipedia.org/wiki/Fullmetal_Alchemist</x:v>
      </x:c>
      <x:c r="S293" s="24" t="str">
        <x:v>Seeded</x:v>
      </x:c>
    </x:row>
    <x:row r="294" ht="52" customHeight="1">
      <x:c r="A294" s="24" t="str">
        <x:v>ENT-0293</x:v>
      </x:c>
      <x:c r="B294" s="24" t="str">
        <x:v>Equivalent exchange</x:v>
      </x:c>
      <x:c r="C294" s="24" t="str">
        <x:v>SRC-198</x:v>
      </x:c>
      <x:c r="D294" s="24" t="str">
        <x:v>Fullmetal Alchemist</x:v>
      </x:c>
      <x:c r="E294" s="24" t="str">
        <x:v>Manga/anime core continuity</x:v>
      </x:c>
      <x:c r="F294" s="24" t="str">
        <x:v>Power-system principle</x:v>
      </x:c>
      <x:c r="G294" s="24" t="str">
        <x:v>PWR-119</x:v>
      </x:c>
      <x:c r="H294" s="24" t="str">
        <x:f>IFERROR(VLOOKUP(G294,'Master Taxonomy'!$A$2:$B$1226,2,FALSE),"")</x:f>
        <x:v>Sacrifice and Costly Exchange</x:v>
      </x:c>
      <x:c r="I294" s="24" t="str"/>
      <x:c r="J294" s="24" t="str"/>
      <x:c r="K294" s="24" t="str">
        <x:v>A stated alchemical principle that transformations require material or energetic cost, later complicated by hidden inputs.</x:v>
      </x:c>
      <x:c r="L294" s="24" t="str">
        <x:v>System law, material balance, and concealed sacrifice.</x:v>
      </x:c>
      <x:c r="M294" s="24" t="str">
        <x:v>It is both a rule and an ideological proposition tested by the narrative.</x:v>
      </x:c>
      <x:c r="N294" s="24" t="str">
        <x:v>Cost-governed magic law.</x:v>
      </x:c>
      <x:c r="O294" s="24" t="str">
        <x:v>Primary canon</x:v>
      </x:c>
      <x:c r="P294" s="24" t="str">
        <x:v>Secondary reference reviewed</x:v>
      </x:c>
      <x:c r="Q294" s="24" t="str">
        <x:v>Primary manga/anime continuities; adaptation differences require separate verification.</x:v>
      </x:c>
      <x:c r="R294" s="84" t="str">
        <x:v>https://en.wikipedia.org/wiki/Fullmetal_Alchemist</x:v>
      </x:c>
      <x:c r="S294" s="24" t="str">
        <x:v>Seeded</x:v>
      </x:c>
    </x:row>
    <x:row r="295" ht="52" customHeight="1">
      <x:c r="A295" s="24" t="str">
        <x:v>ENT-0294</x:v>
      </x:c>
      <x:c r="B295" s="24" t="str">
        <x:v>Humanoid races</x:v>
      </x:c>
      <x:c r="C295" s="24" t="str">
        <x:v>SRC-210</x:v>
      </x:c>
      <x:c r="D295" s="24" t="str">
        <x:v>Overlord</x:v>
      </x:c>
      <x:c r="E295" s="24" t="str">
        <x:v>Light-novel/anime continuity</x:v>
      </x:c>
      <x:c r="F295" s="24" t="str">
        <x:v>Game-derived people category</x:v>
      </x:c>
      <x:c r="G295" s="24" t="str">
        <x:v>PPL-101</x:v>
      </x:c>
      <x:c r="H295" s="24" t="str">
        <x:f>IFERROR(VLOOKUP(G295,'Master Taxonomy'!$A$2:$B$1226,2,FALSE),"")</x:f>
        <x:v>Human and Near-Human Peoples</x:v>
      </x:c>
      <x:c r="I295" s="24" t="str"/>
      <x:c r="J295" s="24" t="str"/>
      <x:c r="K295" s="24" t="str">
        <x:v>A broad in-world and inherited game category covering humans and similar peoples.</x:v>
      </x:c>
      <x:c r="L295" s="24" t="str">
        <x:v>Natural ancestry plus imported game taxonomy.</x:v>
      </x:c>
      <x:c r="M295" s="24" t="str">
        <x:v>It is a supercategory, not one species or culture.</x:v>
      </x:c>
      <x:c r="N295" s="24" t="str">
        <x:v>Game-ontology humanoid category.</x:v>
      </x:c>
      <x:c r="O295" s="24" t="str">
        <x:v>Primary canon</x:v>
      </x:c>
      <x:c r="P295" s="24" t="str">
        <x:v>Secondary reference reviewed</x:v>
      </x:c>
      <x:c r="Q295" s="24" t="str">
        <x:v>Primary light-novel/anime continuity; secondary orientation source.</x:v>
      </x:c>
      <x:c r="R295" s="84" t="str">
        <x:v>https://en.wikipedia.org/wiki/Overlord</x:v>
      </x:c>
      <x:c r="S295" s="24" t="str">
        <x:v>Seeded</x:v>
      </x:c>
    </x:row>
    <x:row r="296" ht="52" customHeight="1">
      <x:c r="A296" s="24" t="str">
        <x:v>ENT-0295</x:v>
      </x:c>
      <x:c r="B296" s="24" t="str">
        <x:v>Heteromorphic races</x:v>
      </x:c>
      <x:c r="C296" s="24" t="str">
        <x:v>SRC-210</x:v>
      </x:c>
      <x:c r="D296" s="24" t="str">
        <x:v>Overlord</x:v>
      </x:c>
      <x:c r="E296" s="24" t="str">
        <x:v>Light-novel/anime continuity</x:v>
      </x:c>
      <x:c r="F296" s="24" t="str">
        <x:v>Game-derived being category</x:v>
      </x:c>
      <x:c r="G296" s="24" t="str">
        <x:v>PPL-1000</x:v>
      </x:c>
      <x:c r="H296" s="24" t="str">
        <x:f>IFERROR(VLOOKUP(G296,'Master Taxonomy'!$A$2:$B$1226,2,FALSE),"")</x:f>
        <x:v>Shapeshifters, Hybrids, and Mutable Peoples</x:v>
      </x:c>
      <x:c r="I296" s="24" t="str">
        <x:v>PPL-1102</x:v>
      </x:c>
      <x:c r="J296" s="24" t="str">
        <x:v>Alien and Otherworlder Peoples</x:v>
      </x:c>
      <x:c r="K296" s="24" t="str">
        <x:v>A broad category for nonhuman forms such as undead, demons, slimes, and other monster-like player races.</x:v>
      </x:c>
      <x:c r="L296" s="24" t="str">
        <x:v>Race-level progression and imported game ontology.</x:v>
      </x:c>
      <x:c r="M296" s="24" t="str">
        <x:v>The category groups radically different ontologies for rules purposes.</x:v>
      </x:c>
      <x:c r="N296" s="24" t="str">
        <x:v>Monster-race supercategory.</x:v>
      </x:c>
      <x:c r="O296" s="24" t="str">
        <x:v>Primary canon</x:v>
      </x:c>
      <x:c r="P296" s="24" t="str">
        <x:v>Secondary reference reviewed</x:v>
      </x:c>
      <x:c r="Q296" s="24" t="str">
        <x:v>Primary light-novel/anime continuity; secondary orientation source.</x:v>
      </x:c>
      <x:c r="R296" s="84" t="str">
        <x:v>https://en.wikipedia.org/wiki/Overlord</x:v>
      </x:c>
      <x:c r="S296" s="24" t="str">
        <x:v>Seeded</x:v>
      </x:c>
    </x:row>
    <x:row r="297" ht="52" customHeight="1">
      <x:c r="A297" s="24" t="str">
        <x:v>ENT-0296</x:v>
      </x:c>
      <x:c r="B297" s="24" t="str">
        <x:v>Ainz Ooal Gown / Momonga</x:v>
      </x:c>
      <x:c r="C297" s="24" t="str">
        <x:v>SRC-210</x:v>
      </x:c>
      <x:c r="D297" s="24" t="str">
        <x:v>Overlord</x:v>
      </x:c>
      <x:c r="E297" s="24" t="str">
        <x:v>Light-novel/anime continuity</x:v>
      </x:c>
      <x:c r="F297" s="24" t="str">
        <x:v>Undead ruler and build</x:v>
      </x:c>
      <x:c r="G297" s="24" t="str">
        <x:v>PPL-608</x:v>
      </x:c>
      <x:c r="H297" s="24" t="str">
        <x:f>IFERROR(VLOOKUP(G297,'Master Taxonomy'!$A$2:$B$1226,2,FALSE),"")</x:f>
        <x:v>Liches</x:v>
      </x:c>
      <x:c r="I297" s="24" t="str">
        <x:v>ROL-722; NAR-130</x:v>
      </x:c>
      <x:c r="J297" s="24" t="str">
        <x:v>Dungeon Lord; Overpowered Protagonist</x:v>
      </x:c>
      <x:c r="K297" s="24" t="str">
        <x:v>An undead magic-caster character whose identity combines racial levels, job levels, guild history, and rulership.</x:v>
      </x:c>
      <x:c r="L297" s="24" t="str">
        <x:v>Game build, transported embodiment, artifacts, and institutional authority.</x:v>
      </x:c>
      <x:c r="M297" s="24" t="str">
        <x:v>The entry demonstrates why character, race, class, and narrative role must remain separate axes.</x:v>
      </x:c>
      <x:c r="N297" s="24" t="str">
        <x:v>Isekai lich-overlord composite.</x:v>
      </x:c>
      <x:c r="O297" s="24" t="str">
        <x:v>Primary canon</x:v>
      </x:c>
      <x:c r="P297" s="24" t="str">
        <x:v>Secondary reference reviewed</x:v>
      </x:c>
      <x:c r="Q297" s="24" t="str">
        <x:v>Primary light-novel/anime continuity; secondary orientation source.</x:v>
      </x:c>
      <x:c r="R297" s="84" t="str">
        <x:v>https://en.wikipedia.org/wiki/Overlord</x:v>
      </x:c>
      <x:c r="S297" s="24" t="str">
        <x:v>Seeded</x:v>
      </x:c>
    </x:row>
    <x:row r="298" ht="52" customHeight="1">
      <x:c r="A298" s="24" t="str">
        <x:v>ENT-0297</x:v>
      </x:c>
      <x:c r="B298" s="24" t="str">
        <x:v>Great Tomb of Nazarick</x:v>
      </x:c>
      <x:c r="C298" s="24" t="str">
        <x:v>SRC-210</x:v>
      </x:c>
      <x:c r="D298" s="24" t="str">
        <x:v>Overlord</x:v>
      </x:c>
      <x:c r="E298" s="24" t="str">
        <x:v>Light-novel/anime continuity</x:v>
      </x:c>
      <x:c r="F298" s="24" t="str">
        <x:v>Dungeon polity</x:v>
      </x:c>
      <x:c r="G298" s="24" t="str">
        <x:v>CIV-219</x:v>
      </x:c>
      <x:c r="H298" s="24" t="str">
        <x:f>IFERROR(VLOOKUP(G298,'Master Taxonomy'!$A$2:$B$1226,2,FALSE),"")</x:f>
        <x:v>Dungeon Civilization</x:v>
      </x:c>
      <x:c r="I298" s="24" t="str">
        <x:v>INS-420</x:v>
      </x:c>
      <x:c r="J298" s="24" t="str">
        <x:v>Dungeon Faction</x:v>
      </x:c>
      <x:c r="K298" s="24" t="str">
        <x:v>A fortified dungeon complex functioning as home, state, military organization, and sacred legacy.</x:v>
      </x:c>
      <x:c r="L298" s="24" t="str">
        <x:v>Constructed environment, NPC communities, guild inheritance, and hierarchy.</x:v>
      </x:c>
      <x:c r="M298" s="24" t="str">
        <x:v>It is more than an adventuring site; it is a sovereign society.</x:v>
      </x:c>
      <x:c r="N298" s="24" t="str">
        <x:v>Dungeon-state archetype.</x:v>
      </x:c>
      <x:c r="O298" s="24" t="str">
        <x:v>Primary canon</x:v>
      </x:c>
      <x:c r="P298" s="24" t="str">
        <x:v>Secondary reference reviewed</x:v>
      </x:c>
      <x:c r="Q298" s="24" t="str">
        <x:v>Primary light-novel/anime continuity; secondary orientation source.</x:v>
      </x:c>
      <x:c r="R298" s="84" t="str">
        <x:v>https://en.wikipedia.org/wiki/Overlord</x:v>
      </x:c>
      <x:c r="S298" s="24" t="str">
        <x:v>Seeded</x:v>
      </x:c>
    </x:row>
    <x:row r="299" ht="52" customHeight="1">
      <x:c r="A299" s="24" t="str">
        <x:v>ENT-0298</x:v>
      </x:c>
      <x:c r="B299" s="24" t="str">
        <x:v>Floor Guardians</x:v>
      </x:c>
      <x:c r="C299" s="24" t="str">
        <x:v>SRC-210</x:v>
      </x:c>
      <x:c r="D299" s="24" t="str">
        <x:v>Overlord</x:v>
      </x:c>
      <x:c r="E299" s="24" t="str">
        <x:v>Light-novel/anime continuity</x:v>
      </x:c>
      <x:c r="F299" s="24" t="str">
        <x:v>Institutional office and created beings</x:v>
      </x:c>
      <x:c r="G299" s="24" t="str">
        <x:v>NAR-205</x:v>
      </x:c>
      <x:c r="H299" s="24" t="str">
        <x:f>IFERROR(VLOOKUP(G299,'Master Taxonomy'!$A$2:$B$1226,2,FALSE),"")</x:f>
        <x:v>Guardian</x:v>
      </x:c>
      <x:c r="I299" s="24" t="str">
        <x:v>INS-420</x:v>
      </x:c>
      <x:c r="J299" s="24" t="str">
        <x:v>Dungeon Faction</x:v>
      </x:c>
      <x:c r="K299" s="24" t="str">
        <x:v>Powerful created residents assigned command and protection of dungeon floors.</x:v>
      </x:c>
      <x:c r="L299" s="24" t="str">
        <x:v>Created identity, office, loyalty programming, and personal development.</x:v>
      </x:c>
      <x:c r="M299" s="24" t="str">
        <x:v>The title is an office shared by beings of very different races and classes.</x:v>
      </x:c>
      <x:c r="N299" s="24" t="str">
        <x:v>Created elite guardian caste.</x:v>
      </x:c>
      <x:c r="O299" s="24" t="str">
        <x:v>Primary canon</x:v>
      </x:c>
      <x:c r="P299" s="24" t="str">
        <x:v>Secondary reference reviewed</x:v>
      </x:c>
      <x:c r="Q299" s="24" t="str">
        <x:v>Primary light-novel/anime continuity; secondary orientation source.</x:v>
      </x:c>
      <x:c r="R299" s="84" t="str">
        <x:v>https://en.wikipedia.org/wiki/Overlord</x:v>
      </x:c>
      <x:c r="S299" s="24" t="str">
        <x:v>Seeded</x:v>
      </x:c>
    </x:row>
    <x:row r="300" ht="52" customHeight="1">
      <x:c r="A300" s="24" t="str">
        <x:v>ENT-0299</x:v>
      </x:c>
      <x:c r="B300" s="24" t="str">
        <x:v>Racial levels</x:v>
      </x:c>
      <x:c r="C300" s="24" t="str">
        <x:v>SRC-210</x:v>
      </x:c>
      <x:c r="D300" s="24" t="str">
        <x:v>Overlord</x:v>
      </x:c>
      <x:c r="E300" s="24" t="str">
        <x:v>Light-novel/anime continuity</x:v>
      </x:c>
      <x:c r="F300" s="24" t="str">
        <x:v>Character-build mechanic</x:v>
      </x:c>
      <x:c r="G300" s="24" t="str">
        <x:v>MEC-302</x:v>
      </x:c>
      <x:c r="H300" s="24" t="str">
        <x:f>IFERROR(VLOOKUP(G300,'Master Taxonomy'!$A$2:$B$1226,2,FALSE),"")</x:f>
        <x:v>Class Change or Job System</x:v>
      </x:c>
      <x:c r="I300" s="24" t="str"/>
      <x:c r="J300" s="24" t="str"/>
      <x:c r="K300" s="24" t="str">
        <x:v>Progression levels attached to being type or evolutionary race branches.</x:v>
      </x:c>
      <x:c r="L300" s="24" t="str">
        <x:v>Imported game rules, prerequisites, and transformations.</x:v>
      </x:c>
      <x:c r="M300" s="24" t="str">
        <x:v>Being ontology is mechanically leveled rather than fixed only at birth.</x:v>
      </x:c>
      <x:c r="N300" s="24" t="str">
        <x:v>Race-as-progression system.</x:v>
      </x:c>
      <x:c r="O300" s="24" t="str">
        <x:v>Primary canon</x:v>
      </x:c>
      <x:c r="P300" s="24" t="str">
        <x:v>Secondary reference reviewed</x:v>
      </x:c>
      <x:c r="Q300" s="24" t="str">
        <x:v>Primary light-novel/anime continuity; secondary orientation source.</x:v>
      </x:c>
      <x:c r="R300" s="84" t="str">
        <x:v>https://en.wikipedia.org/wiki/Overlord</x:v>
      </x:c>
      <x:c r="S300" s="24" t="str">
        <x:v>Seeded</x:v>
      </x:c>
    </x:row>
    <x:row r="301" ht="52" customHeight="1">
      <x:c r="A301" s="24" t="str">
        <x:v>ENT-0300</x:v>
      </x:c>
      <x:c r="B301" s="24" t="str">
        <x:v>Job levels</x:v>
      </x:c>
      <x:c r="C301" s="24" t="str">
        <x:v>SRC-210</x:v>
      </x:c>
      <x:c r="D301" s="24" t="str">
        <x:v>Overlord</x:v>
      </x:c>
      <x:c r="E301" s="24" t="str">
        <x:v>Light-novel/anime continuity</x:v>
      </x:c>
      <x:c r="F301" s="24" t="str">
        <x:v>Character-build mechanic</x:v>
      </x:c>
      <x:c r="G301" s="24" t="str">
        <x:v>MEC-302</x:v>
      </x:c>
      <x:c r="H301" s="24" t="str">
        <x:f>IFERROR(VLOOKUP(G301,'Master Taxonomy'!$A$2:$B$1226,2,FALSE),"")</x:f>
        <x:v>Class Change or Job System</x:v>
      </x:c>
      <x:c r="I301" s="24" t="str">
        <x:v>MEC-303</x:v>
      </x:c>
      <x:c r="J301" s="24" t="str">
        <x:v>Multiclassing</x:v>
      </x:c>
      <x:c r="K301" s="24" t="str">
        <x:v>Stacked occupational or power classes composing a character build.</x:v>
      </x:c>
      <x:c r="L301" s="24" t="str">
        <x:v>Level allocation, prerequisites, synergies, and imported rules.</x:v>
      </x:c>
      <x:c r="M301" s="24" t="str">
        <x:v>A build can contain many classes that do not map neatly to daily professions.</x:v>
      </x:c>
      <x:c r="N301" s="24" t="str">
        <x:v>Layered multiclass job build.</x:v>
      </x:c>
      <x:c r="O301" s="24" t="str">
        <x:v>Primary canon</x:v>
      </x:c>
      <x:c r="P301" s="24" t="str">
        <x:v>Secondary reference reviewed</x:v>
      </x:c>
      <x:c r="Q301" s="24" t="str">
        <x:v>Primary light-novel/anime continuity; secondary orientation source.</x:v>
      </x:c>
      <x:c r="R301" s="84" t="str">
        <x:v>https://en.wikipedia.org/wiki/Overlord</x:v>
      </x:c>
      <x:c r="S301" s="24" t="str">
        <x:v>Seeded</x:v>
      </x:c>
    </x:row>
    <x:row r="302" ht="52" customHeight="1">
      <x:c r="A302" s="24" t="str">
        <x:v>ENT-0301</x:v>
      </x:c>
      <x:c r="B302" s="24" t="str">
        <x:v>Hunters</x:v>
      </x:c>
      <x:c r="C302" s="24" t="str">
        <x:v>SRC-235</x:v>
      </x:c>
      <x:c r="D302" s="24" t="str">
        <x:v>Solo Leveling</x:v>
      </x:c>
      <x:c r="E302" s="24" t="str">
        <x:v>Web-novel/manhwa/anime continuity</x:v>
      </x:c>
      <x:c r="F302" s="24" t="str">
        <x:v>Awakened profession</x:v>
      </x:c>
      <x:c r="G302" s="24" t="str">
        <x:v>ROL-926</x:v>
      </x:c>
      <x:c r="H302" s="24" t="str">
        <x:f>IFERROR(VLOOKUP(G302,'Master Taxonomy'!$A$2:$B$1226,2,FALSE),"")</x:f>
        <x:v>Ranked Hunter</x:v>
      </x:c>
      <x:c r="I302" s="24" t="str"/>
      <x:c r="J302" s="24" t="str"/>
      <x:c r="K302" s="24" t="str">
        <x:v>People with supernatural abilities licensed and ranked to confront gates and dungeons.</x:v>
      </x:c>
      <x:c r="L302" s="24" t="str">
        <x:v>Awakening, innate capacity, certification, teams, and economy.</x:v>
      </x:c>
      <x:c r="M302" s="24" t="str">
        <x:v>Hunter is a regulated social profession and power category, not simply someone who hunts animals.</x:v>
      </x:c>
      <x:c r="N302" s="24" t="str">
        <x:v>Ranked supernatural responder.</x:v>
      </x:c>
      <x:c r="O302" s="24" t="str">
        <x:v>Primary canon</x:v>
      </x:c>
      <x:c r="P302" s="24" t="str">
        <x:v>Secondary reference reviewed</x:v>
      </x:c>
      <x:c r="Q302" s="24" t="str">
        <x:v>Primary web-novel/manhwa/anime continuities; adaptation differences require verification.</x:v>
      </x:c>
      <x:c r="R302" s="84" t="str">
        <x:v>https://en.wikipedia.org/wiki/Solo_Leveling</x:v>
      </x:c>
      <x:c r="S302" s="24" t="str">
        <x:v>Seeded</x:v>
      </x:c>
    </x:row>
    <x:row r="303" ht="52" customHeight="1">
      <x:c r="A303" s="24" t="str">
        <x:v>ENT-0302</x:v>
      </x:c>
      <x:c r="B303" s="24" t="str">
        <x:v>Hunter associations</x:v>
      </x:c>
      <x:c r="C303" s="24" t="str">
        <x:v>SRC-235</x:v>
      </x:c>
      <x:c r="D303" s="24" t="str">
        <x:v>Solo Leveling</x:v>
      </x:c>
      <x:c r="E303" s="24" t="str">
        <x:v>Web-novel/manhwa/anime continuity</x:v>
      </x:c>
      <x:c r="F303" s="24" t="str">
        <x:v>Regulatory institution</x:v>
      </x:c>
      <x:c r="G303" s="24" t="str">
        <x:v>INS-113</x:v>
      </x:c>
      <x:c r="H303" s="24" t="str">
        <x:f>IFERROR(VLOOKUP(G303,'Master Taxonomy'!$A$2:$B$1226,2,FALSE),"")</x:f>
        <x:v>Hunters' Association</x:v>
      </x:c>
      <x:c r="I303" s="24" t="str">
        <x:v>MEC-314</x:v>
      </x:c>
      <x:c r="J303" s="24" t="str">
        <x:v>Rank and Promotion System</x:v>
      </x:c>
      <x:c r="K303" s="24" t="str">
        <x:v>Organizations that register, rank, deploy, and regulate hunters.</x:v>
      </x:c>
      <x:c r="L303" s="24" t="str">
        <x:v>Bureaucracy, testing, law, and gate management.</x:v>
      </x:c>
      <x:c r="M303" s="24" t="str">
        <x:v>National institutions vary and interact with private guilds.</x:v>
      </x:c>
      <x:c r="N303" s="24" t="str">
        <x:v>Superhuman professional regulator.</x:v>
      </x:c>
      <x:c r="O303" s="24" t="str">
        <x:v>Primary canon</x:v>
      </x:c>
      <x:c r="P303" s="24" t="str">
        <x:v>Secondary reference reviewed</x:v>
      </x:c>
      <x:c r="Q303" s="24" t="str">
        <x:v>Primary web-novel/manhwa/anime continuities; adaptation differences require verification.</x:v>
      </x:c>
      <x:c r="R303" s="84" t="str">
        <x:v>https://en.wikipedia.org/wiki/Solo_Leveling</x:v>
      </x:c>
      <x:c r="S303" s="24" t="str">
        <x:v>Seeded</x:v>
      </x:c>
    </x:row>
    <x:row r="304" ht="52" customHeight="1">
      <x:c r="A304" s="24" t="str">
        <x:v>ENT-0303</x:v>
      </x:c>
      <x:c r="B304" s="24" t="str">
        <x:v>Hunter guilds</x:v>
      </x:c>
      <x:c r="C304" s="24" t="str">
        <x:v>SRC-235</x:v>
      </x:c>
      <x:c r="D304" s="24" t="str">
        <x:v>Solo Leveling</x:v>
      </x:c>
      <x:c r="E304" s="24" t="str">
        <x:v>Web-novel/manhwa/anime continuity</x:v>
      </x:c>
      <x:c r="F304" s="24" t="str">
        <x:v>Professional combat guild</x:v>
      </x:c>
      <x:c r="G304" s="24" t="str">
        <x:v>INS-101</x:v>
      </x:c>
      <x:c r="H304" s="24" t="str">
        <x:f>IFERROR(VLOOKUP(G304,'Master Taxonomy'!$A$2:$B$1226,2,FALSE),"")</x:f>
        <x:v>Adventurers' Guild</x:v>
      </x:c>
      <x:c r="I304" s="24" t="str">
        <x:v>INS-206</x:v>
      </x:c>
      <x:c r="J304" s="24" t="str">
        <x:v>Mercenary Company</x:v>
      </x:c>
      <x:c r="K304" s="24" t="str">
        <x:v>Private organizations assembling ranked hunters for raids and economic competition.</x:v>
      </x:c>
      <x:c r="L304" s="24" t="str">
        <x:v>Contracts, teams, capital, reputation, and resource extraction.</x:v>
      </x:c>
      <x:c r="M304" s="24" t="str">
        <x:v>They resemble corporations and raid organizations more than medieval craft guilds.</x:v>
      </x:c>
      <x:c r="N304" s="24" t="str">
        <x:v>Commercial raid guild.</x:v>
      </x:c>
      <x:c r="O304" s="24" t="str">
        <x:v>Primary canon</x:v>
      </x:c>
      <x:c r="P304" s="24" t="str">
        <x:v>Secondary reference reviewed</x:v>
      </x:c>
      <x:c r="Q304" s="24" t="str">
        <x:v>Primary web-novel/manhwa/anime continuities; adaptation differences require verification.</x:v>
      </x:c>
      <x:c r="R304" s="84" t="str">
        <x:v>https://en.wikipedia.org/wiki/Solo_Leveling</x:v>
      </x:c>
      <x:c r="S304" s="24" t="str">
        <x:v>Seeded</x:v>
      </x:c>
    </x:row>
    <x:row r="305" ht="52" customHeight="1">
      <x:c r="A305" s="24" t="str">
        <x:v>ENT-0304</x:v>
      </x:c>
      <x:c r="B305" s="24" t="str">
        <x:v>Gates and dungeon economy</x:v>
      </x:c>
      <x:c r="C305" s="24" t="str">
        <x:v>SRC-235</x:v>
      </x:c>
      <x:c r="D305" s="24" t="str">
        <x:v>Solo Leveling</x:v>
      </x:c>
      <x:c r="E305" s="24" t="str">
        <x:v>Web-novel/manhwa/anime continuity</x:v>
      </x:c>
      <x:c r="F305" s="24" t="str">
        <x:v>Resource and crisis system</x:v>
      </x:c>
      <x:c r="G305" s="24" t="str">
        <x:v>CIV-303</x:v>
      </x:c>
      <x:c r="H305" s="24" t="str">
        <x:f>IFERROR(VLOOKUP(G305,'Master Taxonomy'!$A$2:$B$1226,2,FALSE),"")</x:f>
        <x:v>Dungeon Extraction Economy</x:v>
      </x:c>
      <x:c r="I305" s="24" t="str">
        <x:v>NAR-436</x:v>
      </x:c>
      <x:c r="J305" s="24" t="str">
        <x:v>Dungeon Crawl</x:v>
      </x:c>
      <x:c r="K305" s="24" t="str">
        <x:v>Portals create dangerous raid spaces whose monsters and resources reshape economies and security.</x:v>
      </x:c>
      <x:c r="L305" s="24" t="str">
        <x:v>Portal events, timed crises, loot, licensing, and teams.</x:v>
      </x:c>
      <x:c r="M305" s="24" t="str">
        <x:v>Dungeons are external incursions and economic sites, not ordinary ruins.</x:v>
      </x:c>
      <x:c r="N305" s="24" t="str">
        <x:v>Portal-crisis extraction economy.</x:v>
      </x:c>
      <x:c r="O305" s="24" t="str">
        <x:v>Primary canon</x:v>
      </x:c>
      <x:c r="P305" s="24" t="str">
        <x:v>Secondary reference reviewed</x:v>
      </x:c>
      <x:c r="Q305" s="24" t="str">
        <x:v>Primary web-novel/manhwa/anime continuities; adaptation differences require verification.</x:v>
      </x:c>
      <x:c r="R305" s="84" t="str">
        <x:v>https://en.wikipedia.org/wiki/Solo_Leveling</x:v>
      </x:c>
      <x:c r="S305" s="24" t="str">
        <x:v>Seeded</x:v>
      </x:c>
    </x:row>
    <x:row r="306" ht="52" customHeight="1">
      <x:c r="A306" s="24" t="str">
        <x:v>ENT-0305</x:v>
      </x:c>
      <x:c r="B306" s="24" t="str">
        <x:v>System user</x:v>
      </x:c>
      <x:c r="C306" s="24" t="str">
        <x:v>SRC-235</x:v>
      </x:c>
      <x:c r="D306" s="24" t="str">
        <x:v>Solo Leveling</x:v>
      </x:c>
      <x:c r="E306" s="24" t="str">
        <x:v>Web-novel/manhwa/anime continuity</x:v>
      </x:c>
      <x:c r="F306" s="24" t="str">
        <x:v>Exclusive progression role</x:v>
      </x:c>
      <x:c r="G306" s="24" t="str">
        <x:v>ROL-918</x:v>
      </x:c>
      <x:c r="H306" s="24" t="str">
        <x:f>IFERROR(VLOOKUP(G306,'Master Taxonomy'!$A$2:$B$1226,2,FALSE),"")</x:f>
        <x:v>System User</x:v>
      </x:c>
      <x:c r="I306" s="24" t="str">
        <x:v>STA-419</x:v>
      </x:c>
      <x:c r="J306" s="24" t="str">
        <x:v>Level-Up or Rank-Up</x:v>
      </x:c>
      <x:c r="K306" s="24" t="str">
        <x:v>A character granted explicit game-like quests, levels, statistics, inventory, and growth.</x:v>
      </x:c>
      <x:c r="L306" s="24" t="str">
        <x:v>External interface, quests, rewards, and exceptional progression.</x:v>
      </x:c>
      <x:c r="M306" s="24" t="str">
        <x:v>The system creates an asymmetry with normally fixed hunter ranks.</x:v>
      </x:c>
      <x:c r="N306" s="24" t="str">
        <x:v>Diegetic player-progression protagonist.</x:v>
      </x:c>
      <x:c r="O306" s="24" t="str">
        <x:v>Primary canon</x:v>
      </x:c>
      <x:c r="P306" s="24" t="str">
        <x:v>Secondary reference reviewed</x:v>
      </x:c>
      <x:c r="Q306" s="24" t="str">
        <x:v>Primary web-novel/manhwa/anime continuities; adaptation differences require verification.</x:v>
      </x:c>
      <x:c r="R306" s="84" t="str">
        <x:v>https://en.wikipedia.org/wiki/Solo_Leveling</x:v>
      </x:c>
      <x:c r="S306" s="24" t="str">
        <x:v>Seeded</x:v>
      </x:c>
    </x:row>
    <x:row r="307" ht="52" customHeight="1">
      <x:c r="A307" s="24" t="str">
        <x:v>ENT-0306</x:v>
      </x:c>
      <x:c r="B307" s="24" t="str">
        <x:v>Shadow soldiers</x:v>
      </x:c>
      <x:c r="C307" s="24" t="str">
        <x:v>SRC-235</x:v>
      </x:c>
      <x:c r="D307" s="24" t="str">
        <x:v>Solo Leveling</x:v>
      </x:c>
      <x:c r="E307" s="24" t="str">
        <x:v>Web-novel/manhwa/anime continuity</x:v>
      </x:c>
      <x:c r="F307" s="24" t="str">
        <x:v>Summoned undead-like army</x:v>
      </x:c>
      <x:c r="G307" s="24" t="str">
        <x:v>PPL-307</x:v>
      </x:c>
      <x:c r="H307" s="24" t="str">
        <x:f>IFERROR(VLOOKUP(G307,'Master Taxonomy'!$A$2:$B$1226,2,FALSE),"")</x:f>
        <x:v>Shadow Beings</x:v>
      </x:c>
      <x:c r="I307" s="24" t="str">
        <x:v>ROL-816</x:v>
      </x:c>
      <x:c r="J307" s="24" t="str">
        <x:v>Necromantic Commander</x:v>
      </x:c>
      <x:c r="K307" s="24" t="str">
        <x:v>Defeated beings converted into loyal shadow troops under a command hierarchy.</x:v>
      </x:c>
      <x:c r="L307" s="24" t="str">
        <x:v>Postmortem conversion, summoning, stored army, and sovereign command.</x:v>
      </x:c>
      <x:c r="M307" s="24" t="str">
        <x:v>They are not conventional corpses and retain variable traces of prior ability.</x:v>
      </x:c>
      <x:c r="N307" s="24" t="str">
        <x:v>Portable necromantic summon army.</x:v>
      </x:c>
      <x:c r="O307" s="24" t="str">
        <x:v>Primary canon</x:v>
      </x:c>
      <x:c r="P307" s="24" t="str">
        <x:v>Secondary reference reviewed</x:v>
      </x:c>
      <x:c r="Q307" s="24" t="str">
        <x:v>Primary web-novel/manhwa/anime continuities; adaptation differences require verification.</x:v>
      </x:c>
      <x:c r="R307" s="84" t="str">
        <x:v>https://en.wikipedia.org/wiki/Solo_Leveling</x:v>
      </x:c>
      <x:c r="S307" s="24" t="str">
        <x:v>Seeded</x:v>
      </x:c>
    </x:row>
    <x:row r="308" ht="52" customHeight="1">
      <x:c r="A308" s="24" t="str">
        <x:v>ENT-0307</x:v>
      </x:c>
      <x:c r="B308" s="24" t="str">
        <x:v>Monarchs and Rulers</x:v>
      </x:c>
      <x:c r="C308" s="24" t="str">
        <x:v>SRC-235</x:v>
      </x:c>
      <x:c r="D308" s="24" t="str">
        <x:v>Solo Leveling</x:v>
      </x:c>
      <x:c r="E308" s="24" t="str">
        <x:v>Web-novel/manhwa/anime continuity</x:v>
      </x:c>
      <x:c r="F308" s="24" t="str">
        <x:v>Cosmic factions</x:v>
      </x:c>
      <x:c r="G308" s="24" t="str">
        <x:v>PPL-1102</x:v>
      </x:c>
      <x:c r="H308" s="24" t="str">
        <x:f>IFERROR(VLOOKUP(G308,'Master Taxonomy'!$A$2:$B$1226,2,FALSE),"")</x:f>
        <x:v>Alien and Otherworlder Peoples</x:v>
      </x:c>
      <x:c r="I308" s="24" t="str">
        <x:v>ROL-701</x:v>
      </x:c>
      <x:c r="J308" s="24" t="str">
        <x:v>Monarch</x:v>
      </x:c>
      <x:c r="K308" s="24" t="str">
        <x:v>Opposed groups of immensely powerful otherworldly beings acting through cosmic conflict and vessels.</x:v>
      </x:c>
      <x:c r="L308" s="24" t="str">
        <x:v>Otherworldly origin, embodiment, inherited power, and cosmic war.</x:v>
      </x:c>
      <x:c r="M308" s="24" t="str">
        <x:v>‘Monarch’ is a metaphysical faction-title, not merely political kingship.</x:v>
      </x:c>
      <x:c r="N308" s="24" t="str">
        <x:v>Cosmic sovereign-warrior order.</x:v>
      </x:c>
      <x:c r="O308" s="24" t="str">
        <x:v>Primary canon</x:v>
      </x:c>
      <x:c r="P308" s="24" t="str">
        <x:v>Secondary reference reviewed</x:v>
      </x:c>
      <x:c r="Q308" s="24" t="str">
        <x:v>Primary web-novel/manhwa/anime continuities; adaptation differences require verification.</x:v>
      </x:c>
      <x:c r="R308" s="84" t="str">
        <x:v>https://en.wikipedia.org/wiki/Solo_Leveling</x:v>
      </x:c>
      <x:c r="S308" s="24" t="str">
        <x:v>Seeded</x:v>
      </x:c>
    </x:row>
    <x:row r="309" ht="52" customHeight="1">
      <x:c r="A309" s="24" t="str">
        <x:v>ENT-0308</x:v>
      </x:c>
      <x:c r="B309" s="24" t="str">
        <x:v>Cultivator</x:v>
      </x:c>
      <x:c r="C309" s="24" t="str">
        <x:v>SRC-077</x:v>
      </x:c>
      <x:c r="D309" s="24" t="str">
        <x:v>A Record of a Mortal's Journey to Immortality</x:v>
      </x:c>
      <x:c r="E309" s="24" t="str">
        <x:v>Web-novel continuity</x:v>
      </x:c>
      <x:c r="F309" s="24" t="str">
        <x:v>Progression vocation</x:v>
      </x:c>
      <x:c r="G309" s="24" t="str">
        <x:v>ROL-906</x:v>
      </x:c>
      <x:c r="H309" s="24" t="str">
        <x:f>IFERROR(VLOOKUP(G309,'Master Taxonomy'!$A$2:$B$1226,2,FALSE),"")</x:f>
        <x:v>Cultivator</x:v>
      </x:c>
      <x:c r="I309" s="24" t="str">
        <x:v>PWR-114</x:v>
      </x:c>
      <x:c r="J309" s="24" t="str">
        <x:v>Cultivation and Internal Refinement</x:v>
      </x:c>
      <x:c r="K309" s="24" t="str">
        <x:v>A practitioner who refines body, energy, spirit, and resources across ranked realms.</x:v>
      </x:c>
      <x:c r="L309" s="24" t="str">
        <x:v>Training, qi, techniques, treasures, pills, and breakthroughs.</x:v>
      </x:c>
      <x:c r="M309" s="24" t="str">
        <x:v>Cultivation is a life-path and cosmology, not merely a spellcasting class.</x:v>
      </x:c>
      <x:c r="N309" s="24" t="str">
        <x:v>Core xianxia progression archetype.</x:v>
      </x:c>
      <x:c r="O309" s="24" t="str">
        <x:v>Primary canon</x:v>
      </x:c>
      <x:c r="P309" s="24" t="str">
        <x:v>Secondary reference reviewed</x:v>
      </x:c>
      <x:c r="Q309" s="24" t="str">
        <x:v>Primary web-novel continuity; secondary orientation source.</x:v>
      </x:c>
      <x:c r="R309" s="84" t="str">
        <x:v>https://en.wikipedia.org/wiki/A_Record_of_a_Mortal's_Journey_to_Immortality</x:v>
      </x:c>
      <x:c r="S309" s="24" t="str">
        <x:v>Seeded</x:v>
      </x:c>
    </x:row>
    <x:row r="310" ht="52" customHeight="1">
      <x:c r="A310" s="24" t="str">
        <x:v>ENT-0309</x:v>
      </x:c>
      <x:c r="B310" s="24" t="str">
        <x:v>Sect disciple</x:v>
      </x:c>
      <x:c r="C310" s="24" t="str">
        <x:v>SRC-077</x:v>
      </x:c>
      <x:c r="D310" s="24" t="str">
        <x:v>A Record of a Mortal's Journey to Immortality</x:v>
      </x:c>
      <x:c r="E310" s="24" t="str">
        <x:v>Web-novel continuity</x:v>
      </x:c>
      <x:c r="F310" s="24" t="str">
        <x:v>Institutional rank and vocation</x:v>
      </x:c>
      <x:c r="G310" s="24" t="str">
        <x:v>ROL-914</x:v>
      </x:c>
      <x:c r="H310" s="24" t="str">
        <x:f>IFERROR(VLOOKUP(G310,'Master Taxonomy'!$A$2:$B$1226,2,FALSE),"")</x:f>
        <x:v>Sect Disciple</x:v>
      </x:c>
      <x:c r="I310" s="24" t="str">
        <x:v>INS-312</x:v>
      </x:c>
      <x:c r="J310" s="24" t="str">
        <x:v>Cultivation Sect</x:v>
      </x:c>
      <x:c r="K310" s="24" t="str">
        <x:v>A cultivator embedded in a sect hierarchy of teaching, resources, duties, and rivalries.</x:v>
      </x:c>
      <x:c r="L310" s="24" t="str">
        <x:v>Initiation, master-disciple ties, rank, contribution, and technique access.</x:v>
      </x:c>
      <x:c r="M310" s="24" t="str">
        <x:v>Sect membership is institutional and may change over a character's life.</x:v>
      </x:c>
      <x:c r="N310" s="24" t="str">
        <x:v>Cultivation-school member.</x:v>
      </x:c>
      <x:c r="O310" s="24" t="str">
        <x:v>Primary canon</x:v>
      </x:c>
      <x:c r="P310" s="24" t="str">
        <x:v>Secondary reference reviewed</x:v>
      </x:c>
      <x:c r="Q310" s="24" t="str">
        <x:v>Primary web-novel continuity; secondary orientation source.</x:v>
      </x:c>
      <x:c r="R310" s="84" t="str">
        <x:v>https://en.wikipedia.org/wiki/A_Record_of_a_Mortal's_Journey_to_Immortality</x:v>
      </x:c>
      <x:c r="S310" s="24" t="str">
        <x:v>Seeded</x:v>
      </x:c>
    </x:row>
    <x:row r="311" ht="52" customHeight="1">
      <x:c r="A311" s="24" t="str">
        <x:v>ENT-0310</x:v>
      </x:c>
      <x:c r="B311" s="24" t="str">
        <x:v>Martial cultivator</x:v>
      </x:c>
      <x:c r="C311" s="24" t="str">
        <x:v>SRC-077</x:v>
      </x:c>
      <x:c r="D311" s="24" t="str">
        <x:v>A Record of a Mortal's Journey to Immortality</x:v>
      </x:c>
      <x:c r="E311" s="24" t="str">
        <x:v>Web-novel continuity</x:v>
      </x:c>
      <x:c r="F311" s="24" t="str">
        <x:v>Cultivation specialization</x:v>
      </x:c>
      <x:c r="G311" s="24" t="str">
        <x:v>ROL-907</x:v>
      </x:c>
      <x:c r="H311" s="24" t="str">
        <x:f>IFERROR(VLOOKUP(G311,'Master Taxonomy'!$A$2:$B$1226,2,FALSE),"")</x:f>
        <x:v>Martial Cultivator</x:v>
      </x:c>
      <x:c r="I311" s="24" t="str">
        <x:v>PWR-115</x:v>
      </x:c>
      <x:c r="J311" s="24" t="str">
        <x:v>Martial Ki or Qi</x:v>
      </x:c>
      <x:c r="K311" s="24" t="str">
        <x:v>A practitioner emphasizing combat techniques and internally refined power.</x:v>
      </x:c>
      <x:c r="L311" s="24" t="str">
        <x:v>Qi, bodily training, techniques, and weapons.</x:v>
      </x:c>
      <x:c r="M311" s="24" t="str">
        <x:v>The boundary between martial and magical cultivation is setting-specific.</x:v>
      </x:c>
      <x:c r="N311" s="24" t="str">
        <x:v>Progression martial artist.</x:v>
      </x:c>
      <x:c r="O311" s="24" t="str">
        <x:v>Primary canon</x:v>
      </x:c>
      <x:c r="P311" s="24" t="str">
        <x:v>Secondary reference reviewed</x:v>
      </x:c>
      <x:c r="Q311" s="24" t="str">
        <x:v>Primary web-novel continuity; secondary orientation source.</x:v>
      </x:c>
      <x:c r="R311" s="84" t="str">
        <x:v>https://en.wikipedia.org/wiki/A_Record_of_a_Mortal's_Journey_to_Immortality</x:v>
      </x:c>
      <x:c r="S311" s="24" t="str">
        <x:v>Seeded</x:v>
      </x:c>
    </x:row>
    <x:row r="312" ht="52" customHeight="1">
      <x:c r="A312" s="24" t="str">
        <x:v>ENT-0311</x:v>
      </x:c>
      <x:c r="B312" s="24" t="str">
        <x:v>Sword cultivator</x:v>
      </x:c>
      <x:c r="C312" s="24" t="str">
        <x:v>SRC-077</x:v>
      </x:c>
      <x:c r="D312" s="24" t="str">
        <x:v>A Record of a Mortal's Journey to Immortality</x:v>
      </x:c>
      <x:c r="E312" s="24" t="str">
        <x:v>Web-novel continuity</x:v>
      </x:c>
      <x:c r="F312" s="24" t="str">
        <x:v>Cultivation specialization</x:v>
      </x:c>
      <x:c r="G312" s="24" t="str">
        <x:v>ROL-908</x:v>
      </x:c>
      <x:c r="H312" s="24" t="str">
        <x:f>IFERROR(VLOOKUP(G312,'Master Taxonomy'!$A$2:$B$1226,2,FALSE),"")</x:f>
        <x:v>Sword Cultivator</x:v>
      </x:c>
      <x:c r="I312" s="24" t="str"/>
      <x:c r="J312" s="24" t="str"/>
      <x:c r="K312" s="24" t="str">
        <x:v>A cultivator whose path centers on sword techniques, intent, artifacts, and combat insight.</x:v>
      </x:c>
      <x:c r="L312" s="24" t="str">
        <x:v>Weapon bond, qi, technique, and comprehension.</x:v>
      </x:c>
      <x:c r="M312" s="24" t="str">
        <x:v>Not simply any swordsman; the sword is a metaphysical path.</x:v>
      </x:c>
      <x:c r="N312" s="24" t="str">
        <x:v>Transcendent sword specialist.</x:v>
      </x:c>
      <x:c r="O312" s="24" t="str">
        <x:v>Primary canon</x:v>
      </x:c>
      <x:c r="P312" s="24" t="str">
        <x:v>Secondary reference reviewed</x:v>
      </x:c>
      <x:c r="Q312" s="24" t="str">
        <x:v>Primary web-novel continuity; secondary orientation source.</x:v>
      </x:c>
      <x:c r="R312" s="84" t="str">
        <x:v>https://en.wikipedia.org/wiki/A_Record_of_a_Mortal's_Journey_to_Immortality</x:v>
      </x:c>
      <x:c r="S312" s="24" t="str">
        <x:v>Seeded</x:v>
      </x:c>
    </x:row>
    <x:row r="313" ht="52" customHeight="1">
      <x:c r="A313" s="24" t="str">
        <x:v>ENT-0312</x:v>
      </x:c>
      <x:c r="B313" s="24" t="str">
        <x:v>Pill alchemist</x:v>
      </x:c>
      <x:c r="C313" s="24" t="str">
        <x:v>SRC-077</x:v>
      </x:c>
      <x:c r="D313" s="24" t="str">
        <x:v>A Record of a Mortal's Journey to Immortality</x:v>
      </x:c>
      <x:c r="E313" s="24" t="str">
        <x:v>Web-novel continuity</x:v>
      </x:c>
      <x:c r="F313" s="24" t="str">
        <x:v>Craft specialization</x:v>
      </x:c>
      <x:c r="G313" s="24" t="str">
        <x:v>ROL-913</x:v>
      </x:c>
      <x:c r="H313" s="24" t="str">
        <x:f>IFERROR(VLOOKUP(G313,'Master Taxonomy'!$A$2:$B$1226,2,FALSE),"")</x:f>
        <x:v>Pill Alchemist</x:v>
      </x:c>
      <x:c r="I313" s="24" t="str">
        <x:v>PWR-513</x:v>
      </x:c>
      <x:c r="J313" s="24" t="str">
        <x:v>Alchemy</x:v>
      </x:c>
      <x:c r="K313" s="24" t="str">
        <x:v>A specialist refining medicinal and cultivation-enhancing pills from rare materials.</x:v>
      </x:c>
      <x:c r="L313" s="24" t="str">
        <x:v>Recipes, furnaces, spiritual materials, and technical skill.</x:v>
      </x:c>
      <x:c r="M313" s="24" t="str">
        <x:v>Pill alchemy is tied to progression economy and bodily transformation.</x:v>
      </x:c>
      <x:c r="N313" s="24" t="str">
        <x:v>Cultivation pharmacist-artificer.</x:v>
      </x:c>
      <x:c r="O313" s="24" t="str">
        <x:v>Primary canon</x:v>
      </x:c>
      <x:c r="P313" s="24" t="str">
        <x:v>Secondary reference reviewed</x:v>
      </x:c>
      <x:c r="Q313" s="24" t="str">
        <x:v>Primary web-novel continuity; secondary orientation source.</x:v>
      </x:c>
      <x:c r="R313" s="84" t="str">
        <x:v>https://en.wikipedia.org/wiki/A_Record_of_a_Mortal's_Journey_to_Immortality</x:v>
      </x:c>
      <x:c r="S313" s="24" t="str">
        <x:v>Seeded</x:v>
      </x:c>
    </x:row>
    <x:row r="314" ht="52" customHeight="1">
      <x:c r="A314" s="24" t="str">
        <x:v>ENT-0313</x:v>
      </x:c>
      <x:c r="B314" s="24" t="str">
        <x:v>Talisman master</x:v>
      </x:c>
      <x:c r="C314" s="24" t="str">
        <x:v>SRC-077</x:v>
      </x:c>
      <x:c r="D314" s="24" t="str">
        <x:v>A Record of a Mortal's Journey to Immortality</x:v>
      </x:c>
      <x:c r="E314" s="24" t="str">
        <x:v>Web-novel continuity</x:v>
      </x:c>
      <x:c r="F314" s="24" t="str">
        <x:v>Technical magic specialization</x:v>
      </x:c>
      <x:c r="G314" s="24" t="str">
        <x:v>ROL-911</x:v>
      </x:c>
      <x:c r="H314" s="24" t="str">
        <x:f>IFERROR(VLOOKUP(G314,'Master Taxonomy'!$A$2:$B$1226,2,FALSE),"")</x:f>
        <x:v>Talisman Master</x:v>
      </x:c>
      <x:c r="I314" s="24" t="str">
        <x:v>PWR-506</x:v>
      </x:c>
      <x:c r="J314" s="24" t="str">
        <x:v>Talisman and Charm Magic</x:v>
      </x:c>
      <x:c r="K314" s="24" t="str">
        <x:v>A specialist creating inscribed talismans for attacks, defenses, sealing, or utility.</x:v>
      </x:c>
      <x:c r="L314" s="24" t="str">
        <x:v>Symbolic inscription, materials, qi, and stored effects.</x:v>
      </x:c>
      <x:c r="M314" s="24" t="str">
        <x:v>Talismans function as technical consumables and ritual media.</x:v>
      </x:c>
      <x:c r="N314" s="24" t="str">
        <x:v>Inscribed spell-item specialist.</x:v>
      </x:c>
      <x:c r="O314" s="24" t="str">
        <x:v>Primary canon</x:v>
      </x:c>
      <x:c r="P314" s="24" t="str">
        <x:v>Secondary reference reviewed</x:v>
      </x:c>
      <x:c r="Q314" s="24" t="str">
        <x:v>Primary web-novel continuity; secondary orientation source.</x:v>
      </x:c>
      <x:c r="R314" s="84" t="str">
        <x:v>https://en.wikipedia.org/wiki/A_Record_of_a_Mortal's_Journey_to_Immortality</x:v>
      </x:c>
      <x:c r="S314" s="24" t="str">
        <x:v>Seeded</x:v>
      </x:c>
    </x:row>
    <x:row r="315" ht="52" customHeight="1">
      <x:c r="A315" s="24" t="str">
        <x:v>ENT-0314</x:v>
      </x:c>
      <x:c r="B315" s="24" t="str">
        <x:v>Spirit beasts</x:v>
      </x:c>
      <x:c r="C315" s="24" t="str">
        <x:v>SRC-077</x:v>
      </x:c>
      <x:c r="D315" s="24" t="str">
        <x:v>A Record of a Mortal's Journey to Immortality</x:v>
      </x:c>
      <x:c r="E315" s="24" t="str">
        <x:v>Web-novel continuity</x:v>
      </x:c>
      <x:c r="F315" s="24" t="str">
        <x:v>Magical creatures</x:v>
      </x:c>
      <x:c r="G315" s="24" t="str">
        <x:v>PPL-409</x:v>
      </x:c>
      <x:c r="H315" s="24" t="str">
        <x:f>IFERROR(VLOOKUP(G315,'Master Taxonomy'!$A$2:$B$1226,2,FALSE),"")</x:f>
        <x:v>Divine Beasts</x:v>
      </x:c>
      <x:c r="I315" s="24" t="str">
        <x:v>MEC-405</x:v>
      </x:c>
      <x:c r="J315" s="24" t="str">
        <x:v>Pet or Tamed Unit</x:v>
      </x:c>
      <x:c r="K315" s="24" t="str">
        <x:v>Beasts capable of cultivation, supernatural growth, contracts, or transformation.</x:v>
      </x:c>
      <x:c r="L315" s="24" t="str">
        <x:v>Innate lineage, cultivation, resources, and bonds.</x:v>
      </x:c>
      <x:c r="M315" s="24" t="str">
        <x:v>They may be persons, partners, resources, or threats depending on stage and context.</x:v>
      </x:c>
      <x:c r="N315" s="24" t="str">
        <x:v>Progressing magical beast archetype.</x:v>
      </x:c>
      <x:c r="O315" s="24" t="str">
        <x:v>Primary canon</x:v>
      </x:c>
      <x:c r="P315" s="24" t="str">
        <x:v>Secondary reference reviewed</x:v>
      </x:c>
      <x:c r="Q315" s="24" t="str">
        <x:v>Primary web-novel continuity; secondary orientation source.</x:v>
      </x:c>
      <x:c r="R315" s="84" t="str">
        <x:v>https://en.wikipedia.org/wiki/A_Record_of_a_Mortal's_Journey_to_Immortality</x:v>
      </x:c>
      <x:c r="S315" s="24" t="str">
        <x:v>Seeded</x:v>
      </x:c>
    </x:row>
    <x:row r="316" ht="52" customHeight="1">
      <x:c r="A316" s="24" t="str">
        <x:v>ENT-0315</x:v>
      </x:c>
      <x:c r="B316" s="24" t="str">
        <x:v>Cultivation breakthrough</x:v>
      </x:c>
      <x:c r="C316" s="24" t="str">
        <x:v>SRC-077</x:v>
      </x:c>
      <x:c r="D316" s="24" t="str">
        <x:v>A Record of a Mortal's Journey to Immortality</x:v>
      </x:c>
      <x:c r="E316" s="24" t="str">
        <x:v>Web-novel continuity</x:v>
      </x:c>
      <x:c r="F316" s="24" t="str">
        <x:v>Transformation/progression state</x:v>
      </x:c>
      <x:c r="G316" s="24" t="str">
        <x:v>STA-418</x:v>
      </x:c>
      <x:c r="H316" s="24" t="str">
        <x:f>IFERROR(VLOOKUP(G316,'Master Taxonomy'!$A$2:$B$1226,2,FALSE),"")</x:f>
        <x:v>Cultivation Breakthrough</x:v>
      </x:c>
      <x:c r="I316" s="24" t="str">
        <x:v>MEC-315</x:v>
      </x:c>
      <x:c r="J316" s="24" t="str">
        <x:v>Cultivation Realm System</x:v>
      </x:c>
      <x:c r="K316" s="24" t="str">
        <x:v>A threshold transition into a higher realm of capability and lifespan.</x:v>
      </x:c>
      <x:c r="L316" s="24" t="str">
        <x:v>Accumulated refinement, insight, resources, risk, and tribulation.</x:v>
      </x:c>
      <x:c r="M316" s="24" t="str">
        <x:v>Breakthroughs are qualitative ontological changes, not only numeric level-ups.</x:v>
      </x:c>
      <x:c r="N316" s="24" t="str">
        <x:v>Realm-transition progression beat.</x:v>
      </x:c>
      <x:c r="O316" s="24" t="str">
        <x:v>Primary canon</x:v>
      </x:c>
      <x:c r="P316" s="24" t="str">
        <x:v>Secondary reference reviewed</x:v>
      </x:c>
      <x:c r="Q316" s="24" t="str">
        <x:v>Primary web-novel continuity; secondary orientation source.</x:v>
      </x:c>
      <x:c r="R316" s="84" t="str">
        <x:v>https://en.wikipedia.org/wiki/A_Record_of_a_Mortal's_Journey_to_Immortality</x:v>
      </x:c>
      <x:c r="S316" s="24" t="str">
        <x:v>Seeded</x:v>
      </x:c>
    </x:row>
    <x:row r="317" ht="52" customHeight="1">
      <x:c r="A317" s="24" t="str">
        <x:v>ENT-0316</x:v>
      </x:c>
      <x:c r="B317" s="24" t="str">
        <x:v>Immortal / ascendant</x:v>
      </x:c>
      <x:c r="C317" s="24" t="str">
        <x:v>SRC-077</x:v>
      </x:c>
      <x:c r="D317" s="24" t="str">
        <x:v>A Record of a Mortal's Journey to Immortality</x:v>
      </x:c>
      <x:c r="E317" s="24" t="str">
        <x:v>Web-novel continuity</x:v>
      </x:c>
      <x:c r="F317" s="24" t="str">
        <x:v>Advanced progression state</x:v>
      </x:c>
      <x:c r="G317" s="24" t="str">
        <x:v>ROL-917</x:v>
      </x:c>
      <x:c r="H317" s="24" t="str">
        <x:f>IFERROR(VLOOKUP(G317,'Master Taxonomy'!$A$2:$B$1226,2,FALSE),"")</x:f>
        <x:v>Immortal and Ascendant</x:v>
      </x:c>
      <x:c r="I317" s="24" t="str"/>
      <x:c r="J317" s="24" t="str"/>
      <x:c r="K317" s="24" t="str">
        <x:v>A practitioner who attains radically extended life or higher-realm existence.</x:v>
      </x:c>
      <x:c r="L317" s="24" t="str">
        <x:v>Cultivation, transformation, cosmic law, and realm travel.</x:v>
      </x:c>
      <x:c r="M317" s="24" t="str">
        <x:v>Immortality is often conditional, graded, and still vulnerable.</x:v>
      </x:c>
      <x:c r="N317" s="24" t="str">
        <x:v>Post-mortal cultivation endpoint.</x:v>
      </x:c>
      <x:c r="O317" s="24" t="str">
        <x:v>Primary canon</x:v>
      </x:c>
      <x:c r="P317" s="24" t="str">
        <x:v>Secondary reference reviewed</x:v>
      </x:c>
      <x:c r="Q317" s="24" t="str">
        <x:v>Primary web-novel continuity; secondary orientation source.</x:v>
      </x:c>
      <x:c r="R317" s="84" t="str">
        <x:v>https://en.wikipedia.org/wiki/A_Record_of_a_Mortal's_Journey_to_Immortality</x:v>
      </x:c>
      <x:c r="S317" s="24" t="str">
        <x:v>Seeded</x:v>
      </x:c>
    </x:row>
  </x:sheetData>
  <x:conditionalFormatting sqref="P2:P317">
    <x:cfRule type="expression" dxfId="11" priority="1">
      <x:formula>$P2="Primary text reviewed"</x:formula>
    </x:cfRule>
    <x:cfRule type="expression" dxfId="12" priority="2">
      <x:formula>$P2="Official reference reviewed"</x:formula>
    </x:cfRule>
    <x:cfRule type="expression" dxfId="13" priority="3">
      <x:formula>$P2="Secondary reference reviewed"</x:formula>
    </x:cfRule>
    <x:cfRule type="expression" dxfId="14" priority="4">
      <x:formula>$P2="Orientation only"</x:formula>
    </x:cfRule>
    <x:cfRule type="expression" dxfId="15" priority="5">
      <x:formula>$P2="Needs verification"</x:formula>
    </x:cfRule>
  </x:conditionalFormatting>
  <x:conditionalFormatting sqref="S2:S317">
    <x:cfRule type="expression" dxfId="16" priority="6">
      <x:formula>$S2="Seeded"</x:formula>
    </x:cfRule>
    <x:cfRule type="expression" dxfId="17" priority="7">
      <x:formula>$S2="Verified"</x:formula>
    </x:cfRule>
  </x:conditionalFormatting>
  <x:dataValidations count="3">
    <x:dataValidation type="list" sqref="O2:O317">
      <x:formula1>"Primary canon,Multiple primary continuities,Official adaptation,Licensed secondary,Optional rules,Legacy edition,Apocryphal / disputed,Fan / unofficial"</x:formula1>
    </x:dataValidation>
    <x:dataValidation type="list" sqref="P2:P317">
      <x:formula1>"Primary text reviewed,Official reference reviewed,Secondary reference reviewed,Orientation only,Needs verification"</x:formula1>
    </x:dataValidation>
    <x:dataValidation type="list" sqref="S2:S317">
      <x:formula1>"Framework core,Seeded,Needs source review,Verified,Deprecated / merged"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098daa83aa48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2" hidden="0" customWidth="1"/>
    <x:col min="4" max="4" width="52" hidden="0" customWidth="1"/>
  </x:cols>
  <x:sheetData>
    <x:row r="1" ht="34" customHeight="1">
      <x:c r="A1" s="31" t="str">
        <x:v>Axis</x:v>
      </x:c>
      <x:c r="B1" s="31" t="str">
        <x:v>Value</x:v>
      </x:c>
      <x:c r="C1" s="31" t="str">
        <x:v>Definition</x:v>
      </x:c>
      <x:c r="D1" s="31" t="str">
        <x:v>Use</x:v>
      </x:c>
    </x:row>
    <x:row r="2" ht="38" customHeight="1">
      <x:c r="A2" s="24" t="str">
        <x:v>Record_Type</x:v>
      </x:c>
      <x:c r="B2" s="24" t="str">
        <x:v>Species / ancestry</x:v>
      </x:c>
      <x:c r="C2" s="24" t="str">
        <x:v>A heritable or naturally reproduced people or biological kind.</x:v>
      </x:c>
      <x:c r="D2" s="24" t="str">
        <x:v>Use the most source-faithful type; add other axes rather than forcing one label.</x:v>
      </x:c>
    </x:row>
    <x:row r="3" ht="38" customHeight="1">
      <x:c r="A3" s="24" t="str">
        <x:v>Record_Type</x:v>
      </x:c>
      <x:c r="B3" s="24" t="str">
        <x:v>Metaphysical kind</x:v>
      </x:c>
      <x:c r="C3" s="24" t="str">
        <x:v>A category defined primarily by cosmology, spiritual substance, or mode of existence.</x:v>
      </x:c>
      <x:c r="D3" s="24" t="str">
        <x:v>Use the most source-faithful type; add other axes rather than forcing one label.</x:v>
      </x:c>
    </x:row>
    <x:row r="4" ht="38" customHeight="1">
      <x:c r="A4" s="24" t="str">
        <x:v>Record_Type</x:v>
      </x:c>
      <x:c r="B4" s="24" t="str">
        <x:v>Culture / ethnicity</x:v>
      </x:c>
      <x:c r="C4" s="24" t="str">
        <x:v>A historically and socially constituted people; not assumed to be biologically distinct.</x:v>
      </x:c>
      <x:c r="D4" s="24" t="str">
        <x:v>Use the most source-faithful type; add other axes rather than forcing one label.</x:v>
      </x:c>
    </x:row>
    <x:row r="5" ht="38" customHeight="1">
      <x:c r="A5" s="24" t="str">
        <x:v>Record_Type</x:v>
      </x:c>
      <x:c r="B5" s="24" t="str">
        <x:v>Lineage / bloodline</x:v>
      </x:c>
      <x:c r="C5" s="24" t="str">
        <x:v>A descent group carrying inherited status, traits, or powers.</x:v>
      </x:c>
      <x:c r="D5" s="24" t="str">
        <x:v>Use the most source-faithful type; add other axes rather than forcing one label.</x:v>
      </x:c>
    </x:row>
    <x:row r="6" ht="38" customHeight="1">
      <x:c r="A6" s="24" t="str">
        <x:v>Record_Type</x:v>
      </x:c>
      <x:c r="B6" s="24" t="str">
        <x:v>Creature type</x:v>
      </x:c>
      <x:c r="C6" s="24" t="str">
        <x:v>A bestiary or rules grouping that may combine unrelated ontologies.</x:v>
      </x:c>
      <x:c r="D6" s="24" t="str">
        <x:v>Use the most source-faithful type; add other axes rather than forcing one label.</x:v>
      </x:c>
    </x:row>
    <x:row r="7" ht="38" customHeight="1">
      <x:c r="A7" s="24" t="str">
        <x:v>Record_Type</x:v>
      </x:c>
      <x:c r="B7" s="24" t="str">
        <x:v>Profession</x:v>
      </x:c>
      <x:c r="C7" s="24" t="str">
        <x:v>Work performed through training, employment, or livelihood.</x:v>
      </x:c>
      <x:c r="D7" s="24" t="str">
        <x:v>Use the most source-faithful type; add other axes rather than forcing one label.</x:v>
      </x:c>
    </x:row>
    <x:row r="8" ht="38" customHeight="1">
      <x:c r="A8" s="24" t="str">
        <x:v>Record_Type</x:v>
      </x:c>
      <x:c r="B8" s="24" t="str">
        <x:v>Game class</x:v>
      </x:c>
      <x:c r="C8" s="24" t="str">
        <x:v>A formal rules package governing progression and abilities.</x:v>
      </x:c>
      <x:c r="D8" s="24" t="str">
        <x:v>Use the most source-faithful type; add other axes rather than forcing one label.</x:v>
      </x:c>
    </x:row>
    <x:row r="9" ht="38" customHeight="1">
      <x:c r="A9" s="24" t="str">
        <x:v>Record_Type</x:v>
      </x:c>
      <x:c r="B9" s="24" t="str">
        <x:v>Subclass / specialization</x:v>
      </x:c>
      <x:c r="C9" s="24" t="str">
        <x:v>A narrower branch within a class, job, school, or build.</x:v>
      </x:c>
      <x:c r="D9" s="24" t="str">
        <x:v>Use the most source-faithful type; add other axes rather than forcing one label.</x:v>
      </x:c>
    </x:row>
    <x:row r="10" ht="38" customHeight="1">
      <x:c r="A10" s="24" t="str">
        <x:v>Record_Type</x:v>
      </x:c>
      <x:c r="B10" s="24" t="str">
        <x:v>Job</x:v>
      </x:c>
      <x:c r="C10" s="24" t="str">
        <x:v>A changeable or unlockable game role, especially in job-system games.</x:v>
      </x:c>
      <x:c r="D10" s="24" t="str">
        <x:v>Use the most source-faithful type; add other axes rather than forcing one label.</x:v>
      </x:c>
    </x:row>
    <x:row r="11" ht="38" customHeight="1">
      <x:c r="A11" s="24" t="str">
        <x:v>Record_Type</x:v>
      </x:c>
      <x:c r="B11" s="24" t="str">
        <x:v>Social office</x:v>
      </x:c>
      <x:c r="C11" s="24" t="str">
        <x:v>A recognized title or position within a society or institution.</x:v>
      </x:c>
      <x:c r="D11" s="24" t="str">
        <x:v>Use the most source-faithful type; add other axes rather than forcing one label.</x:v>
      </x:c>
    </x:row>
    <x:row r="12" ht="38" customHeight="1">
      <x:c r="A12" s="24" t="str">
        <x:v>Record_Type</x:v>
      </x:c>
      <x:c r="B12" s="24" t="str">
        <x:v>Religious office</x:v>
      </x:c>
      <x:c r="C12" s="24" t="str">
        <x:v>An ordained, initiated, or ritually recognized sacred position.</x:v>
      </x:c>
      <x:c r="D12" s="24" t="str">
        <x:v>Use the most source-faithful type; add other axes rather than forcing one label.</x:v>
      </x:c>
    </x:row>
    <x:row r="13" ht="38" customHeight="1">
      <x:c r="A13" s="24" t="str">
        <x:v>Record_Type</x:v>
      </x:c>
      <x:c r="B13" s="24" t="str">
        <x:v>Institution</x:v>
      </x:c>
      <x:c r="C13" s="24" t="str">
        <x:v>An order, guild, school, faction, caste, company, or organization.</x:v>
      </x:c>
      <x:c r="D13" s="24" t="str">
        <x:v>Use the most source-faithful type; add other axes rather than forcing one label.</x:v>
      </x:c>
    </x:row>
    <x:row r="14" ht="38" customHeight="1">
      <x:c r="A14" s="24" t="str">
        <x:v>Record_Type</x:v>
      </x:c>
      <x:c r="B14" s="24" t="str">
        <x:v>Condition / template</x:v>
      </x:c>
      <x:c r="C14" s="24" t="str">
        <x:v>An acquired state layered onto an existing being, such as vampirism or possession.</x:v>
      </x:c>
      <x:c r="D14" s="24" t="str">
        <x:v>Use the most source-faithful type; add other axes rather than forcing one label.</x:v>
      </x:c>
    </x:row>
    <x:row r="15" ht="38" customHeight="1">
      <x:c r="A15" s="24" t="str">
        <x:v>Record_Type</x:v>
      </x:c>
      <x:c r="B15" s="24" t="str">
        <x:v>Power tradition</x:v>
      </x:c>
      <x:c r="C15" s="24" t="str">
        <x:v>A coherent source, method, domain, or theory of supernatural capability.</x:v>
      </x:c>
      <x:c r="D15" s="24" t="str">
        <x:v>Use the most source-faithful type; add other axes rather than forcing one label.</x:v>
      </x:c>
    </x:row>
    <x:row r="16" ht="38" customHeight="1">
      <x:c r="A16" s="24" t="str">
        <x:v>Record_Type</x:v>
      </x:c>
      <x:c r="B16" s="24" t="str">
        <x:v>Narrative archetype</x:v>
      </x:c>
      <x:c r="C16" s="24" t="str">
        <x:v>A recurring story function rather than an in-world biological or occupational identity.</x:v>
      </x:c>
      <x:c r="D16" s="24" t="str">
        <x:v>Use the most source-faithful type; add other axes rather than forcing one label.</x:v>
      </x:c>
    </x:row>
    <x:row r="17" ht="38" customHeight="1">
      <x:c r="A17" s="24" t="str">
        <x:v>Record_Type</x:v>
      </x:c>
      <x:c r="B17" s="24" t="str">
        <x:v>Mechanical role</x:v>
      </x:c>
      <x:c r="C17" s="24" t="str">
        <x:v>A functional gameplay role such as tank, healer, controller, or striker.</x:v>
      </x:c>
      <x:c r="D17" s="24" t="str">
        <x:v>Use the most source-faithful type; add other axes rather than forcing one label.</x:v>
      </x:c>
    </x:row>
    <x:row r="18" ht="38" customHeight="1">
      <x:c r="A18" s="24" t="str">
        <x:v>Ontology_Origin</x:v>
      </x:c>
      <x:c r="B18" s="24" t="str">
        <x:v>Natural born</x:v>
      </x:c>
      <x:c r="C18" s="24" t="str">
        <x:v>Exists through ordinary reproduction within the source setting.</x:v>
      </x:c>
      <x:c r="D18" s="24" t="str">
        <x:v>Record source claims and uncertainty rather than resolving disputed lore by analogy.</x:v>
      </x:c>
    </x:row>
    <x:row r="19" ht="38" customHeight="1">
      <x:c r="A19" s="24" t="str">
        <x:v>Ontology_Origin</x:v>
      </x:c>
      <x:c r="B19" s="24" t="str">
        <x:v>Divine creation</x:v>
      </x:c>
      <x:c r="C19" s="24" t="str">
        <x:v>Created directly by a deity or divine order.</x:v>
      </x:c>
      <x:c r="D19" s="24" t="str">
        <x:v>Record source claims and uncertainty rather than resolving disputed lore by analogy.</x:v>
      </x:c>
    </x:row>
    <x:row r="20" ht="38" customHeight="1">
      <x:c r="A20" s="24" t="str">
        <x:v>Ontology_Origin</x:v>
      </x:c>
      <x:c r="B20" s="24" t="str">
        <x:v>Artificial construction</x:v>
      </x:c>
      <x:c r="C20" s="24" t="str">
        <x:v>Built, manufactured, or deliberately assembled.</x:v>
      </x:c>
      <x:c r="D20" s="24" t="str">
        <x:v>Record source claims and uncertainty rather than resolving disputed lore by analogy.</x:v>
      </x:c>
    </x:row>
    <x:row r="21" ht="38" customHeight="1">
      <x:c r="A21" s="24" t="str">
        <x:v>Ontology_Origin</x:v>
      </x:c>
      <x:c r="B21" s="24" t="str">
        <x:v>Engineered life</x:v>
      </x:c>
      <x:c r="C21" s="24" t="str">
        <x:v>Biologically or magically designed as a living kind.</x:v>
      </x:c>
      <x:c r="D21" s="24" t="str">
        <x:v>Record source claims and uncertainty rather than resolving disputed lore by analogy.</x:v>
      </x:c>
    </x:row>
    <x:row r="22" ht="38" customHeight="1">
      <x:c r="A22" s="24" t="str">
        <x:v>Ontology_Origin</x:v>
      </x:c>
      <x:c r="B22" s="24" t="str">
        <x:v>Transformed</x:v>
      </x:c>
      <x:c r="C22" s="24" t="str">
        <x:v>Originates as another kind and changes state or ontology.</x:v>
      </x:c>
      <x:c r="D22" s="24" t="str">
        <x:v>Record source claims and uncertainty rather than resolving disputed lore by analogy.</x:v>
      </x:c>
    </x:row>
    <x:row r="23" ht="38" customHeight="1">
      <x:c r="A23" s="24" t="str">
        <x:v>Ontology_Origin</x:v>
      </x:c>
      <x:c r="B23" s="24" t="str">
        <x:v>Undead</x:v>
      </x:c>
      <x:c r="C23" s="24" t="str">
        <x:v>Exists after death through supernatural continuation, animation, or return.</x:v>
      </x:c>
      <x:c r="D23" s="24" t="str">
        <x:v>Record source claims and uncertainty rather than resolving disputed lore by analogy.</x:v>
      </x:c>
    </x:row>
    <x:row r="24" ht="38" customHeight="1">
      <x:c r="A24" s="24" t="str">
        <x:v>Ontology_Origin</x:v>
      </x:c>
      <x:c r="B24" s="24" t="str">
        <x:v>Summoned</x:v>
      </x:c>
      <x:c r="C24" s="24" t="str">
        <x:v>Called from elsewhere or instantiated by another agent.</x:v>
      </x:c>
      <x:c r="D24" s="24" t="str">
        <x:v>Record source claims and uncertainty rather than resolving disputed lore by analogy.</x:v>
      </x:c>
    </x:row>
    <x:row r="25" ht="38" customHeight="1">
      <x:c r="A25" s="24" t="str">
        <x:v>Ontology_Origin</x:v>
      </x:c>
      <x:c r="B25" s="24" t="str">
        <x:v>Manifested</x:v>
      </x:c>
      <x:c r="C25" s="24" t="str">
        <x:v>Embodies a force, concept, emotion, place, or metaphysical principle.</x:v>
      </x:c>
      <x:c r="D25" s="24" t="str">
        <x:v>Record source claims and uncertainty rather than resolving disputed lore by analogy.</x:v>
      </x:c>
    </x:row>
    <x:row r="26" ht="38" customHeight="1">
      <x:c r="A26" s="24" t="str">
        <x:v>Ontology_Origin</x:v>
      </x:c>
      <x:c r="B26" s="24" t="str">
        <x:v>Hybrid</x:v>
      </x:c>
      <x:c r="C26" s="24" t="str">
        <x:v>Combines multiple ancestries, species, bodies, or ontological sources.</x:v>
      </x:c>
      <x:c r="D26" s="24" t="str">
        <x:v>Record source claims and uncertainty rather than resolving disputed lore by analogy.</x:v>
      </x:c>
    </x:row>
    <x:row r="27" ht="38" customHeight="1">
      <x:c r="A27" s="24" t="str">
        <x:v>Ontology_Origin</x:v>
      </x:c>
      <x:c r="B27" s="24" t="str">
        <x:v>Unknown / disputed</x:v>
      </x:c>
      <x:c r="C27" s="24" t="str">
        <x:v>The source withholds, contradicts, or revises the origin.</x:v>
      </x:c>
      <x:c r="D27" s="24" t="str">
        <x:v>Record source claims and uncertainty rather than resolving disputed lore by analogy.</x:v>
      </x:c>
    </x:row>
    <x:row r="28" ht="38" customHeight="1">
      <x:c r="A28" s="24" t="str">
        <x:v>Embodiment</x:v>
      </x:c>
      <x:c r="B28" s="24" t="str">
        <x:v>Corporeal</x:v>
      </x:c>
      <x:c r="C28" s="24" t="str">
        <x:v>Normally embodied in a material body.</x:v>
      </x:c>
      <x:c r="D28" s="24" t="str">
        <x:v>Use as a separate axis from species or moral alignment.</x:v>
      </x:c>
    </x:row>
    <x:row r="29" ht="38" customHeight="1">
      <x:c r="A29" s="24" t="str">
        <x:v>Embodiment</x:v>
      </x:c>
      <x:c r="B29" s="24" t="str">
        <x:v>Incorporeal</x:v>
      </x:c>
      <x:c r="C29" s="24" t="str">
        <x:v>Normally exists without a conventional material body.</x:v>
      </x:c>
      <x:c r="D29" s="24" t="str">
        <x:v>Use as a separate axis from species or moral alignment.</x:v>
      </x:c>
    </x:row>
    <x:row r="30" ht="38" customHeight="1">
      <x:c r="A30" s="24" t="str">
        <x:v>Embodiment</x:v>
      </x:c>
      <x:c r="B30" s="24" t="str">
        <x:v>Variable</x:v>
      </x:c>
      <x:c r="C30" s="24" t="str">
        <x:v>Can shift between corporeal and incorporeal or among body forms.</x:v>
      </x:c>
      <x:c r="D30" s="24" t="str">
        <x:v>Use as a separate axis from species or moral alignment.</x:v>
      </x:c>
    </x:row>
    <x:row r="31" ht="38" customHeight="1">
      <x:c r="A31" s="24" t="str">
        <x:v>Embodiment</x:v>
      </x:c>
      <x:c r="B31" s="24" t="str">
        <x:v>Distributed</x:v>
      </x:c>
      <x:c r="C31" s="24" t="str">
        <x:v>Identity or agency is spread across a network, swarm, landscape, or multiple bodies.</x:v>
      </x:c>
      <x:c r="D31" s="24" t="str">
        <x:v>Use as a separate axis from species or moral alignment.</x:v>
      </x:c>
    </x:row>
    <x:row r="32" ht="38" customHeight="1">
      <x:c r="A32" s="24" t="str">
        <x:v>Embodiment</x:v>
      </x:c>
      <x:c r="B32" s="24" t="str">
        <x:v>Object-bound</x:v>
      </x:c>
      <x:c r="C32" s="24" t="str">
        <x:v>Existence or agency depends on a specific artifact or vessel.</x:v>
      </x:c>
      <x:c r="D32" s="24" t="str">
        <x:v>Use as a separate axis from species or moral alignment.</x:v>
      </x:c>
    </x:row>
    <x:row r="33" ht="38" customHeight="1">
      <x:c r="A33" s="24" t="str">
        <x:v>Embodiment</x:v>
      </x:c>
      <x:c r="B33" s="24" t="str">
        <x:v>Place-bound</x:v>
      </x:c>
      <x:c r="C33" s="24" t="str">
        <x:v>Existence or agency depends on a location, territory, tree, tomb, or domain.</x:v>
      </x:c>
      <x:c r="D33" s="24" t="str">
        <x:v>Use as a separate axis from species or moral alignment.</x:v>
      </x:c>
    </x:row>
    <x:row r="34" ht="38" customHeight="1">
      <x:c r="A34" s="24" t="str">
        <x:v>Mortality</x:v>
      </x:c>
      <x:c r="B34" s="24" t="str">
        <x:v>Ordinary mortal</x:v>
      </x:c>
      <x:c r="C34" s="24" t="str">
        <x:v>Ages and dies on a setting-normal mortal scale.</x:v>
      </x:c>
      <x:c r="D34" s="24" t="str">
        <x:v>Separate lifespan from invulnerability, resurrection, and spiritual persistence.</x:v>
      </x:c>
    </x:row>
    <x:row r="35" ht="38" customHeight="1">
      <x:c r="A35" s="24" t="str">
        <x:v>Mortality</x:v>
      </x:c>
      <x:c r="B35" s="24" t="str">
        <x:v>Long-lived</x:v>
      </x:c>
      <x:c r="C35" s="24" t="str">
        <x:v>Ages much more slowly than the setting's ordinary humans.</x:v>
      </x:c>
      <x:c r="D35" s="24" t="str">
        <x:v>Separate lifespan from invulnerability, resurrection, and spiritual persistence.</x:v>
      </x:c>
    </x:row>
    <x:row r="36" ht="38" customHeight="1">
      <x:c r="A36" s="24" t="str">
        <x:v>Mortality</x:v>
      </x:c>
      <x:c r="B36" s="24" t="str">
        <x:v>Ageless</x:v>
      </x:c>
      <x:c r="C36" s="24" t="str">
        <x:v>Does not naturally age but may be killed.</x:v>
      </x:c>
      <x:c r="D36" s="24" t="str">
        <x:v>Separate lifespan from invulnerability, resurrection, and spiritual persistence.</x:v>
      </x:c>
    </x:row>
    <x:row r="37" ht="38" customHeight="1">
      <x:c r="A37" s="24" t="str">
        <x:v>Mortality</x:v>
      </x:c>
      <x:c r="B37" s="24" t="str">
        <x:v>Functionally immortal</x:v>
      </x:c>
      <x:c r="C37" s="24" t="str">
        <x:v>Persists indefinitely unless special conditions are met.</x:v>
      </x:c>
      <x:c r="D37" s="24" t="str">
        <x:v>Separate lifespan from invulnerability, resurrection, and spiritual persistence.</x:v>
      </x:c>
    </x:row>
    <x:row r="38" ht="38" customHeight="1">
      <x:c r="A38" s="24" t="str">
        <x:v>Mortality</x:v>
      </x:c>
      <x:c r="B38" s="24" t="str">
        <x:v>Cyclical</x:v>
      </x:c>
      <x:c r="C38" s="24" t="str">
        <x:v>Dies and returns through reincarnation, seasonal, or cosmic cycles.</x:v>
      </x:c>
      <x:c r="D38" s="24" t="str">
        <x:v>Separate lifespan from invulnerability, resurrection, and spiritual persistence.</x:v>
      </x:c>
    </x:row>
    <x:row r="39" ht="38" customHeight="1">
      <x:c r="A39" s="24" t="str">
        <x:v>Mortality</x:v>
      </x:c>
      <x:c r="B39" s="24" t="str">
        <x:v>Conditionally immortal</x:v>
      </x:c>
      <x:c r="C39" s="24" t="str">
        <x:v>Immortality depends on an artifact, realm, body replacement, feeding, or other condition.</x:v>
      </x:c>
      <x:c r="D39" s="24" t="str">
        <x:v>Separate lifespan from invulnerability, resurrection, and spiritual persistence.</x:v>
      </x:c>
    </x:row>
    <x:row r="40" ht="38" customHeight="1">
      <x:c r="A40" s="24" t="str">
        <x:v>Mortality</x:v>
      </x:c>
      <x:c r="B40" s="24" t="str">
        <x:v>Unknown / disputed</x:v>
      </x:c>
      <x:c r="C40" s="24" t="str">
        <x:v>The source does not establish a stable answer.</x:v>
      </x:c>
      <x:c r="D40" s="24" t="str">
        <x:v>Separate lifespan from invulnerability, resurrection, and spiritual persistence.</x:v>
      </x:c>
    </x:row>
    <x:row r="41" ht="38" customHeight="1">
      <x:c r="A41" s="24" t="str">
        <x:v>Power_Source</x:v>
      </x:c>
      <x:c r="B41" s="24" t="str">
        <x:v>Learned</x:v>
      </x:c>
      <x:c r="C41" s="24" t="str">
        <x:v>Acquired through education, practice, research, or apprenticeship.</x:v>
      </x:c>
      <x:c r="D41" s="24" t="str">
        <x:v>Multiple values may apply; distinguish the stated source from the visible effect.</x:v>
      </x:c>
    </x:row>
    <x:row r="42" ht="38" customHeight="1">
      <x:c r="A42" s="24" t="str">
        <x:v>Power_Source</x:v>
      </x:c>
      <x:c r="B42" s="24" t="str">
        <x:v>Innate</x:v>
      </x:c>
      <x:c r="C42" s="24" t="str">
        <x:v>Arises from natural or metaphysical constitution.</x:v>
      </x:c>
      <x:c r="D42" s="24" t="str">
        <x:v>Multiple values may apply; distinguish the stated source from the visible effect.</x:v>
      </x:c>
    </x:row>
    <x:row r="43" ht="38" customHeight="1">
      <x:c r="A43" s="24" t="str">
        <x:v>Power_Source</x:v>
      </x:c>
      <x:c r="B43" s="24" t="str">
        <x:v>Divine</x:v>
      </x:c>
      <x:c r="C43" s="24" t="str">
        <x:v>Granted, mediated, or sustained by a deity or sacred force.</x:v>
      </x:c>
      <x:c r="D43" s="24" t="str">
        <x:v>Multiple values may apply; distinguish the stated source from the visible effect.</x:v>
      </x:c>
    </x:row>
    <x:row r="44" ht="38" customHeight="1">
      <x:c r="A44" s="24" t="str">
        <x:v>Power_Source</x:v>
      </x:c>
      <x:c r="B44" s="24" t="str">
        <x:v>Pact / contract</x:v>
      </x:c>
      <x:c r="C44" s="24" t="str">
        <x:v>Received through an agreement, bargain, oath, or patron relationship.</x:v>
      </x:c>
      <x:c r="D44" s="24" t="str">
        <x:v>Multiple values may apply; distinguish the stated source from the visible effect.</x:v>
      </x:c>
    </x:row>
    <x:row r="45" ht="38" customHeight="1">
      <x:c r="A45" s="24" t="str">
        <x:v>Power_Source</x:v>
      </x:c>
      <x:c r="B45" s="24" t="str">
        <x:v>Spirit-mediated</x:v>
      </x:c>
      <x:c r="C45" s="24" t="str">
        <x:v>Depends on relationships with spirits, ancestors, or local beings.</x:v>
      </x:c>
      <x:c r="D45" s="24" t="str">
        <x:v>Multiple values may apply; distinguish the stated source from the visible effect.</x:v>
      </x:c>
    </x:row>
    <x:row r="46" ht="38" customHeight="1">
      <x:c r="A46" s="24" t="str">
        <x:v>Power_Source</x:v>
      </x:c>
      <x:c r="B46" s="24" t="str">
        <x:v>Nature-mediated</x:v>
      </x:c>
      <x:c r="C46" s="24" t="str">
        <x:v>Draws on ecosystems, land, seasons, animals, or living networks.</x:v>
      </x:c>
      <x:c r="D46" s="24" t="str">
        <x:v>Multiple values may apply; distinguish the stated source from the visible effect.</x:v>
      </x:c>
    </x:row>
    <x:row r="47" ht="38" customHeight="1">
      <x:c r="A47" s="24" t="str">
        <x:v>Power_Source</x:v>
      </x:c>
      <x:c r="B47" s="24" t="str">
        <x:v>Elemental</x:v>
      </x:c>
      <x:c r="C47" s="24" t="str">
        <x:v>Draws on fire, water, air, earth, lightning, ice, or analogous domains.</x:v>
      </x:c>
      <x:c r="D47" s="24" t="str">
        <x:v>Multiple values may apply; distinguish the stated source from the visible effect.</x:v>
      </x:c>
    </x:row>
    <x:row r="48" ht="38" customHeight="1">
      <x:c r="A48" s="24" t="str">
        <x:v>Power_Source</x:v>
      </x:c>
      <x:c r="B48" s="24" t="str">
        <x:v>Bloodline</x:v>
      </x:c>
      <x:c r="C48" s="24" t="str">
        <x:v>Inherited through descent, lineage, or dynastic transmission.</x:v>
      </x:c>
      <x:c r="D48" s="24" t="str">
        <x:v>Multiple values may apply; distinguish the stated source from the visible effect.</x:v>
      </x:c>
    </x:row>
    <x:row r="49" ht="38" customHeight="1">
      <x:c r="A49" s="24" t="str">
        <x:v>Power_Source</x:v>
      </x:c>
      <x:c r="B49" s="24" t="str">
        <x:v>Artifact</x:v>
      </x:c>
      <x:c r="C49" s="24" t="str">
        <x:v>Depends on a weapon, relic, book, ring, suit, crystal, or other object.</x:v>
      </x:c>
      <x:c r="D49" s="24" t="str">
        <x:v>Multiple values may apply; distinguish the stated source from the visible effect.</x:v>
      </x:c>
    </x:row>
    <x:row r="50" ht="38" customHeight="1">
      <x:c r="A50" s="24" t="str">
        <x:v>Power_Source</x:v>
      </x:c>
      <x:c r="B50" s="24" t="str">
        <x:v>Alchemy</x:v>
      </x:c>
      <x:c r="C50" s="24" t="str">
        <x:v>Produced through recipes, reagents, transmutation, potions, or technical refinement.</x:v>
      </x:c>
      <x:c r="D50" s="24" t="str">
        <x:v>Multiple values may apply; distinguish the stated source from the visible effect.</x:v>
      </x:c>
    </x:row>
    <x:row r="51" ht="38" customHeight="1">
      <x:c r="A51" s="24" t="str">
        <x:v>Power_Source</x:v>
      </x:c>
      <x:c r="B51" s="24" t="str">
        <x:v>Technology / magitech</x:v>
      </x:c>
      <x:c r="C51" s="24" t="str">
        <x:v>Produced through engineered devices or integrated magic-technology systems.</x:v>
      </x:c>
      <x:c r="D51" s="24" t="str">
        <x:v>Multiple values may apply; distinguish the stated source from the visible effect.</x:v>
      </x:c>
    </x:row>
    <x:row r="52" ht="38" customHeight="1">
      <x:c r="A52" s="24" t="str">
        <x:v>Power_Source</x:v>
      </x:c>
      <x:c r="B52" s="24" t="str">
        <x:v>Psychic</x:v>
      </x:c>
      <x:c r="C52" s="24" t="str">
        <x:v>Arises from mind, will, emotion, dream, or extrasensory ability.</x:v>
      </x:c>
      <x:c r="D52" s="24" t="str">
        <x:v>Multiple values may apply; distinguish the stated source from the visible effect.</x:v>
      </x:c>
    </x:row>
    <x:row r="53" ht="38" customHeight="1">
      <x:c r="A53" s="24" t="str">
        <x:v>Power_Source</x:v>
      </x:c>
      <x:c r="B53" s="24" t="str">
        <x:v>Cultivation</x:v>
      </x:c>
      <x:c r="C53" s="24" t="str">
        <x:v>Built through internal refinement, realms, qi, comprehension, or breakthrough.</x:v>
      </x:c>
      <x:c r="D53" s="24" t="str">
        <x:v>Multiple values may apply; distinguish the stated source from the visible effect.</x:v>
      </x:c>
    </x:row>
    <x:row r="54" ht="38" customHeight="1">
      <x:c r="A54" s="24" t="str">
        <x:v>Power_Source</x:v>
      </x:c>
      <x:c r="B54" s="24" t="str">
        <x:v>Corruption</x:v>
      </x:c>
      <x:c r="C54" s="24" t="str">
        <x:v>Obtained through hazardous contamination, forbidden influence, or transformation.</x:v>
      </x:c>
      <x:c r="D54" s="24" t="str">
        <x:v>Multiple values may apply; distinguish the stated source from the visible effect.</x:v>
      </x:c>
    </x:row>
    <x:row r="55" ht="38" customHeight="1">
      <x:c r="A55" s="24" t="str">
        <x:v>Power_Source</x:v>
      </x:c>
      <x:c r="B55" s="24" t="str">
        <x:v>Sacrifice</x:v>
      </x:c>
      <x:c r="C55" s="24" t="str">
        <x:v>Requires life, memory, pain, years, identity, or comparable irreversible cost.</x:v>
      </x:c>
      <x:c r="D55" s="24" t="str">
        <x:v>Multiple values may apply; distinguish the stated source from the visible effect.</x:v>
      </x:c>
    </x:row>
    <x:row r="56" ht="38" customHeight="1">
      <x:c r="A56" s="24" t="str">
        <x:v>Comparison_Relation</x:v>
      </x:c>
      <x:c r="B56" s="24" t="str">
        <x:v>Canonical alias</x:v>
      </x:c>
      <x:c r="C56" s="24" t="str">
        <x:v>Two names refer to the same source entity or concept.</x:v>
      </x:c>
      <x:c r="D56" s="24" t="str">
        <x:v>Prefer a precise relation over an unqualified 'same as' statement.</x:v>
      </x:c>
    </x:row>
    <x:row r="57" ht="38" customHeight="1">
      <x:c r="A57" s="24" t="str">
        <x:v>Comparison_Relation</x:v>
      </x:c>
      <x:c r="B57" s="24" t="str">
        <x:v>Exact equivalent</x:v>
      </x:c>
      <x:c r="C57" s="24" t="str">
        <x:v>Concepts match across all compared dimensions; use very rarely.</x:v>
      </x:c>
      <x:c r="D57" s="24" t="str">
        <x:v>Prefer a precise relation over an unqualified 'same as' statement.</x:v>
      </x:c>
    </x:row>
    <x:row r="58" ht="38" customHeight="1">
      <x:c r="A58" s="24" t="str">
        <x:v>Comparison_Relation</x:v>
      </x:c>
      <x:c r="B58" s="24" t="str">
        <x:v>Subtype-of</x:v>
      </x:c>
      <x:c r="C58" s="24" t="str">
        <x:v>The subject is a narrower kind within the object.</x:v>
      </x:c>
      <x:c r="D58" s="24" t="str">
        <x:v>Prefer a precise relation over an unqualified 'same as' statement.</x:v>
      </x:c>
    </x:row>
    <x:row r="59" ht="38" customHeight="1">
      <x:c r="A59" s="24" t="str">
        <x:v>Comparison_Relation</x:v>
      </x:c>
      <x:c r="B59" s="24" t="str">
        <x:v>Member-of</x:v>
      </x:c>
      <x:c r="C59" s="24" t="str">
        <x:v>The subject belongs to an institution, people, faction, or set.</x:v>
      </x:c>
      <x:c r="D59" s="24" t="str">
        <x:v>Prefer a precise relation over an unqualified 'same as' statement.</x:v>
      </x:c>
    </x:row>
    <x:row r="60" ht="38" customHeight="1">
      <x:c r="A60" s="24" t="str">
        <x:v>Comparison_Relation</x:v>
      </x:c>
      <x:c r="B60" s="24" t="str">
        <x:v>Version-of</x:v>
      </x:c>
      <x:c r="C60" s="24" t="str">
        <x:v>The subject is another edition, adaptation, incarnation, or rules version.</x:v>
      </x:c>
      <x:c r="D60" s="24" t="str">
        <x:v>Prefer a precise relation over an unqualified 'same as' statement.</x:v>
      </x:c>
    </x:row>
    <x:row r="61" ht="38" customHeight="1">
      <x:c r="A61" s="24" t="str">
        <x:v>Comparison_Relation</x:v>
      </x:c>
      <x:c r="B61" s="24" t="str">
        <x:v>Adaptation-of</x:v>
      </x:c>
      <x:c r="C61" s="24" t="str">
        <x:v>The subject deliberately adapts the object into another medium or continuity.</x:v>
      </x:c>
      <x:c r="D61" s="24" t="str">
        <x:v>Prefer a precise relation over an unqualified 'same as' statement.</x:v>
      </x:c>
    </x:row>
    <x:row r="62" ht="38" customHeight="1">
      <x:c r="A62" s="24" t="str">
        <x:v>Comparison_Relation</x:v>
      </x:c>
      <x:c r="B62" s="24" t="str">
        <x:v>Inspired-by</x:v>
      </x:c>
      <x:c r="C62" s="24" t="str">
        <x:v>Documented or strongly evidenced creative influence.</x:v>
      </x:c>
      <x:c r="D62" s="24" t="str">
        <x:v>Prefer a precise relation over an unqualified 'same as' statement.</x:v>
      </x:c>
    </x:row>
    <x:row r="63" ht="38" customHeight="1">
      <x:c r="A63" s="24" t="str">
        <x:v>Comparison_Relation</x:v>
      </x:c>
      <x:c r="B63" s="24" t="str">
        <x:v>Close analogue</x:v>
      </x:c>
      <x:c r="C63" s="24" t="str">
        <x:v>High similarity across ontology, function, and narrative use, with meaningful differences.</x:v>
      </x:c>
      <x:c r="D63" s="24" t="str">
        <x:v>Prefer a precise relation over an unqualified 'same as' statement.</x:v>
      </x:c>
    </x:row>
    <x:row r="64" ht="38" customHeight="1">
      <x:c r="A64" s="24" t="str">
        <x:v>Comparison_Relation</x:v>
      </x:c>
      <x:c r="B64" s="24" t="str">
        <x:v>Partial analogue</x:v>
      </x:c>
      <x:c r="C64" s="24" t="str">
        <x:v>Similarity on only some axes.</x:v>
      </x:c>
      <x:c r="D64" s="24" t="str">
        <x:v>Prefer a precise relation over an unqualified 'same as' statement.</x:v>
      </x:c>
    </x:row>
    <x:row r="65" ht="38" customHeight="1">
      <x:c r="A65" s="24" t="str">
        <x:v>Comparison_Relation</x:v>
      </x:c>
      <x:c r="B65" s="24" t="str">
        <x:v>Functional analogue</x:v>
      </x:c>
      <x:c r="C65" s="24" t="str">
        <x:v>Performs a similar in-world or narrative function despite different ontology.</x:v>
      </x:c>
      <x:c r="D65" s="24" t="str">
        <x:v>Prefer a precise relation over an unqualified 'same as' statement.</x:v>
      </x:c>
    </x:row>
    <x:row r="66" ht="38" customHeight="1">
      <x:c r="A66" s="24" t="str">
        <x:v>Comparison_Relation</x:v>
      </x:c>
      <x:c r="B66" s="24" t="str">
        <x:v>Mechanical analogue</x:v>
      </x:c>
      <x:c r="C66" s="24" t="str">
        <x:v>Occupies a similar gameplay role or progression function.</x:v>
      </x:c>
      <x:c r="D66" s="24" t="str">
        <x:v>Prefer a precise relation over an unqualified 'same as' statement.</x:v>
      </x:c>
    </x:row>
    <x:row r="67" ht="38" customHeight="1">
      <x:c r="A67" s="24" t="str">
        <x:v>Comparison_Relation</x:v>
      </x:c>
      <x:c r="B67" s="24" t="str">
        <x:v>Visual analogue</x:v>
      </x:c>
      <x:c r="C67" s="24" t="str">
        <x:v>Looks similar but may differ substantially in ontology and function.</x:v>
      </x:c>
      <x:c r="D67" s="24" t="str">
        <x:v>Prefer a precise relation over an unqualified 'same as' statement.</x:v>
      </x:c>
    </x:row>
    <x:row r="68" ht="38" customHeight="1">
      <x:c r="A68" s="24" t="str">
        <x:v>Comparison_Relation</x:v>
      </x:c>
      <x:c r="B68" s="24" t="str">
        <x:v>Inversion</x:v>
      </x:c>
      <x:c r="C68" s="24" t="str">
        <x:v>Deliberately reverses or critiques a familiar archetype.</x:v>
      </x:c>
      <x:c r="D68" s="24" t="str">
        <x:v>Prefer a precise relation over an unqualified 'same as' statement.</x:v>
      </x:c>
    </x:row>
    <x:row r="69" ht="38" customHeight="1">
      <x:c r="A69" s="24" t="str">
        <x:v>Comparison_Relation</x:v>
      </x:c>
      <x:c r="B69" s="24" t="str">
        <x:v>Hybrid-of</x:v>
      </x:c>
      <x:c r="C69" s="24" t="str">
        <x:v>Combines two or more normalized families.</x:v>
      </x:c>
      <x:c r="D69" s="24" t="str">
        <x:v>Prefer a precise relation over an unqualified 'same as' statement.</x:v>
      </x:c>
    </x:row>
    <x:row r="70" ht="38" customHeight="1">
      <x:c r="A70" s="24" t="str">
        <x:v>Comparison_Relation</x:v>
      </x:c>
      <x:c r="B70" s="24" t="str">
        <x:v>Transformed-into</x:v>
      </x:c>
      <x:c r="C70" s="24" t="str">
        <x:v>Changes from one state or being-type into another.</x:v>
      </x:c>
      <x:c r="D70" s="24" t="str">
        <x:v>Prefer a precise relation over an unqualified 'same as' statement.</x:v>
      </x:c>
    </x:row>
    <x:row r="71" ht="38" customHeight="1">
      <x:c r="A71" s="24" t="str">
        <x:v>Comparison_Relation</x:v>
      </x:c>
      <x:c r="B71" s="24" t="str">
        <x:v>Opposed-to</x:v>
      </x:c>
      <x:c r="C71" s="24" t="str">
        <x:v>Defined through conflict, counter-role, or institutional opposition.</x:v>
      </x:c>
      <x:c r="D71" s="24" t="str">
        <x:v>Prefer a precise relation over an unqualified 'same as' statement.</x:v>
      </x:c>
    </x:row>
    <x:row r="72" ht="38" customHeight="1">
      <x:c r="A72" s="24" t="str">
        <x:v>Comparison_Relation</x:v>
      </x:c>
      <x:c r="B72" s="24" t="str">
        <x:v>Frequently confused-with</x:v>
      </x:c>
      <x:c r="C72" s="24" t="str">
        <x:v>Often conflated despite a material distinction.</x:v>
      </x:c>
      <x:c r="D72" s="24" t="str">
        <x:v>Prefer a precise relation over an unqualified 'same as' statement.</x:v>
      </x:c>
    </x:row>
    <x:row r="73" ht="38" customHeight="1">
      <x:c r="A73" s="24" t="str">
        <x:v>Comparison_Relation</x:v>
      </x:c>
      <x:c r="B73" s="24" t="str">
        <x:v>Uncertain / disputed</x:v>
      </x:c>
      <x:c r="C73" s="24" t="str">
        <x:v>Relationship is plausible but unresolved or source-dependent.</x:v>
      </x:c>
      <x:c r="D73" s="24" t="str">
        <x:v>Prefer a precise relation over an unqualified 'same as' statement.</x:v>
      </x:c>
    </x:row>
    <x:row r="74" ht="38" customHeight="1">
      <x:c r="A74" s="24" t="str">
        <x:v>Canon_Status</x:v>
      </x:c>
      <x:c r="B74" s="24" t="str">
        <x:v>Primary canon</x:v>
      </x:c>
      <x:c r="C74" s="24" t="str">
        <x:v>Part of the principal source continuity being catalogued.</x:v>
      </x:c>
      <x:c r="D74" s="24" t="str">
        <x:v>Always version-stamp live-service games and adaptation-specific entries.</x:v>
      </x:c>
    </x:row>
    <x:row r="75" ht="38" customHeight="1">
      <x:c r="A75" s="24" t="str">
        <x:v>Canon_Status</x:v>
      </x:c>
      <x:c r="B75" s="24" t="str">
        <x:v>Multiple primary continuities</x:v>
      </x:c>
      <x:c r="C75" s="24" t="str">
        <x:v>A recurring franchise term spanning independent or divergent canons.</x:v>
      </x:c>
      <x:c r="D75" s="24" t="str">
        <x:v>Always version-stamp live-service games and adaptation-specific entries.</x:v>
      </x:c>
    </x:row>
    <x:row r="76" ht="38" customHeight="1">
      <x:c r="A76" s="24" t="str">
        <x:v>Canon_Status</x:v>
      </x:c>
      <x:c r="B76" s="24" t="str">
        <x:v>Official adaptation</x:v>
      </x:c>
      <x:c r="C76" s="24" t="str">
        <x:v>Part of an authorized adaptation continuity.</x:v>
      </x:c>
      <x:c r="D76" s="24" t="str">
        <x:v>Always version-stamp live-service games and adaptation-specific entries.</x:v>
      </x:c>
    </x:row>
    <x:row r="77" ht="38" customHeight="1">
      <x:c r="A77" s="24" t="str">
        <x:v>Canon_Status</x:v>
      </x:c>
      <x:c r="B77" s="24" t="str">
        <x:v>Licensed secondary</x:v>
      </x:c>
      <x:c r="C77" s="24" t="str">
        <x:v>Authorized but secondary, optional, or non-primary material.</x:v>
      </x:c>
      <x:c r="D77" s="24" t="str">
        <x:v>Always version-stamp live-service games and adaptation-specific entries.</x:v>
      </x:c>
    </x:row>
    <x:row r="78" ht="38" customHeight="1">
      <x:c r="A78" s="24" t="str">
        <x:v>Canon_Status</x:v>
      </x:c>
      <x:c r="B78" s="24" t="str">
        <x:v>Optional rules</x:v>
      </x:c>
      <x:c r="C78" s="24" t="str">
        <x:v>Official mechanical option not necessarily present in every setting or table.</x:v>
      </x:c>
      <x:c r="D78" s="24" t="str">
        <x:v>Always version-stamp live-service games and adaptation-specific entries.</x:v>
      </x:c>
    </x:row>
    <x:row r="79" ht="38" customHeight="1">
      <x:c r="A79" s="24" t="str">
        <x:v>Canon_Status</x:v>
      </x:c>
      <x:c r="B79" s="24" t="str">
        <x:v>Legacy edition</x:v>
      </x:c>
      <x:c r="C79" s="24" t="str">
        <x:v>Belongs to an earlier rules edition or retired continuity state.</x:v>
      </x:c>
      <x:c r="D79" s="24" t="str">
        <x:v>Always version-stamp live-service games and adaptation-specific entries.</x:v>
      </x:c>
    </x:row>
    <x:row r="80" ht="38" customHeight="1">
      <x:c r="A80" s="24" t="str">
        <x:v>Canon_Status</x:v>
      </x:c>
      <x:c r="B80" s="24" t="str">
        <x:v>Apocryphal / disputed</x:v>
      </x:c>
      <x:c r="C80" s="24" t="str">
        <x:v>Canonical status is contested, contradictory, or deliberately uncertain.</x:v>
      </x:c>
      <x:c r="D80" s="24" t="str">
        <x:v>Always version-stamp live-service games and adaptation-specific entries.</x:v>
      </x:c>
    </x:row>
    <x:row r="81" ht="38" customHeight="1">
      <x:c r="A81" s="24" t="str">
        <x:v>Canon_Status</x:v>
      </x:c>
      <x:c r="B81" s="24" t="str">
        <x:v>Fan / unofficial</x:v>
      </x:c>
      <x:c r="C81" s="24" t="str">
        <x:v>Not an official source; keep separate from canonical records.</x:v>
      </x:c>
      <x:c r="D81" s="24" t="str">
        <x:v>Always version-stamp live-service games and adaptation-specific entries.</x:v>
      </x:c>
    </x:row>
    <x:row r="82" ht="38" customHeight="1">
      <x:c r="A82" s="24" t="str">
        <x:v>Evidence_Level</x:v>
      </x:c>
      <x:c r="B82" s="24" t="str">
        <x:v>Primary text reviewed</x:v>
      </x:c>
      <x:c r="C82" s="24" t="str">
        <x:v>The relevant primary book, game text, episode, or direct source was reviewed.</x:v>
      </x:c>
      <x:c r="D82" s="24" t="str">
        <x:v>Evidence level describes review status, not the quality of the fictional work.</x:v>
      </x:c>
    </x:row>
    <x:row r="83" ht="38" customHeight="1">
      <x:c r="A83" s="24" t="str">
        <x:v>Evidence_Level</x:v>
      </x:c>
      <x:c r="B83" s="24" t="str">
        <x:v>Official reference reviewed</x:v>
      </x:c>
      <x:c r="C83" s="24" t="str">
        <x:v>An official encyclopedia, rules page, publisher page, or developer reference was reviewed.</x:v>
      </x:c>
      <x:c r="D83" s="24" t="str">
        <x:v>Evidence level describes review status, not the quality of the fictional work.</x:v>
      </x:c>
    </x:row>
    <x:row r="84" ht="38" customHeight="1">
      <x:c r="A84" s="24" t="str">
        <x:v>Evidence_Level</x:v>
      </x:c>
      <x:c r="B84" s="24" t="str">
        <x:v>Secondary reference reviewed</x:v>
      </x:c>
      <x:c r="C84" s="24" t="str">
        <x:v>A reputable secondary reference was used for orientation or cross-checking.</x:v>
      </x:c>
      <x:c r="D84" s="24" t="str">
        <x:v>Evidence level describes review status, not the quality of the fictional work.</x:v>
      </x:c>
    </x:row>
    <x:row r="85" ht="38" customHeight="1">
      <x:c r="A85" s="24" t="str">
        <x:v>Evidence_Level</x:v>
      </x:c>
      <x:c r="B85" s="24" t="str">
        <x:v>Orientation only</x:v>
      </x:c>
      <x:c r="C85" s="24" t="str">
        <x:v>Entry is a provisional map and requires source-level review.</x:v>
      </x:c>
      <x:c r="D85" s="24" t="str">
        <x:v>Evidence level describes review status, not the quality of the fictional work.</x:v>
      </x:c>
    </x:row>
    <x:row r="86" ht="38" customHeight="1">
      <x:c r="A86" s="24" t="str">
        <x:v>Evidence_Level</x:v>
      </x:c>
      <x:c r="B86" s="24" t="str">
        <x:v>Needs verification</x:v>
      </x:c>
      <x:c r="C86" s="24" t="str">
        <x:v>A material claim is unresolved or the citation is inadequate.</x:v>
      </x:c>
      <x:c r="D86" s="24" t="str">
        <x:v>Evidence level describes review status, not the quality of the fictional work.</x:v>
      </x:c>
    </x:row>
    <x:row r="87" ht="38" customHeight="1">
      <x:c r="A87" s="24" t="str">
        <x:v>Review_Status</x:v>
      </x:c>
      <x:c r="B87" s="24" t="str">
        <x:v>Framework core</x:v>
      </x:c>
      <x:c r="C87" s="24" t="str">
        <x:v>A normalized taxonomy record maintained as part of the stable framework.</x:v>
      </x:c>
      <x:c r="D87" s="24" t="str">
        <x:v>Use workflow status to separate catalogue growth from taxonomic stability.</x:v>
      </x:c>
    </x:row>
    <x:row r="88" ht="38" customHeight="1">
      <x:c r="A88" s="24" t="str">
        <x:v>Review_Status</x:v>
      </x:c>
      <x:c r="B88" s="24" t="str">
        <x:v>Seeded</x:v>
      </x:c>
      <x:c r="C88" s="24" t="str">
        <x:v>A source-specific example entered and cross-walked.</x:v>
      </x:c>
      <x:c r="D88" s="24" t="str">
        <x:v>Use workflow status to separate catalogue growth from taxonomic stability.</x:v>
      </x:c>
    </x:row>
    <x:row r="89" ht="38" customHeight="1">
      <x:c r="A89" s="24" t="str">
        <x:v>Review_Status</x:v>
      </x:c>
      <x:c r="B89" s="24" t="str">
        <x:v>Needs source review</x:v>
      </x:c>
      <x:c r="C89" s="24" t="str">
        <x:v>Structurally entered but awaiting primary or official verification.</x:v>
      </x:c>
      <x:c r="D89" s="24" t="str">
        <x:v>Use workflow status to separate catalogue growth from taxonomic stability.</x:v>
      </x:c>
    </x:row>
    <x:row r="90" ht="38" customHeight="1">
      <x:c r="A90" s="24" t="str">
        <x:v>Review_Status</x:v>
      </x:c>
      <x:c r="B90" s="24" t="str">
        <x:v>Verified</x:v>
      </x:c>
      <x:c r="C90" s="24" t="str">
        <x:v>Reviewed against the relevant source continuity and citation.</x:v>
      </x:c>
      <x:c r="D90" s="24" t="str">
        <x:v>Use workflow status to separate catalogue growth from taxonomic stability.</x:v>
      </x:c>
    </x:row>
    <x:row r="91" ht="38" customHeight="1">
      <x:c r="A91" s="24" t="str">
        <x:v>Review_Status</x:v>
      </x:c>
      <x:c r="B91" s="24" t="str">
        <x:v>Deprecated / merged</x:v>
      </x:c>
      <x:c r="C91" s="24" t="str">
        <x:v>Retained for history but superseded by another record.</x:v>
      </x:c>
      <x:c r="D91" s="24" t="str">
        <x:v>Use workflow status to separate catalogue growth from taxonomic stability.</x:v>
      </x:c>
    </x:row>
    <x:row r="92" ht="38" customHeight="1">
      <x:c r="A92" s="24" t="str">
        <x:v>Medium</x:v>
      </x:c>
      <x:c r="B92" s="24" t="str">
        <x:v>Literature</x:v>
      </x:c>
      <x:c r="C92" s="24" t="str">
        <x:v>Novel, novella, short story, poem, or prose cycle.</x:v>
      </x:c>
      <x:c r="D92" s="24" t="str">
        <x:v>The Source Corpus preserves more specific medium strings where useful.</x:v>
      </x:c>
    </x:row>
    <x:row r="93" ht="38" customHeight="1">
      <x:c r="A93" s="24" t="str">
        <x:v>Medium</x:v>
      </x:c>
      <x:c r="B93" s="24" t="str">
        <x:v>Mythology / folklore</x:v>
      </x:c>
      <x:c r="C93" s="24" t="str">
        <x:v>Traditional, sacred, legendary, oral, or folkloric source layer.</x:v>
      </x:c>
      <x:c r="D93" s="24" t="str">
        <x:v>The Source Corpus preserves more specific medium strings where useful.</x:v>
      </x:c>
    </x:row>
    <x:row r="94" ht="38" customHeight="1">
      <x:c r="A94" s="24" t="str">
        <x:v>Medium</x:v>
      </x:c>
      <x:c r="B94" s="24" t="str">
        <x:v>Tabletop RPG</x:v>
      </x:c>
      <x:c r="C94" s="24" t="str">
        <x:v>Role-playing game rules and setting.</x:v>
      </x:c>
      <x:c r="D94" s="24" t="str">
        <x:v>The Source Corpus preserves more specific medium strings where useful.</x:v>
      </x:c>
    </x:row>
    <x:row r="95" ht="38" customHeight="1">
      <x:c r="A95" s="24" t="str">
        <x:v>Medium</x:v>
      </x:c>
      <x:c r="B95" s="24" t="str">
        <x:v>Miniatures wargame</x:v>
      </x:c>
      <x:c r="C95" s="24" t="str">
        <x:v>Tabletop battle game and associated setting.</x:v>
      </x:c>
      <x:c r="D95" s="24" t="str">
        <x:v>The Source Corpus preserves more specific medium strings where useful.</x:v>
      </x:c>
    </x:row>
    <x:row r="96" ht="38" customHeight="1">
      <x:c r="A96" s="24" t="str">
        <x:v>Medium</x:v>
      </x:c>
      <x:c r="B96" s="24" t="str">
        <x:v>Board game</x:v>
      </x:c>
      <x:c r="C96" s="24" t="str">
        <x:v>Board or tile game with fantasy taxonomy.</x:v>
      </x:c>
      <x:c r="D96" s="24" t="str">
        <x:v>The Source Corpus preserves more specific medium strings where useful.</x:v>
      </x:c>
    </x:row>
    <x:row r="97" ht="38" customHeight="1">
      <x:c r="A97" s="24" t="str">
        <x:v>Medium</x:v>
      </x:c>
      <x:c r="B97" s="24" t="str">
        <x:v>Card game</x:v>
      </x:c>
      <x:c r="C97" s="24" t="str">
        <x:v>Collectible, living, or standalone card game.</x:v>
      </x:c>
      <x:c r="D97" s="24" t="str">
        <x:v>The Source Corpus preserves more specific medium strings where useful.</x:v>
      </x:c>
    </x:row>
    <x:row r="98" ht="38" customHeight="1">
      <x:c r="A98" s="24" t="str">
        <x:v>Medium</x:v>
      </x:c>
      <x:c r="B98" s="24" t="str">
        <x:v>Video game</x:v>
      </x:c>
      <x:c r="C98" s="24" t="str">
        <x:v>Digital game, including RPG, strategy, action, tactical, and MMO forms.</x:v>
      </x:c>
      <x:c r="D98" s="24" t="str">
        <x:v>The Source Corpus preserves more specific medium strings where useful.</x:v>
      </x:c>
    </x:row>
    <x:row r="99" ht="38" customHeight="1">
      <x:c r="A99" s="24" t="str">
        <x:v>Medium</x:v>
      </x:c>
      <x:c r="B99" s="24" t="str">
        <x:v>Manga / comics</x:v>
      </x:c>
      <x:c r="C99" s="24" t="str">
        <x:v>Sequential-art source.</x:v>
      </x:c>
      <x:c r="D99" s="24" t="str">
        <x:v>The Source Corpus preserves more specific medium strings where useful.</x:v>
      </x:c>
    </x:row>
    <x:row r="100" ht="38" customHeight="1">
      <x:c r="A100" s="24" t="str">
        <x:v>Medium</x:v>
      </x:c>
      <x:c r="B100" s="24" t="str">
        <x:v>Anime</x:v>
      </x:c>
      <x:c r="C100" s="24" t="str">
        <x:v>Animated series or film.</x:v>
      </x:c>
      <x:c r="D100" s="24" t="str">
        <x:v>The Source Corpus preserves more specific medium strings where useful.</x:v>
      </x:c>
    </x:row>
    <x:row r="101" ht="38" customHeight="1">
      <x:c r="A101" s="24" t="str">
        <x:v>Medium</x:v>
      </x:c>
      <x:c r="B101" s="24" t="str">
        <x:v>Light novel / web novel</x:v>
      </x:c>
      <x:c r="C101" s="24" t="str">
        <x:v>Serialized or published prose in light-novel and web-fiction ecosystems.</x:v>
      </x:c>
      <x:c r="D101" s="24" t="str">
        <x:v>The Source Corpus preserves more specific medium strings where useful.</x:v>
      </x:c>
    </x:row>
    <x:row r="102" ht="38" customHeight="1">
      <x:c r="A102" s="24" t="str">
        <x:v>Medium</x:v>
      </x:c>
      <x:c r="B102" s="24" t="str">
        <x:v>Film</x:v>
      </x:c>
      <x:c r="C102" s="24" t="str">
        <x:v>Screen-first or adaptation cinema.</x:v>
      </x:c>
      <x:c r="D102" s="24" t="str">
        <x:v>The Source Corpus preserves more specific medium strings where useful.</x:v>
      </x:c>
    </x:row>
    <x:row r="103" ht="38" customHeight="1">
      <x:c r="A103" s="24" t="str">
        <x:v>Medium</x:v>
      </x:c>
      <x:c r="B103" s="24" t="str">
        <x:v>Television</x:v>
      </x:c>
      <x:c r="C103" s="24" t="str">
        <x:v>Live-action or animated television source.</x:v>
      </x:c>
      <x:c r="D103" s="24" t="str">
        <x:v>The Source Corpus preserves more specific medium strings where useful.</x:v>
      </x:c>
    </x:row>
    <x:row r="104" ht="38" customHeight="1">
      <x:c r="A104" s="24" t="str">
        <x:v>Medium</x:v>
      </x:c>
      <x:c r="B104" s="24" t="str">
        <x:v>Cross-media franchise</x:v>
      </x:c>
      <x:c r="C104" s="24" t="str">
        <x:v>A franchise whose taxonomy cannot be responsibly assigned to one medium.</x:v>
      </x:c>
      <x:c r="D104" s="24" t="str">
        <x:v>The Source Corpus preserves more specific medium strings where useful.</x:v>
      </x:c>
    </x:row>
    <x:row r="105" ht="38" customHeight="1">
      <x:c r="A105" s="24" t="str">
        <x:v>Framework_Status</x:v>
      </x:c>
      <x:c r="B105" s="24" t="str">
        <x:v>Domain Root</x:v>
      </x:c>
      <x:c r="C105" s="24" t="str">
        <x:v>One of the eight top-level taxonomy domains.</x:v>
      </x:c>
      <x:c r="D105" s="24" t="str">
        <x:v>Reserved for root records.</x:v>
      </x:c>
    </x:row>
    <x:row r="106" ht="38" customHeight="1">
      <x:c r="A106" s="24" t="str">
        <x:v>Framework_Status</x:v>
      </x:c>
      <x:c r="B106" s="24" t="str">
        <x:v>Category</x:v>
      </x:c>
      <x:c r="C106" s="24" t="str">
        <x:v>A broad organizing node below a domain root.</x:v>
      </x:c>
      <x:c r="D106" s="24" t="str">
        <x:v>Used to group core families.</x:v>
      </x:c>
    </x:row>
    <x:row r="107" ht="38" customHeight="1">
      <x:c r="A107" s="24" t="str">
        <x:v>Framework_Status</x:v>
      </x:c>
      <x:c r="B107" s="24" t="str">
        <x:v>Core Family</x:v>
      </x:c>
      <x:c r="C107" s="24" t="str">
        <x:v>A reusable normalized archetype family.</x:v>
      </x:c>
      <x:c r="D107" s="24" t="str">
        <x:v>Default status for stable comparative records.</x:v>
      </x:c>
    </x:row>
    <x:row r="108" ht="38" customHeight="1">
      <x:c r="A108" s="24" t="str">
        <x:v>Framework_Status</x:v>
      </x:c>
      <x:c r="B108" s="24" t="str">
        <x:v>Deprecated / merged</x:v>
      </x:c>
      <x:c r="C108" s="24" t="str">
        <x:v>A superseded normalized record retained for provenance.</x:v>
      </x:c>
      <x:c r="D108" s="24" t="str">
        <x:v>Point users to the replacement ID.</x:v>
      </x:c>
    </x:row>
  </x:sheetData>
  <x:pageMargins left="0.7" right="0.7" top="0.75" bottom="0.75" header="0.3" footer="0.3"/>
  <x:tableParts count="1">
    <x:tablePart xmlns:r="http://schemas.openxmlformats.org/officeDocument/2006/relationships" r:id="R5f94f95c6fae49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</x:cols>
  <x:sheetData>
    <x:row r="1" ht="34" customHeight="1">
      <x:c r="A1" s="31" t="str">
        <x:v>Relation</x:v>
      </x:c>
      <x:c r="B1" s="31" t="str">
        <x:v>Directionality</x:v>
      </x:c>
      <x:c r="C1" s="31" t="str">
        <x:v>Scope</x:v>
      </x:c>
      <x:c r="D1" s="31" t="str">
        <x:v>Use_When</x:v>
      </x:c>
      <x:c r="E1" s="31" t="str">
        <x:v>Do_Not_Use_When</x:v>
      </x:c>
      <x:c r="F1" s="31" t="str">
        <x:v>Example</x:v>
      </x:c>
    </x:row>
    <x:row r="2" ht="44" customHeight="1">
      <x:c r="A2" s="24" t="str">
        <x:v>Canonical alias</x:v>
      </x:c>
      <x:c r="B2" s="24" t="str">
        <x:v>Symmetric</x:v>
      </x:c>
      <x:c r="C2" s="24" t="str">
        <x:v>Same continuity</x:v>
      </x:c>
      <x:c r="D2" s="24" t="str">
        <x:v>Use when two names denote the same entity, people, office, or concept.</x:v>
      </x:c>
      <x:c r="E2" s="24" t="str">
        <x:v>Do not use for translations that change the underlying concept.</x:v>
      </x:c>
      <x:c r="F2" s="24" t="str">
        <x:v>Quendi ↔ Elves within a specified Tolkien context.</x:v>
      </x:c>
    </x:row>
    <x:row r="3" ht="44" customHeight="1">
      <x:c r="A3" s="24" t="str">
        <x:v>Exact equivalent</x:v>
      </x:c>
      <x:c r="B3" s="24" t="str">
        <x:v>Symmetric</x:v>
      </x:c>
      <x:c r="C3" s="24" t="str">
        <x:v>Cross-setting</x:v>
      </x:c>
      <x:c r="D3" s="24" t="str">
        <x:v>Use only when ontology, function, power basis, and narrative role align.</x:v>
      </x:c>
      <x:c r="E3" s="24" t="str">
        <x:v>Do not use merely because two concepts share a label.</x:v>
      </x:c>
      <x:c r="F3" s="24" t="str">
        <x:v>Rare; most cross-setting links should be partial or functional.</x:v>
      </x:c>
    </x:row>
    <x:row r="4" ht="44" customHeight="1">
      <x:c r="A4" s="24" t="str">
        <x:v>Subtype-of</x:v>
      </x:c>
      <x:c r="B4" s="24" t="str">
        <x:v>Directed</x:v>
      </x:c>
      <x:c r="C4" s="24" t="str">
        <x:v>Within or across taxonomies</x:v>
      </x:c>
      <x:c r="D4" s="24" t="str">
        <x:v>Use for a narrower normalized or canonical category.</x:v>
      </x:c>
      <x:c r="E4" s="24" t="str">
        <x:v>Do not confuse with member-of an organization.</x:v>
      </x:c>
      <x:c r="F4" s="24" t="str">
        <x:v>Higher vampire subtype-of source vampire taxonomy.</x:v>
      </x:c>
    </x:row>
    <x:row r="5" ht="44" customHeight="1">
      <x:c r="A5" s="24" t="str">
        <x:v>Member-of</x:v>
      </x:c>
      <x:c r="B5" s="24" t="str">
        <x:v>Directed</x:v>
      </x:c>
      <x:c r="C5" s="24" t="str">
        <x:v>Institutional / social</x:v>
      </x:c>
      <x:c r="D5" s="24" t="str">
        <x:v>Use for membership in a school, order, faction, people, or party.</x:v>
      </x:c>
      <x:c r="E5" s="24" t="str">
        <x:v>Do not use when the relation is transformation or ancestry.</x:v>
      </x:c>
      <x:c r="F5" s="24" t="str">
        <x:v>A witcher member-of a witcher school.</x:v>
      </x:c>
    </x:row>
    <x:row r="6" ht="44" customHeight="1">
      <x:c r="A6" s="24" t="str">
        <x:v>Version-of</x:v>
      </x:c>
      <x:c r="B6" s="24" t="str">
        <x:v>Directed</x:v>
      </x:c>
      <x:c r="C6" s="24" t="str">
        <x:v>Edition / adaptation</x:v>
      </x:c>
      <x:c r="D6" s="24" t="str">
        <x:v>Use for materially divergent rules editions or portrayals.</x:v>
      </x:c>
      <x:c r="E6" s="24" t="str">
        <x:v>Do not merge versioned entries when powers or ontology change.</x:v>
      </x:c>
      <x:c r="F6" s="24" t="str">
        <x:v>Game-continuity Wild Hunt version-of franchise concept.</x:v>
      </x:c>
    </x:row>
    <x:row r="7" ht="44" customHeight="1">
      <x:c r="A7" s="24" t="str">
        <x:v>Adaptation-of</x:v>
      </x:c>
      <x:c r="B7" s="24" t="str">
        <x:v>Directed</x:v>
      </x:c>
      <x:c r="C7" s="24" t="str">
        <x:v>Cross-media</x:v>
      </x:c>
      <x:c r="D7" s="24" t="str">
        <x:v>Use where a film, game, anime, or series adapts a specific source.</x:v>
      </x:c>
      <x:c r="E7" s="24" t="str">
        <x:v>Do not imply fidelity; record divergences separately.</x:v>
      </x:c>
      <x:c r="F7" s="24" t="str">
        <x:v>Television continuity adaptation-of novel continuity.</x:v>
      </x:c>
    </x:row>
    <x:row r="8" ht="44" customHeight="1">
      <x:c r="A8" s="24" t="str">
        <x:v>Inspired-by</x:v>
      </x:c>
      <x:c r="B8" s="24" t="str">
        <x:v>Directed</x:v>
      </x:c>
      <x:c r="C8" s="24" t="str">
        <x:v>Historical influence</x:v>
      </x:c>
      <x:c r="D8" s="24" t="str">
        <x:v>Use only with documented or strongly evidenced influence.</x:v>
      </x:c>
      <x:c r="E8" s="24" t="str">
        <x:v>Do not infer influence from resemblance alone.</x:v>
      </x:c>
      <x:c r="F8" s="24" t="str">
        <x:v>Later halfling tradition inspired-by Tolkienian hobbits, where documented.</x:v>
      </x:c>
    </x:row>
    <x:row r="9" ht="44" customHeight="1">
      <x:c r="A9" s="24" t="str">
        <x:v>Close analogue</x:v>
      </x:c>
      <x:c r="B9" s="24" t="str">
        <x:v>Symmetric</x:v>
      </x:c>
      <x:c r="C9" s="24" t="str">
        <x:v>Comparative</x:v>
      </x:c>
      <x:c r="D9" s="24" t="str">
        <x:v>Use when several major dimensions align but the concepts remain distinct.</x:v>
      </x:c>
      <x:c r="E9" s="24" t="str">
        <x:v>Do not erase source-specific metaphysics.</x:v>
      </x:c>
      <x:c r="F9" s="24" t="str">
        <x:v>Two learned court-mage institutions with different cosmologies.</x:v>
      </x:c>
    </x:row>
    <x:row r="10" ht="44" customHeight="1">
      <x:c r="A10" s="24" t="str">
        <x:v>Partial analogue</x:v>
      </x:c>
      <x:c r="B10" s="24" t="str">
        <x:v>Symmetric</x:v>
      </x:c>
      <x:c r="C10" s="24" t="str">
        <x:v>Comparative</x:v>
      </x:c>
      <x:c r="D10" s="24" t="str">
        <x:v>Use when one or two dimensions align.</x:v>
      </x:c>
      <x:c r="E10" s="24" t="str">
        <x:v>Always name the shared axis in notes.</x:v>
      </x:c>
      <x:c r="F10" s="24" t="str">
        <x:v>Others partial analogue to ice-fae on effect and narrative threat.</x:v>
      </x:c>
    </x:row>
    <x:row r="11" ht="44" customHeight="1">
      <x:c r="A11" s="24" t="str">
        <x:v>Functional analogue</x:v>
      </x:c>
      <x:c r="B11" s="24" t="str">
        <x:v>Symmetric</x:v>
      </x:c>
      <x:c r="C11" s="24" t="str">
        <x:v>Narrative / social</x:v>
      </x:c>
      <x:c r="D11" s="24" t="str">
        <x:v>Use when roles are similar despite different powers or origins.</x:v>
      </x:c>
      <x:c r="E11" s="24" t="str">
        <x:v>Do not imply common ancestry or influence.</x:v>
      </x:c>
      <x:c r="F11" s="24" t="str">
        <x:v>Night's Watch functional analogue to a frontier monster-guard order.</x:v>
      </x:c>
    </x:row>
    <x:row r="12" ht="44" customHeight="1">
      <x:c r="A12" s="24" t="str">
        <x:v>Mechanical analogue</x:v>
      </x:c>
      <x:c r="B12" s="24" t="str">
        <x:v>Symmetric</x:v>
      </x:c>
      <x:c r="C12" s="24" t="str">
        <x:v>Game mechanics</x:v>
      </x:c>
      <x:c r="D12" s="24" t="str">
        <x:v>Use for shared combat or progression roles.</x:v>
      </x:c>
      <x:c r="E12" s="24" t="str">
        <x:v>Keep mechanics separate from in-world profession.</x:v>
      </x:c>
      <x:c r="F12" s="24" t="str">
        <x:v>Knight mechanical analogue to tank/defender.</x:v>
      </x:c>
    </x:row>
    <x:row r="13" ht="44" customHeight="1">
      <x:c r="A13" s="24" t="str">
        <x:v>Visual analogue</x:v>
      </x:c>
      <x:c r="B13" s="24" t="str">
        <x:v>Symmetric</x:v>
      </x:c>
      <x:c r="C13" s="24" t="str">
        <x:v>Iconography</x:v>
      </x:c>
      <x:c r="D13" s="24" t="str">
        <x:v>Use only to document appearance-driven comparison.</x:v>
      </x:c>
      <x:c r="E13" s="24" t="str">
        <x:v>Never treat appearance as proof of ontology.</x:v>
      </x:c>
      <x:c r="F13" s="24" t="str">
        <x:v>Horned people visually analogous to demons but canonically mortal.</x:v>
      </x:c>
    </x:row>
    <x:row r="14" ht="44" customHeight="1">
      <x:c r="A14" s="24" t="str">
        <x:v>Inversion</x:v>
      </x:c>
      <x:c r="B14" s="24" t="str">
        <x:v>Directed</x:v>
      </x:c>
      <x:c r="C14" s="24" t="str">
        <x:v>Critical analysis</x:v>
      </x:c>
      <x:c r="D14" s="24" t="str">
        <x:v>Use for conscious reversal, critique, or defamiliarization.</x:v>
      </x:c>
      <x:c r="E14" s="24" t="str">
        <x:v>Support with textual evidence rather than reader impression alone.</x:v>
      </x:c>
      <x:c r="F14" s="24" t="str">
        <x:v>A benevolent necromancer inversion of the tyrannical death-mage pattern.</x:v>
      </x:c>
    </x:row>
    <x:row r="15" ht="44" customHeight="1">
      <x:c r="A15" s="24" t="str">
        <x:v>Hybrid-of</x:v>
      </x:c>
      <x:c r="B15" s="24" t="str">
        <x:v>Directed</x:v>
      </x:c>
      <x:c r="C15" s="24" t="str">
        <x:v>Normalized taxonomy</x:v>
      </x:c>
      <x:c r="D15" s="24" t="str">
        <x:v>Use for concepts combining multiple role or being families.</x:v>
      </x:c>
      <x:c r="E15" s="24" t="str">
        <x:v>List each component and explain whether synthesis is canonical or analytic.</x:v>
      </x:c>
      <x:c r="F15" s="24" t="str">
        <x:v>Spellblade hybrid-of warrior and learned caster.</x:v>
      </x:c>
    </x:row>
    <x:row r="16" ht="44" customHeight="1">
      <x:c r="A16" s="24" t="str">
        <x:v>Transformed-into</x:v>
      </x:c>
      <x:c r="B16" s="24" t="str">
        <x:v>Directed</x:v>
      </x:c>
      <x:c r="C16" s="24" t="str">
        <x:v>Temporal / ontological</x:v>
      </x:c>
      <x:c r="D16" s="24" t="str">
        <x:v>Use for state changes over a character or people's history.</x:v>
      </x:c>
      <x:c r="E16" s="24" t="str">
        <x:v>Do not replace the original ancestry record.</x:v>
      </x:c>
      <x:c r="F16" s="24" t="str">
        <x:v>Human transformed-into vampire.</x:v>
      </x:c>
    </x:row>
    <x:row r="17" ht="44" customHeight="1">
      <x:c r="A17" s="24" t="str">
        <x:v>Frequently confused-with</x:v>
      </x:c>
      <x:c r="B17" s="24" t="str">
        <x:v>Symmetric</x:v>
      </x:c>
      <x:c r="C17" s="24" t="str">
        <x:v>Quality control</x:v>
      </x:c>
      <x:c r="D17" s="24" t="str">
        <x:v>Use to flag recurring category errors.</x:v>
      </x:c>
      <x:c r="E17" s="24" t="str">
        <x:v>Pair with a distinction note.</x:v>
      </x:c>
      <x:c r="F17" s="24" t="str">
        <x:v>Witcher frequently confused-with generic ranger.</x:v>
      </x:c>
    </x:row>
    <x:row r="18" ht="44" customHeight="1">
      <x:c r="A18" s="24" t="str">
        <x:v>Uncertain / disputed</x:v>
      </x:c>
      <x:c r="B18" s="24" t="str">
        <x:v>Symmetric or directed</x:v>
      </x:c>
      <x:c r="C18" s="24" t="str">
        <x:v>Scholarly caution</x:v>
      </x:c>
      <x:c r="D18" s="24" t="str">
        <x:v>Use when canon is contradictory, incomplete, or version-dependent.</x:v>
      </x:c>
      <x:c r="E18" s="24" t="str">
        <x:v>Do not silently choose one fan theory.</x:v>
      </x:c>
      <x:c r="F18" s="24" t="str">
        <x:v>Orc origins in Tolkien's evolving texts.</x:v>
      </x:c>
    </x:row>
  </x:sheetData>
  <x:pageMargins left="0.7" right="0.7" top="0.75" bottom="0.75" header="0.3" footer="0.3"/>
  <x:tableParts count="1">
    <x:tablePart xmlns:r="http://schemas.openxmlformats.org/officeDocument/2006/relationships" r:id="R4a7ae0f817bf43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4" max="4" width="34" hidden="0" customWidth="1"/>
    <x:col min="5" max="5" width="12" hidden="0" customWidth="1"/>
    <x:col min="7" max="7" width="30" hidden="0" customWidth="1"/>
    <x:col min="8" max="8" width="12" hidden="0" customWidth="1"/>
    <x:col min="10" max="10" width="34" hidden="0" customWidth="1"/>
    <x:col min="11" max="11" width="12" hidden="0" customWidth="1"/>
  </x:cols>
  <x:sheetData>
    <x:row r="1">
      <x:c r="A1" s="31" t="str">
        <x:v>Taxonomy Domain</x:v>
      </x:c>
      <x:c r="B1" s="31" t="str">
        <x:v>Count</x:v>
      </x:c>
      <x:c r="D1" s="31" t="str">
        <x:v>Source Medium</x:v>
      </x:c>
      <x:c r="E1" s="31" t="str">
        <x:v>Count</x:v>
      </x:c>
      <x:c r="G1" s="31" t="str">
        <x:v>Evidence Level</x:v>
      </x:c>
      <x:c r="H1" s="31" t="str">
        <x:v>Count</x:v>
      </x:c>
      <x:c r="J1" s="31" t="str">
        <x:v>Seed Source</x:v>
      </x:c>
      <x:c r="K1" s="31" t="str">
        <x:v>Entries</x:v>
      </x:c>
    </x:row>
    <x:row r="2">
      <x:c r="A2" s="24" t="str">
        <x:v>People &amp; Beings</x:v>
      </x:c>
      <x:c r="B2" s="24" t="n">
        <x:f>COUNTIF('Master Taxonomy'!$C$2:$C$1226,A2)</x:f>
        <x:v>169</x:v>
      </x:c>
      <x:c r="D2" s="24" t="str">
        <x:v>Literature</x:v>
      </x:c>
      <x:c r="E2" s="24" t="n">
        <x:f>COUNTIF('Source Corpus'!$D$2:$D$277,D2)</x:f>
        <x:v>56</x:v>
      </x:c>
      <x:c r="G2" s="24" t="str">
        <x:v>Primary text reviewed</x:v>
      </x:c>
      <x:c r="H2" s="24" t="n">
        <x:f>COUNTIF('Seed Catalogue'!$P$2:$P$317,G2)</x:f>
        <x:v>22</x:v>
      </x:c>
      <x:c r="J2" s="24" t="str">
        <x:v>Tactics Ogre: Reborn</x:v>
      </x:c>
      <x:c r="K2" s="24" t="n">
        <x:f>COUNTIF('Seed Catalogue'!$D$2:$D$317,J2)</x:f>
        <x:v>45</x:v>
      </x:c>
    </x:row>
    <x:row r="3">
      <x:c r="A3" s="24" t="str">
        <x:v>Roles &amp; Vocations</x:v>
      </x:c>
      <x:c r="B3" s="24" t="n">
        <x:f>COUNTIF('Master Taxonomy'!$C$2:$C$1226,A3)</x:f>
        <x:v>312</x:v>
      </x:c>
      <x:c r="D3" s="24" t="str">
        <x:v>Manga / Anime</x:v>
      </x:c>
      <x:c r="E3" s="24" t="n">
        <x:f>COUNTIF('Source Corpus'!$D$2:$D$277,D3)</x:f>
        <x:v>25</x:v>
      </x:c>
      <x:c r="G3" s="24" t="str">
        <x:v>Official reference reviewed</x:v>
      </x:c>
      <x:c r="H3" s="24" t="n">
        <x:f>COUNTIF('Seed Catalogue'!$P$2:$P$317,G3)</x:f>
        <x:v>185</x:v>
      </x:c>
      <x:c r="J3" s="24" t="str">
        <x:v>Final Fantasy</x:v>
      </x:c>
      <x:c r="K3" s="24" t="n">
        <x:f>COUNTIF('Seed Catalogue'!$D$2:$D$317,J3)</x:f>
        <x:v>29</x:v>
      </x:c>
    </x:row>
    <x:row r="4">
      <x:c r="A4" s="24" t="str">
        <x:v>Power Traditions</x:v>
      </x:c>
      <x:c r="B4" s="24" t="n">
        <x:f>COUNTIF('Master Taxonomy'!$C$2:$C$1226,A4)</x:f>
        <x:v>147</x:v>
      </x:c>
      <x:c r="D4" s="24" t="str">
        <x:v>Tabletop RPG</x:v>
      </x:c>
      <x:c r="E4" s="24" t="n">
        <x:f>COUNTIF('Source Corpus'!$D$2:$D$277,D4)</x:f>
        <x:v>14</x:v>
      </x:c>
      <x:c r="G4" s="24" t="str">
        <x:v>Secondary reference reviewed</x:v>
      </x:c>
      <x:c r="H4" s="24" t="n">
        <x:f>COUNTIF('Seed Catalogue'!$P$2:$P$317,G4)</x:f>
        <x:v>109</x:v>
      </x:c>
      <x:c r="J4" s="24" t="str">
        <x:v>Warcraft</x:v>
      </x:c>
      <x:c r="K4" s="24" t="n">
        <x:f>COUNTIF('Seed Catalogue'!$D$2:$D$317,J4)</x:f>
        <x:v>28</x:v>
      </x:c>
    </x:row>
    <x:row r="5">
      <x:c r="A5" s="24" t="str">
        <x:v>States &amp; Transformations</x:v>
      </x:c>
      <x:c r="B5" s="24" t="n">
        <x:f>COUNTIF('Master Taxonomy'!$C$2:$C$1226,A5)</x:f>
        <x:v>123</x:v>
      </x:c>
      <x:c r="D5" s="24" t="str">
        <x:v>Mythology / Folklore</x:v>
      </x:c>
      <x:c r="E5" s="24" t="n">
        <x:f>COUNTIF('Source Corpus'!$D$2:$D$277,D5)</x:f>
        <x:v>10</x:v>
      </x:c>
      <x:c r="G5" s="24" t="str">
        <x:v>Orientation only</x:v>
      </x:c>
      <x:c r="H5" s="24" t="n">
        <x:f>COUNTIF('Seed Catalogue'!$P$2:$P$317,G5)</x:f>
        <x:v>0</x:v>
      </x:c>
      <x:c r="J5" s="24" t="str">
        <x:v>Tolkien's Legendarium</x:v>
      </x:c>
      <x:c r="K5" s="24" t="n">
        <x:f>COUNTIF('Seed Catalogue'!$D$2:$D$317,J5)</x:f>
        <x:v>25</x:v>
      </x:c>
    </x:row>
    <x:row r="6">
      <x:c r="A6" s="24" t="str">
        <x:v>Institutions &amp; Affiliations</x:v>
      </x:c>
      <x:c r="B6" s="24" t="n">
        <x:f>COUNTIF('Master Taxonomy'!$C$2:$C$1226,A6)</x:f>
        <x:v>82</x:v>
      </x:c>
      <x:c r="D6" s="24" t="str">
        <x:v>Video Game / JRPG Franchise</x:v>
      </x:c>
      <x:c r="E6" s="24" t="n">
        <x:f>COUNTIF('Source Corpus'!$D$2:$D$277,D6)</x:f>
        <x:v>10</x:v>
      </x:c>
      <x:c r="G6" s="24" t="str">
        <x:v>Needs verification</x:v>
      </x:c>
      <x:c r="H6" s="24" t="n">
        <x:f>COUNTIF('Seed Catalogue'!$P$2:$P$317,G6)</x:f>
        <x:v>0</x:v>
      </x:c>
      <x:c r="J6" s="24" t="str">
        <x:v>The Witcher</x:v>
      </x:c>
      <x:c r="K6" s="24" t="n">
        <x:f>COUNTIF('Seed Catalogue'!$D$2:$D$317,J6)</x:f>
        <x:v>25</x:v>
      </x:c>
    </x:row>
    <x:row r="7">
      <x:c r="A7" s="24" t="str">
        <x:v>Narrative Archetypes</x:v>
      </x:c>
      <x:c r="B7" s="24" t="n">
        <x:f>COUNTIF('Master Taxonomy'!$C$2:$C$1226,A7)</x:f>
        <x:v>159</x:v>
      </x:c>
      <x:c r="D7" s="24" t="str">
        <x:v>Video Game / Action RPG Franchise</x:v>
      </x:c>
      <x:c r="E7" s="24" t="n">
        <x:f>COUNTIF('Source Corpus'!$D$2:$D$277,D7)</x:f>
        <x:v>10</x:v>
      </x:c>
      <x:c r="J7" s="24" t="str">
        <x:v>Dungeons &amp; Dragons</x:v>
      </x:c>
      <x:c r="K7" s="24" t="n">
        <x:f>COUNTIF('Seed Catalogue'!$D$2:$D$317,J7)</x:f>
        <x:v>25</x:v>
      </x:c>
    </x:row>
    <x:row r="8">
      <x:c r="A8" s="24" t="str">
        <x:v>Civilization &amp; Culture Archetypes</x:v>
      </x:c>
      <x:c r="B8" s="24" t="n">
        <x:f>COUNTIF('Master Taxonomy'!$C$2:$C$1226,A8)</x:f>
        <x:v>103</x:v>
      </x:c>
      <x:c r="D8" s="24" t="str">
        <x:v>Television</x:v>
      </x:c>
      <x:c r="E8" s="24" t="n">
        <x:f>COUNTIF('Source Corpus'!$D$2:$D$277,D8)</x:f>
        <x:v>10</x:v>
      </x:c>
      <x:c r="J8" s="24" t="str">
        <x:v>The Elder Scrolls</x:v>
      </x:c>
      <x:c r="K8" s="24" t="n">
        <x:f>COUNTIF('Seed Catalogue'!$D$2:$D$317,J8)</x:f>
        <x:v>24</x:v>
      </x:c>
    </x:row>
    <x:row r="9">
      <x:c r="A9" s="24" t="str">
        <x:v>Game-Mechanical Archetypes</x:v>
      </x:c>
      <x:c r="B9" s="24" t="n">
        <x:f>COUNTIF('Master Taxonomy'!$C$2:$C$1226,A9)</x:f>
        <x:v>130</x:v>
      </x:c>
      <x:c r="D9" s="24" t="str">
        <x:v>Light Novel / Anime</x:v>
      </x:c>
      <x:c r="E9" s="24" t="n">
        <x:f>COUNTIF('Source Corpus'!$D$2:$D$277,D9)</x:f>
        <x:v>9</x:v>
      </x:c>
      <x:c r="J9" s="24" t="str">
        <x:v>A Song of Ice and Fire</x:v>
      </x:c>
      <x:c r="K9" s="24" t="n">
        <x:f>COUNTIF('Seed Catalogue'!$D$2:$D$317,J9)</x:f>
        <x:v>22</x:v>
      </x:c>
    </x:row>
    <x:row r="10">
      <x:c r="D10" s="24" t="str">
        <x:v>Video Game / CRPG</x:v>
      </x:c>
      <x:c r="E10" s="24" t="n">
        <x:f>COUNTIF('Source Corpus'!$D$2:$D$277,D10)</x:f>
        <x:v>8</x:v>
      </x:c>
      <x:c r="J10" s="24" t="str">
        <x:v>Warhammer: The Old World</x:v>
      </x:c>
      <x:c r="K10" s="24" t="n">
        <x:f>COUNTIF('Seed Catalogue'!$D$2:$D$317,J10)</x:f>
        <x:v>21</x:v>
      </x:c>
    </x:row>
    <x:row r="11">
      <x:c r="D11" s="24" t="str">
        <x:v>Film</x:v>
      </x:c>
      <x:c r="E11" s="24" t="n">
        <x:f>COUNTIF('Source Corpus'!$D$2:$D$277,D11)</x:f>
        <x:v>8</x:v>
      </x:c>
      <x:c r="J11" s="24" t="str">
        <x:v>Final Fantasy XIV</x:v>
      </x:c>
      <x:c r="K11" s="24" t="n">
        <x:f>COUNTIF('Seed Catalogue'!$D$2:$D$317,J11)</x:f>
        <x:v>16</x:v>
      </x:c>
    </x:row>
    <x:row r="12">
      <x:c r="D12" s="24" t="str">
        <x:v>Animated Television</x:v>
      </x:c>
      <x:c r="E12" s="24" t="n">
        <x:f>COUNTIF('Source Corpus'!$D$2:$D$277,D12)</x:f>
        <x:v>8</x:v>
      </x:c>
      <x:c r="J12" s="24" t="str">
        <x:v>Delicious in Dungeon</x:v>
      </x:c>
      <x:c r="K12" s="24" t="n">
        <x:f>COUNTIF('Seed Catalogue'!$D$2:$D$317,J12)</x:f>
        <x:v>10</x:v>
      </x:c>
    </x:row>
    <x:row r="13">
      <x:c r="D13" s="24" t="str">
        <x:v>Tabletop RPG Setting</x:v>
      </x:c>
      <x:c r="E13" s="24" t="n">
        <x:f>COUNTIF('Source Corpus'!$D$2:$D$277,D13)</x:f>
        <x:v>7</x:v>
      </x:c>
      <x:c r="J13" s="24" t="str">
        <x:v>Frieren: Beyond Journey's End</x:v>
      </x:c>
      <x:c r="K13" s="24" t="n">
        <x:f>COUNTIF('Seed Catalogue'!$D$2:$D$317,J13)</x:f>
        <x:v>9</x:v>
      </x:c>
    </x:row>
    <x:row r="14">
      <x:c r="A14" s="69" t="str">
        <x:v>Visual summaries</x:v>
      </x:c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</x:row>
  </x:sheetData>
  <x:mergeCells>
    <x:mergeCell ref="A14:K14"/>
  </x:mergeCells>
  <x:pageMargins left="0.7" right="0.7" top="0.75" bottom="0.75" header="0.3" footer="0.3"/>
  <x:drawing xmlns:r="http://schemas.openxmlformats.org/officeDocument/2006/relationships" r:id="R07b77d65b0a348d1"/>
  <x:tableParts count="4">
    <x:tablePart xmlns:r="http://schemas.openxmlformats.org/officeDocument/2006/relationships" r:id="R872445b700e547b0"/>
    <x:tablePart xmlns:r="http://schemas.openxmlformats.org/officeDocument/2006/relationships" r:id="R13548162449b4c10"/>
    <x:tablePart xmlns:r="http://schemas.openxmlformats.org/officeDocument/2006/relationships" r:id="R3157c3e102c94241"/>
    <x:tablePart xmlns:r="http://schemas.openxmlformats.org/officeDocument/2006/relationships" r:id="R65b02aef93694b9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12" hidden="0" customWidth="1"/>
    <x:col min="5" max="5" width="50" hidden="0" customWidth="1"/>
    <x:col min="6" max="6" width="50" hidden="0" customWidth="1"/>
  </x:cols>
  <x:sheetData>
    <x:row r="1" ht="34" customHeight="1">
      <x:c r="A1" s="31" t="str">
        <x:v>Sheet</x:v>
      </x:c>
      <x:c r="B1" s="31" t="str">
        <x:v>Field</x:v>
      </x:c>
      <x:c r="C1" s="31" t="str">
        <x:v>Data_Type</x:v>
      </x:c>
      <x:c r="D1" s="31" t="str">
        <x:v>Required</x:v>
      </x:c>
      <x:c r="E1" s="31" t="str">
        <x:v>Definition</x:v>
      </x:c>
      <x:c r="F1" s="31" t="str">
        <x:v>Guidance</x:v>
      </x:c>
    </x:row>
    <x:row r="2" ht="40" customHeight="1">
      <x:c r="A2" s="24" t="str">
        <x:v>Master Taxonomy</x:v>
      </x:c>
      <x:c r="B2" s="24" t="str">
        <x:v>Archetype_ID</x:v>
      </x:c>
      <x:c r="C2" s="24" t="str">
        <x:v>Text / key</x:v>
      </x:c>
      <x:c r="D2" s="24" t="str">
        <x:v>Yes</x:v>
      </x:c>
      <x:c r="E2" s="24" t="str">
        <x:v>Stable normalized identifier.</x:v>
      </x:c>
      <x:c r="F2" s="24" t="str">
        <x:v>Prefix indicates domain; never reuse retired IDs.</x:v>
      </x:c>
    </x:row>
    <x:row r="3" ht="40" customHeight="1">
      <x:c r="A3" s="24" t="str">
        <x:v>Master Taxonomy</x:v>
      </x:c>
      <x:c r="B3" s="24" t="str">
        <x:v>Preferred_Name</x:v>
      </x:c>
      <x:c r="C3" s="24" t="str">
        <x:v>Text</x:v>
      </x:c>
      <x:c r="D3" s="24" t="str">
        <x:v>Yes</x:v>
      </x:c>
      <x:c r="E3" s="24" t="str">
        <x:v>Human-readable normalized archetype label.</x:v>
      </x:c>
      <x:c r="F3" s="24" t="str">
        <x:v>Use comparative language such as '-derived' where exact equivalence is unsafe.</x:v>
      </x:c>
    </x:row>
    <x:row r="4" ht="40" customHeight="1">
      <x:c r="A4" s="24" t="str">
        <x:v>Master Taxonomy</x:v>
      </x:c>
      <x:c r="B4" s="24" t="str">
        <x:v>Domain</x:v>
      </x:c>
      <x:c r="C4" s="24" t="str">
        <x:v>Controlled text</x:v>
      </x:c>
      <x:c r="D4" s="24" t="str">
        <x:v>Yes</x:v>
      </x:c>
      <x:c r="E4" s="24" t="str">
        <x:v>One of the eight top-level analytical domains.</x:v>
      </x:c>
      <x:c r="F4" s="24" t="str">
        <x:v>See Controlled Vocab and Start Here.</x:v>
      </x:c>
    </x:row>
    <x:row r="5" ht="40" customHeight="1">
      <x:c r="A5" s="24" t="str">
        <x:v>Master Taxonomy</x:v>
      </x:c>
      <x:c r="B5" s="24" t="str">
        <x:v>Parent_ID</x:v>
      </x:c>
      <x:c r="C5" s="24" t="str">
        <x:v>Text / foreign key</x:v>
      </x:c>
      <x:c r="D5" s="24" t="str">
        <x:v>No for roots</x:v>
      </x:c>
      <x:c r="E5" s="24" t="str">
        <x:v>Immediate parent in the normalized hierarchy.</x:v>
      </x:c>
      <x:c r="F5" s="24" t="str">
        <x:v>Must reference an Archetype_ID or remain blank for root records.</x:v>
      </x:c>
    </x:row>
    <x:row r="6" ht="40" customHeight="1">
      <x:c r="A6" s="24" t="str">
        <x:v>Master Taxonomy</x:v>
      </x:c>
      <x:c r="B6" s="24" t="str">
        <x:v>Tier</x:v>
      </x:c>
      <x:c r="C6" s="24" t="str">
        <x:v>Integer</x:v>
      </x:c>
      <x:c r="D6" s="24" t="str">
        <x:v>Yes</x:v>
      </x:c>
      <x:c r="E6" s="24" t="str">
        <x:v>Hierarchy depth, with 1 as a domain root.</x:v>
      </x:c>
      <x:c r="F6" s="24" t="str">
        <x:v>Used for navigation, not importance.</x:v>
      </x:c>
    </x:row>
    <x:row r="7" ht="40" customHeight="1">
      <x:c r="A7" s="24" t="str">
        <x:v>Master Taxonomy</x:v>
      </x:c>
      <x:c r="B7" s="24" t="str">
        <x:v>Core_Definition</x:v>
      </x:c>
      <x:c r="C7" s="24" t="str">
        <x:v>Long text</x:v>
      </x:c>
      <x:c r="D7" s="24" t="str">
        <x:v>Yes</x:v>
      </x:c>
      <x:c r="E7" s="24" t="str">
        <x:v>Minimal inclusion rule for the archetype.</x:v>
      </x:c>
      <x:c r="F7" s="24" t="str">
        <x:v>Define by ontology/function, not by a franchise example.</x:v>
      </x:c>
    </x:row>
    <x:row r="8" ht="40" customHeight="1">
      <x:c r="A8" s="24" t="str">
        <x:v>Master Taxonomy</x:v>
      </x:c>
      <x:c r="B8" s="24" t="str">
        <x:v>Key_Distinctions</x:v>
      </x:c>
      <x:c r="C8" s="24" t="str">
        <x:v>Long text</x:v>
      </x:c>
      <x:c r="D8" s="24" t="str">
        <x:v>Yes</x:v>
      </x:c>
      <x:c r="E8" s="24" t="str">
        <x:v>Boundaries against neighboring or commonly confused concepts.</x:v>
      </x:c>
      <x:c r="F8" s="24" t="str">
        <x:v>Record what the category excludes.</x:v>
      </x:c>
    </x:row>
    <x:row r="9" ht="40" customHeight="1">
      <x:c r="A9" s="24" t="str">
        <x:v>Master Taxonomy</x:v>
      </x:c>
      <x:c r="B9" s="24" t="str">
        <x:v>Common_Variants</x:v>
      </x:c>
      <x:c r="C9" s="24" t="str">
        <x:v>Long text</x:v>
      </x:c>
      <x:c r="D9" s="24" t="str">
        <x:v>No</x:v>
      </x:c>
      <x:c r="E9" s="24" t="str">
        <x:v>Recurring subforms, presentations, or implementations.</x:v>
      </x:c>
      <x:c r="F9" s="24" t="str">
        <x:v>Separate variants with semicolons.</x:v>
      </x:c>
    </x:row>
    <x:row r="10" ht="40" customHeight="1">
      <x:c r="A10" s="24" t="str">
        <x:v>Master Taxonomy</x:v>
      </x:c>
      <x:c r="B10" s="24" t="str">
        <x:v>Typical_Functions</x:v>
      </x:c>
      <x:c r="C10" s="24" t="str">
        <x:v>Long text</x:v>
      </x:c>
      <x:c r="D10" s="24" t="str">
        <x:v>No</x:v>
      </x:c>
      <x:c r="E10" s="24" t="str">
        <x:v>Frequent social, narrative, combat, or mechanical functions.</x:v>
      </x:c>
      <x:c r="F10" s="24" t="str">
        <x:v>Descriptive, not essential or morally deterministic.</x:v>
      </x:c>
    </x:row>
    <x:row r="11" ht="40" customHeight="1">
      <x:c r="A11" s="24" t="str">
        <x:v>Master Taxonomy</x:v>
      </x:c>
      <x:c r="B11" s="24" t="str">
        <x:v>Representative_Terms</x:v>
      </x:c>
      <x:c r="C11" s="24" t="str">
        <x:v>Long text</x:v>
      </x:c>
      <x:c r="D11" s="24" t="str">
        <x:v>No</x:v>
      </x:c>
      <x:c r="E11" s="24" t="str">
        <x:v>Common labels encountered across sources.</x:v>
      </x:c>
      <x:c r="F11" s="24" t="str">
        <x:v>Terms are examples, not automatic synonyms.</x:v>
      </x:c>
    </x:row>
    <x:row r="12" ht="40" customHeight="1">
      <x:c r="A12" s="24" t="str">
        <x:v>Master Taxonomy</x:v>
      </x:c>
      <x:c r="B12" s="24" t="str">
        <x:v>Cross_Cultural_Caution</x:v>
      </x:c>
      <x:c r="C12" s="24" t="str">
        <x:v>Long text</x:v>
      </x:c>
      <x:c r="D12" s="24" t="str">
        <x:v>No</x:v>
      </x:c>
      <x:c r="E12" s="24" t="str">
        <x:v>Risk of flattening living, historical, or culture-specific traditions.</x:v>
      </x:c>
      <x:c r="F12" s="24" t="str">
        <x:v>Use especially for religious, folkloric, and non-Western categories.</x:v>
      </x:c>
    </x:row>
    <x:row r="13" ht="40" customHeight="1">
      <x:c r="A13" s="24" t="str">
        <x:v>Master Taxonomy</x:v>
      </x:c>
      <x:c r="B13" s="24" t="str">
        <x:v>Framework_Status</x:v>
      </x:c>
      <x:c r="C13" s="24" t="str">
        <x:v>Controlled text</x:v>
      </x:c>
      <x:c r="D13" s="24" t="str">
        <x:v>Yes</x:v>
      </x:c>
      <x:c r="E13" s="24" t="str">
        <x:v>Maintenance status of the normalized record.</x:v>
      </x:c>
      <x:c r="F13" s="24" t="str">
        <x:v>Most stable taxonomy records are Framework core.</x:v>
      </x:c>
    </x:row>
    <x:row r="14" ht="40" customHeight="1">
      <x:c r="A14" s="24" t="str">
        <x:v>Source Corpus</x:v>
      </x:c>
      <x:c r="B14" s="24" t="str">
        <x:v>Source_ID</x:v>
      </x:c>
      <x:c r="C14" s="24" t="str">
        <x:v>Text / key</x:v>
      </x:c>
      <x:c r="D14" s="24" t="str">
        <x:v>Yes</x:v>
      </x:c>
      <x:c r="E14" s="24" t="str">
        <x:v>Stable identifier for a source, franchise, or continuity unit.</x:v>
      </x:c>
      <x:c r="F14" s="24" t="str">
        <x:v>Do not reuse IDs when a source is split.</x:v>
      </x:c>
    </x:row>
    <x:row r="15" ht="40" customHeight="1">
      <x:c r="A15" s="24" t="str">
        <x:v>Source Corpus</x:v>
      </x:c>
      <x:c r="B15" s="24" t="str">
        <x:v>Title_or_Franchise</x:v>
      </x:c>
      <x:c r="C15" s="24" t="str">
        <x:v>Text</x:v>
      </x:c>
      <x:c r="D15" s="24" t="str">
        <x:v>Yes</x:v>
      </x:c>
      <x:c r="E15" s="24" t="str">
        <x:v>Canonical title or useful franchise label.</x:v>
      </x:c>
      <x:c r="F15" s="24" t="str">
        <x:v>Use a specific work where taxonomy differs by installment.</x:v>
      </x:c>
    </x:row>
    <x:row r="16" ht="40" customHeight="1">
      <x:c r="A16" s="24" t="str">
        <x:v>Source Corpus</x:v>
      </x:c>
      <x:c r="B16" s="24" t="str">
        <x:v>Creator_Studio</x:v>
      </x:c>
      <x:c r="C16" s="24" t="str">
        <x:v>Text</x:v>
      </x:c>
      <x:c r="D16" s="24" t="str">
        <x:v>Yes</x:v>
      </x:c>
      <x:c r="E16" s="24" t="str">
        <x:v>Author, creator, studio, publisher, or rights-bearing production entity.</x:v>
      </x:c>
      <x:c r="F16" s="24" t="str">
        <x:v>Record multiple contributors where needed.</x:v>
      </x:c>
    </x:row>
    <x:row r="17" ht="40" customHeight="1">
      <x:c r="A17" s="24" t="str">
        <x:v>Source Corpus</x:v>
      </x:c>
      <x:c r="B17" s="24" t="str">
        <x:v>Medium</x:v>
      </x:c>
      <x:c r="C17" s="24" t="str">
        <x:v>Controlled / descriptive text</x:v>
      </x:c>
      <x:c r="D17" s="24" t="str">
        <x:v>Yes</x:v>
      </x:c>
      <x:c r="E17" s="24" t="str">
        <x:v>Primary medium or cross-media classification.</x:v>
      </x:c>
      <x:c r="F17" s="24" t="str">
        <x:v>Preserve hybrid forms such as Manga / Anime.</x:v>
      </x:c>
    </x:row>
    <x:row r="18" ht="40" customHeight="1">
      <x:c r="A18" s="24" t="str">
        <x:v>Source Corpus</x:v>
      </x:c>
      <x:c r="B18" s="24" t="str">
        <x:v>Region_Tradition</x:v>
      </x:c>
      <x:c r="C18" s="24" t="str">
        <x:v>Text</x:v>
      </x:c>
      <x:c r="D18" s="24" t="str">
        <x:v>Yes</x:v>
      </x:c>
      <x:c r="E18" s="24" t="str">
        <x:v>Broad cultural, linguistic, or industry context.</x:v>
      </x:c>
      <x:c r="F18" s="24" t="str">
        <x:v>Do not treat region as a substitute for close cultural analysis.</x:v>
      </x:c>
    </x:row>
    <x:row r="19" ht="40" customHeight="1">
      <x:c r="A19" s="24" t="str">
        <x:v>Source Corpus</x:v>
      </x:c>
      <x:c r="B19" s="24" t="str">
        <x:v>First_Appearance</x:v>
      </x:c>
      <x:c r="C19" s="24" t="str">
        <x:v>Text / year</x:v>
      </x:c>
      <x:c r="D19" s="24" t="str">
        <x:v>No</x:v>
      </x:c>
      <x:c r="E19" s="24" t="str">
        <x:v>Earliest relevant publication or release date.</x:v>
      </x:c>
      <x:c r="F19" s="24" t="str">
        <x:v>May be a year, range, or traditional/ancient designation.</x:v>
      </x:c>
    </x:row>
    <x:row r="20" ht="40" customHeight="1">
      <x:c r="A20" s="24" t="str">
        <x:v>Source Corpus</x:v>
      </x:c>
      <x:c r="B20" s="24" t="str">
        <x:v>Continuity_Unit</x:v>
      </x:c>
      <x:c r="C20" s="24" t="str">
        <x:v>Text</x:v>
      </x:c>
      <x:c r="D20" s="24" t="str">
        <x:v>Yes</x:v>
      </x:c>
      <x:c r="E20" s="24" t="str">
        <x:v>The level at which records should be separated.</x:v>
      </x:c>
      <x:c r="F20" s="24" t="str">
        <x:v>Examples: literary corpus, game edition, film trilogy, live-service current build.</x:v>
      </x:c>
    </x:row>
    <x:row r="21" ht="40" customHeight="1">
      <x:c r="A21" s="24" t="str">
        <x:v>Source Corpus</x:v>
      </x:c>
      <x:c r="B21" s="24" t="str">
        <x:v>Priority_Tier</x:v>
      </x:c>
      <x:c r="C21" s="24" t="str">
        <x:v>Controlled text</x:v>
      </x:c>
      <x:c r="D21" s="24" t="str">
        <x:v>Yes</x:v>
      </x:c>
      <x:c r="E21" s="24" t="str">
        <x:v>Research order and influence/coverage priority.</x:v>
      </x:c>
      <x:c r="F21" s="24" t="str">
        <x:v>Core, Major, Representative, Specialist, or Reference Layer.</x:v>
      </x:c>
    </x:row>
    <x:row r="22" ht="40" customHeight="1">
      <x:c r="A22" s="24" t="str">
        <x:v>Source Corpus</x:v>
      </x:c>
      <x:c r="B22" s="24" t="str">
        <x:v>Distinctive_Contribution</x:v>
      </x:c>
      <x:c r="C22" s="24" t="str">
        <x:v>Long text</x:v>
      </x:c>
      <x:c r="D22" s="24" t="str">
        <x:v>Yes</x:v>
      </x:c>
      <x:c r="E22" s="24" t="str">
        <x:v>Why the source matters to the comparative taxonomy.</x:v>
      </x:c>
      <x:c r="F22" s="24" t="str">
        <x:v>Focus on archetypal or structural contribution.</x:v>
      </x:c>
    </x:row>
    <x:row r="23" ht="40" customHeight="1">
      <x:c r="A23" s="24" t="str">
        <x:v>Source Corpus</x:v>
      </x:c>
      <x:c r="B23" s="24" t="str">
        <x:v>Scope_Note</x:v>
      </x:c>
      <x:c r="C23" s="24" t="str">
        <x:v>Long text</x:v>
      </x:c>
      <x:c r="D23" s="24" t="str">
        <x:v>No</x:v>
      </x:c>
      <x:c r="E23" s="24" t="str">
        <x:v>Inclusions, exclusions, adaptations, and version caveats.</x:v>
      </x:c>
      <x:c r="F23" s="24" t="str">
        <x:v>State when a franchise is not one continuity.</x:v>
      </x:c>
    </x:row>
    <x:row r="24" ht="40" customHeight="1">
      <x:c r="A24" s="24" t="str">
        <x:v>Source Corpus</x:v>
      </x:c>
      <x:c r="B24" s="24" t="str">
        <x:v>Reference_URL</x:v>
      </x:c>
      <x:c r="C24" s="24" t="str">
        <x:v>URL</x:v>
      </x:c>
      <x:c r="D24" s="24" t="str">
        <x:v>No</x:v>
      </x:c>
      <x:c r="E24" s="24" t="str">
        <x:v>Official or orientation reference link.</x:v>
      </x:c>
      <x:c r="F24" s="24" t="str">
        <x:v>Primary/official sources should replace orientation links during verification.</x:v>
      </x:c>
    </x:row>
    <x:row r="25" ht="40" customHeight="1">
      <x:c r="A25" s="24" t="str">
        <x:v>Source Corpus</x:v>
      </x:c>
      <x:c r="B25" s="24" t="str">
        <x:v>Status</x:v>
      </x:c>
      <x:c r="C25" s="24" t="str">
        <x:v>Controlled text</x:v>
      </x:c>
      <x:c r="D25" s="24" t="str">
        <x:v>Yes</x:v>
      </x:c>
      <x:c r="E25" s="24" t="str">
        <x:v>Inclusion status in this edition.</x:v>
      </x:c>
      <x:c r="F25" s="24" t="str">
        <x:v>Included, Research queue, or Deferred.</x:v>
      </x:c>
    </x:row>
    <x:row r="26" ht="40" customHeight="1">
      <x:c r="A26" s="24" t="str">
        <x:v>Seed Catalogue</x:v>
      </x:c>
      <x:c r="B26" s="24" t="str">
        <x:v>Entry_ID</x:v>
      </x:c>
      <x:c r="C26" s="24" t="str">
        <x:v>Text / key</x:v>
      </x:c>
      <x:c r="D26" s="24" t="str">
        <x:v>Yes</x:v>
      </x:c>
      <x:c r="E26" s="24" t="str">
        <x:v>Stable identifier for a source-specific catalogue entry.</x:v>
      </x:c>
      <x:c r="F26" s="24" t="str">
        <x:v>One record per materially distinct continuity concept.</x:v>
      </x:c>
    </x:row>
    <x:row r="27" ht="40" customHeight="1">
      <x:c r="A27" s="24" t="str">
        <x:v>Seed Catalogue</x:v>
      </x:c>
      <x:c r="B27" s="24" t="str">
        <x:v>Canonical_Name</x:v>
      </x:c>
      <x:c r="C27" s="24" t="str">
        <x:v>Text</x:v>
      </x:c>
      <x:c r="D27" s="24" t="str">
        <x:v>Yes</x:v>
      </x:c>
      <x:c r="E27" s="24" t="str">
        <x:v>Exact source-facing name or carefully labeled umbrella.</x:v>
      </x:c>
      <x:c r="F27" s="24" t="str">
        <x:v>Preserve diacritics and source capitalization where possible.</x:v>
      </x:c>
    </x:row>
    <x:row r="28" ht="40" customHeight="1">
      <x:c r="A28" s="24" t="str">
        <x:v>Seed Catalogue</x:v>
      </x:c>
      <x:c r="B28" s="24" t="str">
        <x:v>Source_ID</x:v>
      </x:c>
      <x:c r="C28" s="24" t="str">
        <x:v>Foreign key</x:v>
      </x:c>
      <x:c r="D28" s="24" t="str">
        <x:v>Yes</x:v>
      </x:c>
      <x:c r="E28" s="24" t="str">
        <x:v>Link to Source Corpus.</x:v>
      </x:c>
      <x:c r="F28" s="24" t="str">
        <x:v>Must match Source_ID.</x:v>
      </x:c>
    </x:row>
    <x:row r="29" ht="40" customHeight="1">
      <x:c r="A29" s="24" t="str">
        <x:v>Seed Catalogue</x:v>
      </x:c>
      <x:c r="B29" s="24" t="str">
        <x:v>Source_Title</x:v>
      </x:c>
      <x:c r="C29" s="24" t="str">
        <x:v>Text</x:v>
      </x:c>
      <x:c r="D29" s="24" t="str">
        <x:v>Yes</x:v>
      </x:c>
      <x:c r="E29" s="24" t="str">
        <x:v>Denormalized title for readability.</x:v>
      </x:c>
      <x:c r="F29" s="24" t="str">
        <x:v>Should match the linked source record.</x:v>
      </x:c>
    </x:row>
    <x:row r="30" ht="40" customHeight="1">
      <x:c r="A30" s="24" t="str">
        <x:v>Seed Catalogue</x:v>
      </x:c>
      <x:c r="B30" s="24" t="str">
        <x:v>Continuity</x:v>
      </x:c>
      <x:c r="C30" s="24" t="str">
        <x:v>Text</x:v>
      </x:c>
      <x:c r="D30" s="24" t="str">
        <x:v>Yes</x:v>
      </x:c>
      <x:c r="E30" s="24" t="str">
        <x:v>Specific edition, adaptation, era, or continuity.</x:v>
      </x:c>
      <x:c r="F30" s="24" t="str">
        <x:v>Version-stamp live-service games.</x:v>
      </x:c>
    </x:row>
    <x:row r="31" ht="40" customHeight="1">
      <x:c r="A31" s="24" t="str">
        <x:v>Seed Catalogue</x:v>
      </x:c>
      <x:c r="B31" s="24" t="str">
        <x:v>Native_Record_Type</x:v>
      </x:c>
      <x:c r="C31" s="24" t="str">
        <x:v>Controlled / descriptive text</x:v>
      </x:c>
      <x:c r="D31" s="24" t="str">
        <x:v>Yes</x:v>
      </x:c>
      <x:c r="E31" s="24" t="str">
        <x:v>What the source concept actually is.</x:v>
      </x:c>
      <x:c r="F31" s="24" t="str">
        <x:v>Do not force all entries into race/class.</x:v>
      </x:c>
    </x:row>
    <x:row r="32" ht="40" customHeight="1">
      <x:c r="A32" s="24" t="str">
        <x:v>Seed Catalogue</x:v>
      </x:c>
      <x:c r="B32" s="24" t="str">
        <x:v>Primary_Archetype_ID</x:v>
      </x:c>
      <x:c r="C32" s="24" t="str">
        <x:v>Foreign key</x:v>
      </x:c>
      <x:c r="D32" s="24" t="str">
        <x:v>Yes</x:v>
      </x:c>
      <x:c r="E32" s="24" t="str">
        <x:v>Best normalized crosswalk.</x:v>
      </x:c>
      <x:c r="F32" s="24" t="str">
        <x:v>Must match Master Taxonomy.</x:v>
      </x:c>
    </x:row>
    <x:row r="33" ht="40" customHeight="1">
      <x:c r="A33" s="24" t="str">
        <x:v>Seed Catalogue</x:v>
      </x:c>
      <x:c r="B33" s="24" t="str">
        <x:v>Additional_Archetype_IDs</x:v>
      </x:c>
      <x:c r="C33" s="24" t="str">
        <x:v>Delimited foreign keys</x:v>
      </x:c>
      <x:c r="D33" s="24" t="str">
        <x:v>No</x:v>
      </x:c>
      <x:c r="E33" s="24" t="str">
        <x:v>Other relevant normalized axes.</x:v>
      </x:c>
      <x:c r="F33" s="24" t="str">
        <x:v>Semicolon-delimited; does not imply exact equivalence.</x:v>
      </x:c>
    </x:row>
    <x:row r="34" ht="40" customHeight="1">
      <x:c r="A34" s="24" t="str">
        <x:v>Seed Catalogue</x:v>
      </x:c>
      <x:c r="B34" s="24" t="str">
        <x:v>Ontology_or_Role_Summary</x:v>
      </x:c>
      <x:c r="C34" s="24" t="str">
        <x:v>Long text</x:v>
      </x:c>
      <x:c r="D34" s="24" t="str">
        <x:v>Yes</x:v>
      </x:c>
      <x:c r="E34" s="24" t="str">
        <x:v>Source-faithful description.</x:v>
      </x:c>
      <x:c r="F34" s="24" t="str">
        <x:v>Avoid unmarked fan theories.</x:v>
      </x:c>
    </x:row>
    <x:row r="35" ht="40" customHeight="1">
      <x:c r="A35" s="24" t="str">
        <x:v>Seed Catalogue</x:v>
      </x:c>
      <x:c r="B35" s="24" t="str">
        <x:v>Power_Basis</x:v>
      </x:c>
      <x:c r="C35" s="24" t="str">
        <x:v>Long text</x:v>
      </x:c>
      <x:c r="D35" s="24" t="str">
        <x:v>No</x:v>
      </x:c>
      <x:c r="E35" s="24" t="str">
        <x:v>How abilities, authority, or identity are obtained.</x:v>
      </x:c>
      <x:c r="F35" s="24" t="str">
        <x:v>Distinguish power source from visible effects.</x:v>
      </x:c>
    </x:row>
    <x:row r="36" ht="40" customHeight="1">
      <x:c r="A36" s="24" t="str">
        <x:v>Seed Catalogue</x:v>
      </x:c>
      <x:c r="B36" s="24" t="str">
        <x:v>Key_Distinction</x:v>
      </x:c>
      <x:c r="C36" s="24" t="str">
        <x:v>Long text</x:v>
      </x:c>
      <x:c r="D36" s="24" t="str">
        <x:v>Yes</x:v>
      </x:c>
      <x:c r="E36" s="24" t="str">
        <x:v>Most important reason not to collapse the entry into its normalized family.</x:v>
      </x:c>
      <x:c r="F36" s="24" t="str">
        <x:v>This field protects source specificity.</x:v>
      </x:c>
    </x:row>
    <x:row r="37" ht="40" customHeight="1">
      <x:c r="A37" s="24" t="str">
        <x:v>Seed Catalogue</x:v>
      </x:c>
      <x:c r="B37" s="24" t="str">
        <x:v>Comparative_Notes</x:v>
      </x:c>
      <x:c r="C37" s="24" t="str">
        <x:v>Long text</x:v>
      </x:c>
      <x:c r="D37" s="24" t="str">
        <x:v>No</x:v>
      </x:c>
      <x:c r="E37" s="24" t="str">
        <x:v>Reusable analytical interpretation.</x:v>
      </x:c>
      <x:c r="F37" s="24" t="str">
        <x:v>Name the relevant axis: ontology, function, mechanics, narrative, or iconography.</x:v>
      </x:c>
    </x:row>
    <x:row r="38" ht="40" customHeight="1">
      <x:c r="A38" s="24" t="str">
        <x:v>Seed Catalogue</x:v>
      </x:c>
      <x:c r="B38" s="24" t="str">
        <x:v>Canon_Status</x:v>
      </x:c>
      <x:c r="C38" s="24" t="str">
        <x:v>Controlled text</x:v>
      </x:c>
      <x:c r="D38" s="24" t="str">
        <x:v>Yes</x:v>
      </x:c>
      <x:c r="E38" s="24" t="str">
        <x:v>Status within the specified continuity.</x:v>
      </x:c>
      <x:c r="F38" s="24" t="str">
        <x:v>See Controlled Vocab.</x:v>
      </x:c>
    </x:row>
    <x:row r="39" ht="40" customHeight="1">
      <x:c r="A39" s="24" t="str">
        <x:v>Seed Catalogue</x:v>
      </x:c>
      <x:c r="B39" s="24" t="str">
        <x:v>Evidence_Level</x:v>
      </x:c>
      <x:c r="C39" s="24" t="str">
        <x:v>Controlled text</x:v>
      </x:c>
      <x:c r="D39" s="24" t="str">
        <x:v>Yes</x:v>
      </x:c>
      <x:c r="E39" s="24" t="str">
        <x:v>Degree of direct source review.</x:v>
      </x:c>
      <x:c r="F39" s="24" t="str">
        <x:v>See Controlled Vocab.</x:v>
      </x:c>
    </x:row>
    <x:row r="40" ht="40" customHeight="1">
      <x:c r="A40" s="24" t="str">
        <x:v>Seed Catalogue</x:v>
      </x:c>
      <x:c r="B40" s="24" t="str">
        <x:v>Source_Reference</x:v>
      </x:c>
      <x:c r="C40" s="24" t="str">
        <x:v>Long text</x:v>
      </x:c>
      <x:c r="D40" s="24" t="str">
        <x:v>Yes</x:v>
      </x:c>
      <x:c r="E40" s="24" t="str">
        <x:v>Book, rules page, game codex, episode, or review note.</x:v>
      </x:c>
      <x:c r="F40" s="24" t="str">
        <x:v>Replace generic corpus notes with precise citations in deep passes.</x:v>
      </x:c>
    </x:row>
    <x:row r="41" ht="40" customHeight="1">
      <x:c r="A41" s="24" t="str">
        <x:v>Seed Catalogue</x:v>
      </x:c>
      <x:c r="B41" s="24" t="str">
        <x:v>Reference_URL</x:v>
      </x:c>
      <x:c r="C41" s="24" t="str">
        <x:v>URL</x:v>
      </x:c>
      <x:c r="D41" s="24" t="str">
        <x:v>No</x:v>
      </x:c>
      <x:c r="E41" s="24" t="str">
        <x:v>Link supporting orientation or verification.</x:v>
      </x:c>
      <x:c r="F41" s="24" t="str">
        <x:v>Prefer official sources.</x:v>
      </x:c>
    </x:row>
    <x:row r="42" ht="40" customHeight="1">
      <x:c r="A42" s="24" t="str">
        <x:v>Seed Catalogue</x:v>
      </x:c>
      <x:c r="B42" s="24" t="str">
        <x:v>Review_Status</x:v>
      </x:c>
      <x:c r="C42" s="24" t="str">
        <x:v>Controlled text</x:v>
      </x:c>
      <x:c r="D42" s="24" t="str">
        <x:v>Yes</x:v>
      </x:c>
      <x:c r="E42" s="24" t="str">
        <x:v>Workflow status.</x:v>
      </x:c>
      <x:c r="F42" s="24" t="str">
        <x:v>Seeded does not mean every detail has completed line-level citation review.</x:v>
      </x:c>
    </x:row>
    <x:row r="43" ht="40" customHeight="1">
      <x:c r="A43" s="24" t="str">
        <x:v>Controlled Vocab</x:v>
      </x:c>
      <x:c r="B43" s="24" t="str">
        <x:v>Axis</x:v>
      </x:c>
      <x:c r="C43" s="24" t="str">
        <x:v>Text</x:v>
      </x:c>
      <x:c r="D43" s="24" t="str">
        <x:v>Yes</x:v>
      </x:c>
      <x:c r="E43" s="24" t="str">
        <x:v>Name of the controlled vocabulary.</x:v>
      </x:c>
      <x:c r="F43" s="24" t="str">
        <x:v>Use exact axis spelling.</x:v>
      </x:c>
    </x:row>
    <x:row r="44" ht="40" customHeight="1">
      <x:c r="A44" s="24" t="str">
        <x:v>Controlled Vocab</x:v>
      </x:c>
      <x:c r="B44" s="24" t="str">
        <x:v>Value</x:v>
      </x:c>
      <x:c r="C44" s="24" t="str">
        <x:v>Text</x:v>
      </x:c>
      <x:c r="D44" s="24" t="str">
        <x:v>Yes</x:v>
      </x:c>
      <x:c r="E44" s="24" t="str">
        <x:v>Permitted or recommended label.</x:v>
      </x:c>
      <x:c r="F44" s="24" t="str">
        <x:v>New values require governance review.</x:v>
      </x:c>
    </x:row>
    <x:row r="45" ht="40" customHeight="1">
      <x:c r="A45" s="24" t="str">
        <x:v>Controlled Vocab</x:v>
      </x:c>
      <x:c r="B45" s="24" t="str">
        <x:v>Definition</x:v>
      </x:c>
      <x:c r="C45" s="24" t="str">
        <x:v>Long text</x:v>
      </x:c>
      <x:c r="D45" s="24" t="str">
        <x:v>Yes</x:v>
      </x:c>
      <x:c r="E45" s="24" t="str">
        <x:v>Meaning of the value.</x:v>
      </x:c>
      <x:c r="F45" s="24" t="str">
        <x:v>Keep definitions mutually distinguishable.</x:v>
      </x:c>
    </x:row>
    <x:row r="46" ht="40" customHeight="1">
      <x:c r="A46" s="24" t="str">
        <x:v>Controlled Vocab</x:v>
      </x:c>
      <x:c r="B46" s="24" t="str">
        <x:v>Use</x:v>
      </x:c>
      <x:c r="C46" s="24" t="str">
        <x:v>Long text</x:v>
      </x:c>
      <x:c r="D46" s="24" t="str">
        <x:v>Yes</x:v>
      </x:c>
      <x:c r="E46" s="24" t="str">
        <x:v>Application guidance.</x:v>
      </x:c>
      <x:c r="F46" s="24" t="str">
        <x:v>May include caution or multiplicity rules.</x:v>
      </x:c>
    </x:row>
    <x:row r="47" ht="40" customHeight="1">
      <x:c r="A47" s="24" t="str">
        <x:v>Relationship Rules</x:v>
      </x:c>
      <x:c r="B47" s="24" t="str">
        <x:v>Relation</x:v>
      </x:c>
      <x:c r="C47" s="24" t="str">
        <x:v>Controlled text</x:v>
      </x:c>
      <x:c r="D47" s="24" t="str">
        <x:v>Yes</x:v>
      </x:c>
      <x:c r="E47" s="24" t="str">
        <x:v>Relationship label used in cross-setting links.</x:v>
      </x:c>
      <x:c r="F47" s="24" t="str">
        <x:v>Prefer specific relations over generic similarity.</x:v>
      </x:c>
    </x:row>
    <x:row r="48" ht="40" customHeight="1">
      <x:c r="A48" s="24" t="str">
        <x:v>Relationship Rules</x:v>
      </x:c>
      <x:c r="B48" s="24" t="str">
        <x:v>Directionality</x:v>
      </x:c>
      <x:c r="C48" s="24" t="str">
        <x:v>Controlled text</x:v>
      </x:c>
      <x:c r="D48" s="24" t="str">
        <x:v>Yes</x:v>
      </x:c>
      <x:c r="E48" s="24" t="str">
        <x:v>Symmetric or directed.</x:v>
      </x:c>
      <x:c r="F48" s="24" t="str">
        <x:v>Directed relationships require subject and object ordering.</x:v>
      </x:c>
    </x:row>
    <x:row r="49" ht="40" customHeight="1">
      <x:c r="A49" s="24" t="str">
        <x:v>Relationship Rules</x:v>
      </x:c>
      <x:c r="B49" s="24" t="str">
        <x:v>Scope</x:v>
      </x:c>
      <x:c r="C49" s="24" t="str">
        <x:v>Text</x:v>
      </x:c>
      <x:c r="D49" s="24" t="str">
        <x:v>Yes</x:v>
      </x:c>
      <x:c r="E49" s="24" t="str">
        <x:v>Where the relationship applies.</x:v>
      </x:c>
      <x:c r="F49" s="24" t="str">
        <x:v>Examples: within continuity, cross-setting, adaptation, mechanics.</x:v>
      </x:c>
    </x:row>
    <x:row r="50" ht="40" customHeight="1">
      <x:c r="A50" s="24" t="str">
        <x:v>Relationship Rules</x:v>
      </x:c>
      <x:c r="B50" s="24" t="str">
        <x:v>Use_When</x:v>
      </x:c>
      <x:c r="C50" s="24" t="str">
        <x:v>Long text</x:v>
      </x:c>
      <x:c r="D50" s="24" t="str">
        <x:v>Yes</x:v>
      </x:c>
      <x:c r="E50" s="24" t="str">
        <x:v>Positive inclusion rule.</x:v>
      </x:c>
      <x:c r="F50" s="24" t="str">
        <x:v>Apply only when evidence supports the stated dimension.</x:v>
      </x:c>
    </x:row>
    <x:row r="51" ht="40" customHeight="1">
      <x:c r="A51" s="24" t="str">
        <x:v>Relationship Rules</x:v>
      </x:c>
      <x:c r="B51" s="24" t="str">
        <x:v>Do_Not_Use_When</x:v>
      </x:c>
      <x:c r="C51" s="24" t="str">
        <x:v>Long text</x:v>
      </x:c>
      <x:c r="D51" s="24" t="str">
        <x:v>Yes</x:v>
      </x:c>
      <x:c r="E51" s="24" t="str">
        <x:v>Common misuse.</x:v>
      </x:c>
      <x:c r="F51" s="24" t="str">
        <x:v>Protect against false equivalence.</x:v>
      </x:c>
    </x:row>
    <x:row r="52" ht="40" customHeight="1">
      <x:c r="A52" s="24" t="str">
        <x:v>Relationship Rules</x:v>
      </x:c>
      <x:c r="B52" s="24" t="str">
        <x:v>Example</x:v>
      </x:c>
      <x:c r="C52" s="24" t="str">
        <x:v>Long text</x:v>
      </x:c>
      <x:c r="D52" s="24" t="str">
        <x:v>No</x:v>
      </x:c>
      <x:c r="E52" s="24" t="str">
        <x:v>Illustrative application.</x:v>
      </x:c>
      <x:c r="F52" s="24" t="str">
        <x:v>Examples are explanatory, not exhaustive.</x:v>
      </x:c>
    </x:row>
    <x:row r="53" ht="40" customHeight="1">
      <x:c r="A53" s="24" t="str">
        <x:v>Master Taxonomy</x:v>
      </x:c>
      <x:c r="B53" s="24" t="str">
        <x:v>Parent_Name</x:v>
      </x:c>
      <x:c r="C53" s="24" t="str">
        <x:v>Formula / lookup</x:v>
      </x:c>
      <x:c r="D53" s="24" t="str">
        <x:v>No for roots</x:v>
      </x:c>
      <x:c r="E53" s="24" t="str">
        <x:v>Human-readable name of Parent_ID.</x:v>
      </x:c>
      <x:c r="F53" s="24" t="str">
        <x:v>Calculated with VLOOKUP from Master Taxonomy; do not hand-edit.</x:v>
      </x:c>
    </x:row>
    <x:row r="54" ht="40" customHeight="1">
      <x:c r="A54" s="24" t="str">
        <x:v>Seed Catalogue</x:v>
      </x:c>
      <x:c r="B54" s="24" t="str">
        <x:v>Primary_Archetype_Name</x:v>
      </x:c>
      <x:c r="C54" s="24" t="str">
        <x:v>Formula / lookup</x:v>
      </x:c>
      <x:c r="D54" s="24" t="str">
        <x:v>Yes</x:v>
      </x:c>
      <x:c r="E54" s="24" t="str">
        <x:v>Human-readable normalized name linked from Primary_Archetype_ID.</x:v>
      </x:c>
      <x:c r="F54" s="24" t="str">
        <x:v>Calculated with VLOOKUP from Master Taxonomy.</x:v>
      </x:c>
    </x:row>
    <x:row r="55" ht="40" customHeight="1">
      <x:c r="A55" s="24" t="str">
        <x:v>Seed Catalogue</x:v>
      </x:c>
      <x:c r="B55" s="24" t="str">
        <x:v>Additional_Archetype_Names</x:v>
      </x:c>
      <x:c r="C55" s="24" t="str">
        <x:v>Denormalized text</x:v>
      </x:c>
      <x:c r="D55" s="24" t="str">
        <x:v>No</x:v>
      </x:c>
      <x:c r="E55" s="24" t="str">
        <x:v>Human-readable names corresponding to Additional_Archetype_IDs.</x:v>
      </x:c>
      <x:c r="F55" s="24" t="str">
        <x:v>Regenerate after ID changes to prevent drift.</x:v>
      </x:c>
    </x:row>
  </x:sheetData>
  <x:pageMargins left="0.7" right="0.7" top="0.75" bottom="0.75" header="0.3" footer="0.3"/>
  <x:tableParts count="1">
    <x:tablePart xmlns:r="http://schemas.openxmlformats.org/officeDocument/2006/relationships" r:id="R14df16ca33624e3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6" hidden="0" customWidth="1"/>
    <x:col min="4" max="4" width="58" hidden="0" customWidth="1"/>
    <x:col min="5" max="5" width="16" hidden="0" customWidth="1"/>
    <x:col min="6" max="6" width="16" hidden="0" customWidth="1"/>
  </x:cols>
  <x:sheetData>
    <x:row r="1" ht="34" customHeight="1">
      <x:c r="A1" s="31" t="str">
        <x:v>Queue_ID</x:v>
      </x:c>
      <x:c r="B1" s="31" t="str">
        <x:v>Workstream</x:v>
      </x:c>
      <x:c r="C1" s="31" t="str">
        <x:v>Scope</x:v>
      </x:c>
      <x:c r="D1" s="31" t="str">
        <x:v>Goal</x:v>
      </x:c>
      <x:c r="E1" s="31" t="str">
        <x:v>Priority</x:v>
      </x:c>
      <x:c r="F1" s="31" t="str">
        <x:v>Status</x:v>
      </x:c>
    </x:row>
    <x:row r="2" ht="42" customHeight="1">
      <x:c r="A2" s="24" t="str">
        <x:v>RQ-001</x:v>
      </x:c>
      <x:c r="B2" s="24" t="str">
        <x:v>Primary-citation deep pass</x:v>
      </x:c>
      <x:c r="C2" s="24" t="str">
        <x:v>Tolkien, ASOIAF, Witcher, Tactics Ogre</x:v>
      </x:c>
      <x:c r="D2" s="24" t="str">
        <x:v>Replace corpus-level references with book/chapter, rules page, codex, or in-game entry citations.</x:v>
      </x:c>
      <x:c r="E2" s="24" t="str">
        <x:v>High</x:v>
      </x:c>
      <x:c r="F2" s="24" t="str">
        <x:v>Open</x:v>
      </x:c>
    </x:row>
    <x:row r="3" ht="42" customHeight="1">
      <x:c r="A3" s="24" t="str">
        <x:v>RQ-002</x:v>
      </x:c>
      <x:c r="B3" s="24" t="str">
        <x:v>Adaptation divergence</x:v>
      </x:c>
      <x:c r="C3" s="24" t="str">
        <x:v>Tolkien, ASOIAF, Witcher, Fullmetal Alchemist</x:v>
      </x:c>
      <x:c r="D3" s="24" t="str">
        <x:v>Create paired records where screen or game adaptations materially change ontology, powers, institutions, or terminology.</x:v>
      </x:c>
      <x:c r="E3" s="24" t="str">
        <x:v>High</x:v>
      </x:c>
      <x:c r="F3" s="24" t="str">
        <x:v>Open</x:v>
      </x:c>
    </x:row>
    <x:row r="4" ht="42" customHeight="1">
      <x:c r="A4" s="24" t="str">
        <x:v>RQ-003</x:v>
      </x:c>
      <x:c r="B4" s="24" t="str">
        <x:v>D&amp;D edition history</x:v>
      </x:c>
      <x:c r="C4" s="24" t="str">
        <x:v>Dungeons &amp; Dragons</x:v>
      </x:c>
      <x:c r="D4" s="24" t="str">
        <x:v>Separate OD&amp;D, AD&amp;D, 3e, 4e, 5e-2014, and 5e-2024 class/species taxonomies.</x:v>
      </x:c>
      <x:c r="E4" s="24" t="str">
        <x:v>High</x:v>
      </x:c>
      <x:c r="F4" s="24" t="str">
        <x:v>Open</x:v>
      </x:c>
    </x:row>
    <x:row r="5" ht="42" customHeight="1">
      <x:c r="A5" s="24" t="str">
        <x:v>RQ-004</x:v>
      </x:c>
      <x:c r="B5" s="24" t="str">
        <x:v>Final Fantasy title matrix</x:v>
      </x:c>
      <x:c r="C5" s="24" t="str">
        <x:v>Final Fantasy</x:v>
      </x:c>
      <x:c r="D5" s="24" t="str">
        <x:v>Record job appearance, meaning, and mechanics per numbered and tactical title rather than only recurring franchise patterns.</x:v>
      </x:c>
      <x:c r="E5" s="24" t="str">
        <x:v>High</x:v>
      </x:c>
      <x:c r="F5" s="24" t="str">
        <x:v>Open</x:v>
      </x:c>
    </x:row>
    <x:row r="6" ht="42" customHeight="1">
      <x:c r="A6" s="24" t="str">
        <x:v>RQ-005</x:v>
      </x:c>
      <x:c r="B6" s="24" t="str">
        <x:v>Live-service snapshots</x:v>
      </x:c>
      <x:c r="C6" s="24" t="str">
        <x:v>World of Warcraft, Final Fantasy XIV, Guild Wars 2</x:v>
      </x:c>
      <x:c r="D6" s="24" t="str">
        <x:v>Store dated snapshots for playable races, classes/jobs, and specialization structures.</x:v>
      </x:c>
      <x:c r="E6" s="24" t="str">
        <x:v>High</x:v>
      </x:c>
      <x:c r="F6" s="24" t="str">
        <x:v>Open</x:v>
      </x:c>
    </x:row>
    <x:row r="7" ht="42" customHeight="1">
      <x:c r="A7" s="24" t="str">
        <x:v>RQ-006</x:v>
      </x:c>
      <x:c r="B7" s="24" t="str">
        <x:v>Japanese folklore layer</x:v>
      </x:c>
      <x:c r="C7" s="24" t="str">
        <x:v>Mythology / folklore and Japanese media</x:v>
      </x:c>
      <x:c r="D7" s="24" t="str">
        <x:v>Separate yōkai, kami, onryō, oni, tengu, kitsune, tsukumogami, and modern media transformations using specialist sources.</x:v>
      </x:c>
      <x:c r="E7" s="24" t="str">
        <x:v>High</x:v>
      </x:c>
      <x:c r="F7" s="24" t="str">
        <x:v>Open</x:v>
      </x:c>
    </x:row>
    <x:row r="8" ht="42" customHeight="1">
      <x:c r="A8" s="24" t="str">
        <x:v>RQ-007</x:v>
      </x:c>
      <x:c r="B8" s="24" t="str">
        <x:v>Chinese cosmology and cultivation</x:v>
      </x:c>
      <x:c r="C8" s="24" t="str">
        <x:v>Xianxia, wuxia, xuanhuan</x:v>
      </x:c>
      <x:c r="D8" s="24" t="str">
        <x:v>Expand cultivation realms, sect roles, immortals, spirits, demons, alchemy, talismans, formations, and heavenly bureaucracy without treating all works as one system.</x:v>
      </x:c>
      <x:c r="E8" s="24" t="str">
        <x:v>High</x:v>
      </x:c>
      <x:c r="F8" s="24" t="str">
        <x:v>Open</x:v>
      </x:c>
    </x:row>
    <x:row r="9" ht="42" customHeight="1">
      <x:c r="A9" s="24" t="str">
        <x:v>RQ-008</x:v>
      </x:c>
      <x:c r="B9" s="24" t="str">
        <x:v>Korean fantasy ecosystems</x:v>
      </x:c>
      <x:c r="C9" s="24" t="str">
        <x:v>Manhwa, web novels, folklore</x:v>
      </x:c>
      <x:c r="D9" s="24" t="str">
        <x:v>Distinguish hunter/gate systems, constellations, regressors, murim traditions, dokkaebi, and indigenous mythic elements.</x:v>
      </x:c>
      <x:c r="E9" s="24" t="str">
        <x:v>Major</x:v>
      </x:c>
      <x:c r="F9" s="24" t="str">
        <x:v>Open</x:v>
      </x:c>
    </x:row>
    <x:row r="10" ht="42" customHeight="1">
      <x:c r="A10" s="24" t="str">
        <x:v>RQ-009</x:v>
      </x:c>
      <x:c r="B10" s="24" t="str">
        <x:v>South Asian traditions</x:v>
      </x:c>
      <x:c r="C10" s="24" t="str">
        <x:v>Epic, puranic, folkloric, and modern fantasy</x:v>
      </x:c>
      <x:c r="D10" s="24" t="str">
        <x:v>Develop culturally specific records for yaksha, rakshasa, naga, gandharva, apsara, asura/deva relations, siddha, and modern reinterpretations.</x:v>
      </x:c>
      <x:c r="E10" s="24" t="str">
        <x:v>High</x:v>
      </x:c>
      <x:c r="F10" s="24" t="str">
        <x:v>Open</x:v>
      </x:c>
    </x:row>
    <x:row r="11" ht="42" customHeight="1">
      <x:c r="A11" s="24" t="str">
        <x:v>RQ-010</x:v>
      </x:c>
      <x:c r="B11" s="24" t="str">
        <x:v>West Asian and Persian traditions</x:v>
      </x:c>
      <x:c r="C11" s="24" t="str">
        <x:v>Arabic, Persian, Turkic, and adjacent sources</x:v>
      </x:c>
      <x:c r="D11" s="24" t="str">
        <x:v>Separate jinn traditions, divs, peri, ghul, Simurgh, epic heroes, occult sciences, and modern fantasy adaptations.</x:v>
      </x:c>
      <x:c r="E11" s="24" t="str">
        <x:v>High</x:v>
      </x:c>
      <x:c r="F11" s="24" t="str">
        <x:v>Open</x:v>
      </x:c>
    </x:row>
    <x:row r="12" ht="42" customHeight="1">
      <x:c r="A12" s="24" t="str">
        <x:v>RQ-011</x:v>
      </x:c>
      <x:c r="B12" s="24" t="str">
        <x:v>African traditions</x:v>
      </x:c>
      <x:c r="C12" s="24" t="str">
        <x:v>Regional folklore, literature, games, screen media</x:v>
      </x:c>
      <x:c r="D12" s="24" t="str">
        <x:v>Build culture-specific—not continent-level—records with relevant scholarship and language-sensitive terminology.</x:v>
      </x:c>
      <x:c r="E12" s="24" t="str">
        <x:v>High</x:v>
      </x:c>
      <x:c r="F12" s="24" t="str">
        <x:v>Open</x:v>
      </x:c>
    </x:row>
    <x:row r="13" ht="42" customHeight="1">
      <x:c r="A13" s="24" t="str">
        <x:v>RQ-012</x:v>
      </x:c>
      <x:c r="B13" s="24" t="str">
        <x:v>Indigenous traditions</x:v>
      </x:c>
      <x:c r="C13" s="24" t="str">
        <x:v>Americas, Oceania, Arctic and other regions</x:v>
      </x:c>
      <x:c r="D13" s="24" t="str">
        <x:v>Include only with community-respectful sourcing; distinguish living sacred traditions from commercial fantasy borrowing.</x:v>
      </x:c>
      <x:c r="E13" s="24" t="str">
        <x:v>High</x:v>
      </x:c>
      <x:c r="F13" s="24" t="str">
        <x:v>Open</x:v>
      </x:c>
    </x:row>
    <x:row r="14" ht="42" customHeight="1">
      <x:c r="A14" s="24" t="str">
        <x:v>RQ-013</x:v>
      </x:c>
      <x:c r="B14" s="24" t="str">
        <x:v>Latin American fantasy</x:v>
      </x:c>
      <x:c r="C14" s="24" t="str">
        <x:v>Literature, comics, games, screen media</x:v>
      </x:c>
      <x:c r="D14" s="24" t="str">
        <x:v>Expand secondary-world, magical-realist-adjacent, folkloric, and Indigenous/colonial hybrid traditions without conflation.</x:v>
      </x:c>
      <x:c r="E14" s="24" t="str">
        <x:v>Major</x:v>
      </x:c>
      <x:c r="F14" s="24" t="str">
        <x:v>Open</x:v>
      </x:c>
    </x:row>
    <x:row r="15" ht="42" customHeight="1">
      <x:c r="A15" s="24" t="str">
        <x:v>RQ-014</x:v>
      </x:c>
      <x:c r="B15" s="24" t="str">
        <x:v>Africanfuturist and science-fantasy boundary</x:v>
      </x:c>
      <x:c r="C15" s="24" t="str">
        <x:v>Cross-media</x:v>
      </x:c>
      <x:c r="D15" s="24" t="str">
        <x:v>Add concepts where magic, cosmology, and technology produce genuinely hybrid archetypes.</x:v>
      </x:c>
      <x:c r="E15" s="24" t="str">
        <x:v>Major</x:v>
      </x:c>
      <x:c r="F15" s="24" t="str">
        <x:v>Open</x:v>
      </x:c>
    </x:row>
    <x:row r="16" ht="42" customHeight="1">
      <x:c r="A16" s="24" t="str">
        <x:v>RQ-015</x:v>
      </x:c>
      <x:c r="B16" s="24" t="str">
        <x:v>Board and card game mechanics</x:v>
      </x:c>
      <x:c r="C16" s="24" t="str">
        <x:v>Magic: The Gathering and major board games</x:v>
      </x:c>
      <x:c r="D16" s="24" t="str">
        <x:v>Record faction colors, creature types, deck roles, asymmetric peoples, and scenario-specific classes.</x:v>
      </x:c>
      <x:c r="E16" s="24" t="str">
        <x:v>Major</x:v>
      </x:c>
      <x:c r="F16" s="24" t="str">
        <x:v>Open</x:v>
      </x:c>
    </x:row>
    <x:row r="17" ht="42" customHeight="1">
      <x:c r="A17" s="24" t="str">
        <x:v>RQ-016</x:v>
      </x:c>
      <x:c r="B17" s="24" t="str">
        <x:v>Warhammer edition/faction split</x:v>
      </x:c>
      <x:c r="C17" s="24" t="str">
        <x:v>Warhammer Fantasy, The Old World, Age of Sigmar</x:v>
      </x:c>
      <x:c r="D17" s="24" t="str">
        <x:v>Separate continuities and track renamed or reinterpreted peoples and roles.</x:v>
      </x:c>
      <x:c r="E17" s="24" t="str">
        <x:v>Major</x:v>
      </x:c>
      <x:c r="F17" s="24" t="str">
        <x:v>Open</x:v>
      </x:c>
    </x:row>
    <x:row r="18" ht="42" customHeight="1">
      <x:c r="A18" s="24" t="str">
        <x:v>RQ-017</x:v>
      </x:c>
      <x:c r="B18" s="24" t="str">
        <x:v>Monster taxonomy audit</x:v>
      </x:c>
      <x:c r="C18" s="24" t="str">
        <x:v>All sources</x:v>
      </x:c>
      <x:c r="D18" s="24" t="str">
        <x:v>Distinguish species, spirit, curse, transformed mortal, summoned construct, boss role, and moralized enemy label.</x:v>
      </x:c>
      <x:c r="E18" s="24" t="str">
        <x:v>High</x:v>
      </x:c>
      <x:c r="F18" s="24" t="str">
        <x:v>Open</x:v>
      </x:c>
    </x:row>
    <x:row r="19" ht="42" customHeight="1">
      <x:c r="A19" s="24" t="str">
        <x:v>RQ-018</x:v>
      </x:c>
      <x:c r="B19" s="24" t="str">
        <x:v>Narrative archetype corpus</x:v>
      </x:c>
      <x:c r="C19" s="24" t="str">
        <x:v>Literature, film, television, manga/anime</x:v>
      </x:c>
      <x:c r="D19" s="24" t="str">
        <x:v>Link character and plot archetypes to representative works using spoiler-level controls.</x:v>
      </x:c>
      <x:c r="E19" s="24" t="str">
        <x:v>Major</x:v>
      </x:c>
      <x:c r="F19" s="24" t="str">
        <x:v>Open</x:v>
      </x:c>
    </x:row>
    <x:row r="20" ht="42" customHeight="1">
      <x:c r="A20" s="24" t="str">
        <x:v>RQ-019</x:v>
      </x:c>
      <x:c r="B20" s="24" t="str">
        <x:v>Translation terminology</x:v>
      </x:c>
      <x:c r="C20" s="24" t="str">
        <x:v>Translated literature, manga/anime, games</x:v>
      </x:c>
      <x:c r="D20" s="24" t="str">
        <x:v>Store original-language term, romanization, official translation, fan translation, and semantic notes.</x:v>
      </x:c>
      <x:c r="E20" s="24" t="str">
        <x:v>High</x:v>
      </x:c>
      <x:c r="F20" s="24" t="str">
        <x:v>Open</x:v>
      </x:c>
    </x:row>
    <x:row r="21" ht="42" customHeight="1">
      <x:c r="A21" s="24" t="str">
        <x:v>RQ-020</x:v>
      </x:c>
      <x:c r="B21" s="24" t="str">
        <x:v>Provenance and rights metadata</x:v>
      </x:c>
      <x:c r="C21" s="24" t="str">
        <x:v>All sources</x:v>
      </x:c>
      <x:c r="D21" s="24" t="str">
        <x:v>Add citation granularity, publication/edition identifiers, quote limits, and rights-safe notes.</x:v>
      </x:c>
      <x:c r="E21" s="24" t="str">
        <x:v>Major</x:v>
      </x:c>
      <x:c r="F21" s="24" t="str">
        <x:v>Open</x:v>
      </x:c>
    </x:row>
  </x:sheetData>
  <x:conditionalFormatting sqref="E2:E21">
    <x:cfRule type="expression" dxfId="18" priority="1">
      <x:formula>$E2="High"</x:formula>
    </x:cfRule>
    <x:cfRule type="expression" dxfId="19" priority="2">
      <x:formula>$E2="Major"</x:formula>
    </x:cfRule>
  </x:conditionalFormatting>
  <x:conditionalFormatting sqref="F2:F21">
    <x:cfRule type="expression" dxfId="20" priority="3">
      <x:formula>$F2="Open"</x:formula>
    </x:cfRule>
  </x:conditionalFormatting>
  <x:dataValidations count="2">
    <x:dataValidation type="list" sqref="E2:E21">
      <x:formula1>"High,Major,Moderate,Low"</x:formula1>
    </x:dataValidation>
    <x:dataValidation type="list" sqref="F2:F21">
      <x:formula1>"Open,In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d09c3d66a4fc2"/>
  </x:tableParts>
</x:worksheet>
</file>